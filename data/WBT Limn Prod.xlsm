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105" yWindow="15" windowWidth="14280" windowHeight="8085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FM16" i="1"/>
  <c r="FK16"/>
  <c r="FI16"/>
  <c r="FH16"/>
  <c r="FM15"/>
  <c r="FK15"/>
  <c r="FI15"/>
  <c r="FH15"/>
  <c r="FM14"/>
  <c r="FK14"/>
  <c r="FI14"/>
  <c r="FH14"/>
  <c r="FM13"/>
  <c r="FK13"/>
  <c r="FI13"/>
  <c r="FH13"/>
  <c r="FM12"/>
  <c r="FK12"/>
  <c r="FI12"/>
  <c r="FH12"/>
  <c r="FM11"/>
  <c r="FK11"/>
  <c r="FI11"/>
  <c r="FH11"/>
  <c r="FM10"/>
  <c r="FK10"/>
  <c r="FI10"/>
  <c r="FH10"/>
  <c r="FM9"/>
  <c r="FK9"/>
  <c r="FI9"/>
  <c r="FH9"/>
  <c r="FM8"/>
  <c r="FK8"/>
  <c r="FI8"/>
  <c r="FH8"/>
  <c r="FM7"/>
  <c r="FK7"/>
  <c r="FI7"/>
  <c r="FH7"/>
  <c r="GI4"/>
  <c r="GH4"/>
  <c r="GG4"/>
  <c r="GF4"/>
  <c r="GE4"/>
  <c r="GD4"/>
  <c r="GC4"/>
  <c r="GB4"/>
  <c r="GA4"/>
  <c r="FZ4"/>
  <c r="CX117"/>
  <c r="CX108"/>
  <c r="CX155"/>
  <c r="CX110"/>
  <c r="CX116"/>
  <c r="DE234"/>
  <c r="DE233"/>
  <c r="DE232"/>
  <c r="DE231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A438"/>
  <c r="I36"/>
  <c r="I372" s="1"/>
  <c r="I422" s="1"/>
  <c r="J36"/>
  <c r="E463" s="1"/>
  <c r="K36"/>
  <c r="L36"/>
  <c r="E467" s="1"/>
  <c r="M36"/>
  <c r="N36"/>
  <c r="E471" s="1"/>
  <c r="O36"/>
  <c r="P36"/>
  <c r="P372" s="1"/>
  <c r="Q36"/>
  <c r="R36"/>
  <c r="E479" s="1"/>
  <c r="S36"/>
  <c r="E481" s="1"/>
  <c r="T36"/>
  <c r="U36"/>
  <c r="E485" s="1"/>
  <c r="V36"/>
  <c r="W36"/>
  <c r="E489" s="1"/>
  <c r="X36"/>
  <c r="Y36"/>
  <c r="Y372" s="1"/>
  <c r="Y422" s="1"/>
  <c r="Z36"/>
  <c r="E495" s="1"/>
  <c r="AA36"/>
  <c r="FJ146" s="1"/>
  <c r="AB36"/>
  <c r="E499" s="1"/>
  <c r="AC36"/>
  <c r="AD36"/>
  <c r="E503" s="1"/>
  <c r="AE36"/>
  <c r="FN157" s="1"/>
  <c r="AF36"/>
  <c r="E507" s="1"/>
  <c r="AG36"/>
  <c r="AH36"/>
  <c r="AI36"/>
  <c r="E513" s="1"/>
  <c r="AJ36"/>
  <c r="E515" s="1"/>
  <c r="H516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M372"/>
  <c r="N372"/>
  <c r="N373" s="1"/>
  <c r="AK372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EK20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P198"/>
  <c r="FU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EK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EK19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/>
  <c r="DY190"/>
  <c r="FI190" s="1"/>
  <c r="DX190"/>
  <c r="FH190"/>
  <c r="DW190"/>
  <c r="FG190" s="1"/>
  <c r="DV190"/>
  <c r="FF190"/>
  <c r="DU190"/>
  <c r="FE190" s="1"/>
  <c r="DT190"/>
  <c r="FD190"/>
  <c r="DS190"/>
  <c r="FC190" s="1"/>
  <c r="DR190"/>
  <c r="FB190"/>
  <c r="DQ190"/>
  <c r="FA190" s="1"/>
  <c r="DP190"/>
  <c r="EZ190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/>
  <c r="EC189"/>
  <c r="FM189" s="1"/>
  <c r="EB189"/>
  <c r="FL189"/>
  <c r="EA189"/>
  <c r="FK189" s="1"/>
  <c r="DZ189"/>
  <c r="FJ189" s="1"/>
  <c r="DY189"/>
  <c r="FI189" s="1"/>
  <c r="DX189"/>
  <c r="FH189"/>
  <c r="DW189"/>
  <c r="FG189" s="1"/>
  <c r="DV189"/>
  <c r="FF189"/>
  <c r="DU189"/>
  <c r="FE189" s="1"/>
  <c r="DT189"/>
  <c r="FD189"/>
  <c r="DS189"/>
  <c r="FC189" s="1"/>
  <c r="DR189"/>
  <c r="FB189" s="1"/>
  <c r="DQ189"/>
  <c r="FA189" s="1"/>
  <c r="DP189"/>
  <c r="EZ189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/>
  <c r="DM188"/>
  <c r="EW188"/>
  <c r="DL188"/>
  <c r="EV188"/>
  <c r="DK188"/>
  <c r="EU188"/>
  <c r="DJ188"/>
  <c r="ET188"/>
  <c r="DI188"/>
  <c r="ES188"/>
  <c r="DH188"/>
  <c r="ER188"/>
  <c r="DG188"/>
  <c r="EQ188"/>
  <c r="DD188"/>
  <c r="DE188" s="1"/>
  <c r="DC188"/>
  <c r="CZ188"/>
  <c r="CM188"/>
  <c r="CL188"/>
  <c r="CK188"/>
  <c r="AY188"/>
  <c r="B188"/>
  <c r="CX187"/>
  <c r="CZ187"/>
  <c r="DZ187" s="1"/>
  <c r="DH187"/>
  <c r="DP187"/>
  <c r="EZ187" s="1"/>
  <c r="DV187"/>
  <c r="ED187"/>
  <c r="EH187"/>
  <c r="DD187"/>
  <c r="BA187"/>
  <c r="CM187"/>
  <c r="CL187"/>
  <c r="CK187"/>
  <c r="AY187"/>
  <c r="B181"/>
  <c r="CX186"/>
  <c r="CZ186"/>
  <c r="DJ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DD186"/>
  <c r="BA186"/>
  <c r="CM186"/>
  <c r="CL186"/>
  <c r="CK186"/>
  <c r="AY186"/>
  <c r="B180"/>
  <c r="CX185"/>
  <c r="CZ185"/>
  <c r="DK185"/>
  <c r="DO185"/>
  <c r="DS185"/>
  <c r="DW185"/>
  <c r="EA185"/>
  <c r="EC185"/>
  <c r="EE185"/>
  <c r="DD185"/>
  <c r="DE185"/>
  <c r="DC185"/>
  <c r="BA185"/>
  <c r="CM185" s="1"/>
  <c r="CL185"/>
  <c r="CK185"/>
  <c r="AY185"/>
  <c r="B184"/>
  <c r="CX184"/>
  <c r="CZ184"/>
  <c r="DF184"/>
  <c r="DL184"/>
  <c r="DT184"/>
  <c r="EA184"/>
  <c r="EI184"/>
  <c r="DD184"/>
  <c r="BA184"/>
  <c r="CM184"/>
  <c r="CL184"/>
  <c r="CK184"/>
  <c r="AY184"/>
  <c r="B185"/>
  <c r="CX183"/>
  <c r="CZ183"/>
  <c r="DH183"/>
  <c r="DL183"/>
  <c r="DP183"/>
  <c r="EZ183" s="1"/>
  <c r="DR183"/>
  <c r="DT183"/>
  <c r="DZ183"/>
  <c r="EF183"/>
  <c r="EH183"/>
  <c r="EJ183"/>
  <c r="DD183"/>
  <c r="DC183" s="1"/>
  <c r="DE183"/>
  <c r="BA183"/>
  <c r="CM183" s="1"/>
  <c r="CL183"/>
  <c r="CK183"/>
  <c r="AY183"/>
  <c r="B183"/>
  <c r="CX182"/>
  <c r="CZ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DD182"/>
  <c r="BA182"/>
  <c r="CM182"/>
  <c r="CL182"/>
  <c r="CK182"/>
  <c r="AY182"/>
  <c r="B178"/>
  <c r="CX181"/>
  <c r="CZ181"/>
  <c r="DO181"/>
  <c r="DQ181"/>
  <c r="DS181"/>
  <c r="DU181"/>
  <c r="DW181"/>
  <c r="DY181"/>
  <c r="EA181"/>
  <c r="EC181"/>
  <c r="EE181"/>
  <c r="EG181"/>
  <c r="EI181"/>
  <c r="DD181"/>
  <c r="DE181"/>
  <c r="DC181"/>
  <c r="BA181"/>
  <c r="CM181" s="1"/>
  <c r="CL181"/>
  <c r="CK181"/>
  <c r="AY181"/>
  <c r="B182"/>
  <c r="CX180"/>
  <c r="CZ180"/>
  <c r="DF180"/>
  <c r="DH180"/>
  <c r="DJ180"/>
  <c r="DK180"/>
  <c r="DN180"/>
  <c r="DP180"/>
  <c r="DQ180"/>
  <c r="DR180"/>
  <c r="DS180"/>
  <c r="DU180"/>
  <c r="DV180"/>
  <c r="DX180"/>
  <c r="DY180"/>
  <c r="DZ180"/>
  <c r="EA180"/>
  <c r="EC180"/>
  <c r="ED180"/>
  <c r="EF180"/>
  <c r="EG180"/>
  <c r="EH180"/>
  <c r="EI180"/>
  <c r="DD180"/>
  <c r="DE180" s="1"/>
  <c r="DC180"/>
  <c r="BA180"/>
  <c r="CM180" s="1"/>
  <c r="CL180"/>
  <c r="CK180"/>
  <c r="AY180"/>
  <c r="B186"/>
  <c r="CX179"/>
  <c r="CZ179"/>
  <c r="DP179"/>
  <c r="DR179"/>
  <c r="EF179"/>
  <c r="EH179"/>
  <c r="DD179"/>
  <c r="DC179" s="1"/>
  <c r="BA179"/>
  <c r="CM179"/>
  <c r="CL179"/>
  <c r="CK179"/>
  <c r="AY179"/>
  <c r="B179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FH178" s="1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7"/>
  <c r="CX177"/>
  <c r="CZ177"/>
  <c r="DF177"/>
  <c r="DH177"/>
  <c r="DN177"/>
  <c r="DP177"/>
  <c r="DV177"/>
  <c r="DX177"/>
  <c r="ED177"/>
  <c r="EF177"/>
  <c r="DD177"/>
  <c r="BA177"/>
  <c r="CM177"/>
  <c r="CL177"/>
  <c r="CK177"/>
  <c r="AY177"/>
  <c r="B174"/>
  <c r="CZ176"/>
  <c r="DK176"/>
  <c r="DM176"/>
  <c r="DS176"/>
  <c r="DU176"/>
  <c r="EA176"/>
  <c r="EC176"/>
  <c r="EI176"/>
  <c r="DD176"/>
  <c r="DE176"/>
  <c r="DC176"/>
  <c r="BA176"/>
  <c r="CM176" s="1"/>
  <c r="CL176"/>
  <c r="CK176"/>
  <c r="AY176"/>
  <c r="B168"/>
  <c r="CZ175"/>
  <c r="DH175"/>
  <c r="DJ175"/>
  <c r="DL175"/>
  <c r="DP175"/>
  <c r="DR175"/>
  <c r="DT175"/>
  <c r="DX175"/>
  <c r="DZ175"/>
  <c r="EB175"/>
  <c r="EF175"/>
  <c r="EH175"/>
  <c r="EJ175"/>
  <c r="DD175"/>
  <c r="DC175" s="1"/>
  <c r="DE175"/>
  <c r="BA175"/>
  <c r="CM175" s="1"/>
  <c r="CL175"/>
  <c r="CK175"/>
  <c r="AY175"/>
  <c r="B176"/>
  <c r="CZ174"/>
  <c r="DG174"/>
  <c r="DI174"/>
  <c r="ES174" s="1"/>
  <c r="DK174"/>
  <c r="DM174"/>
  <c r="EW174" s="1"/>
  <c r="DO174"/>
  <c r="DQ174"/>
  <c r="DR174"/>
  <c r="DS174"/>
  <c r="DT174"/>
  <c r="DU174"/>
  <c r="DV174"/>
  <c r="DW174"/>
  <c r="DX174"/>
  <c r="FH174" s="1"/>
  <c r="DY174"/>
  <c r="DZ174"/>
  <c r="EA174"/>
  <c r="EB174"/>
  <c r="FL174" s="1"/>
  <c r="EC174"/>
  <c r="ED174"/>
  <c r="EE174"/>
  <c r="EF174"/>
  <c r="EG174"/>
  <c r="EH174"/>
  <c r="EI174"/>
  <c r="EJ174"/>
  <c r="FT174" s="1"/>
  <c r="DD174"/>
  <c r="DE174" s="1"/>
  <c r="DC174"/>
  <c r="BA174"/>
  <c r="CM174" s="1"/>
  <c r="CL174"/>
  <c r="CK174"/>
  <c r="AY174"/>
  <c r="B175"/>
  <c r="CZ173"/>
  <c r="DF173"/>
  <c r="DG173"/>
  <c r="DH173"/>
  <c r="DI173"/>
  <c r="DJ173"/>
  <c r="DK173"/>
  <c r="DL173"/>
  <c r="DM173"/>
  <c r="EW173" s="1"/>
  <c r="DN173"/>
  <c r="DO173"/>
  <c r="DP173"/>
  <c r="DQ173"/>
  <c r="DR173"/>
  <c r="DS173"/>
  <c r="DT173"/>
  <c r="FD173" s="1"/>
  <c r="DU173"/>
  <c r="DV173"/>
  <c r="DW173"/>
  <c r="DX173"/>
  <c r="FH173" s="1"/>
  <c r="DY173"/>
  <c r="DZ173"/>
  <c r="EA173"/>
  <c r="EB173"/>
  <c r="EC173"/>
  <c r="ED173"/>
  <c r="EE173"/>
  <c r="EF173"/>
  <c r="FP173" s="1"/>
  <c r="EG173"/>
  <c r="EH173"/>
  <c r="EI173"/>
  <c r="EJ173"/>
  <c r="FT173" s="1"/>
  <c r="DD173"/>
  <c r="BA173"/>
  <c r="CM173"/>
  <c r="CL173"/>
  <c r="CK173"/>
  <c r="AY173"/>
  <c r="B172"/>
  <c r="CZ172"/>
  <c r="DD172"/>
  <c r="DE172" s="1"/>
  <c r="DC172"/>
  <c r="BA172"/>
  <c r="CM172" s="1"/>
  <c r="CL172"/>
  <c r="CK172"/>
  <c r="AY172"/>
  <c r="B177"/>
  <c r="CX171"/>
  <c r="CZ171"/>
  <c r="DF171"/>
  <c r="DH171"/>
  <c r="DJ171"/>
  <c r="DL171"/>
  <c r="DN171"/>
  <c r="DP171"/>
  <c r="DR171"/>
  <c r="DT171"/>
  <c r="DV171"/>
  <c r="DX171"/>
  <c r="DZ171"/>
  <c r="EB171"/>
  <c r="ED171"/>
  <c r="EF171"/>
  <c r="EH171"/>
  <c r="EJ171"/>
  <c r="DD171"/>
  <c r="BA171"/>
  <c r="CM171"/>
  <c r="CL171"/>
  <c r="CK171"/>
  <c r="AY171"/>
  <c r="B170"/>
  <c r="CX170"/>
  <c r="CZ170"/>
  <c r="DF170"/>
  <c r="DG170"/>
  <c r="DH170"/>
  <c r="DI170"/>
  <c r="DJ170"/>
  <c r="DK170"/>
  <c r="DL170"/>
  <c r="DM170"/>
  <c r="EW170" s="1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DD170"/>
  <c r="DC170" s="1"/>
  <c r="DE170"/>
  <c r="BA170"/>
  <c r="CM170"/>
  <c r="CL170"/>
  <c r="CK170"/>
  <c r="AY170"/>
  <c r="B171"/>
  <c r="CZ169"/>
  <c r="DI169" s="1"/>
  <c r="DG169"/>
  <c r="DK169"/>
  <c r="DO169"/>
  <c r="DS169"/>
  <c r="DW169"/>
  <c r="EA169"/>
  <c r="EE169"/>
  <c r="EI169"/>
  <c r="DD169"/>
  <c r="DE169" s="1"/>
  <c r="DC169"/>
  <c r="BA169"/>
  <c r="CM169"/>
  <c r="CL169"/>
  <c r="CK169"/>
  <c r="AY169"/>
  <c r="B173"/>
  <c r="CX168"/>
  <c r="CZ168"/>
  <c r="DZ168" s="1"/>
  <c r="DJ168"/>
  <c r="DP168"/>
  <c r="EF168"/>
  <c r="DD168"/>
  <c r="DC168" s="1"/>
  <c r="DE168"/>
  <c r="CL168"/>
  <c r="CK168"/>
  <c r="AY168"/>
  <c r="B169"/>
  <c r="CX167"/>
  <c r="CZ167"/>
  <c r="DZ167" s="1"/>
  <c r="DJ167"/>
  <c r="DK167"/>
  <c r="DP167"/>
  <c r="DU167"/>
  <c r="EA167"/>
  <c r="EF167"/>
  <c r="DD167"/>
  <c r="DE167" s="1"/>
  <c r="DC167"/>
  <c r="BA167"/>
  <c r="CM167"/>
  <c r="CL167"/>
  <c r="CK167"/>
  <c r="AY167"/>
  <c r="B166"/>
  <c r="CW166"/>
  <c r="CX166"/>
  <c r="CZ166"/>
  <c r="DF166"/>
  <c r="DK166"/>
  <c r="DP166"/>
  <c r="DQ166"/>
  <c r="DV166"/>
  <c r="EA166"/>
  <c r="EF166"/>
  <c r="EG166"/>
  <c r="DD166"/>
  <c r="BA166"/>
  <c r="CM166"/>
  <c r="CL166"/>
  <c r="CK166"/>
  <c r="AY166"/>
  <c r="B160"/>
  <c r="CZ165"/>
  <c r="DF165"/>
  <c r="DG165"/>
  <c r="DH165"/>
  <c r="DI165"/>
  <c r="DJ165"/>
  <c r="DK165"/>
  <c r="DL165"/>
  <c r="DM165"/>
  <c r="EW165" s="1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FQ165" s="1"/>
  <c r="EH165"/>
  <c r="EI165"/>
  <c r="EJ165"/>
  <c r="FT165" s="1"/>
  <c r="DD165"/>
  <c r="DE165"/>
  <c r="DC165"/>
  <c r="BA165"/>
  <c r="CM165"/>
  <c r="CL165"/>
  <c r="CK165"/>
  <c r="AY165"/>
  <c r="B159"/>
  <c r="CZ164"/>
  <c r="DJ164" s="1"/>
  <c r="DF164"/>
  <c r="DG164"/>
  <c r="DH164"/>
  <c r="DI164"/>
  <c r="DK164"/>
  <c r="DL164"/>
  <c r="DN164"/>
  <c r="DO164"/>
  <c r="DP164"/>
  <c r="DQ164"/>
  <c r="DS164"/>
  <c r="DT164"/>
  <c r="DV164"/>
  <c r="DW164"/>
  <c r="DX164"/>
  <c r="DY164"/>
  <c r="EA164"/>
  <c r="EB164"/>
  <c r="ED164"/>
  <c r="EE164"/>
  <c r="EF164"/>
  <c r="EG164"/>
  <c r="EI164"/>
  <c r="EJ164"/>
  <c r="DD164"/>
  <c r="DE164" s="1"/>
  <c r="DC164"/>
  <c r="BA164"/>
  <c r="CM164"/>
  <c r="CL164"/>
  <c r="CK164"/>
  <c r="AY164"/>
  <c r="B163"/>
  <c r="CZ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DD163"/>
  <c r="BA163"/>
  <c r="CM163"/>
  <c r="CL163"/>
  <c r="CK163"/>
  <c r="AY163"/>
  <c r="B164"/>
  <c r="CZ162"/>
  <c r="DF162"/>
  <c r="DG162"/>
  <c r="EQ162" s="1"/>
  <c r="DH162"/>
  <c r="DI162"/>
  <c r="DJ162"/>
  <c r="DK162"/>
  <c r="DL162"/>
  <c r="DM162"/>
  <c r="EW162" s="1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DD162"/>
  <c r="DE162" s="1"/>
  <c r="DC162"/>
  <c r="BA162"/>
  <c r="CM162" s="1"/>
  <c r="CL162"/>
  <c r="CK162"/>
  <c r="AY162"/>
  <c r="B162"/>
  <c r="CX161"/>
  <c r="CZ161"/>
  <c r="DP161"/>
  <c r="DV161"/>
  <c r="DD161"/>
  <c r="BA161"/>
  <c r="CM161"/>
  <c r="CL161"/>
  <c r="CK161"/>
  <c r="AY161"/>
  <c r="B158"/>
  <c r="CW160"/>
  <c r="CX160"/>
  <c r="CZ160"/>
  <c r="EB160"/>
  <c r="ED160"/>
  <c r="DD160"/>
  <c r="DC160" s="1"/>
  <c r="DE160"/>
  <c r="BA160"/>
  <c r="CM160"/>
  <c r="CL160"/>
  <c r="CK160"/>
  <c r="AY160"/>
  <c r="B167"/>
  <c r="CX159"/>
  <c r="DH159" s="1"/>
  <c r="CZ159"/>
  <c r="DG159"/>
  <c r="DJ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DD159"/>
  <c r="DE159"/>
  <c r="DC159"/>
  <c r="CL159"/>
  <c r="CK159"/>
  <c r="AY159"/>
  <c r="B165"/>
  <c r="CZ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61"/>
  <c r="CZ157"/>
  <c r="DF157"/>
  <c r="DH157"/>
  <c r="DJ157"/>
  <c r="DL157"/>
  <c r="DN157"/>
  <c r="DP157"/>
  <c r="DR157"/>
  <c r="DT157"/>
  <c r="DV157"/>
  <c r="DX157"/>
  <c r="DZ157"/>
  <c r="EB157"/>
  <c r="ED157"/>
  <c r="EF157"/>
  <c r="EH157"/>
  <c r="EJ157"/>
  <c r="DD157"/>
  <c r="DC157" s="1"/>
  <c r="DE157"/>
  <c r="BA157"/>
  <c r="CM157" s="1"/>
  <c r="CL157"/>
  <c r="CK157"/>
  <c r="AY157"/>
  <c r="B156"/>
  <c r="CX156"/>
  <c r="DI156" s="1"/>
  <c r="CZ156"/>
  <c r="DF156"/>
  <c r="DG156"/>
  <c r="DH156"/>
  <c r="DJ156"/>
  <c r="DL156"/>
  <c r="DN156"/>
  <c r="DO156"/>
  <c r="DP156"/>
  <c r="EZ156" s="1"/>
  <c r="DQ156"/>
  <c r="DR156"/>
  <c r="DS156"/>
  <c r="DT156"/>
  <c r="DU156"/>
  <c r="DV156"/>
  <c r="DW156"/>
  <c r="DX156"/>
  <c r="FH156" s="1"/>
  <c r="DY156"/>
  <c r="DZ156"/>
  <c r="EA156"/>
  <c r="EB156"/>
  <c r="EC156"/>
  <c r="ED156"/>
  <c r="EE156"/>
  <c r="EF156"/>
  <c r="EG156"/>
  <c r="EH156"/>
  <c r="EI156"/>
  <c r="EJ156"/>
  <c r="FT156" s="1"/>
  <c r="DD156"/>
  <c r="DC156" s="1"/>
  <c r="DE156"/>
  <c r="BA156"/>
  <c r="CM156"/>
  <c r="CL156"/>
  <c r="CK156"/>
  <c r="AY156"/>
  <c r="B150"/>
  <c r="CZ155"/>
  <c r="DK155" s="1"/>
  <c r="DG155"/>
  <c r="DO155"/>
  <c r="DW155"/>
  <c r="EE155"/>
  <c r="DD155"/>
  <c r="DE155"/>
  <c r="DC155"/>
  <c r="BA155"/>
  <c r="CM155" s="1"/>
  <c r="CL155"/>
  <c r="CK155"/>
  <c r="AY155"/>
  <c r="B148"/>
  <c r="CZ154"/>
  <c r="DG154" s="1"/>
  <c r="DF154"/>
  <c r="DH154"/>
  <c r="DJ154"/>
  <c r="DL154"/>
  <c r="DN154"/>
  <c r="DP154"/>
  <c r="DR154"/>
  <c r="DT154"/>
  <c r="DV154"/>
  <c r="DX154"/>
  <c r="FH154" s="1"/>
  <c r="DZ154"/>
  <c r="EB154"/>
  <c r="ED154"/>
  <c r="EF154"/>
  <c r="EH154"/>
  <c r="EJ154"/>
  <c r="DD154"/>
  <c r="DC154" s="1"/>
  <c r="DE154"/>
  <c r="BA154"/>
  <c r="CM154"/>
  <c r="CL154"/>
  <c r="CK154"/>
  <c r="AY154"/>
  <c r="B155"/>
  <c r="CZ153"/>
  <c r="DG153"/>
  <c r="DI153"/>
  <c r="ES153" s="1"/>
  <c r="DK153"/>
  <c r="DM153"/>
  <c r="EW153" s="1"/>
  <c r="DO153"/>
  <c r="DQ153"/>
  <c r="DS153"/>
  <c r="DU153"/>
  <c r="DW153"/>
  <c r="DY153"/>
  <c r="EA153"/>
  <c r="EC153"/>
  <c r="EE153"/>
  <c r="EG153"/>
  <c r="EI153"/>
  <c r="DD153"/>
  <c r="DE153"/>
  <c r="DC153"/>
  <c r="BA153"/>
  <c r="CM153" s="1"/>
  <c r="CL153"/>
  <c r="CK153"/>
  <c r="AY153"/>
  <c r="B157"/>
  <c r="CZ152"/>
  <c r="DG152" s="1"/>
  <c r="DF152"/>
  <c r="DH152"/>
  <c r="DJ152"/>
  <c r="DL152"/>
  <c r="DN152"/>
  <c r="DP152"/>
  <c r="DR152"/>
  <c r="DT152"/>
  <c r="DV152"/>
  <c r="DX152"/>
  <c r="DZ152"/>
  <c r="EB152"/>
  <c r="ED152"/>
  <c r="EF152"/>
  <c r="EH152"/>
  <c r="EJ152"/>
  <c r="DD152"/>
  <c r="DC152" s="1"/>
  <c r="DE152"/>
  <c r="BA152"/>
  <c r="CM152"/>
  <c r="CL152"/>
  <c r="CK152"/>
  <c r="AY152"/>
  <c r="B153"/>
  <c r="CZ151"/>
  <c r="DK151" s="1"/>
  <c r="DG151"/>
  <c r="DO151"/>
  <c r="DW151"/>
  <c r="EE151"/>
  <c r="DD151"/>
  <c r="DE151"/>
  <c r="DC151"/>
  <c r="BA151"/>
  <c r="CM151" s="1"/>
  <c r="CL151"/>
  <c r="CK151"/>
  <c r="AY151"/>
  <c r="B151"/>
  <c r="CZ150"/>
  <c r="DG150" s="1"/>
  <c r="DF150"/>
  <c r="DH150"/>
  <c r="DJ150"/>
  <c r="DL150"/>
  <c r="DN150"/>
  <c r="DP150"/>
  <c r="EZ150"/>
  <c r="DR150"/>
  <c r="DT150"/>
  <c r="DV150"/>
  <c r="DX150"/>
  <c r="DZ150"/>
  <c r="EB150"/>
  <c r="ED150"/>
  <c r="EF150"/>
  <c r="EH150"/>
  <c r="EJ150"/>
  <c r="DD150"/>
  <c r="DC150" s="1"/>
  <c r="DE150"/>
  <c r="BA150"/>
  <c r="CM150"/>
  <c r="CL150"/>
  <c r="CK150"/>
  <c r="AY150"/>
  <c r="B154"/>
  <c r="CW149"/>
  <c r="CX149"/>
  <c r="CZ149"/>
  <c r="DF149"/>
  <c r="DH149"/>
  <c r="DJ149"/>
  <c r="DL149"/>
  <c r="DN149"/>
  <c r="DP149"/>
  <c r="EZ149" s="1"/>
  <c r="DR149"/>
  <c r="DT149"/>
  <c r="DV149"/>
  <c r="DX149"/>
  <c r="DZ149"/>
  <c r="EB149"/>
  <c r="ED149"/>
  <c r="EF149"/>
  <c r="EH149"/>
  <c r="EJ149"/>
  <c r="DD149"/>
  <c r="CM149"/>
  <c r="CL149"/>
  <c r="CK149"/>
  <c r="AY149"/>
  <c r="B149"/>
  <c r="CZ148"/>
  <c r="DF148"/>
  <c r="DJ148"/>
  <c r="DN148"/>
  <c r="DR148"/>
  <c r="DV148"/>
  <c r="DZ148"/>
  <c r="ED148"/>
  <c r="EH148"/>
  <c r="DD148"/>
  <c r="CL148"/>
  <c r="CK148"/>
  <c r="AY148"/>
  <c r="B152"/>
  <c r="CZ147"/>
  <c r="DF147"/>
  <c r="DH147"/>
  <c r="DJ147"/>
  <c r="DL147"/>
  <c r="DN147"/>
  <c r="DP147"/>
  <c r="DR147"/>
  <c r="DT147"/>
  <c r="DV147"/>
  <c r="DX147"/>
  <c r="FH147" s="1"/>
  <c r="DZ147"/>
  <c r="EB147"/>
  <c r="ED147"/>
  <c r="EF147"/>
  <c r="EH147"/>
  <c r="EJ147"/>
  <c r="DD147"/>
  <c r="BA147"/>
  <c r="CM147"/>
  <c r="CL147"/>
  <c r="CK147"/>
  <c r="AY147"/>
  <c r="B141"/>
  <c r="CX146"/>
  <c r="CZ146"/>
  <c r="DG146" s="1"/>
  <c r="DF146"/>
  <c r="DH146"/>
  <c r="DJ146"/>
  <c r="DL146"/>
  <c r="DN146"/>
  <c r="DP146"/>
  <c r="DR146"/>
  <c r="DT146"/>
  <c r="DV146"/>
  <c r="DX146"/>
  <c r="DZ146"/>
  <c r="EB146"/>
  <c r="ED146"/>
  <c r="EF146"/>
  <c r="EH146"/>
  <c r="EJ146"/>
  <c r="DD146"/>
  <c r="DC146" s="1"/>
  <c r="DE146"/>
  <c r="BA146"/>
  <c r="CM146"/>
  <c r="CL146"/>
  <c r="CK146"/>
  <c r="AY146"/>
  <c r="B139"/>
  <c r="CX145"/>
  <c r="CZ145"/>
  <c r="DI145"/>
  <c r="DM145"/>
  <c r="EW145" s="1"/>
  <c r="DN145"/>
  <c r="DO145"/>
  <c r="DP145"/>
  <c r="DQ145"/>
  <c r="DR145"/>
  <c r="FB145" s="1"/>
  <c r="DS145"/>
  <c r="DT145"/>
  <c r="DU145"/>
  <c r="DV145"/>
  <c r="FF145" s="1"/>
  <c r="DW145"/>
  <c r="DX145"/>
  <c r="DY145"/>
  <c r="FI145" s="1"/>
  <c r="DZ145"/>
  <c r="EA145"/>
  <c r="EB145"/>
  <c r="EC145"/>
  <c r="FM145" s="1"/>
  <c r="ED145"/>
  <c r="FN145" s="1"/>
  <c r="EE145"/>
  <c r="EF145"/>
  <c r="EG145"/>
  <c r="EH145"/>
  <c r="FR145" s="1"/>
  <c r="EI145"/>
  <c r="EJ145"/>
  <c r="DD145"/>
  <c r="DE145"/>
  <c r="DC145"/>
  <c r="BA145"/>
  <c r="CM145"/>
  <c r="CL145"/>
  <c r="CK145"/>
  <c r="AY145"/>
  <c r="B147"/>
  <c r="CX144"/>
  <c r="CZ144"/>
  <c r="DG144"/>
  <c r="DK144"/>
  <c r="DO144"/>
  <c r="DS144"/>
  <c r="DW144"/>
  <c r="EA144"/>
  <c r="EE144"/>
  <c r="EI144"/>
  <c r="DD144"/>
  <c r="DE144"/>
  <c r="DC144"/>
  <c r="BA144"/>
  <c r="CM144" s="1"/>
  <c r="CL144"/>
  <c r="CK144"/>
  <c r="AY144"/>
  <c r="B144"/>
  <c r="CZ143"/>
  <c r="DG143" s="1"/>
  <c r="DF143"/>
  <c r="DH143"/>
  <c r="DJ143"/>
  <c r="DL143"/>
  <c r="DN143"/>
  <c r="DP143"/>
  <c r="EZ143" s="1"/>
  <c r="DR143"/>
  <c r="DT143"/>
  <c r="DV143"/>
  <c r="DW143"/>
  <c r="DX143"/>
  <c r="DY143"/>
  <c r="DZ143"/>
  <c r="EA143"/>
  <c r="EB143"/>
  <c r="EC143"/>
  <c r="ED143"/>
  <c r="EE143"/>
  <c r="EF143"/>
  <c r="EG143"/>
  <c r="EH143"/>
  <c r="EI143"/>
  <c r="EJ143"/>
  <c r="DD143"/>
  <c r="DC143" s="1"/>
  <c r="DE143"/>
  <c r="BA143"/>
  <c r="CM143"/>
  <c r="CL143"/>
  <c r="CK143"/>
  <c r="AY143"/>
  <c r="B146"/>
  <c r="CX142"/>
  <c r="CZ142"/>
  <c r="DI142"/>
  <c r="DM142"/>
  <c r="EW142" s="1"/>
  <c r="DN142"/>
  <c r="DO142"/>
  <c r="DP142"/>
  <c r="EZ142" s="1"/>
  <c r="DQ142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FT142" s="1"/>
  <c r="DD142"/>
  <c r="DE142"/>
  <c r="DC142"/>
  <c r="BA142"/>
  <c r="CM142"/>
  <c r="CL142"/>
  <c r="CK142"/>
  <c r="AY142"/>
  <c r="B142"/>
  <c r="CW141"/>
  <c r="CX141"/>
  <c r="CZ141"/>
  <c r="DI141"/>
  <c r="DM141"/>
  <c r="DO141"/>
  <c r="DQ141"/>
  <c r="DS141"/>
  <c r="DU141"/>
  <c r="DW141"/>
  <c r="DY141"/>
  <c r="EA141"/>
  <c r="EC141"/>
  <c r="EE141"/>
  <c r="EG141"/>
  <c r="EI141"/>
  <c r="DD141"/>
  <c r="DE141"/>
  <c r="DC141"/>
  <c r="BA141"/>
  <c r="CM141"/>
  <c r="CL141"/>
  <c r="CK141"/>
  <c r="AY141"/>
  <c r="B140"/>
  <c r="CW140"/>
  <c r="CX140"/>
  <c r="CZ140"/>
  <c r="DO140"/>
  <c r="DQ140"/>
  <c r="DS140"/>
  <c r="DU140"/>
  <c r="DW140"/>
  <c r="DY140"/>
  <c r="FI140" s="1"/>
  <c r="EA140"/>
  <c r="EC140"/>
  <c r="EE140"/>
  <c r="EG140"/>
  <c r="EI140"/>
  <c r="DD140"/>
  <c r="DE140"/>
  <c r="DC140"/>
  <c r="BA140"/>
  <c r="CM140"/>
  <c r="CL140"/>
  <c r="CK140"/>
  <c r="AY140"/>
  <c r="B145"/>
  <c r="CZ139"/>
  <c r="DJ139" s="1"/>
  <c r="DF139"/>
  <c r="DG139"/>
  <c r="DH139"/>
  <c r="DI139"/>
  <c r="DK139"/>
  <c r="DL139"/>
  <c r="DN139"/>
  <c r="DO139"/>
  <c r="DP139"/>
  <c r="DQ139"/>
  <c r="DS139"/>
  <c r="DT139"/>
  <c r="DV139"/>
  <c r="DW139"/>
  <c r="DX139"/>
  <c r="DY139"/>
  <c r="EA139"/>
  <c r="EB139"/>
  <c r="ED139"/>
  <c r="EE139"/>
  <c r="EF139"/>
  <c r="EG139"/>
  <c r="EI139"/>
  <c r="EJ139"/>
  <c r="DD139"/>
  <c r="DE139" s="1"/>
  <c r="DC139"/>
  <c r="BA139"/>
  <c r="CM139"/>
  <c r="CL139"/>
  <c r="CK139"/>
  <c r="AY139"/>
  <c r="B143"/>
  <c r="CZ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38"/>
  <c r="CZ137"/>
  <c r="DF137"/>
  <c r="DG137"/>
  <c r="DH137"/>
  <c r="DI137"/>
  <c r="ES137" s="1"/>
  <c r="DJ137"/>
  <c r="DK137"/>
  <c r="DL137"/>
  <c r="DM137"/>
  <c r="EW137" s="1"/>
  <c r="DN137"/>
  <c r="DO137"/>
  <c r="DP137"/>
  <c r="DQ137"/>
  <c r="DR137"/>
  <c r="DS137"/>
  <c r="DT137"/>
  <c r="DU137"/>
  <c r="DV137"/>
  <c r="DW137"/>
  <c r="DX137"/>
  <c r="DY137"/>
  <c r="FI137"/>
  <c r="DZ137"/>
  <c r="EA137"/>
  <c r="EB137"/>
  <c r="EC137"/>
  <c r="ED137"/>
  <c r="EE137"/>
  <c r="EF137"/>
  <c r="EG137"/>
  <c r="EH137"/>
  <c r="EI137"/>
  <c r="EJ137"/>
  <c r="FT137" s="1"/>
  <c r="DD137"/>
  <c r="DE137"/>
  <c r="DC137"/>
  <c r="BA137"/>
  <c r="CM137" s="1"/>
  <c r="CL137"/>
  <c r="CK137"/>
  <c r="AY137"/>
  <c r="B137"/>
  <c r="CZ136"/>
  <c r="DG136" s="1"/>
  <c r="DF136"/>
  <c r="DH136"/>
  <c r="DJ136"/>
  <c r="ET136" s="1"/>
  <c r="DL136"/>
  <c r="DN136"/>
  <c r="DP136"/>
  <c r="DR136"/>
  <c r="FB136" s="1"/>
  <c r="DT136"/>
  <c r="DV136"/>
  <c r="DX136"/>
  <c r="FH136" s="1"/>
  <c r="DZ136"/>
  <c r="EB136"/>
  <c r="ED136"/>
  <c r="EF136"/>
  <c r="EH136"/>
  <c r="FR136" s="1"/>
  <c r="EJ136"/>
  <c r="DD136"/>
  <c r="DC136" s="1"/>
  <c r="DE136"/>
  <c r="BA136"/>
  <c r="CM136"/>
  <c r="CL136"/>
  <c r="CK136"/>
  <c r="AY136"/>
  <c r="B136"/>
  <c r="CW135"/>
  <c r="CX135"/>
  <c r="CZ135"/>
  <c r="DF135"/>
  <c r="DH135"/>
  <c r="DJ135"/>
  <c r="DL135"/>
  <c r="DN135"/>
  <c r="DP135"/>
  <c r="DR135"/>
  <c r="DT135"/>
  <c r="FD135" s="1"/>
  <c r="DV135"/>
  <c r="DX135"/>
  <c r="DZ135"/>
  <c r="EB135"/>
  <c r="ED135"/>
  <c r="EF135"/>
  <c r="EH135"/>
  <c r="EJ135"/>
  <c r="DD135"/>
  <c r="DC135" s="1"/>
  <c r="BA135"/>
  <c r="CM135"/>
  <c r="CL135"/>
  <c r="CK135"/>
  <c r="AY135"/>
  <c r="B132"/>
  <c r="CW134"/>
  <c r="CX134"/>
  <c r="CZ134"/>
  <c r="DF134"/>
  <c r="DJ134"/>
  <c r="DN134"/>
  <c r="DR134"/>
  <c r="DV134"/>
  <c r="DZ134"/>
  <c r="ED134"/>
  <c r="EH134"/>
  <c r="DD134"/>
  <c r="DC134" s="1"/>
  <c r="BA134"/>
  <c r="CM134"/>
  <c r="CL134"/>
  <c r="CK134"/>
  <c r="AY134"/>
  <c r="B130"/>
  <c r="CZ133"/>
  <c r="DG133" s="1"/>
  <c r="DD133"/>
  <c r="DE133"/>
  <c r="DC133"/>
  <c r="BA133"/>
  <c r="CM133" s="1"/>
  <c r="CL133"/>
  <c r="CK133"/>
  <c r="AY133"/>
  <c r="B131"/>
  <c r="CX132"/>
  <c r="CZ132"/>
  <c r="DF132"/>
  <c r="DH132"/>
  <c r="DJ132"/>
  <c r="DL132"/>
  <c r="DN132"/>
  <c r="DP132"/>
  <c r="DR132"/>
  <c r="DT132"/>
  <c r="DV132"/>
  <c r="DX132"/>
  <c r="DZ132"/>
  <c r="EB132"/>
  <c r="ED132"/>
  <c r="EF132"/>
  <c r="EH132"/>
  <c r="EJ132"/>
  <c r="DD132"/>
  <c r="BA132"/>
  <c r="CM132" s="1"/>
  <c r="CL132"/>
  <c r="CK132"/>
  <c r="AY132"/>
  <c r="B134"/>
  <c r="CZ131"/>
  <c r="DF131"/>
  <c r="DG131"/>
  <c r="DH131"/>
  <c r="DI131"/>
  <c r="ES131" s="1"/>
  <c r="DJ131"/>
  <c r="DK131"/>
  <c r="DL131"/>
  <c r="DM131"/>
  <c r="EW131" s="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FN131" s="1"/>
  <c r="EE131"/>
  <c r="EF131"/>
  <c r="EG131"/>
  <c r="EH131"/>
  <c r="FR131" s="1"/>
  <c r="EI131"/>
  <c r="EJ131"/>
  <c r="DD131"/>
  <c r="DE131"/>
  <c r="DC131"/>
  <c r="BA131"/>
  <c r="CM131"/>
  <c r="CL131"/>
  <c r="CK131"/>
  <c r="AY131"/>
  <c r="B133"/>
  <c r="CX130"/>
  <c r="DG130" s="1"/>
  <c r="CZ130"/>
  <c r="DI130"/>
  <c r="DM130"/>
  <c r="EW130" s="1"/>
  <c r="DQ130"/>
  <c r="DU130"/>
  <c r="DY130"/>
  <c r="EC130"/>
  <c r="EG130"/>
  <c r="DD130"/>
  <c r="DE130"/>
  <c r="DC130"/>
  <c r="BA130"/>
  <c r="CM130" s="1"/>
  <c r="CL130"/>
  <c r="CK130"/>
  <c r="AY130"/>
  <c r="B128"/>
  <c r="CX129"/>
  <c r="CZ129"/>
  <c r="DH129" s="1"/>
  <c r="DF129"/>
  <c r="DJ129"/>
  <c r="DN129"/>
  <c r="DR129"/>
  <c r="DV129"/>
  <c r="DZ129"/>
  <c r="ED129"/>
  <c r="EH129"/>
  <c r="DD129"/>
  <c r="BA129"/>
  <c r="CM129" s="1"/>
  <c r="CL129"/>
  <c r="CK129"/>
  <c r="AY129"/>
  <c r="B129"/>
  <c r="CW128"/>
  <c r="CX128"/>
  <c r="CZ128"/>
  <c r="DH128"/>
  <c r="DL128"/>
  <c r="DP128"/>
  <c r="DT128"/>
  <c r="DX128"/>
  <c r="EB128"/>
  <c r="EF128"/>
  <c r="EJ128"/>
  <c r="DD128"/>
  <c r="CL128"/>
  <c r="CK128"/>
  <c r="AY128"/>
  <c r="B135"/>
  <c r="CX127"/>
  <c r="CZ127"/>
  <c r="DD127"/>
  <c r="DE127"/>
  <c r="DC127"/>
  <c r="BA127"/>
  <c r="CM127" s="1"/>
  <c r="CL127"/>
  <c r="CK127"/>
  <c r="AY127"/>
  <c r="B124"/>
  <c r="CX126"/>
  <c r="CZ126"/>
  <c r="DF126"/>
  <c r="DH126"/>
  <c r="DJ126"/>
  <c r="DL126"/>
  <c r="DN126"/>
  <c r="DP126"/>
  <c r="DR126"/>
  <c r="DT126"/>
  <c r="DV126"/>
  <c r="DX126"/>
  <c r="DZ126"/>
  <c r="EB126"/>
  <c r="ED126"/>
  <c r="EF126"/>
  <c r="EH126"/>
  <c r="EJ126"/>
  <c r="DD126"/>
  <c r="BA126"/>
  <c r="CM126" s="1"/>
  <c r="CL126"/>
  <c r="CK126"/>
  <c r="AY126"/>
  <c r="B122"/>
  <c r="CX125"/>
  <c r="CZ125"/>
  <c r="DG125" s="1"/>
  <c r="DF125"/>
  <c r="DH125"/>
  <c r="DJ125"/>
  <c r="DL125"/>
  <c r="DN125"/>
  <c r="DP125"/>
  <c r="DR125"/>
  <c r="DT125"/>
  <c r="DV125"/>
  <c r="DX125"/>
  <c r="DZ125"/>
  <c r="EB125"/>
  <c r="ED125"/>
  <c r="EF125"/>
  <c r="EH125"/>
  <c r="EJ125"/>
  <c r="DD125"/>
  <c r="DC125" s="1"/>
  <c r="BA125"/>
  <c r="CM125"/>
  <c r="CL125"/>
  <c r="CK125"/>
  <c r="AY125"/>
  <c r="B119"/>
  <c r="CX124"/>
  <c r="DI124" s="1"/>
  <c r="CZ124"/>
  <c r="DN124"/>
  <c r="DO124"/>
  <c r="DP124"/>
  <c r="DQ124"/>
  <c r="DR124"/>
  <c r="DS124"/>
  <c r="DT124"/>
  <c r="FD124" s="1"/>
  <c r="DU124"/>
  <c r="DV124"/>
  <c r="DW124"/>
  <c r="DX124"/>
  <c r="FH124" s="1"/>
  <c r="DY124"/>
  <c r="DZ124"/>
  <c r="EA124"/>
  <c r="EB124"/>
  <c r="EC124"/>
  <c r="ED124"/>
  <c r="EE124"/>
  <c r="EF124"/>
  <c r="EG124"/>
  <c r="EH124"/>
  <c r="EI124"/>
  <c r="EJ124"/>
  <c r="DD124"/>
  <c r="DE124"/>
  <c r="DC124"/>
  <c r="BA124"/>
  <c r="CM124"/>
  <c r="CL124"/>
  <c r="CK124"/>
  <c r="AY124"/>
  <c r="B121"/>
  <c r="CX123"/>
  <c r="CZ123"/>
  <c r="DD123"/>
  <c r="DE123"/>
  <c r="DC123"/>
  <c r="BA123"/>
  <c r="CM123" s="1"/>
  <c r="CL123"/>
  <c r="CK123"/>
  <c r="AY123"/>
  <c r="B126"/>
  <c r="CX122"/>
  <c r="CZ122"/>
  <c r="DF122"/>
  <c r="DH122"/>
  <c r="DJ122"/>
  <c r="DL122"/>
  <c r="DN122"/>
  <c r="DP122"/>
  <c r="DR122"/>
  <c r="DT122"/>
  <c r="DV122"/>
  <c r="DX122"/>
  <c r="DZ122"/>
  <c r="EB122"/>
  <c r="ED122"/>
  <c r="EF122"/>
  <c r="EH122"/>
  <c r="FR122" s="1"/>
  <c r="EJ122"/>
  <c r="DD122"/>
  <c r="BA122"/>
  <c r="CM122" s="1"/>
  <c r="CL122"/>
  <c r="CK122"/>
  <c r="AY122"/>
  <c r="B125"/>
  <c r="CW121"/>
  <c r="CX121"/>
  <c r="CZ121"/>
  <c r="DD121"/>
  <c r="BA121"/>
  <c r="CM121"/>
  <c r="CL121"/>
  <c r="CK121"/>
  <c r="AY121"/>
  <c r="B127"/>
  <c r="CZ120"/>
  <c r="DF120"/>
  <c r="DG120"/>
  <c r="DH120"/>
  <c r="DI120"/>
  <c r="DJ120"/>
  <c r="DK120"/>
  <c r="DL120"/>
  <c r="DM120"/>
  <c r="DN120"/>
  <c r="DO120"/>
  <c r="DP120"/>
  <c r="DQ120"/>
  <c r="DR120"/>
  <c r="DS120"/>
  <c r="DT120"/>
  <c r="DU120"/>
  <c r="DV120"/>
  <c r="DW120"/>
  <c r="DX120"/>
  <c r="DY120"/>
  <c r="DZ120"/>
  <c r="EA120"/>
  <c r="EB120"/>
  <c r="EC120"/>
  <c r="ED120"/>
  <c r="EE120"/>
  <c r="EF120"/>
  <c r="EG120"/>
  <c r="EH120"/>
  <c r="EI120"/>
  <c r="EJ120"/>
  <c r="DD120"/>
  <c r="DE120"/>
  <c r="DC120"/>
  <c r="BA120"/>
  <c r="CM120"/>
  <c r="CL120"/>
  <c r="CK120"/>
  <c r="AY120"/>
  <c r="B123"/>
  <c r="CW119"/>
  <c r="CX119"/>
  <c r="DG119" s="1"/>
  <c r="CZ119"/>
  <c r="DI119"/>
  <c r="DM119"/>
  <c r="EW119" s="1"/>
  <c r="DO119"/>
  <c r="DQ119"/>
  <c r="DS119"/>
  <c r="DU119"/>
  <c r="DW119"/>
  <c r="DY119"/>
  <c r="EA119"/>
  <c r="EC119"/>
  <c r="FM119" s="1"/>
  <c r="EE119"/>
  <c r="EG119"/>
  <c r="EI119"/>
  <c r="DD119"/>
  <c r="DE119"/>
  <c r="DC119"/>
  <c r="BA119"/>
  <c r="CM119"/>
  <c r="CL119"/>
  <c r="CK119"/>
  <c r="AY119"/>
  <c r="B118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20"/>
  <c r="CZ117"/>
  <c r="DI117" s="1"/>
  <c r="ES117" s="1"/>
  <c r="DG117"/>
  <c r="DK117"/>
  <c r="DO117"/>
  <c r="DS117"/>
  <c r="DW117"/>
  <c r="EA117"/>
  <c r="EE117"/>
  <c r="EI117"/>
  <c r="DD117"/>
  <c r="DE117"/>
  <c r="DC117"/>
  <c r="BA117"/>
  <c r="CM117" s="1"/>
  <c r="CL117"/>
  <c r="CK117"/>
  <c r="AY117"/>
  <c r="B112"/>
  <c r="CZ116"/>
  <c r="DG116" s="1"/>
  <c r="DF116"/>
  <c r="DH116"/>
  <c r="DJ116"/>
  <c r="DL116"/>
  <c r="DN116"/>
  <c r="DP116"/>
  <c r="DR116"/>
  <c r="DT116"/>
  <c r="DV116"/>
  <c r="DX116"/>
  <c r="FH116" s="1"/>
  <c r="DZ116"/>
  <c r="EB116"/>
  <c r="ED116"/>
  <c r="EF116"/>
  <c r="EH116"/>
  <c r="EJ116"/>
  <c r="DD116"/>
  <c r="DC116" s="1"/>
  <c r="BA116"/>
  <c r="CM116"/>
  <c r="CL116"/>
  <c r="CK116"/>
  <c r="AY116"/>
  <c r="B108"/>
  <c r="CZ115"/>
  <c r="DI115"/>
  <c r="DM115"/>
  <c r="EW115" s="1"/>
  <c r="DQ115"/>
  <c r="DU115"/>
  <c r="DY115"/>
  <c r="FI115" s="1"/>
  <c r="EC115"/>
  <c r="EG115"/>
  <c r="DD115"/>
  <c r="DE115"/>
  <c r="DC115"/>
  <c r="BA115"/>
  <c r="CM115" s="1"/>
  <c r="CL115"/>
  <c r="CK115"/>
  <c r="AY115"/>
  <c r="B117"/>
  <c r="CZ114"/>
  <c r="DG114" s="1"/>
  <c r="DF114"/>
  <c r="DH114"/>
  <c r="ER114" s="1"/>
  <c r="DJ114"/>
  <c r="DL114"/>
  <c r="DN114"/>
  <c r="DP114"/>
  <c r="DR114"/>
  <c r="DT114"/>
  <c r="DV114"/>
  <c r="DX114"/>
  <c r="FH114" s="1"/>
  <c r="DZ114"/>
  <c r="EB114"/>
  <c r="ED114"/>
  <c r="EF114"/>
  <c r="EH114"/>
  <c r="EJ114"/>
  <c r="DD114"/>
  <c r="DC114" s="1"/>
  <c r="DE114"/>
  <c r="BA114"/>
  <c r="CM114"/>
  <c r="CL114"/>
  <c r="CK114"/>
  <c r="AY114"/>
  <c r="B109"/>
  <c r="CZ113"/>
  <c r="DI113" s="1"/>
  <c r="DG113"/>
  <c r="DK113"/>
  <c r="DO113"/>
  <c r="DS113"/>
  <c r="DW113"/>
  <c r="EA113"/>
  <c r="EE113"/>
  <c r="EI113"/>
  <c r="DD113"/>
  <c r="DE113"/>
  <c r="DC113"/>
  <c r="BA113"/>
  <c r="CM113" s="1"/>
  <c r="CL113"/>
  <c r="CK113"/>
  <c r="AY113"/>
  <c r="B114"/>
  <c r="CZ112"/>
  <c r="DG112" s="1"/>
  <c r="DF112"/>
  <c r="DH112"/>
  <c r="DJ112"/>
  <c r="DL112"/>
  <c r="DN112"/>
  <c r="DP112"/>
  <c r="DR112"/>
  <c r="FB112" s="1"/>
  <c r="DT112"/>
  <c r="FD112" s="1"/>
  <c r="DV112"/>
  <c r="DX112"/>
  <c r="DZ112"/>
  <c r="FJ112" s="1"/>
  <c r="EB112"/>
  <c r="ED112"/>
  <c r="EF112"/>
  <c r="EH112"/>
  <c r="FR112" s="1"/>
  <c r="EJ112"/>
  <c r="DD112"/>
  <c r="DC112" s="1"/>
  <c r="BA112"/>
  <c r="CM112"/>
  <c r="CL112"/>
  <c r="CK112"/>
  <c r="AY112"/>
  <c r="B116"/>
  <c r="CZ111"/>
  <c r="DI111"/>
  <c r="DM111"/>
  <c r="DQ111"/>
  <c r="DU111"/>
  <c r="DY111"/>
  <c r="EC111"/>
  <c r="EG111"/>
  <c r="DD111"/>
  <c r="DE111"/>
  <c r="DC111"/>
  <c r="BA111"/>
  <c r="CM111" s="1"/>
  <c r="CL111"/>
  <c r="CK111"/>
  <c r="AY111"/>
  <c r="B113"/>
  <c r="CZ110"/>
  <c r="DG110" s="1"/>
  <c r="DF110"/>
  <c r="DH110"/>
  <c r="DJ110"/>
  <c r="ET110" s="1"/>
  <c r="DL110"/>
  <c r="DN110"/>
  <c r="DP110"/>
  <c r="DR110"/>
  <c r="FB110" s="1"/>
  <c r="DT110"/>
  <c r="DV110"/>
  <c r="DX110"/>
  <c r="DZ110"/>
  <c r="EB110"/>
  <c r="ED110"/>
  <c r="EF110"/>
  <c r="EH110"/>
  <c r="FR110" s="1"/>
  <c r="EJ110"/>
  <c r="DD110"/>
  <c r="DC110" s="1"/>
  <c r="DE110"/>
  <c r="BA110"/>
  <c r="CM110"/>
  <c r="CL110"/>
  <c r="CK110"/>
  <c r="AY110"/>
  <c r="B115"/>
  <c r="CZ109"/>
  <c r="DI109" s="1"/>
  <c r="DG109"/>
  <c r="DK109"/>
  <c r="DO109"/>
  <c r="DS109"/>
  <c r="DW109"/>
  <c r="EA109"/>
  <c r="EE109"/>
  <c r="EI109"/>
  <c r="DD109"/>
  <c r="DE109"/>
  <c r="DC109"/>
  <c r="BA109"/>
  <c r="CM109" s="1"/>
  <c r="CL109"/>
  <c r="CK109"/>
  <c r="AY109"/>
  <c r="B110"/>
  <c r="CZ108"/>
  <c r="DG108" s="1"/>
  <c r="DF108"/>
  <c r="DH108"/>
  <c r="ER108" s="1"/>
  <c r="DJ108"/>
  <c r="DL108"/>
  <c r="DN108"/>
  <c r="DP108"/>
  <c r="DR108"/>
  <c r="DT108"/>
  <c r="DV108"/>
  <c r="DX108"/>
  <c r="DZ108"/>
  <c r="EB108"/>
  <c r="ED108"/>
  <c r="EF108"/>
  <c r="EH108"/>
  <c r="EJ108"/>
  <c r="DD108"/>
  <c r="DC108" s="1"/>
  <c r="CL108"/>
  <c r="CK108"/>
  <c r="AY108"/>
  <c r="B111"/>
  <c r="CW107"/>
  <c r="CX107"/>
  <c r="DG107" s="1"/>
  <c r="CZ107"/>
  <c r="DO107" s="1"/>
  <c r="DI107"/>
  <c r="DM107"/>
  <c r="EW107" s="1"/>
  <c r="DQ107"/>
  <c r="DU107"/>
  <c r="DY107"/>
  <c r="EC107"/>
  <c r="EG107"/>
  <c r="DD107"/>
  <c r="DE107"/>
  <c r="DC107"/>
  <c r="BA107"/>
  <c r="CM107" s="1"/>
  <c r="CL107"/>
  <c r="CK107"/>
  <c r="AY107"/>
  <c r="B99"/>
  <c r="CZ106"/>
  <c r="DG106" s="1"/>
  <c r="DF106"/>
  <c r="DH106"/>
  <c r="ER106" s="1"/>
  <c r="DJ106"/>
  <c r="DL106"/>
  <c r="DN106"/>
  <c r="DP106"/>
  <c r="DR106"/>
  <c r="DT106"/>
  <c r="DV106"/>
  <c r="DX106"/>
  <c r="DZ106"/>
  <c r="EB106"/>
  <c r="ED106"/>
  <c r="EF106"/>
  <c r="EH106"/>
  <c r="EJ106"/>
  <c r="DD106"/>
  <c r="DC106" s="1"/>
  <c r="DE106"/>
  <c r="BA106"/>
  <c r="CM106"/>
  <c r="CL106"/>
  <c r="CK106"/>
  <c r="AY106"/>
  <c r="B101"/>
  <c r="CZ105"/>
  <c r="DI105" s="1"/>
  <c r="DG105"/>
  <c r="DK105"/>
  <c r="DO105"/>
  <c r="DS105"/>
  <c r="DW105"/>
  <c r="EA105"/>
  <c r="EE105"/>
  <c r="EI105"/>
  <c r="FS105" s="1"/>
  <c r="DD105"/>
  <c r="DE105"/>
  <c r="DC105"/>
  <c r="BA105"/>
  <c r="CM105" s="1"/>
  <c r="CL105"/>
  <c r="CK105"/>
  <c r="AY105"/>
  <c r="B104"/>
  <c r="CZ104"/>
  <c r="DG104" s="1"/>
  <c r="DF104"/>
  <c r="DH104"/>
  <c r="DJ104"/>
  <c r="DL104"/>
  <c r="DN104"/>
  <c r="DP104"/>
  <c r="DR104"/>
  <c r="DT104"/>
  <c r="DV104"/>
  <c r="DX104"/>
  <c r="DZ104"/>
  <c r="EB104"/>
  <c r="ED104"/>
  <c r="EF104"/>
  <c r="EH104"/>
  <c r="FR104" s="1"/>
  <c r="EJ104"/>
  <c r="FT104" s="1"/>
  <c r="DD104"/>
  <c r="DC104" s="1"/>
  <c r="BA104"/>
  <c r="CM104"/>
  <c r="CL104"/>
  <c r="CK104"/>
  <c r="AY104"/>
  <c r="B107"/>
  <c r="CZ103"/>
  <c r="DI103"/>
  <c r="DM103"/>
  <c r="DQ103"/>
  <c r="FA103" s="1"/>
  <c r="DU103"/>
  <c r="DY103"/>
  <c r="EC103"/>
  <c r="EG103"/>
  <c r="DD103"/>
  <c r="DE103"/>
  <c r="DC103"/>
  <c r="BA103"/>
  <c r="CM103" s="1"/>
  <c r="CL103"/>
  <c r="CK103"/>
  <c r="AY103"/>
  <c r="B106"/>
  <c r="CZ102"/>
  <c r="DG102" s="1"/>
  <c r="DF102"/>
  <c r="DH102"/>
  <c r="DJ102"/>
  <c r="DL102"/>
  <c r="DN102"/>
  <c r="DP102"/>
  <c r="DR102"/>
  <c r="FB102" s="1"/>
  <c r="DT102"/>
  <c r="DV102"/>
  <c r="DX102"/>
  <c r="DZ102"/>
  <c r="EB102"/>
  <c r="ED102"/>
  <c r="EF102"/>
  <c r="EH102"/>
  <c r="FR102" s="1"/>
  <c r="EJ102"/>
  <c r="DD102"/>
  <c r="DC102" s="1"/>
  <c r="DE102"/>
  <c r="BA102"/>
  <c r="CM102"/>
  <c r="CL102"/>
  <c r="CK102"/>
  <c r="AY102"/>
  <c r="B98"/>
  <c r="CX101"/>
  <c r="DG101" s="1"/>
  <c r="CZ101"/>
  <c r="DI101"/>
  <c r="DM101"/>
  <c r="EW101" s="1"/>
  <c r="DN101"/>
  <c r="DO101"/>
  <c r="DP101"/>
  <c r="EZ101" s="1"/>
  <c r="DQ101"/>
  <c r="DR101"/>
  <c r="DS101"/>
  <c r="DT101"/>
  <c r="DU101"/>
  <c r="DV101"/>
  <c r="DW101"/>
  <c r="DX101"/>
  <c r="FH101" s="1"/>
  <c r="DY101"/>
  <c r="DZ101"/>
  <c r="EA101"/>
  <c r="EB101"/>
  <c r="EC101"/>
  <c r="ED101"/>
  <c r="EE101"/>
  <c r="EF101"/>
  <c r="EG101"/>
  <c r="EH101"/>
  <c r="EI101"/>
  <c r="EJ101"/>
  <c r="DD101"/>
  <c r="DE101"/>
  <c r="DC101"/>
  <c r="BA101"/>
  <c r="CM101"/>
  <c r="CL101"/>
  <c r="CK101"/>
  <c r="AY101"/>
  <c r="B103"/>
  <c r="CX100"/>
  <c r="CZ100"/>
  <c r="DI100" s="1"/>
  <c r="DG100"/>
  <c r="DK100"/>
  <c r="DO100"/>
  <c r="DS100"/>
  <c r="DW100"/>
  <c r="EA100"/>
  <c r="EE100"/>
  <c r="EI100"/>
  <c r="DD100"/>
  <c r="DE100"/>
  <c r="DC100"/>
  <c r="BA100"/>
  <c r="CM100" s="1"/>
  <c r="CL100"/>
  <c r="CK100"/>
  <c r="AY100"/>
  <c r="B105"/>
  <c r="CZ99"/>
  <c r="DG99" s="1"/>
  <c r="DF99"/>
  <c r="DH99"/>
  <c r="DJ99"/>
  <c r="DL99"/>
  <c r="DN99"/>
  <c r="DP99"/>
  <c r="DR99"/>
  <c r="DT99"/>
  <c r="DV99"/>
  <c r="DX99"/>
  <c r="DZ99"/>
  <c r="EB99"/>
  <c r="FL99"/>
  <c r="ED99"/>
  <c r="EF99"/>
  <c r="EG99"/>
  <c r="EH99"/>
  <c r="EI99"/>
  <c r="EJ99"/>
  <c r="DD99"/>
  <c r="DC99" s="1"/>
  <c r="BA99"/>
  <c r="CM99"/>
  <c r="CL99"/>
  <c r="CK99"/>
  <c r="AY99"/>
  <c r="B100"/>
  <c r="CZ98"/>
  <c r="DI98"/>
  <c r="DM98"/>
  <c r="DQ98"/>
  <c r="DU98"/>
  <c r="DY98"/>
  <c r="EC98"/>
  <c r="EG98"/>
  <c r="DD98"/>
  <c r="DE98" s="1"/>
  <c r="DC98"/>
  <c r="CL98"/>
  <c r="CK98"/>
  <c r="AY98"/>
  <c r="B102"/>
  <c r="CZ97"/>
  <c r="DG97" s="1"/>
  <c r="DD97"/>
  <c r="DE97" s="1"/>
  <c r="DC97"/>
  <c r="BA97"/>
  <c r="CM97" s="1"/>
  <c r="CL97"/>
  <c r="CK97"/>
  <c r="AY97"/>
  <c r="B96"/>
  <c r="CZ96"/>
  <c r="DF96"/>
  <c r="DG96"/>
  <c r="DH96"/>
  <c r="ER96" s="1"/>
  <c r="DI96"/>
  <c r="DJ96"/>
  <c r="DK96"/>
  <c r="DL96"/>
  <c r="DM96"/>
  <c r="EW96" s="1"/>
  <c r="DN96"/>
  <c r="DO96"/>
  <c r="DP96"/>
  <c r="DQ96"/>
  <c r="DR96"/>
  <c r="DS96"/>
  <c r="DT96"/>
  <c r="DU96"/>
  <c r="FE96" s="1"/>
  <c r="DV96"/>
  <c r="DW96"/>
  <c r="DX96"/>
  <c r="DY96"/>
  <c r="FI96" s="1"/>
  <c r="DZ96"/>
  <c r="EA96"/>
  <c r="EB96"/>
  <c r="EC96"/>
  <c r="FM96" s="1"/>
  <c r="ED96"/>
  <c r="EE96"/>
  <c r="EF96"/>
  <c r="EG96"/>
  <c r="EH96"/>
  <c r="EI96"/>
  <c r="EJ96"/>
  <c r="FT96"/>
  <c r="DD96"/>
  <c r="DC96" s="1"/>
  <c r="BA96"/>
  <c r="CM96"/>
  <c r="CL96"/>
  <c r="CK96"/>
  <c r="AY96"/>
  <c r="B89"/>
  <c r="CZ95"/>
  <c r="DD95"/>
  <c r="DE95" s="1"/>
  <c r="DC95"/>
  <c r="BA95"/>
  <c r="CM95" s="1"/>
  <c r="CL95"/>
  <c r="CK95"/>
  <c r="AY95"/>
  <c r="B93"/>
  <c r="CZ94"/>
  <c r="DF94"/>
  <c r="DG94"/>
  <c r="DH94"/>
  <c r="DI94"/>
  <c r="DJ94"/>
  <c r="DK94"/>
  <c r="DL94"/>
  <c r="EV94" s="1"/>
  <c r="DM94"/>
  <c r="EW94" s="1"/>
  <c r="DN94"/>
  <c r="DO94"/>
  <c r="DP94"/>
  <c r="EZ94" s="1"/>
  <c r="DQ94"/>
  <c r="DR94"/>
  <c r="DS94"/>
  <c r="DT94"/>
  <c r="FD94" s="1"/>
  <c r="DU94"/>
  <c r="FE94" s="1"/>
  <c r="DV94"/>
  <c r="DW94"/>
  <c r="DX94"/>
  <c r="FH94" s="1"/>
  <c r="DY94"/>
  <c r="FI94" s="1"/>
  <c r="DZ94"/>
  <c r="EA94"/>
  <c r="EB94"/>
  <c r="EC94"/>
  <c r="FM94" s="1"/>
  <c r="ED94"/>
  <c r="EE94"/>
  <c r="EF94"/>
  <c r="EG94"/>
  <c r="EH94"/>
  <c r="EI94"/>
  <c r="EJ94"/>
  <c r="FT94" s="1"/>
  <c r="DD94"/>
  <c r="DC94" s="1"/>
  <c r="BA94"/>
  <c r="CM94"/>
  <c r="CL94"/>
  <c r="CK94"/>
  <c r="AY94"/>
  <c r="B91"/>
  <c r="CZ93"/>
  <c r="DD93"/>
  <c r="DE93" s="1"/>
  <c r="DC93"/>
  <c r="BA93"/>
  <c r="CM93" s="1"/>
  <c r="CL93"/>
  <c r="CK93"/>
  <c r="AY93"/>
  <c r="B94"/>
  <c r="CZ92"/>
  <c r="DF92"/>
  <c r="DG92"/>
  <c r="DH92"/>
  <c r="DI92"/>
  <c r="DJ92"/>
  <c r="DK92"/>
  <c r="DL92"/>
  <c r="DM92"/>
  <c r="EW92" s="1"/>
  <c r="DN92"/>
  <c r="DO92"/>
  <c r="DP92"/>
  <c r="DQ92"/>
  <c r="DR92"/>
  <c r="DS92"/>
  <c r="DT92"/>
  <c r="DU92"/>
  <c r="FE92" s="1"/>
  <c r="DV92"/>
  <c r="DW92"/>
  <c r="DX92"/>
  <c r="DY92"/>
  <c r="FI92" s="1"/>
  <c r="DZ92"/>
  <c r="EA92"/>
  <c r="EB92"/>
  <c r="EC92"/>
  <c r="ED92"/>
  <c r="EE92"/>
  <c r="EF92"/>
  <c r="EG92"/>
  <c r="EH92"/>
  <c r="EI92"/>
  <c r="EJ92"/>
  <c r="DD92"/>
  <c r="DC92" s="1"/>
  <c r="BA92"/>
  <c r="CM92"/>
  <c r="CL92"/>
  <c r="CK92"/>
  <c r="AY92"/>
  <c r="B88"/>
  <c r="CZ91"/>
  <c r="DG91" s="1"/>
  <c r="DD91"/>
  <c r="DE91" s="1"/>
  <c r="DC91"/>
  <c r="BA91"/>
  <c r="CM91" s="1"/>
  <c r="CL91"/>
  <c r="CK91"/>
  <c r="AY91"/>
  <c r="B95"/>
  <c r="CZ90"/>
  <c r="DF90"/>
  <c r="DG90"/>
  <c r="DH90"/>
  <c r="DI90"/>
  <c r="DJ90"/>
  <c r="DK90"/>
  <c r="DL90"/>
  <c r="DM90"/>
  <c r="DN90"/>
  <c r="DO90"/>
  <c r="DP90"/>
  <c r="DQ90"/>
  <c r="DR90"/>
  <c r="FB90" s="1"/>
  <c r="DS90"/>
  <c r="DT90"/>
  <c r="DU90"/>
  <c r="DV90"/>
  <c r="FF90" s="1"/>
  <c r="DW90"/>
  <c r="DX90"/>
  <c r="DY90"/>
  <c r="DZ90"/>
  <c r="EA90"/>
  <c r="EB90"/>
  <c r="EC90"/>
  <c r="ED90"/>
  <c r="EE90"/>
  <c r="EF90"/>
  <c r="EG90"/>
  <c r="EH90"/>
  <c r="FR90" s="1"/>
  <c r="EI90"/>
  <c r="EJ90"/>
  <c r="DD90"/>
  <c r="DC90" s="1"/>
  <c r="BA90"/>
  <c r="CM90"/>
  <c r="CL90"/>
  <c r="CK90"/>
  <c r="AY90"/>
  <c r="B97"/>
  <c r="CX89"/>
  <c r="CZ89"/>
  <c r="DN89" s="1"/>
  <c r="DO89"/>
  <c r="EY89" s="1"/>
  <c r="DQ89"/>
  <c r="DS89"/>
  <c r="DU89"/>
  <c r="DW89"/>
  <c r="DY89"/>
  <c r="EA89"/>
  <c r="EC89"/>
  <c r="EE89"/>
  <c r="FO89" s="1"/>
  <c r="EG89"/>
  <c r="EI89"/>
  <c r="DD89"/>
  <c r="DE89"/>
  <c r="DC89"/>
  <c r="BA89"/>
  <c r="CM89" s="1"/>
  <c r="CL89"/>
  <c r="CK89"/>
  <c r="AY89"/>
  <c r="B92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90"/>
  <c r="C79"/>
  <c r="C78"/>
  <c r="C77"/>
  <c r="C76"/>
  <c r="C75"/>
  <c r="C74"/>
  <c r="C73"/>
  <c r="C72"/>
  <c r="C71"/>
  <c r="C70"/>
  <c r="E61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ET96" l="1"/>
  <c r="ET108"/>
  <c r="FR147"/>
  <c r="FB147"/>
  <c r="FR150"/>
  <c r="FB150"/>
  <c r="FR154"/>
  <c r="FR156"/>
  <c r="FR157"/>
  <c r="FJ157"/>
  <c r="FB157"/>
  <c r="FR165"/>
  <c r="FR173"/>
  <c r="FM176"/>
  <c r="EW176"/>
  <c r="FR179"/>
  <c r="FM186"/>
  <c r="FI186"/>
  <c r="FM89"/>
  <c r="FM90"/>
  <c r="FI90"/>
  <c r="EW90"/>
  <c r="EQ91"/>
  <c r="EW103"/>
  <c r="EW111"/>
  <c r="EW120"/>
  <c r="FI139"/>
  <c r="EW141"/>
  <c r="FM143"/>
  <c r="FI143"/>
  <c r="ES145"/>
  <c r="EW158"/>
  <c r="EQ169"/>
  <c r="EW182"/>
  <c r="FO90"/>
  <c r="FK90"/>
  <c r="EY109"/>
  <c r="FO117"/>
  <c r="FO120"/>
  <c r="FS143"/>
  <c r="FT92"/>
  <c r="FL92"/>
  <c r="FH92"/>
  <c r="FD92"/>
  <c r="EZ92"/>
  <c r="EV92"/>
  <c r="FS94"/>
  <c r="FO94"/>
  <c r="FC94"/>
  <c r="FS96"/>
  <c r="FO96"/>
  <c r="EY96"/>
  <c r="EU96"/>
  <c r="FT99"/>
  <c r="FS100"/>
  <c r="FC100"/>
  <c r="FS101"/>
  <c r="FO101"/>
  <c r="FK101"/>
  <c r="FH102"/>
  <c r="EZ102"/>
  <c r="EZ104"/>
  <c r="FD106"/>
  <c r="FH110"/>
  <c r="EZ110"/>
  <c r="FL114"/>
  <c r="FL116"/>
  <c r="FH125"/>
  <c r="EZ126"/>
  <c r="EZ132"/>
  <c r="EZ135"/>
  <c r="FD138"/>
  <c r="FT145"/>
  <c r="FL147"/>
  <c r="FL150"/>
  <c r="EY151"/>
  <c r="FT154"/>
  <c r="EY155"/>
  <c r="FO156"/>
  <c r="FK156"/>
  <c r="FD157"/>
  <c r="EV157"/>
  <c r="FK164"/>
  <c r="FS165"/>
  <c r="FP165"/>
  <c r="FH165"/>
  <c r="FD165"/>
  <c r="EZ165"/>
  <c r="ER165"/>
  <c r="FP166"/>
  <c r="FP171"/>
  <c r="FH171"/>
  <c r="EZ171"/>
  <c r="ER171"/>
  <c r="FO173"/>
  <c r="FH175"/>
  <c r="FK184"/>
  <c r="FK185"/>
  <c r="AF372"/>
  <c r="AF382" s="1"/>
  <c r="FS90"/>
  <c r="FC90"/>
  <c r="FO109"/>
  <c r="FO119"/>
  <c r="FK140"/>
  <c r="FO143"/>
  <c r="FO144"/>
  <c r="FH90"/>
  <c r="FD90"/>
  <c r="EZ90"/>
  <c r="FH99"/>
  <c r="EZ99"/>
  <c r="FK105"/>
  <c r="FS109"/>
  <c r="FC109"/>
  <c r="FK113"/>
  <c r="FS117"/>
  <c r="EV120"/>
  <c r="FD122"/>
  <c r="EV122"/>
  <c r="FO131"/>
  <c r="FK131"/>
  <c r="FK141"/>
  <c r="FS144"/>
  <c r="FO145"/>
  <c r="FK145"/>
  <c r="FT149"/>
  <c r="FH152"/>
  <c r="FO159"/>
  <c r="EY159"/>
  <c r="FH163"/>
  <c r="FO164"/>
  <c r="FD164"/>
  <c r="FO165"/>
  <c r="FD175"/>
  <c r="FS181"/>
  <c r="FC181"/>
  <c r="FH182"/>
  <c r="EV182"/>
  <c r="FT183"/>
  <c r="FD183"/>
  <c r="FD184"/>
  <c r="FF114"/>
  <c r="FF116"/>
  <c r="EU117"/>
  <c r="EU118"/>
  <c r="FR120"/>
  <c r="FS124"/>
  <c r="FO124"/>
  <c r="FK124"/>
  <c r="FR125"/>
  <c r="FR126"/>
  <c r="FR132"/>
  <c r="FB132"/>
  <c r="FF134"/>
  <c r="FR135"/>
  <c r="FB135"/>
  <c r="FS137"/>
  <c r="FO137"/>
  <c r="FK139"/>
  <c r="FF139"/>
  <c r="EU139"/>
  <c r="FO141"/>
  <c r="FS142"/>
  <c r="FO142"/>
  <c r="FK142"/>
  <c r="FC142"/>
  <c r="FR143"/>
  <c r="FF143"/>
  <c r="FK144"/>
  <c r="FR149"/>
  <c r="FO151"/>
  <c r="FF152"/>
  <c r="FO153"/>
  <c r="FB154"/>
  <c r="FO155"/>
  <c r="EU155"/>
  <c r="FR159"/>
  <c r="ER159"/>
  <c r="ER162"/>
  <c r="FS163"/>
  <c r="FO163"/>
  <c r="FK163"/>
  <c r="FG163"/>
  <c r="FO169"/>
  <c r="ER170"/>
  <c r="FN180"/>
  <c r="FS182"/>
  <c r="FO182"/>
  <c r="FK182"/>
  <c r="FR183"/>
  <c r="FO185"/>
  <c r="AB372"/>
  <c r="AB376" s="1"/>
  <c r="M379"/>
  <c r="M422"/>
  <c r="N382"/>
  <c r="N422"/>
  <c r="P374"/>
  <c r="P422"/>
  <c r="AK381"/>
  <c r="AK422"/>
  <c r="H382"/>
  <c r="H422"/>
  <c r="FR92"/>
  <c r="FF92"/>
  <c r="FB92"/>
  <c r="FR99"/>
  <c r="FF99"/>
  <c r="EU100"/>
  <c r="FF104"/>
  <c r="EX104"/>
  <c r="EU105"/>
  <c r="FR106"/>
  <c r="FB106"/>
  <c r="FR114"/>
  <c r="FR116"/>
  <c r="FF125"/>
  <c r="FF126"/>
  <c r="FF137"/>
  <c r="FB137"/>
  <c r="FF149"/>
  <c r="FR152"/>
  <c r="FB152"/>
  <c r="EU153"/>
  <c r="FR162"/>
  <c r="FF164"/>
  <c r="EU164"/>
  <c r="FR170"/>
  <c r="FF170"/>
  <c r="FB170"/>
  <c r="EX170"/>
  <c r="FR174"/>
  <c r="FR175"/>
  <c r="FF180"/>
  <c r="EU185"/>
  <c r="FR186"/>
  <c r="FF186"/>
  <c r="FB186"/>
  <c r="AF378"/>
  <c r="AI372"/>
  <c r="AI379" s="1"/>
  <c r="FS89"/>
  <c r="FC89"/>
  <c r="EV90"/>
  <c r="FS92"/>
  <c r="FO92"/>
  <c r="FC92"/>
  <c r="FR94"/>
  <c r="FF94"/>
  <c r="FB94"/>
  <c r="FR96"/>
  <c r="FF96"/>
  <c r="FB96"/>
  <c r="EX96"/>
  <c r="FS99"/>
  <c r="FO100"/>
  <c r="EY100"/>
  <c r="FR101"/>
  <c r="FF101"/>
  <c r="FC101"/>
  <c r="FO105"/>
  <c r="EY105"/>
  <c r="EV106"/>
  <c r="EY107"/>
  <c r="FO113"/>
  <c r="FK119"/>
  <c r="FN122"/>
  <c r="FF122"/>
  <c r="FR124"/>
  <c r="ER126"/>
  <c r="FR129"/>
  <c r="FB129"/>
  <c r="ER129"/>
  <c r="FR134"/>
  <c r="FB134"/>
  <c r="FR137"/>
  <c r="EU137"/>
  <c r="FO139"/>
  <c r="FO140"/>
  <c r="FR142"/>
  <c r="FB142"/>
  <c r="EV143"/>
  <c r="FG144"/>
  <c r="FR146"/>
  <c r="FF150"/>
  <c r="FF161"/>
  <c r="FO162"/>
  <c r="EU162"/>
  <c r="FR163"/>
  <c r="FN163"/>
  <c r="FK167"/>
  <c r="FK169"/>
  <c r="EU169"/>
  <c r="FS170"/>
  <c r="FO170"/>
  <c r="FK170"/>
  <c r="EY170"/>
  <c r="EU170"/>
  <c r="FR171"/>
  <c r="FB171"/>
  <c r="EV173"/>
  <c r="FO174"/>
  <c r="FC174"/>
  <c r="FB179"/>
  <c r="FR180"/>
  <c r="FB180"/>
  <c r="EU180"/>
  <c r="FO181"/>
  <c r="EY181"/>
  <c r="FR182"/>
  <c r="FS184"/>
  <c r="FO186"/>
  <c r="FK186"/>
  <c r="FR187"/>
  <c r="M375"/>
  <c r="S372"/>
  <c r="S422" s="1"/>
  <c r="EX136"/>
  <c r="EV135"/>
  <c r="EX88"/>
  <c r="EW98"/>
  <c r="FQ174"/>
  <c r="FE180"/>
  <c r="ET146"/>
  <c r="FA98"/>
  <c r="ES158"/>
  <c r="EZ88"/>
  <c r="FJ101"/>
  <c r="FP186"/>
  <c r="FM92"/>
  <c r="EQ96"/>
  <c r="EQ102"/>
  <c r="EQ106"/>
  <c r="EQ113"/>
  <c r="FM131"/>
  <c r="EQ136"/>
  <c r="FP139"/>
  <c r="EQ139"/>
  <c r="FM142"/>
  <c r="ET147"/>
  <c r="FI156"/>
  <c r="FI163"/>
  <c r="FM165"/>
  <c r="ET167"/>
  <c r="EQ170"/>
  <c r="FM173"/>
  <c r="FI181"/>
  <c r="FQ89"/>
  <c r="FI89"/>
  <c r="EU90"/>
  <c r="EU92"/>
  <c r="EU94"/>
  <c r="FB99"/>
  <c r="ET99"/>
  <c r="FE101"/>
  <c r="FA101"/>
  <c r="FI103"/>
  <c r="FT106"/>
  <c r="FI107"/>
  <c r="EU109"/>
  <c r="FI111"/>
  <c r="FF112"/>
  <c r="EU113"/>
  <c r="FB114"/>
  <c r="FQ115"/>
  <c r="FB116"/>
  <c r="FI119"/>
  <c r="FA119"/>
  <c r="FT120"/>
  <c r="FM120"/>
  <c r="FI120"/>
  <c r="FB120"/>
  <c r="EU120"/>
  <c r="FB122"/>
  <c r="FE124"/>
  <c r="FB124"/>
  <c r="FP125"/>
  <c r="FB125"/>
  <c r="FB126"/>
  <c r="FF129"/>
  <c r="FM130"/>
  <c r="FF131"/>
  <c r="FB131"/>
  <c r="FT132"/>
  <c r="FT135"/>
  <c r="FM140"/>
  <c r="FF142"/>
  <c r="FB143"/>
  <c r="EU144"/>
  <c r="FT146"/>
  <c r="FF146"/>
  <c r="ET149"/>
  <c r="FT152"/>
  <c r="EX152"/>
  <c r="FF156"/>
  <c r="FB156"/>
  <c r="FT159"/>
  <c r="FM159"/>
  <c r="FI159"/>
  <c r="FB159"/>
  <c r="FM162"/>
  <c r="FI162"/>
  <c r="FM163"/>
  <c r="FF163"/>
  <c r="FB163"/>
  <c r="EU163"/>
  <c r="FF165"/>
  <c r="FB165"/>
  <c r="FF166"/>
  <c r="EU167"/>
  <c r="FF173"/>
  <c r="FB173"/>
  <c r="FM174"/>
  <c r="FI174"/>
  <c r="FE174"/>
  <c r="FB174"/>
  <c r="EU174"/>
  <c r="FP178"/>
  <c r="FI180"/>
  <c r="FM182"/>
  <c r="FI182"/>
  <c r="FM185"/>
  <c r="N374"/>
  <c r="W372"/>
  <c r="W422" s="1"/>
  <c r="L372"/>
  <c r="L422" s="1"/>
  <c r="ET102"/>
  <c r="FE103"/>
  <c r="FE107"/>
  <c r="EQ112"/>
  <c r="FM115"/>
  <c r="FI130"/>
  <c r="FI131"/>
  <c r="FM137"/>
  <c r="FI141"/>
  <c r="FI142"/>
  <c r="EQ143"/>
  <c r="EQ144"/>
  <c r="FM153"/>
  <c r="FM156"/>
  <c r="EQ164"/>
  <c r="FI165"/>
  <c r="ET171"/>
  <c r="FI173"/>
  <c r="FM180"/>
  <c r="AD372"/>
  <c r="AD422" s="1"/>
  <c r="FP94"/>
  <c r="FP96"/>
  <c r="FM101"/>
  <c r="FI101"/>
  <c r="FB101"/>
  <c r="EQ101"/>
  <c r="FF102"/>
  <c r="FM103"/>
  <c r="FB104"/>
  <c r="FF106"/>
  <c r="FM107"/>
  <c r="FT110"/>
  <c r="FF110"/>
  <c r="FM111"/>
  <c r="EQ117"/>
  <c r="EQ118"/>
  <c r="FF120"/>
  <c r="FT122"/>
  <c r="FM124"/>
  <c r="FI124"/>
  <c r="FF124"/>
  <c r="EQ125"/>
  <c r="FT126"/>
  <c r="EQ130"/>
  <c r="EU131"/>
  <c r="FF132"/>
  <c r="FF135"/>
  <c r="FF136"/>
  <c r="FM141"/>
  <c r="FT143"/>
  <c r="FB146"/>
  <c r="FF147"/>
  <c r="FB149"/>
  <c r="EU151"/>
  <c r="FI153"/>
  <c r="FA153"/>
  <c r="FF154"/>
  <c r="EX154"/>
  <c r="ET156"/>
  <c r="FF157"/>
  <c r="FF159"/>
  <c r="EQ159"/>
  <c r="FF162"/>
  <c r="FB162"/>
  <c r="EX162"/>
  <c r="ET162"/>
  <c r="FJ163"/>
  <c r="FT164"/>
  <c r="FI164"/>
  <c r="EU165"/>
  <c r="EU166"/>
  <c r="FM170"/>
  <c r="FI170"/>
  <c r="FF171"/>
  <c r="EU173"/>
  <c r="FF174"/>
  <c r="FB175"/>
  <c r="EU176"/>
  <c r="FF177"/>
  <c r="FJ180"/>
  <c r="FA180"/>
  <c r="ET180"/>
  <c r="FM181"/>
  <c r="FF182"/>
  <c r="FB182"/>
  <c r="EU182"/>
  <c r="FB183"/>
  <c r="FF187"/>
  <c r="N377"/>
  <c r="N380"/>
  <c r="Z372"/>
  <c r="Z374" s="1"/>
  <c r="Y377"/>
  <c r="Y375"/>
  <c r="FA89"/>
  <c r="FP90"/>
  <c r="FP92"/>
  <c r="FA92"/>
  <c r="ES100"/>
  <c r="FP101"/>
  <c r="EX101"/>
  <c r="ES107"/>
  <c r="ES109"/>
  <c r="FP110"/>
  <c r="FJ120"/>
  <c r="EP122"/>
  <c r="EV125"/>
  <c r="FD126"/>
  <c r="FD131"/>
  <c r="FD132"/>
  <c r="FA137"/>
  <c r="ES141"/>
  <c r="FD142"/>
  <c r="FA145"/>
  <c r="FD152"/>
  <c r="EX158"/>
  <c r="FA163"/>
  <c r="EV164"/>
  <c r="FA166"/>
  <c r="ES173"/>
  <c r="FA186"/>
  <c r="FK89"/>
  <c r="FT90"/>
  <c r="FQ90"/>
  <c r="EX90"/>
  <c r="ET90"/>
  <c r="FJ92"/>
  <c r="EX92"/>
  <c r="ET92"/>
  <c r="EX94"/>
  <c r="ET94"/>
  <c r="FN96"/>
  <c r="FJ96"/>
  <c r="EV96"/>
  <c r="FP99"/>
  <c r="EV99"/>
  <c r="EQ99"/>
  <c r="EQ100"/>
  <c r="FT101"/>
  <c r="EY101"/>
  <c r="ES101"/>
  <c r="FJ102"/>
  <c r="FD102"/>
  <c r="EV102"/>
  <c r="ES103"/>
  <c r="FP104"/>
  <c r="FH104"/>
  <c r="ET104"/>
  <c r="ES105"/>
  <c r="FP108"/>
  <c r="EV108"/>
  <c r="EQ108"/>
  <c r="EQ109"/>
  <c r="FJ110"/>
  <c r="FD110"/>
  <c r="EQ110"/>
  <c r="FE111"/>
  <c r="FT112"/>
  <c r="EY113"/>
  <c r="FT114"/>
  <c r="FD114"/>
  <c r="EV114"/>
  <c r="EQ114"/>
  <c r="FT116"/>
  <c r="FD116"/>
  <c r="EX116"/>
  <c r="FK117"/>
  <c r="FK120"/>
  <c r="FH120"/>
  <c r="FE120"/>
  <c r="ET120"/>
  <c r="FH122"/>
  <c r="FP124"/>
  <c r="EY124"/>
  <c r="EX126"/>
  <c r="EX129"/>
  <c r="FH131"/>
  <c r="EX131"/>
  <c r="EQ131"/>
  <c r="FN132"/>
  <c r="EX132"/>
  <c r="EP132"/>
  <c r="FN134"/>
  <c r="EX134"/>
  <c r="FH135"/>
  <c r="FD136"/>
  <c r="FK137"/>
  <c r="FH137"/>
  <c r="EQ137"/>
  <c r="FT138"/>
  <c r="EQ138"/>
  <c r="FH139"/>
  <c r="EX139"/>
  <c r="ES139"/>
  <c r="ET139"/>
  <c r="EY140"/>
  <c r="FH142"/>
  <c r="EX142"/>
  <c r="EY144"/>
  <c r="FH145"/>
  <c r="EX145"/>
  <c r="FH146"/>
  <c r="FD146"/>
  <c r="FT147"/>
  <c r="FD147"/>
  <c r="EV147"/>
  <c r="ET148"/>
  <c r="FP149"/>
  <c r="FH149"/>
  <c r="FH150"/>
  <c r="FD150"/>
  <c r="ET152"/>
  <c r="FK153"/>
  <c r="FJ154"/>
  <c r="ET154"/>
  <c r="EX156"/>
  <c r="EQ156"/>
  <c r="FK159"/>
  <c r="FD159"/>
  <c r="FA159"/>
  <c r="ET159"/>
  <c r="FK162"/>
  <c r="EY162"/>
  <c r="FP163"/>
  <c r="EX163"/>
  <c r="ET163"/>
  <c r="FA164"/>
  <c r="EX164"/>
  <c r="FJ165"/>
  <c r="ET165"/>
  <c r="FP167"/>
  <c r="EY169"/>
  <c r="FT170"/>
  <c r="FP170"/>
  <c r="FH170"/>
  <c r="FD170"/>
  <c r="EV170"/>
  <c r="FT171"/>
  <c r="FD171"/>
  <c r="EX173"/>
  <c r="FT175"/>
  <c r="FK176"/>
  <c r="FK180"/>
  <c r="FH180"/>
  <c r="FT182"/>
  <c r="FP183"/>
  <c r="EY185"/>
  <c r="FH186"/>
  <c r="EX186"/>
  <c r="H378"/>
  <c r="N381"/>
  <c r="O372"/>
  <c r="O373" s="1"/>
  <c r="J372"/>
  <c r="J381" s="1"/>
  <c r="E493"/>
  <c r="H494" s="1"/>
  <c r="E475"/>
  <c r="E465"/>
  <c r="H466" s="1"/>
  <c r="FA90"/>
  <c r="ES90"/>
  <c r="ES92"/>
  <c r="FA94"/>
  <c r="ES94"/>
  <c r="FP102"/>
  <c r="EX106"/>
  <c r="FA115"/>
  <c r="ES119"/>
  <c r="FD120"/>
  <c r="ES120"/>
  <c r="EX122"/>
  <c r="FD125"/>
  <c r="FA131"/>
  <c r="EP131"/>
  <c r="FP136"/>
  <c r="FD137"/>
  <c r="FP138"/>
  <c r="FA142"/>
  <c r="FD145"/>
  <c r="EX146"/>
  <c r="FP156"/>
  <c r="FD156"/>
  <c r="FD163"/>
  <c r="ES163"/>
  <c r="FA165"/>
  <c r="ES165"/>
  <c r="FJ171"/>
  <c r="FP177"/>
  <c r="FP182"/>
  <c r="FD182"/>
  <c r="ES182"/>
  <c r="FJ183"/>
  <c r="FD186"/>
  <c r="H379"/>
  <c r="U372"/>
  <c r="U373" s="1"/>
  <c r="E469"/>
  <c r="H468" s="1"/>
  <c r="EV88"/>
  <c r="EX89"/>
  <c r="FJ90"/>
  <c r="FG90"/>
  <c r="EY90"/>
  <c r="EQ90"/>
  <c r="FK92"/>
  <c r="FG92"/>
  <c r="EY92"/>
  <c r="EQ92"/>
  <c r="FK94"/>
  <c r="EY94"/>
  <c r="EQ94"/>
  <c r="FK96"/>
  <c r="FH96"/>
  <c r="FD96"/>
  <c r="FA96"/>
  <c r="ES96"/>
  <c r="EQ97"/>
  <c r="FD99"/>
  <c r="EX99"/>
  <c r="FK100"/>
  <c r="FD101"/>
  <c r="FT102"/>
  <c r="EX102"/>
  <c r="FJ104"/>
  <c r="FD104"/>
  <c r="EV104"/>
  <c r="EQ104"/>
  <c r="EQ105"/>
  <c r="FP106"/>
  <c r="FH106"/>
  <c r="ET106"/>
  <c r="FQ107"/>
  <c r="FA107"/>
  <c r="EQ107"/>
  <c r="FD108"/>
  <c r="FK109"/>
  <c r="EX110"/>
  <c r="ES111"/>
  <c r="FP112"/>
  <c r="FH112"/>
  <c r="ET112"/>
  <c r="ES113"/>
  <c r="ES115"/>
  <c r="EY117"/>
  <c r="EY119"/>
  <c r="EQ119"/>
  <c r="EY120"/>
  <c r="EQ120"/>
  <c r="FT124"/>
  <c r="FJ124"/>
  <c r="ES124"/>
  <c r="FT125"/>
  <c r="FP126"/>
  <c r="FH126"/>
  <c r="ES130"/>
  <c r="FT131"/>
  <c r="EY131"/>
  <c r="EV131"/>
  <c r="FP132"/>
  <c r="FH132"/>
  <c r="EQ133"/>
  <c r="FP135"/>
  <c r="FT136"/>
  <c r="EY137"/>
  <c r="FT139"/>
  <c r="FD139"/>
  <c r="EY139"/>
  <c r="FA140"/>
  <c r="EY141"/>
  <c r="FP142"/>
  <c r="EY142"/>
  <c r="ES142"/>
  <c r="FK143"/>
  <c r="FH143"/>
  <c r="FD143"/>
  <c r="EY145"/>
  <c r="EQ146"/>
  <c r="FJ149"/>
  <c r="FD149"/>
  <c r="FT150"/>
  <c r="FP150"/>
  <c r="EV150"/>
  <c r="EQ150"/>
  <c r="EQ151"/>
  <c r="EQ152"/>
  <c r="EY153"/>
  <c r="EQ153"/>
  <c r="FD154"/>
  <c r="EQ154"/>
  <c r="FJ156"/>
  <c r="EY156"/>
  <c r="ES156"/>
  <c r="FT157"/>
  <c r="FH157"/>
  <c r="EV158"/>
  <c r="FH159"/>
  <c r="FT162"/>
  <c r="FH162"/>
  <c r="FD162"/>
  <c r="ES162"/>
  <c r="FT163"/>
  <c r="FQ163"/>
  <c r="EY163"/>
  <c r="EQ163"/>
  <c r="FH164"/>
  <c r="EY164"/>
  <c r="ES164"/>
  <c r="ET164"/>
  <c r="FK165"/>
  <c r="EY165"/>
  <c r="EQ165"/>
  <c r="FK166"/>
  <c r="ES169"/>
  <c r="FA170"/>
  <c r="ES170"/>
  <c r="FK173"/>
  <c r="EY173"/>
  <c r="EQ173"/>
  <c r="FK174"/>
  <c r="FD174"/>
  <c r="EY174"/>
  <c r="EQ174"/>
  <c r="ET175"/>
  <c r="FH177"/>
  <c r="EX177"/>
  <c r="FK181"/>
  <c r="EY182"/>
  <c r="EQ182"/>
  <c r="EV184"/>
  <c r="FT186"/>
  <c r="EY186"/>
  <c r="AI375"/>
  <c r="H375"/>
  <c r="H380"/>
  <c r="FJ108"/>
  <c r="FK118"/>
  <c r="FM138"/>
  <c r="FS178"/>
  <c r="EY178"/>
  <c r="FR108"/>
  <c r="FF108"/>
  <c r="FO118"/>
  <c r="EY118"/>
  <c r="FP128"/>
  <c r="EZ128"/>
  <c r="EW138"/>
  <c r="ES138"/>
  <c r="FR148"/>
  <c r="FB148"/>
  <c r="ET168"/>
  <c r="FT178"/>
  <c r="FM178"/>
  <c r="FI178"/>
  <c r="FC178"/>
  <c r="EU178"/>
  <c r="FF158"/>
  <c r="FF178"/>
  <c r="EX108"/>
  <c r="EV128"/>
  <c r="FI138"/>
  <c r="FI158"/>
  <c r="FB178"/>
  <c r="FD88"/>
  <c r="FE98"/>
  <c r="FN10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EK137"/>
  <c r="FT158"/>
  <c r="FN158"/>
  <c r="FD158"/>
  <c r="EZ178"/>
  <c r="FR88"/>
  <c r="FJ88"/>
  <c r="FB88"/>
  <c r="ET88"/>
  <c r="FM98"/>
  <c r="FS138"/>
  <c r="FF138"/>
  <c r="FM158"/>
  <c r="EY158"/>
  <c r="FJ168"/>
  <c r="FT88"/>
  <c r="FF88"/>
  <c r="FP88"/>
  <c r="FH88"/>
  <c r="ER88"/>
  <c r="FI98"/>
  <c r="ES98"/>
  <c r="FH128"/>
  <c r="FE138"/>
  <c r="EY138"/>
  <c r="EU138"/>
  <c r="FJ148"/>
  <c r="FO158"/>
  <c r="FH158"/>
  <c r="FE158"/>
  <c r="FB158"/>
  <c r="FR178"/>
  <c r="FO178"/>
  <c r="FK178"/>
  <c r="ES178"/>
  <c r="FT108"/>
  <c r="FH108"/>
  <c r="FR138"/>
  <c r="EF217"/>
  <c r="FH138"/>
  <c r="FB138"/>
  <c r="FR158"/>
  <c r="EQ155"/>
  <c r="EV116"/>
  <c r="EQ116"/>
  <c r="AK29"/>
  <c r="AK45" s="1"/>
  <c r="AK431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Y431" s="1"/>
  <c r="I28"/>
  <c r="I44" s="1"/>
  <c r="I430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Y425" s="1"/>
  <c r="U23"/>
  <c r="U39" s="1"/>
  <c r="M23"/>
  <c r="M39" s="1"/>
  <c r="I23"/>
  <c r="I39" s="1"/>
  <c r="I425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W431" s="1"/>
  <c r="O29"/>
  <c r="O45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I431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Y430" s="1"/>
  <c r="AI28"/>
  <c r="AI44" s="1"/>
  <c r="AA28"/>
  <c r="AA44" s="1"/>
  <c r="W28"/>
  <c r="W44" s="1"/>
  <c r="W430" s="1"/>
  <c r="S28"/>
  <c r="S44" s="1"/>
  <c r="O28"/>
  <c r="O44" s="1"/>
  <c r="K28"/>
  <c r="K44" s="1"/>
  <c r="G28"/>
  <c r="G44" s="1"/>
  <c r="T28"/>
  <c r="T44" s="1"/>
  <c r="H28"/>
  <c r="H44" s="1"/>
  <c r="AE28"/>
  <c r="AE44" s="1"/>
  <c r="AF27"/>
  <c r="AF43" s="1"/>
  <c r="P27"/>
  <c r="P43" s="1"/>
  <c r="D77"/>
  <c r="C380" s="1"/>
  <c r="AK27"/>
  <c r="AK43" s="1"/>
  <c r="AK429" s="1"/>
  <c r="AG27"/>
  <c r="AG43" s="1"/>
  <c r="AC27"/>
  <c r="AC43" s="1"/>
  <c r="Y27"/>
  <c r="Y43" s="1"/>
  <c r="Y429" s="1"/>
  <c r="U27"/>
  <c r="U43" s="1"/>
  <c r="Q27"/>
  <c r="Q43" s="1"/>
  <c r="M27"/>
  <c r="M43" s="1"/>
  <c r="I27"/>
  <c r="I43" s="1"/>
  <c r="I429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K428" s="1"/>
  <c r="AC26"/>
  <c r="AC42" s="1"/>
  <c r="Y26"/>
  <c r="Y42" s="1"/>
  <c r="Y428" s="1"/>
  <c r="Q26"/>
  <c r="Q42" s="1"/>
  <c r="I26"/>
  <c r="I42" s="1"/>
  <c r="I428" s="1"/>
  <c r="X27"/>
  <c r="X43" s="1"/>
  <c r="D75"/>
  <c r="D541" s="1"/>
  <c r="G26"/>
  <c r="G42" s="1"/>
  <c r="G25"/>
  <c r="G41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Y427" s="1"/>
  <c r="Q25"/>
  <c r="Q41" s="1"/>
  <c r="M25"/>
  <c r="M41" s="1"/>
  <c r="I25"/>
  <c r="I41" s="1"/>
  <c r="I427" s="1"/>
  <c r="AF25"/>
  <c r="AF41" s="1"/>
  <c r="H25"/>
  <c r="H41" s="1"/>
  <c r="D74"/>
  <c r="D539" s="1"/>
  <c r="X25"/>
  <c r="X41" s="1"/>
  <c r="AK24"/>
  <c r="AK40" s="1"/>
  <c r="AK426" s="1"/>
  <c r="AG24"/>
  <c r="AG40" s="1"/>
  <c r="AC24"/>
  <c r="AC40" s="1"/>
  <c r="Y24"/>
  <c r="Y40" s="1"/>
  <c r="Y426" s="1"/>
  <c r="U24"/>
  <c r="U40" s="1"/>
  <c r="Q24"/>
  <c r="Q40" s="1"/>
  <c r="M24"/>
  <c r="M40" s="1"/>
  <c r="I24"/>
  <c r="I40" s="1"/>
  <c r="I426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M22"/>
  <c r="M38" s="1"/>
  <c r="I22"/>
  <c r="I38" s="1"/>
  <c r="I424" s="1"/>
  <c r="Q23"/>
  <c r="Q39" s="1"/>
  <c r="D72"/>
  <c r="D535" s="1"/>
  <c r="Y22"/>
  <c r="Y38" s="1"/>
  <c r="Y424" s="1"/>
  <c r="AI30"/>
  <c r="AI46" s="1"/>
  <c r="AA30"/>
  <c r="AA46" s="1"/>
  <c r="O30"/>
  <c r="O46" s="1"/>
  <c r="G21"/>
  <c r="G37" s="1"/>
  <c r="X30"/>
  <c r="X46" s="1"/>
  <c r="T30"/>
  <c r="T46" s="1"/>
  <c r="H30"/>
  <c r="H46" s="1"/>
  <c r="AK30"/>
  <c r="AK46" s="1"/>
  <c r="AK432" s="1"/>
  <c r="AG21"/>
  <c r="AG37" s="1"/>
  <c r="AC30"/>
  <c r="AC46" s="1"/>
  <c r="Y30"/>
  <c r="Y46" s="1"/>
  <c r="Y432" s="1"/>
  <c r="U21"/>
  <c r="U37" s="1"/>
  <c r="Q30"/>
  <c r="Q46" s="1"/>
  <c r="M21"/>
  <c r="M37" s="1"/>
  <c r="I21"/>
  <c r="I37" s="1"/>
  <c r="I423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S30"/>
  <c r="S46" s="1"/>
  <c r="K30"/>
  <c r="K46" s="1"/>
  <c r="G30"/>
  <c r="G46" s="1"/>
  <c r="AD29"/>
  <c r="AD45" s="1"/>
  <c r="V29"/>
  <c r="V45" s="1"/>
  <c r="N29"/>
  <c r="N45" s="1"/>
  <c r="N431" s="1"/>
  <c r="AD27"/>
  <c r="AD43" s="1"/>
  <c r="V27"/>
  <c r="V43" s="1"/>
  <c r="N27"/>
  <c r="N43" s="1"/>
  <c r="AH25"/>
  <c r="AH41" s="1"/>
  <c r="Z25"/>
  <c r="Z41" s="1"/>
  <c r="R25"/>
  <c r="R41" s="1"/>
  <c r="J25"/>
  <c r="J41" s="1"/>
  <c r="AK22"/>
  <c r="AK38" s="1"/>
  <c r="AK424" s="1"/>
  <c r="Y21"/>
  <c r="Y37" s="1"/>
  <c r="Y423" s="1"/>
  <c r="L21"/>
  <c r="L37" s="1"/>
  <c r="AE30"/>
  <c r="AE46" s="1"/>
  <c r="M30"/>
  <c r="M46" s="1"/>
  <c r="W23"/>
  <c r="W39" s="1"/>
  <c r="W425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N427" s="1"/>
  <c r="I30"/>
  <c r="I46" s="1"/>
  <c r="I432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Y381"/>
  <c r="Y379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H492" s="1"/>
  <c r="X372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Z381"/>
  <c r="AA372"/>
  <c r="FJ182"/>
  <c r="FJ158"/>
  <c r="FJ150"/>
  <c r="FJ143"/>
  <c r="FJ142"/>
  <c r="FJ114"/>
  <c r="FJ159"/>
  <c r="FJ145"/>
  <c r="FJ137"/>
  <c r="FJ131"/>
  <c r="E487"/>
  <c r="H488" s="1"/>
  <c r="FE156"/>
  <c r="FC164"/>
  <c r="T372"/>
  <c r="T380" s="1"/>
  <c r="FC169"/>
  <c r="FC156"/>
  <c r="FC153"/>
  <c r="EZ186"/>
  <c r="EZ177"/>
  <c r="EZ170"/>
  <c r="EZ152"/>
  <c r="EZ145"/>
  <c r="EZ131"/>
  <c r="EZ116"/>
  <c r="E477"/>
  <c r="H478" s="1"/>
  <c r="Q372"/>
  <c r="Q374" s="1"/>
  <c r="EZ182"/>
  <c r="EZ154"/>
  <c r="EZ146"/>
  <c r="EZ137"/>
  <c r="EZ120"/>
  <c r="AK378"/>
  <c r="AK379"/>
  <c r="AK377"/>
  <c r="AK374"/>
  <c r="AF380"/>
  <c r="AB378"/>
  <c r="AB374"/>
  <c r="AB375"/>
  <c r="R372"/>
  <c r="FA174"/>
  <c r="FA181"/>
  <c r="FA162"/>
  <c r="FA156"/>
  <c r="EX157"/>
  <c r="EX150"/>
  <c r="EX143"/>
  <c r="EX120"/>
  <c r="E473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H476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E511"/>
  <c r="E501"/>
  <c r="H502" s="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Y373"/>
  <c r="Y374"/>
  <c r="V372"/>
  <c r="G372"/>
  <c r="G422" s="1"/>
  <c r="H514"/>
  <c r="E497"/>
  <c r="H498" s="1"/>
  <c r="E483"/>
  <c r="H484" s="1"/>
  <c r="M378"/>
  <c r="M377"/>
  <c r="AJ372"/>
  <c r="FS164"/>
  <c r="FS162"/>
  <c r="FS139"/>
  <c r="FS180"/>
  <c r="FS169"/>
  <c r="FS156"/>
  <c r="FS153"/>
  <c r="AG372"/>
  <c r="FP152"/>
  <c r="FP145"/>
  <c r="FP143"/>
  <c r="FP131"/>
  <c r="FP116"/>
  <c r="E509"/>
  <c r="H508" s="1"/>
  <c r="FP157"/>
  <c r="FP154"/>
  <c r="FP146"/>
  <c r="FP137"/>
  <c r="FP120"/>
  <c r="K372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AH372"/>
  <c r="AC372"/>
  <c r="AC422" s="1"/>
  <c r="H490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DN98"/>
  <c r="DP98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DM88"/>
  <c r="DO88"/>
  <c r="DQ88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DK98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DK168"/>
  <c r="EU168" s="1"/>
  <c r="DM168"/>
  <c r="EW168" s="1"/>
  <c r="DO168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EU147" s="1"/>
  <c r="DM147"/>
  <c r="EW147" s="1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6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79"/>
  <c r="AG377"/>
  <c r="U382"/>
  <c r="U381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V381"/>
  <c r="L382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P381"/>
  <c r="P377"/>
  <c r="P373"/>
  <c r="P375"/>
  <c r="P380"/>
  <c r="P382"/>
  <c r="P379"/>
  <c r="P378"/>
  <c r="P376"/>
  <c r="M382"/>
  <c r="M380"/>
  <c r="M376"/>
  <c r="M381"/>
  <c r="M374"/>
  <c r="M373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AI382"/>
  <c r="AI378"/>
  <c r="AI373"/>
  <c r="AD374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AK382"/>
  <c r="AK380"/>
  <c r="AK376"/>
  <c r="AK375"/>
  <c r="AK373"/>
  <c r="AB381"/>
  <c r="AB377"/>
  <c r="AB373"/>
  <c r="AB379"/>
  <c r="Y382"/>
  <c r="Y380"/>
  <c r="Y376"/>
  <c r="Y378"/>
  <c r="S376"/>
  <c r="N379"/>
  <c r="N375"/>
  <c r="N378"/>
  <c r="N376"/>
  <c r="H381"/>
  <c r="H377"/>
  <c r="H373"/>
  <c r="H376"/>
  <c r="H374"/>
  <c r="AJ30"/>
  <c r="AJ46" s="1"/>
  <c r="AJ21"/>
  <c r="AJ37" s="1"/>
  <c r="AF21"/>
  <c r="AF37" s="1"/>
  <c r="AF30"/>
  <c r="AF46" s="1"/>
  <c r="AB30"/>
  <c r="AB46" s="1"/>
  <c r="AB21"/>
  <c r="AB37" s="1"/>
  <c r="P21"/>
  <c r="P30"/>
  <c r="P46" s="1"/>
  <c r="AH28"/>
  <c r="AH44" s="1"/>
  <c r="AD28"/>
  <c r="AD44" s="1"/>
  <c r="Z28"/>
  <c r="Z44" s="1"/>
  <c r="V28"/>
  <c r="V44" s="1"/>
  <c r="R28"/>
  <c r="R44" s="1"/>
  <c r="N28"/>
  <c r="N44" s="1"/>
  <c r="N430" s="1"/>
  <c r="J28"/>
  <c r="CM128"/>
  <c r="AF381"/>
  <c r="AC382"/>
  <c r="AC374"/>
  <c r="Q379"/>
  <c r="H512"/>
  <c r="H480"/>
  <c r="H472"/>
  <c r="Z375"/>
  <c r="J375"/>
  <c r="AH23"/>
  <c r="AH39" s="1"/>
  <c r="AH30"/>
  <c r="AH46" s="1"/>
  <c r="AD23"/>
  <c r="AD39" s="1"/>
  <c r="AD30"/>
  <c r="AD46" s="1"/>
  <c r="AD432" s="1"/>
  <c r="Z23"/>
  <c r="Z39" s="1"/>
  <c r="Z30"/>
  <c r="Z46" s="1"/>
  <c r="V23"/>
  <c r="V39" s="1"/>
  <c r="V30"/>
  <c r="V46" s="1"/>
  <c r="R23"/>
  <c r="R39" s="1"/>
  <c r="R30"/>
  <c r="R46" s="1"/>
  <c r="N23"/>
  <c r="N39" s="1"/>
  <c r="N425" s="1"/>
  <c r="N30"/>
  <c r="N46" s="1"/>
  <c r="N432" s="1"/>
  <c r="J23"/>
  <c r="J30"/>
  <c r="D70"/>
  <c r="E459"/>
  <c r="G22"/>
  <c r="D71"/>
  <c r="AH26"/>
  <c r="AH42" s="1"/>
  <c r="AD26"/>
  <c r="AD42" s="1"/>
  <c r="AD428" s="1"/>
  <c r="Z26"/>
  <c r="Z42" s="1"/>
  <c r="V26"/>
  <c r="V42" s="1"/>
  <c r="R26"/>
  <c r="R42" s="1"/>
  <c r="N26"/>
  <c r="N42" s="1"/>
  <c r="N428" s="1"/>
  <c r="J26"/>
  <c r="AH24"/>
  <c r="AH40" s="1"/>
  <c r="AD24"/>
  <c r="AD40" s="1"/>
  <c r="Z24"/>
  <c r="Z40" s="1"/>
  <c r="V24"/>
  <c r="V40" s="1"/>
  <c r="R24"/>
  <c r="R40" s="1"/>
  <c r="N24"/>
  <c r="N40" s="1"/>
  <c r="N426" s="1"/>
  <c r="J24"/>
  <c r="J40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W426" s="1"/>
  <c r="S24"/>
  <c r="S40" s="1"/>
  <c r="S426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N424" s="1"/>
  <c r="J22"/>
  <c r="J38" s="1"/>
  <c r="Z373" l="1"/>
  <c r="T377"/>
  <c r="AB382"/>
  <c r="N429"/>
  <c r="N447" s="1"/>
  <c r="N423"/>
  <c r="N441" s="1"/>
  <c r="AK427"/>
  <c r="AK445" s="1"/>
  <c r="AK430"/>
  <c r="AK448" s="1"/>
  <c r="AK425"/>
  <c r="AK443" s="1"/>
  <c r="AK423"/>
  <c r="AK441" s="1"/>
  <c r="W377"/>
  <c r="M424"/>
  <c r="M442" s="1"/>
  <c r="S425"/>
  <c r="S443" s="1"/>
  <c r="AC427"/>
  <c r="AC445" s="1"/>
  <c r="L429"/>
  <c r="L447" s="1"/>
  <c r="AC431"/>
  <c r="AC449" s="1"/>
  <c r="L428"/>
  <c r="L446" s="1"/>
  <c r="AC425"/>
  <c r="AC443" s="1"/>
  <c r="L425"/>
  <c r="L443" s="1"/>
  <c r="AF374"/>
  <c r="AC376"/>
  <c r="AF373"/>
  <c r="AD375"/>
  <c r="AI374"/>
  <c r="L380"/>
  <c r="U380"/>
  <c r="S380"/>
  <c r="J380"/>
  <c r="S379"/>
  <c r="AC423"/>
  <c r="AC441" s="1"/>
  <c r="L423"/>
  <c r="L441" s="1"/>
  <c r="AD431"/>
  <c r="AD449" s="1"/>
  <c r="H429"/>
  <c r="H447" s="1"/>
  <c r="M429"/>
  <c r="M447" s="1"/>
  <c r="AC429"/>
  <c r="AC447" s="1"/>
  <c r="P429"/>
  <c r="P447" s="1"/>
  <c r="S430"/>
  <c r="S448" s="1"/>
  <c r="P424"/>
  <c r="P442" s="1"/>
  <c r="AD427"/>
  <c r="AD445" s="1"/>
  <c r="H424"/>
  <c r="H442" s="1"/>
  <c r="AF426"/>
  <c r="AF444" s="1"/>
  <c r="AI377"/>
  <c r="AF422"/>
  <c r="AF427" s="1"/>
  <c r="AF445" s="1"/>
  <c r="AF379"/>
  <c r="AC380"/>
  <c r="AF377"/>
  <c r="AF432"/>
  <c r="AF450" s="1"/>
  <c r="AD379"/>
  <c r="L374"/>
  <c r="AF376"/>
  <c r="AD429"/>
  <c r="AD447" s="1"/>
  <c r="L432"/>
  <c r="L450" s="1"/>
  <c r="H425"/>
  <c r="H443" s="1"/>
  <c r="S428"/>
  <c r="S446" s="1"/>
  <c r="AC430"/>
  <c r="AC448" s="1"/>
  <c r="AF431"/>
  <c r="AF449" s="1"/>
  <c r="S431"/>
  <c r="S449" s="1"/>
  <c r="L426"/>
  <c r="L444" s="1"/>
  <c r="H426"/>
  <c r="H444" s="1"/>
  <c r="AD424"/>
  <c r="AD442" s="1"/>
  <c r="AD426"/>
  <c r="AD444" s="1"/>
  <c r="AD425"/>
  <c r="AD443" s="1"/>
  <c r="AC381"/>
  <c r="AF375"/>
  <c r="AC378"/>
  <c r="S374"/>
  <c r="AD377"/>
  <c r="AI376"/>
  <c r="L373"/>
  <c r="S373"/>
  <c r="AF428"/>
  <c r="AF446" s="1"/>
  <c r="AF430"/>
  <c r="AF448" s="1"/>
  <c r="AF425"/>
  <c r="AF443" s="1"/>
  <c r="AA374"/>
  <c r="AA422"/>
  <c r="AA423" s="1"/>
  <c r="AA441" s="1"/>
  <c r="Z376"/>
  <c r="Z422"/>
  <c r="Z428" s="1"/>
  <c r="Z446" s="1"/>
  <c r="K378"/>
  <c r="K422"/>
  <c r="K429" s="1"/>
  <c r="K447" s="1"/>
  <c r="AE374"/>
  <c r="AE422"/>
  <c r="AE428" s="1"/>
  <c r="AE446" s="1"/>
  <c r="X373"/>
  <c r="X422"/>
  <c r="X426" s="1"/>
  <c r="X444" s="1"/>
  <c r="AH375"/>
  <c r="AH422"/>
  <c r="AH430" s="1"/>
  <c r="AH448" s="1"/>
  <c r="R379"/>
  <c r="R422"/>
  <c r="R430" s="1"/>
  <c r="R448" s="1"/>
  <c r="Q382"/>
  <c r="Q422"/>
  <c r="Q428" s="1"/>
  <c r="Q446" s="1"/>
  <c r="T381"/>
  <c r="T422"/>
  <c r="T424" s="1"/>
  <c r="T442" s="1"/>
  <c r="O381"/>
  <c r="O422"/>
  <c r="O424" s="1"/>
  <c r="O442" s="1"/>
  <c r="AI381"/>
  <c r="AI422"/>
  <c r="AI426" s="1"/>
  <c r="AI444" s="1"/>
  <c r="AI380"/>
  <c r="R429"/>
  <c r="R447" s="1"/>
  <c r="G428"/>
  <c r="G446" s="1"/>
  <c r="AE429"/>
  <c r="AE447" s="1"/>
  <c r="G382"/>
  <c r="H470"/>
  <c r="W376"/>
  <c r="Z380"/>
  <c r="AA424"/>
  <c r="AA442" s="1"/>
  <c r="K423"/>
  <c r="K441" s="1"/>
  <c r="R427"/>
  <c r="R445" s="1"/>
  <c r="W432"/>
  <c r="W450" s="1"/>
  <c r="AI425"/>
  <c r="AI443" s="1"/>
  <c r="W427"/>
  <c r="W445" s="1"/>
  <c r="G427"/>
  <c r="T431"/>
  <c r="T449" s="1"/>
  <c r="AE426"/>
  <c r="AE444" s="1"/>
  <c r="R425"/>
  <c r="R443" s="1"/>
  <c r="W378"/>
  <c r="AE382"/>
  <c r="AD430"/>
  <c r="AD448" s="1"/>
  <c r="P432"/>
  <c r="P450" s="1"/>
  <c r="S382"/>
  <c r="AD373"/>
  <c r="AD378"/>
  <c r="L379"/>
  <c r="L381"/>
  <c r="AA377"/>
  <c r="W373"/>
  <c r="S381"/>
  <c r="Z382"/>
  <c r="S377"/>
  <c r="W424"/>
  <c r="W442" s="1"/>
  <c r="H423"/>
  <c r="H441" s="1"/>
  <c r="W423"/>
  <c r="W441" s="1"/>
  <c r="T423"/>
  <c r="T441" s="1"/>
  <c r="S432"/>
  <c r="S450" s="1"/>
  <c r="AD423"/>
  <c r="AD441" s="1"/>
  <c r="M423"/>
  <c r="M441" s="1"/>
  <c r="AC432"/>
  <c r="AC450" s="1"/>
  <c r="T432"/>
  <c r="T450" s="1"/>
  <c r="AA432"/>
  <c r="AA450" s="1"/>
  <c r="AC424"/>
  <c r="AC442" s="1"/>
  <c r="Q426"/>
  <c r="Q444" s="1"/>
  <c r="H427"/>
  <c r="H445" s="1"/>
  <c r="S427"/>
  <c r="S445" s="1"/>
  <c r="X429"/>
  <c r="X447" s="1"/>
  <c r="AC428"/>
  <c r="AC446" s="1"/>
  <c r="P428"/>
  <c r="P446" s="1"/>
  <c r="AA428"/>
  <c r="AA446" s="1"/>
  <c r="S429"/>
  <c r="S447" s="1"/>
  <c r="H430"/>
  <c r="H448" s="1"/>
  <c r="AI430"/>
  <c r="AI448" s="1"/>
  <c r="M430"/>
  <c r="M448" s="1"/>
  <c r="P431"/>
  <c r="P449" s="1"/>
  <c r="H431"/>
  <c r="H449" s="1"/>
  <c r="X428"/>
  <c r="X446" s="1"/>
  <c r="L424"/>
  <c r="L442" s="1"/>
  <c r="P430"/>
  <c r="P448" s="1"/>
  <c r="AG378"/>
  <c r="AG422"/>
  <c r="AG426" s="1"/>
  <c r="AG444" s="1"/>
  <c r="AJ377"/>
  <c r="AJ422"/>
  <c r="AJ431" s="1"/>
  <c r="AJ449" s="1"/>
  <c r="V376"/>
  <c r="V422"/>
  <c r="V425" s="1"/>
  <c r="V443" s="1"/>
  <c r="U375"/>
  <c r="U422"/>
  <c r="U423" s="1"/>
  <c r="U441" s="1"/>
  <c r="J382"/>
  <c r="J422"/>
  <c r="J423" s="1"/>
  <c r="J441" s="1"/>
  <c r="AB380"/>
  <c r="AB422"/>
  <c r="AB428" s="1"/>
  <c r="AB446" s="1"/>
  <c r="R428"/>
  <c r="R446" s="1"/>
  <c r="R431"/>
  <c r="R449" s="1"/>
  <c r="G432"/>
  <c r="G450" s="1"/>
  <c r="X427"/>
  <c r="X445" s="1"/>
  <c r="AI428"/>
  <c r="AI446" s="1"/>
  <c r="AA429"/>
  <c r="AA447" s="1"/>
  <c r="G430"/>
  <c r="G448" s="1"/>
  <c r="U430"/>
  <c r="U448" s="1"/>
  <c r="W382"/>
  <c r="R423"/>
  <c r="R441" s="1"/>
  <c r="G425"/>
  <c r="G443" s="1"/>
  <c r="G429"/>
  <c r="G447" s="1"/>
  <c r="W429"/>
  <c r="W447" s="1"/>
  <c r="U431"/>
  <c r="U449" s="1"/>
  <c r="G431"/>
  <c r="G449" s="1"/>
  <c r="X430"/>
  <c r="X448" s="1"/>
  <c r="K426"/>
  <c r="K444" s="1"/>
  <c r="AA426"/>
  <c r="AA444" s="1"/>
  <c r="AH426"/>
  <c r="AH444" s="1"/>
  <c r="V428"/>
  <c r="V446" s="1"/>
  <c r="R432"/>
  <c r="R450" s="1"/>
  <c r="W374"/>
  <c r="Z379"/>
  <c r="AJ432"/>
  <c r="AJ450" s="1"/>
  <c r="S378"/>
  <c r="X374"/>
  <c r="AD376"/>
  <c r="L375"/>
  <c r="L377"/>
  <c r="AA375"/>
  <c r="AJ373"/>
  <c r="Z378"/>
  <c r="S375"/>
  <c r="S424"/>
  <c r="S442" s="1"/>
  <c r="Z431"/>
  <c r="Z449" s="1"/>
  <c r="S423"/>
  <c r="S441" s="1"/>
  <c r="M432"/>
  <c r="M450" s="1"/>
  <c r="AG432"/>
  <c r="AG450" s="1"/>
  <c r="H432"/>
  <c r="H450" s="1"/>
  <c r="P425"/>
  <c r="P443" s="1"/>
  <c r="AA425"/>
  <c r="AA443" s="1"/>
  <c r="M426"/>
  <c r="M444" s="1"/>
  <c r="AC426"/>
  <c r="AC444" s="1"/>
  <c r="M427"/>
  <c r="M445" s="1"/>
  <c r="H428"/>
  <c r="H446" s="1"/>
  <c r="AG428"/>
  <c r="AG446" s="1"/>
  <c r="W428"/>
  <c r="W446" s="1"/>
  <c r="M428"/>
  <c r="M446" s="1"/>
  <c r="AE430"/>
  <c r="AE448" s="1"/>
  <c r="K430"/>
  <c r="K448" s="1"/>
  <c r="X431"/>
  <c r="X449" s="1"/>
  <c r="L431"/>
  <c r="L449" s="1"/>
  <c r="M431"/>
  <c r="M449" s="1"/>
  <c r="AB431"/>
  <c r="AB449" s="1"/>
  <c r="P427"/>
  <c r="P445" s="1"/>
  <c r="X424"/>
  <c r="X442" s="1"/>
  <c r="M425"/>
  <c r="M443" s="1"/>
  <c r="T426"/>
  <c r="T444" s="1"/>
  <c r="L427"/>
  <c r="L445" s="1"/>
  <c r="X425"/>
  <c r="X443" s="1"/>
  <c r="P426"/>
  <c r="P444" s="1"/>
  <c r="L430"/>
  <c r="L448" s="1"/>
  <c r="Z377"/>
  <c r="DZ218"/>
  <c r="EE217"/>
  <c r="DV219"/>
  <c r="DN212"/>
  <c r="FA88"/>
  <c r="DQ212"/>
  <c r="ES168"/>
  <c r="DI220"/>
  <c r="EU88"/>
  <c r="DK212"/>
  <c r="EU98"/>
  <c r="DK213"/>
  <c r="ER118"/>
  <c r="DH215"/>
  <c r="EY88"/>
  <c r="DO212"/>
  <c r="EX98"/>
  <c r="DN213"/>
  <c r="DZ220"/>
  <c r="DG217"/>
  <c r="DH218"/>
  <c r="DR219"/>
  <c r="DO217"/>
  <c r="DV212"/>
  <c r="EI217"/>
  <c r="DI219"/>
  <c r="DL212"/>
  <c r="EZ98"/>
  <c r="DP213"/>
  <c r="EQ128"/>
  <c r="DG216"/>
  <c r="EY98"/>
  <c r="DO213"/>
  <c r="EQ148"/>
  <c r="DG218"/>
  <c r="EW88"/>
  <c r="DM212"/>
  <c r="EV98"/>
  <c r="DL213"/>
  <c r="DY213"/>
  <c r="DH216"/>
  <c r="ED214"/>
  <c r="DG215"/>
  <c r="DP212"/>
  <c r="DQ213"/>
  <c r="DF216"/>
  <c r="EJ216"/>
  <c r="DT212"/>
  <c r="DH217"/>
  <c r="DM213"/>
  <c r="G423"/>
  <c r="G441" s="1"/>
  <c r="W379"/>
  <c r="W381"/>
  <c r="W375"/>
  <c r="W380"/>
  <c r="V374"/>
  <c r="G459"/>
  <c r="O382"/>
  <c r="AH379"/>
  <c r="U377"/>
  <c r="U376"/>
  <c r="AA379"/>
  <c r="J374"/>
  <c r="AD382"/>
  <c r="AD380"/>
  <c r="AD381"/>
  <c r="L376"/>
  <c r="L378"/>
  <c r="J379"/>
  <c r="AA376"/>
  <c r="AA382"/>
  <c r="FU162"/>
  <c r="H500"/>
  <c r="O379"/>
  <c r="O376"/>
  <c r="I442"/>
  <c r="AK446"/>
  <c r="Y448"/>
  <c r="Y443"/>
  <c r="Y447"/>
  <c r="S444"/>
  <c r="N446"/>
  <c r="AD446"/>
  <c r="N445"/>
  <c r="M61"/>
  <c r="AK442"/>
  <c r="N449"/>
  <c r="I441"/>
  <c r="Y450"/>
  <c r="U61"/>
  <c r="Y446"/>
  <c r="AK447"/>
  <c r="AK449"/>
  <c r="U378"/>
  <c r="U379"/>
  <c r="U374"/>
  <c r="J378"/>
  <c r="J377"/>
  <c r="J376"/>
  <c r="J373"/>
  <c r="AG375"/>
  <c r="AJ374"/>
  <c r="FU131"/>
  <c r="H460"/>
  <c r="O378"/>
  <c r="AE378"/>
  <c r="T378"/>
  <c r="AG373"/>
  <c r="AG382"/>
  <c r="AJ380"/>
  <c r="AJ381"/>
  <c r="FU92"/>
  <c r="O375"/>
  <c r="H510"/>
  <c r="H474"/>
  <c r="O380"/>
  <c r="W61"/>
  <c r="AI61"/>
  <c r="AK444"/>
  <c r="Y445"/>
  <c r="I446"/>
  <c r="I448"/>
  <c r="N442"/>
  <c r="W444"/>
  <c r="N444"/>
  <c r="N443"/>
  <c r="S61"/>
  <c r="I447"/>
  <c r="N448"/>
  <c r="I61"/>
  <c r="I450"/>
  <c r="W443"/>
  <c r="Y441"/>
  <c r="AK61"/>
  <c r="AK450"/>
  <c r="Y442"/>
  <c r="I444"/>
  <c r="Y444"/>
  <c r="I445"/>
  <c r="W448"/>
  <c r="I449"/>
  <c r="W449"/>
  <c r="I443"/>
  <c r="Y449"/>
  <c r="AJ382"/>
  <c r="O374"/>
  <c r="Q376"/>
  <c r="X381"/>
  <c r="AG380"/>
  <c r="AJ378"/>
  <c r="H464"/>
  <c r="O377"/>
  <c r="H482"/>
  <c r="DF212"/>
  <c r="DJ217"/>
  <c r="DJ212"/>
  <c r="DF219"/>
  <c r="DF217"/>
  <c r="DF221"/>
  <c r="DF214"/>
  <c r="DL216"/>
  <c r="DJ219"/>
  <c r="FD168"/>
  <c r="DT220"/>
  <c r="EY168"/>
  <c r="DO220"/>
  <c r="EX128"/>
  <c r="DN216"/>
  <c r="FA118"/>
  <c r="DQ215"/>
  <c r="EQ98"/>
  <c r="DG213"/>
  <c r="FS148"/>
  <c r="EI218"/>
  <c r="FC148"/>
  <c r="DS218"/>
  <c r="FI88"/>
  <c r="DY212"/>
  <c r="EW128"/>
  <c r="DM216"/>
  <c r="EY108"/>
  <c r="DO214"/>
  <c r="FG108"/>
  <c r="DW214"/>
  <c r="FO108"/>
  <c r="EE214"/>
  <c r="FB168"/>
  <c r="DR220"/>
  <c r="FF168"/>
  <c r="DV220"/>
  <c r="FL168"/>
  <c r="EB220"/>
  <c r="FQ168"/>
  <c r="EG220"/>
  <c r="FI168"/>
  <c r="DY220"/>
  <c r="FA168"/>
  <c r="DQ220"/>
  <c r="FN118"/>
  <c r="ED215"/>
  <c r="FF118"/>
  <c r="DV215"/>
  <c r="EX118"/>
  <c r="DN215"/>
  <c r="ET128"/>
  <c r="DJ216"/>
  <c r="FJ128"/>
  <c r="DZ216"/>
  <c r="FM118"/>
  <c r="EC215"/>
  <c r="FC98"/>
  <c r="DS213"/>
  <c r="FS98"/>
  <c r="EI213"/>
  <c r="FH148"/>
  <c r="DX218"/>
  <c r="FM148"/>
  <c r="EC218"/>
  <c r="FE148"/>
  <c r="DU218"/>
  <c r="FS88"/>
  <c r="EI212"/>
  <c r="FK88"/>
  <c r="EA212"/>
  <c r="FC88"/>
  <c r="DS212"/>
  <c r="FO128"/>
  <c r="EE216"/>
  <c r="FG128"/>
  <c r="DW216"/>
  <c r="EY128"/>
  <c r="DO216"/>
  <c r="FR98"/>
  <c r="EH213"/>
  <c r="FJ98"/>
  <c r="DZ213"/>
  <c r="FB98"/>
  <c r="DR213"/>
  <c r="ET98"/>
  <c r="DJ213"/>
  <c r="DM219"/>
  <c r="DJ221"/>
  <c r="EE221"/>
  <c r="EC219"/>
  <c r="DG221"/>
  <c r="DT221"/>
  <c r="EA219"/>
  <c r="EI215"/>
  <c r="DY219"/>
  <c r="DZ219"/>
  <c r="EK156"/>
  <c r="DH221"/>
  <c r="DX221"/>
  <c r="EB219"/>
  <c r="EB217"/>
  <c r="DT214"/>
  <c r="ED212"/>
  <c r="DS219"/>
  <c r="EB216"/>
  <c r="EG221"/>
  <c r="DW219"/>
  <c r="EH217"/>
  <c r="EJ214"/>
  <c r="DL217"/>
  <c r="EJ219"/>
  <c r="DZ217"/>
  <c r="DP214"/>
  <c r="DV221"/>
  <c r="DK221"/>
  <c r="DY221"/>
  <c r="EJ221"/>
  <c r="DR218"/>
  <c r="DI217"/>
  <c r="DP216"/>
  <c r="DO215"/>
  <c r="DV214"/>
  <c r="DO221"/>
  <c r="EC217"/>
  <c r="DZ214"/>
  <c r="FA108"/>
  <c r="DQ214"/>
  <c r="FH168"/>
  <c r="DX220"/>
  <c r="FO168"/>
  <c r="EE220"/>
  <c r="FQ118"/>
  <c r="EG215"/>
  <c r="FT148"/>
  <c r="EJ218"/>
  <c r="FE108"/>
  <c r="DU214"/>
  <c r="FR168"/>
  <c r="EH220"/>
  <c r="FN168"/>
  <c r="ED220"/>
  <c r="FT168"/>
  <c r="EJ220"/>
  <c r="FS168"/>
  <c r="EI220"/>
  <c r="FK168"/>
  <c r="EA220"/>
  <c r="FC168"/>
  <c r="DS220"/>
  <c r="FP118"/>
  <c r="EF215"/>
  <c r="FH118"/>
  <c r="DX215"/>
  <c r="EZ118"/>
  <c r="DP215"/>
  <c r="FF128"/>
  <c r="DV216"/>
  <c r="FI118"/>
  <c r="DY215"/>
  <c r="FO98"/>
  <c r="EE213"/>
  <c r="FL148"/>
  <c r="EB218"/>
  <c r="FO148"/>
  <c r="EE218"/>
  <c r="FG148"/>
  <c r="DW218"/>
  <c r="EY148"/>
  <c r="DO218"/>
  <c r="FM88"/>
  <c r="EC212"/>
  <c r="FE88"/>
  <c r="DU212"/>
  <c r="FQ128"/>
  <c r="EG216"/>
  <c r="FI128"/>
  <c r="DY216"/>
  <c r="FA128"/>
  <c r="DQ216"/>
  <c r="ES128"/>
  <c r="DI216"/>
  <c r="FT98"/>
  <c r="EJ213"/>
  <c r="FL98"/>
  <c r="EB213"/>
  <c r="FD98"/>
  <c r="DT213"/>
  <c r="DI221"/>
  <c r="DX216"/>
  <c r="DX212"/>
  <c r="DZ212"/>
  <c r="DP220"/>
  <c r="DG219"/>
  <c r="DN217"/>
  <c r="DQ217"/>
  <c r="ED217"/>
  <c r="EB214"/>
  <c r="EK171"/>
  <c r="DF215"/>
  <c r="FU137"/>
  <c r="FU170"/>
  <c r="FU173"/>
  <c r="DU221"/>
  <c r="DH219"/>
  <c r="DW215"/>
  <c r="DL220"/>
  <c r="DS217"/>
  <c r="EA221"/>
  <c r="EH221"/>
  <c r="DU219"/>
  <c r="EE219"/>
  <c r="DK217"/>
  <c r="DU217"/>
  <c r="DI213"/>
  <c r="DH212"/>
  <c r="EF212"/>
  <c r="EJ212"/>
  <c r="DO219"/>
  <c r="DV217"/>
  <c r="EC213"/>
  <c r="DR212"/>
  <c r="EH212"/>
  <c r="ED221"/>
  <c r="DX217"/>
  <c r="DX214"/>
  <c r="EI219"/>
  <c r="DL221"/>
  <c r="DZ221"/>
  <c r="DK219"/>
  <c r="DV218"/>
  <c r="EA217"/>
  <c r="DT216"/>
  <c r="DI215"/>
  <c r="DR214"/>
  <c r="DU213"/>
  <c r="DR221"/>
  <c r="DY217"/>
  <c r="DN214"/>
  <c r="DT219"/>
  <c r="EG219"/>
  <c r="DW217"/>
  <c r="EJ217"/>
  <c r="EB212"/>
  <c r="DP217"/>
  <c r="FI108"/>
  <c r="DY214"/>
  <c r="FQ108"/>
  <c r="EG214"/>
  <c r="FG168"/>
  <c r="DW220"/>
  <c r="EQ168"/>
  <c r="DG220"/>
  <c r="FT118"/>
  <c r="EJ215"/>
  <c r="FL118"/>
  <c r="EB215"/>
  <c r="FD118"/>
  <c r="DT215"/>
  <c r="FN128"/>
  <c r="ED216"/>
  <c r="FG98"/>
  <c r="DW213"/>
  <c r="FD148"/>
  <c r="DT218"/>
  <c r="FK148"/>
  <c r="EA218"/>
  <c r="FQ88"/>
  <c r="EG212"/>
  <c r="ES88"/>
  <c r="DI212"/>
  <c r="FM128"/>
  <c r="EC216"/>
  <c r="FE128"/>
  <c r="DU216"/>
  <c r="FP98"/>
  <c r="EF213"/>
  <c r="FH98"/>
  <c r="DX213"/>
  <c r="ER98"/>
  <c r="DH213"/>
  <c r="FM108"/>
  <c r="EC214"/>
  <c r="EW178"/>
  <c r="FU178" s="1"/>
  <c r="DM221"/>
  <c r="FC108"/>
  <c r="DS214"/>
  <c r="FK108"/>
  <c r="EA214"/>
  <c r="FS108"/>
  <c r="EI214"/>
  <c r="ER168"/>
  <c r="DH220"/>
  <c r="FM168"/>
  <c r="EC220"/>
  <c r="FE168"/>
  <c r="DU220"/>
  <c r="FR118"/>
  <c r="EH215"/>
  <c r="FJ118"/>
  <c r="DZ215"/>
  <c r="FB118"/>
  <c r="DR215"/>
  <c r="FB128"/>
  <c r="DR216"/>
  <c r="FR128"/>
  <c r="EH216"/>
  <c r="FE118"/>
  <c r="DU215"/>
  <c r="FK98"/>
  <c r="EA213"/>
  <c r="FP148"/>
  <c r="EF218"/>
  <c r="EZ148"/>
  <c r="DP218"/>
  <c r="FQ148"/>
  <c r="EG218"/>
  <c r="FI148"/>
  <c r="DY218"/>
  <c r="FA148"/>
  <c r="DQ218"/>
  <c r="FO88"/>
  <c r="EE212"/>
  <c r="FG88"/>
  <c r="DW212"/>
  <c r="EQ88"/>
  <c r="DG212"/>
  <c r="FS128"/>
  <c r="EI216"/>
  <c r="FK128"/>
  <c r="EA216"/>
  <c r="FC128"/>
  <c r="DS216"/>
  <c r="EU128"/>
  <c r="DK216"/>
  <c r="FN98"/>
  <c r="ED213"/>
  <c r="FF98"/>
  <c r="DV213"/>
  <c r="DN221"/>
  <c r="EF220"/>
  <c r="EF219"/>
  <c r="DX219"/>
  <c r="FU125"/>
  <c r="FU106"/>
  <c r="FU102"/>
  <c r="DF220"/>
  <c r="DF218"/>
  <c r="DF213"/>
  <c r="FU147"/>
  <c r="FU129"/>
  <c r="FU158"/>
  <c r="DG214"/>
  <c r="DL219"/>
  <c r="DQ221"/>
  <c r="DN219"/>
  <c r="EF214"/>
  <c r="EF221"/>
  <c r="ED218"/>
  <c r="DW221"/>
  <c r="DQ219"/>
  <c r="EH219"/>
  <c r="DR217"/>
  <c r="DS215"/>
  <c r="EB221"/>
  <c r="DP221"/>
  <c r="DP219"/>
  <c r="ED219"/>
  <c r="DT217"/>
  <c r="EG217"/>
  <c r="EG213"/>
  <c r="DN218"/>
  <c r="DS221"/>
  <c r="EC221"/>
  <c r="DJ220"/>
  <c r="EH218"/>
  <c r="DM217"/>
  <c r="EF216"/>
  <c r="EE215"/>
  <c r="EH214"/>
  <c r="EI221"/>
  <c r="EA215"/>
  <c r="DH214"/>
  <c r="DL214"/>
  <c r="DJ214"/>
  <c r="EW118"/>
  <c r="DM215"/>
  <c r="ET118"/>
  <c r="DJ215"/>
  <c r="FA91"/>
  <c r="EU91"/>
  <c r="EV123"/>
  <c r="DL215"/>
  <c r="EU123"/>
  <c r="DK215"/>
  <c r="ET155"/>
  <c r="DJ218"/>
  <c r="ES155"/>
  <c r="DI218"/>
  <c r="ER148"/>
  <c r="EW116"/>
  <c r="DM214"/>
  <c r="EU116"/>
  <c r="DK214"/>
  <c r="ES116"/>
  <c r="DI214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DN220"/>
  <c r="EW175"/>
  <c r="DM220"/>
  <c r="EU175"/>
  <c r="DK220"/>
  <c r="FU165"/>
  <c r="EV153"/>
  <c r="DL218"/>
  <c r="EW154"/>
  <c r="DM218"/>
  <c r="EU154"/>
  <c r="DK218"/>
  <c r="K381"/>
  <c r="K379"/>
  <c r="K373"/>
  <c r="K380"/>
  <c r="K376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D26"/>
  <c r="C374"/>
  <c r="D533"/>
  <c r="I54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J432" s="1"/>
  <c r="Z61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I496" s="1"/>
  <c r="J496" s="1"/>
  <c r="G495"/>
  <c r="F487"/>
  <c r="I488" s="1"/>
  <c r="J488" s="1"/>
  <c r="G487"/>
  <c r="F479"/>
  <c r="I480" s="1"/>
  <c r="J480" s="1"/>
  <c r="G479"/>
  <c r="F471"/>
  <c r="I472" s="1"/>
  <c r="J472" s="1"/>
  <c r="G471"/>
  <c r="F463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I492" s="1"/>
  <c r="J492" s="1"/>
  <c r="G491"/>
  <c r="F475"/>
  <c r="I476" s="1"/>
  <c r="J476" s="1"/>
  <c r="G475"/>
  <c r="F459"/>
  <c r="I542"/>
  <c r="I550"/>
  <c r="J39"/>
  <c r="J425" s="1"/>
  <c r="D23"/>
  <c r="AF61"/>
  <c r="EP107"/>
  <c r="FU107" s="1"/>
  <c r="EK107"/>
  <c r="EP155"/>
  <c r="EK155"/>
  <c r="EP123"/>
  <c r="EK123"/>
  <c r="EP130"/>
  <c r="FU130" s="1"/>
  <c r="EK130"/>
  <c r="F517"/>
  <c r="I518" s="1"/>
  <c r="J518" s="1"/>
  <c r="G517"/>
  <c r="F501"/>
  <c r="I502" s="1"/>
  <c r="J502" s="1"/>
  <c r="G501"/>
  <c r="F485"/>
  <c r="G485"/>
  <c r="F469"/>
  <c r="G469"/>
  <c r="R61"/>
  <c r="AH61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I490" s="1"/>
  <c r="J490" s="1"/>
  <c r="G481"/>
  <c r="F481"/>
  <c r="G473"/>
  <c r="F473"/>
  <c r="G465"/>
  <c r="F465"/>
  <c r="I466" s="1"/>
  <c r="J466" s="1"/>
  <c r="G38"/>
  <c r="G424" s="1"/>
  <c r="D22"/>
  <c r="C373"/>
  <c r="D531"/>
  <c r="N450"/>
  <c r="N61"/>
  <c r="V61"/>
  <c r="AD450"/>
  <c r="AD61"/>
  <c r="I536"/>
  <c r="J44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Q423" l="1"/>
  <c r="Q441" s="1"/>
  <c r="AG425"/>
  <c r="AG443" s="1"/>
  <c r="AE431"/>
  <c r="AE449" s="1"/>
  <c r="Q430"/>
  <c r="Q448" s="1"/>
  <c r="Z427"/>
  <c r="Z445" s="1"/>
  <c r="AH425"/>
  <c r="AH443" s="1"/>
  <c r="AF424"/>
  <c r="AF442" s="1"/>
  <c r="AF429"/>
  <c r="AF447" s="1"/>
  <c r="V429"/>
  <c r="V447" s="1"/>
  <c r="V430"/>
  <c r="V448" s="1"/>
  <c r="J430"/>
  <c r="J429"/>
  <c r="AG427"/>
  <c r="AG445" s="1"/>
  <c r="AH432"/>
  <c r="AH450" s="1"/>
  <c r="O431"/>
  <c r="O449" s="1"/>
  <c r="O427"/>
  <c r="O445" s="1"/>
  <c r="Z423"/>
  <c r="Z441" s="1"/>
  <c r="O428"/>
  <c r="O446" s="1"/>
  <c r="V427"/>
  <c r="V445" s="1"/>
  <c r="Q424"/>
  <c r="Q442" s="1"/>
  <c r="Z424"/>
  <c r="Z442" s="1"/>
  <c r="AE424"/>
  <c r="AE442" s="1"/>
  <c r="I474"/>
  <c r="J474" s="1"/>
  <c r="K474" s="1"/>
  <c r="I470"/>
  <c r="J470" s="1"/>
  <c r="K472" s="1"/>
  <c r="J431"/>
  <c r="J449" s="1"/>
  <c r="O429"/>
  <c r="O447" s="1"/>
  <c r="O432"/>
  <c r="O450" s="1"/>
  <c r="AH427"/>
  <c r="AH445" s="1"/>
  <c r="Z429"/>
  <c r="Z447" s="1"/>
  <c r="Z430"/>
  <c r="Z448" s="1"/>
  <c r="Z432"/>
  <c r="Z450" s="1"/>
  <c r="O425"/>
  <c r="O443" s="1"/>
  <c r="AG424"/>
  <c r="AG442" s="1"/>
  <c r="Z426"/>
  <c r="Z444" s="1"/>
  <c r="AE423"/>
  <c r="AE441" s="1"/>
  <c r="AE425"/>
  <c r="AE443" s="1"/>
  <c r="AH431"/>
  <c r="AH449" s="1"/>
  <c r="Z425"/>
  <c r="Z443" s="1"/>
  <c r="O426"/>
  <c r="O444" s="1"/>
  <c r="V432"/>
  <c r="V450" s="1"/>
  <c r="Q429"/>
  <c r="Q447" s="1"/>
  <c r="O423"/>
  <c r="O441" s="1"/>
  <c r="AF423"/>
  <c r="AF441" s="1"/>
  <c r="AH424"/>
  <c r="AH442" s="1"/>
  <c r="AH423"/>
  <c r="AH441" s="1"/>
  <c r="AH428"/>
  <c r="AH446" s="1"/>
  <c r="Q425"/>
  <c r="Q443" s="1"/>
  <c r="I510"/>
  <c r="J510" s="1"/>
  <c r="K510" s="1"/>
  <c r="J428"/>
  <c r="AG431"/>
  <c r="AG449" s="1"/>
  <c r="AG430"/>
  <c r="AG448" s="1"/>
  <c r="AE427"/>
  <c r="AE445" s="1"/>
  <c r="Q432"/>
  <c r="Q450" s="1"/>
  <c r="J424"/>
  <c r="J442" s="1"/>
  <c r="AG429"/>
  <c r="AG447" s="1"/>
  <c r="V423"/>
  <c r="V441" s="1"/>
  <c r="U425"/>
  <c r="U443" s="1"/>
  <c r="Q431"/>
  <c r="Q449" s="1"/>
  <c r="O430"/>
  <c r="O448" s="1"/>
  <c r="Q427"/>
  <c r="Q445" s="1"/>
  <c r="AE432"/>
  <c r="AE450" s="1"/>
  <c r="AH429"/>
  <c r="AH447" s="1"/>
  <c r="V424"/>
  <c r="V442" s="1"/>
  <c r="AG423"/>
  <c r="AG441" s="1"/>
  <c r="J426"/>
  <c r="J444" s="1"/>
  <c r="AJ429"/>
  <c r="AJ447" s="1"/>
  <c r="AB427"/>
  <c r="AB445" s="1"/>
  <c r="U428"/>
  <c r="U446" s="1"/>
  <c r="AB430"/>
  <c r="AB448" s="1"/>
  <c r="AB423"/>
  <c r="AB441" s="1"/>
  <c r="I482"/>
  <c r="J482" s="1"/>
  <c r="K482" s="1"/>
  <c r="T425"/>
  <c r="T443" s="1"/>
  <c r="AA431"/>
  <c r="AA449" s="1"/>
  <c r="AA430"/>
  <c r="AA448" s="1"/>
  <c r="AI429"/>
  <c r="AI447" s="1"/>
  <c r="K427"/>
  <c r="K445" s="1"/>
  <c r="K432"/>
  <c r="K450" s="1"/>
  <c r="R426"/>
  <c r="R444" s="1"/>
  <c r="R424"/>
  <c r="R442" s="1"/>
  <c r="AJ426"/>
  <c r="AJ444" s="1"/>
  <c r="U426"/>
  <c r="U444" s="1"/>
  <c r="X432"/>
  <c r="X450" s="1"/>
  <c r="AA427"/>
  <c r="AA445" s="1"/>
  <c r="AJ427"/>
  <c r="AJ445" s="1"/>
  <c r="AB424"/>
  <c r="AB442" s="1"/>
  <c r="K431"/>
  <c r="K449" s="1"/>
  <c r="J427"/>
  <c r="J445" s="1"/>
  <c r="T430"/>
  <c r="T448" s="1"/>
  <c r="AJ428"/>
  <c r="AJ446" s="1"/>
  <c r="X423"/>
  <c r="X441" s="1"/>
  <c r="AB425"/>
  <c r="AB443" s="1"/>
  <c r="AB429"/>
  <c r="AB447" s="1"/>
  <c r="AJ424"/>
  <c r="AJ442" s="1"/>
  <c r="AB426"/>
  <c r="AB444" s="1"/>
  <c r="U427"/>
  <c r="U445" s="1"/>
  <c r="T428"/>
  <c r="T446" s="1"/>
  <c r="U429"/>
  <c r="U447" s="1"/>
  <c r="U432"/>
  <c r="U450" s="1"/>
  <c r="AI423"/>
  <c r="AI441" s="1"/>
  <c r="AI424"/>
  <c r="AI442" s="1"/>
  <c r="AB432"/>
  <c r="AB450" s="1"/>
  <c r="AJ425"/>
  <c r="AJ443" s="1"/>
  <c r="T427"/>
  <c r="T445" s="1"/>
  <c r="AI432"/>
  <c r="AI450" s="1"/>
  <c r="AJ430"/>
  <c r="AJ448" s="1"/>
  <c r="T429"/>
  <c r="T447" s="1"/>
  <c r="AJ423"/>
  <c r="AJ441" s="1"/>
  <c r="K425"/>
  <c r="K443" s="1"/>
  <c r="AI431"/>
  <c r="AI449" s="1"/>
  <c r="K428"/>
  <c r="K446" s="1"/>
  <c r="AI427"/>
  <c r="AI445" s="1"/>
  <c r="V431"/>
  <c r="V449" s="1"/>
  <c r="V426"/>
  <c r="V444" s="1"/>
  <c r="U424"/>
  <c r="U442" s="1"/>
  <c r="K424"/>
  <c r="K442" s="1"/>
  <c r="Y11"/>
  <c r="I500"/>
  <c r="J500" s="1"/>
  <c r="K502" s="1"/>
  <c r="I464"/>
  <c r="J464" s="1"/>
  <c r="K464" s="1"/>
  <c r="FU128"/>
  <c r="AD8" s="1"/>
  <c r="I504"/>
  <c r="J504" s="1"/>
  <c r="K506" s="1"/>
  <c r="FU108"/>
  <c r="FU88"/>
  <c r="I460"/>
  <c r="J460" s="1"/>
  <c r="K462" s="1"/>
  <c r="DG232"/>
  <c r="DG229"/>
  <c r="AD9"/>
  <c r="DG226"/>
  <c r="FU154"/>
  <c r="FU148"/>
  <c r="DG230"/>
  <c r="DG234"/>
  <c r="Z9"/>
  <c r="FU153"/>
  <c r="AD13"/>
  <c r="X11"/>
  <c r="FU98"/>
  <c r="AD5" s="1"/>
  <c r="FU168"/>
  <c r="FU116"/>
  <c r="DG233"/>
  <c r="FU118"/>
  <c r="DG228"/>
  <c r="FU91"/>
  <c r="DG225"/>
  <c r="FU123"/>
  <c r="FU155"/>
  <c r="DG231"/>
  <c r="DG227"/>
  <c r="I546"/>
  <c r="D43"/>
  <c r="E43" s="1"/>
  <c r="E41"/>
  <c r="D377"/>
  <c r="E377" s="1"/>
  <c r="K492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K514"/>
  <c r="D375"/>
  <c r="E375" s="1"/>
  <c r="D32"/>
  <c r="AN15" s="1"/>
  <c r="D45"/>
  <c r="E45" s="1"/>
  <c r="FU175"/>
  <c r="AD11"/>
  <c r="AC11"/>
  <c r="G445"/>
  <c r="K494"/>
  <c r="K498"/>
  <c r="AC9"/>
  <c r="I486"/>
  <c r="J486" s="1"/>
  <c r="K486" s="1"/>
  <c r="K518"/>
  <c r="AE13"/>
  <c r="D374"/>
  <c r="E374" s="1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9"/>
  <c r="AE11"/>
  <c r="K516"/>
  <c r="G520"/>
  <c r="AR15" s="1"/>
  <c r="X9"/>
  <c r="Z11"/>
  <c r="K508"/>
  <c r="AC13"/>
  <c r="Y13"/>
  <c r="X13"/>
  <c r="Z13"/>
  <c r="AA13" s="1"/>
  <c r="D405"/>
  <c r="E405" s="1"/>
  <c r="E531" s="1"/>
  <c r="G531" s="1"/>
  <c r="E410"/>
  <c r="G410"/>
  <c r="X6"/>
  <c r="Y6"/>
  <c r="Z6"/>
  <c r="G407"/>
  <c r="E407"/>
  <c r="I534"/>
  <c r="I532"/>
  <c r="AE8"/>
  <c r="Y4"/>
  <c r="Z4"/>
  <c r="X4"/>
  <c r="Z7"/>
  <c r="X7"/>
  <c r="Y7"/>
  <c r="J61"/>
  <c r="D61" s="1"/>
  <c r="D46"/>
  <c r="E46" s="1"/>
  <c r="D406"/>
  <c r="Y9"/>
  <c r="K496"/>
  <c r="K490"/>
  <c r="K478"/>
  <c r="K480"/>
  <c r="K468"/>
  <c r="K470" l="1"/>
  <c r="K476"/>
  <c r="K512"/>
  <c r="K484"/>
  <c r="C449"/>
  <c r="C445"/>
  <c r="C429"/>
  <c r="C427"/>
  <c r="AC8"/>
  <c r="AF9"/>
  <c r="AA11"/>
  <c r="AC4"/>
  <c r="F393"/>
  <c r="F379" s="1"/>
  <c r="E57" s="1"/>
  <c r="V57" s="1"/>
  <c r="F395"/>
  <c r="F381" s="1"/>
  <c r="E59" s="1"/>
  <c r="T59" s="1"/>
  <c r="F390"/>
  <c r="F376" s="1"/>
  <c r="E54" s="1"/>
  <c r="AG54" s="1"/>
  <c r="C431"/>
  <c r="J447"/>
  <c r="C447" s="1"/>
  <c r="K500"/>
  <c r="K466"/>
  <c r="AF13"/>
  <c r="K504"/>
  <c r="AE5"/>
  <c r="AF5" s="1"/>
  <c r="F394"/>
  <c r="F380" s="1"/>
  <c r="E58" s="1"/>
  <c r="U58" s="1"/>
  <c r="AC5"/>
  <c r="AD6"/>
  <c r="DH229"/>
  <c r="AE7"/>
  <c r="AE6"/>
  <c r="AA9"/>
  <c r="DH232"/>
  <c r="DH233"/>
  <c r="AC6"/>
  <c r="DH230"/>
  <c r="AC12"/>
  <c r="DH234"/>
  <c r="DH226"/>
  <c r="AE10"/>
  <c r="AC7"/>
  <c r="DH228"/>
  <c r="AD4"/>
  <c r="AE4"/>
  <c r="AD7"/>
  <c r="DH227"/>
  <c r="AD10"/>
  <c r="AC10"/>
  <c r="DH231"/>
  <c r="AA6"/>
  <c r="F396"/>
  <c r="F382" s="1"/>
  <c r="E60" s="1"/>
  <c r="K60" s="1"/>
  <c r="F392"/>
  <c r="F378" s="1"/>
  <c r="E56" s="1"/>
  <c r="K56" s="1"/>
  <c r="F389"/>
  <c r="F375" s="1"/>
  <c r="E53" s="1"/>
  <c r="J53" s="1"/>
  <c r="K460"/>
  <c r="F391"/>
  <c r="F377" s="1"/>
  <c r="E55" s="1"/>
  <c r="K488"/>
  <c r="AD12"/>
  <c r="AA12"/>
  <c r="AE12"/>
  <c r="AF11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F388"/>
  <c r="F374" s="1"/>
  <c r="E52" s="1"/>
  <c r="AA7"/>
  <c r="AF8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AA4"/>
  <c r="J57" l="1"/>
  <c r="T57"/>
  <c r="AE57"/>
  <c r="Z57"/>
  <c r="AI57"/>
  <c r="M57"/>
  <c r="AF57"/>
  <c r="AC57"/>
  <c r="H57"/>
  <c r="AB57"/>
  <c r="Q57"/>
  <c r="N57"/>
  <c r="P57"/>
  <c r="AJ57"/>
  <c r="U57"/>
  <c r="AH57"/>
  <c r="R57"/>
  <c r="G57"/>
  <c r="K57"/>
  <c r="AG57"/>
  <c r="AD57"/>
  <c r="W57"/>
  <c r="S57"/>
  <c r="AK57"/>
  <c r="X57"/>
  <c r="AA57"/>
  <c r="O57"/>
  <c r="L57"/>
  <c r="Y57"/>
  <c r="I57"/>
  <c r="H59"/>
  <c r="J59"/>
  <c r="AC59"/>
  <c r="AG59"/>
  <c r="G59"/>
  <c r="X59"/>
  <c r="M59"/>
  <c r="W59"/>
  <c r="AD54"/>
  <c r="P54"/>
  <c r="H54"/>
  <c r="V54"/>
  <c r="U59"/>
  <c r="I59"/>
  <c r="AA59"/>
  <c r="L59"/>
  <c r="AK59"/>
  <c r="V59"/>
  <c r="Q59"/>
  <c r="Z59"/>
  <c r="AE59"/>
  <c r="O59"/>
  <c r="AF59"/>
  <c r="P59"/>
  <c r="K54"/>
  <c r="N54"/>
  <c r="N59"/>
  <c r="R59"/>
  <c r="K59"/>
  <c r="AB59"/>
  <c r="AD59"/>
  <c r="Y59"/>
  <c r="AH59"/>
  <c r="AI59"/>
  <c r="S59"/>
  <c r="AJ59"/>
  <c r="L54"/>
  <c r="U54"/>
  <c r="S54"/>
  <c r="T54"/>
  <c r="Z54"/>
  <c r="M54"/>
  <c r="AB54"/>
  <c r="J54"/>
  <c r="X54"/>
  <c r="AI54"/>
  <c r="AJ54"/>
  <c r="AA54"/>
  <c r="W54"/>
  <c r="AF54"/>
  <c r="AC54"/>
  <c r="AH54"/>
  <c r="Y54"/>
  <c r="R54"/>
  <c r="O54"/>
  <c r="I54"/>
  <c r="G54"/>
  <c r="AK54"/>
  <c r="AE54"/>
  <c r="Q54"/>
  <c r="AI58"/>
  <c r="L58"/>
  <c r="Q58"/>
  <c r="AC58"/>
  <c r="K58"/>
  <c r="AA58"/>
  <c r="X58"/>
  <c r="S58"/>
  <c r="AF6"/>
  <c r="AD58"/>
  <c r="AE58"/>
  <c r="Y58"/>
  <c r="M58"/>
  <c r="Z58"/>
  <c r="AK58"/>
  <c r="R58"/>
  <c r="AG58"/>
  <c r="J58"/>
  <c r="AB58"/>
  <c r="AH58"/>
  <c r="N58"/>
  <c r="I58"/>
  <c r="AJ58"/>
  <c r="AF58"/>
  <c r="T58"/>
  <c r="O58"/>
  <c r="P58"/>
  <c r="G58"/>
  <c r="V58"/>
  <c r="W58"/>
  <c r="H58"/>
  <c r="AF10"/>
  <c r="AF7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I520"/>
  <c r="F522" s="1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7" l="1"/>
  <c r="D59"/>
  <c r="D54"/>
  <c r="D58"/>
  <c r="D56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<sst xmlns="http://schemas.openxmlformats.org/spreadsheetml/2006/main" count="1029" uniqueCount="150">
  <si>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</si>
  <si>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</si>
  <si>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</si>
  <si>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</si>
  <si>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</si>
  <si>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</si>
  <si>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</si>
  <si>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</si>
  <si>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</si>
  <si>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</si>
  <si>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</si>
  <si>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</si>
  <si>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</si>
  <si>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</si>
  <si>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</si>
  <si>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</si>
  <si>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</si>
  <si>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</si>
  <si>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</si>
  <si>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</si>
  <si>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</si>
  <si>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</si>
  <si>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</si>
  <si>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</si>
  <si>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</si>
  <si>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</si>
  <si>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</si>
  <si>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</si>
  <si>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</si>
  <si>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</si>
  <si>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</si>
  <si>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</si>
  <si>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</si>
  <si>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</si>
  <si>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</si>
  <si>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</si>
  <si>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</si>
  <si>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</si>
  <si>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</si>
  <si>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</si>
  <si>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</si>
  <si>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</si>
  <si>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</si>
  <si>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</si>
  <si>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</si>
  <si>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</si>
  <si>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</si>
  <si>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</si>
  <si>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</si>
  <si>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</si>
  <si>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</si>
  <si>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</si>
  <si>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</si>
  <si>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</si>
  <si>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</si>
  <si>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</si>
  <si>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</si>
  <si>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</si>
  <si>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</si>
  <si>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</si>
  <si>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</si>
  <si>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</si>
  <si>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</si>
  <si>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</si>
  <si>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</si>
  <si>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</si>
  <si>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</si>
  <si>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</si>
  <si>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</si>
  <si>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</si>
  <si>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</si>
  <si>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</si>
  <si>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</si>
  <si>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</si>
  <si>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</si>
  <si>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</si>
  <si>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</si>
  <si>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</si>
  <si>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</si>
  <si>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</si>
  <si>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</si>
  <si>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</si>
  <si>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</si>
  <si>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</si>
  <si>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</si>
  <si>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</si>
  <si>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</si>
  <si>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</si>
  <si>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</si>
  <si>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</si>
  <si>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</si>
  <si>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</si>
  <si>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</si>
  <si>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</si>
  <si>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</si>
  <si>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</si>
  <si>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</si>
  <si>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</si>
  <si>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</si>
  <si>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</si>
  <si>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</si>
  <si>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</si>
  <si>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</si>
  <si>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</si>
  <si>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</si>
  <si>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</si>
  <si>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</si>
  <si>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</si>
  <si>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</si>
  <si>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</si>
  <si>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</si>
  <si>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</si>
  <si>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</si>
  <si>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</si>
  <si>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</si>
  <si>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</si>
  <si>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</si>
  <si>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</si>
  <si>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</si>
  <si>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</si>
  <si>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</si>
  <si>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</si>
  <si>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</si>
  <si>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</si>
  <si>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</si>
  <si>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</si>
  <si>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</si>
  <si>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</si>
  <si>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</si>
  <si>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</si>
  <si>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</si>
  <si>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</si>
  <si>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</si>
  <si>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</si>
  <si>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</si>
  <si>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</si>
  <si>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</si>
  <si>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</si>
  <si>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</si>
  <si>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</si>
  <si>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</si>
  <si>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</si>
  <si>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</si>
  <si>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Inerval Growth Boot</t>
  </si>
  <si>
    <t>Boot</t>
  </si>
  <si>
    <t>Interval Growth Variation</t>
  </si>
  <si>
    <t>Avg. Boot</t>
  </si>
  <si>
    <t>Upper 95% CI</t>
  </si>
  <si>
    <t>Lower 95% CI</t>
  </si>
  <si>
    <t>Limn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</si>
</sst>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26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1" borderId="0" xfId="0" applyFill="1"/>
    <xf numFmtId="0" fontId="1" fillId="31" borderId="10" xfId="0" applyFont="1" applyFill="1" applyBorder="1"/>
    <xf numFmtId="2" fontId="3" fillId="29" borderId="0" xfId="0" applyNumberFormat="1" applyFont="1" applyFill="1" applyBorder="1"/>
    <xf numFmtId="0" fontId="1" fillId="32" borderId="0" xfId="0" applyFont="1" applyFill="1"/>
    <xf numFmtId="0" fontId="1" fillId="30" borderId="13" xfId="0" applyFont="1" applyFill="1" applyBorder="1" applyAlignment="1"/>
    <xf numFmtId="0" fontId="1" fillId="30" borderId="14" xfId="0" applyFont="1" applyFill="1" applyBorder="1" applyAlignment="1">
      <alignment horizontal="center"/>
    </xf>
    <xf numFmtId="164" fontId="1" fillId="30" borderId="14" xfId="0" applyNumberFormat="1" applyFont="1" applyFill="1" applyBorder="1" applyAlignment="1"/>
    <xf numFmtId="0" fontId="1" fillId="30" borderId="14" xfId="0" applyFont="1" applyFill="1" applyBorder="1" applyAlignment="1"/>
    <xf numFmtId="0" fontId="1" fillId="33" borderId="10" xfId="0" applyFont="1" applyFill="1" applyBorder="1"/>
    <xf numFmtId="164" fontId="3" fillId="20" borderId="11" xfId="0" applyNumberFormat="1" applyFont="1" applyFill="1" applyBorder="1"/>
    <xf numFmtId="0" fontId="3" fillId="20" borderId="11" xfId="0" applyFont="1" applyFill="1" applyBorder="1"/>
    <xf numFmtId="0" fontId="3" fillId="17" borderId="0" xfId="0" applyFont="1" applyFill="1" applyBorder="1"/>
    <xf numFmtId="0" fontId="3" fillId="20" borderId="0" xfId="0" applyFont="1" applyFill="1" applyBorder="1"/>
    <xf numFmtId="0" fontId="9" fillId="20" borderId="0" xfId="0" applyFont="1" applyFill="1" applyBorder="1" applyAlignment="1">
      <alignment horizontal="right"/>
    </xf>
    <xf numFmtId="167" fontId="3" fillId="0" borderId="0" xfId="0" applyNumberFormat="1" applyFont="1" applyBorder="1"/>
    <xf numFmtId="0" fontId="4" fillId="23" borderId="0" xfId="0" applyFont="1" applyFill="1" applyBorder="1"/>
    <xf numFmtId="0" fontId="3" fillId="20" borderId="0" xfId="0" applyFont="1" applyFill="1" applyBorder="1" applyAlignment="1">
      <alignment horizontal="center"/>
    </xf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2" borderId="12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  <xf numFmtId="0" fontId="43" fillId="20" borderId="12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C1338"/>
  <sheetViews>
    <sheetView tabSelected="1" topLeftCell="FW952" zoomScale="85" zoomScaleNormal="85" workbookViewId="0">
      <selection activeCell="FZ6" sqref="FZ6:GI1005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customWidth="1"/>
    <col min="165" max="176" width="8.85546875" style="8"/>
    <col min="177" max="177" width="15.140625" style="8" customWidth="1"/>
    <col min="178" max="16384" width="8.85546875" style="8"/>
  </cols>
  <sheetData>
    <row r="1" spans="1:211" s="7" customFormat="1">
      <c r="A1" s="218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211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6"/>
      <c r="FY2" s="206"/>
      <c r="FZ2" s="206"/>
      <c r="GA2" s="206"/>
      <c r="GB2" s="206"/>
      <c r="GC2" s="222" t="s">
        <v>143</v>
      </c>
      <c r="GD2" s="222"/>
      <c r="GE2" s="222"/>
      <c r="GF2" s="222"/>
      <c r="GG2" s="222"/>
      <c r="GH2" s="222"/>
      <c r="GI2" s="222"/>
      <c r="GJ2" s="206"/>
      <c r="GK2" s="206"/>
      <c r="GL2" s="206"/>
      <c r="GM2" s="206"/>
      <c r="GN2" s="206"/>
    </row>
    <row r="3" spans="1:211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6"/>
      <c r="FY3" s="207"/>
      <c r="FZ3" s="207"/>
      <c r="GA3" s="207"/>
      <c r="GB3" s="207"/>
      <c r="GC3" s="207"/>
      <c r="GD3" s="207"/>
      <c r="GE3" s="207"/>
      <c r="GF3" s="207"/>
      <c r="GG3" s="207"/>
      <c r="GH3" s="207"/>
      <c r="GI3" s="207"/>
      <c r="GJ3" s="207"/>
      <c r="GK3" s="207"/>
      <c r="GL3" s="207"/>
      <c r="GM3" s="207"/>
      <c r="GN3" s="206"/>
    </row>
    <row r="4" spans="1:211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2.6281249999999998</v>
      </c>
      <c r="N4" s="130">
        <v>0.34271925080245252</v>
      </c>
      <c r="O4" s="130">
        <v>10.62851812902073</v>
      </c>
      <c r="P4" s="130">
        <v>2.7099555247092413</v>
      </c>
      <c r="Q4" s="130">
        <v>0.37094083676696521</v>
      </c>
      <c r="R4" s="130">
        <v>4.3217606984346331</v>
      </c>
      <c r="S4" s="131" t="e">
        <v>#DIV/0!</v>
      </c>
      <c r="T4" s="131" t="e">
        <v>#DIV/0!</v>
      </c>
      <c r="U4" s="5"/>
      <c r="V4" s="4"/>
      <c r="W4" s="127">
        <f t="shared" ref="W4:W13" si="0">C4</f>
        <v>39646</v>
      </c>
      <c r="X4" s="132">
        <f>AVERAGE(EK88:EK97)</f>
        <v>26.041666666666664</v>
      </c>
      <c r="Y4" s="131">
        <f>COUNT(EK88:EK97)</f>
        <v>10</v>
      </c>
      <c r="Z4" s="130">
        <f>STDEV(EK88:EK97)</f>
        <v>31.538024521848882</v>
      </c>
      <c r="AA4" s="130">
        <f>Z4/SQRT(Y4)</f>
        <v>9.9731990391285255</v>
      </c>
      <c r="AB4" s="131"/>
      <c r="AC4" s="130">
        <f>AVERAGE($FU88:$FU97)</f>
        <v>1.3063133928241828</v>
      </c>
      <c r="AD4" s="132">
        <f>COUNT($FU88:$FU97)</f>
        <v>10</v>
      </c>
      <c r="AE4" s="130">
        <f>STDEV($FU88:$FU97)</f>
        <v>1.1773668483427435</v>
      </c>
      <c r="AF4" s="130">
        <f>AE4/SQRT(AD4)</f>
        <v>0.37231608823371098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23" t="s">
        <v>145</v>
      </c>
      <c r="FK4" s="223"/>
      <c r="FL4" s="223"/>
      <c r="FM4" s="223"/>
      <c r="FN4" s="5"/>
      <c r="FO4" s="5"/>
      <c r="FX4" s="206"/>
      <c r="FY4" s="208" t="s">
        <v>144</v>
      </c>
      <c r="FZ4" s="209">
        <f>C4</f>
        <v>39646</v>
      </c>
      <c r="GA4" s="209">
        <f>C5</f>
        <v>39673</v>
      </c>
      <c r="GB4" s="209">
        <f>C6</f>
        <v>39714</v>
      </c>
      <c r="GC4" s="209">
        <f>C7</f>
        <v>39747</v>
      </c>
      <c r="GD4" s="209">
        <f>C8</f>
        <v>39775</v>
      </c>
      <c r="GE4" s="209">
        <f>C9</f>
        <v>39799</v>
      </c>
      <c r="GF4" s="209">
        <f>C10</f>
        <v>39847</v>
      </c>
      <c r="GG4" s="209">
        <f>C11</f>
        <v>39910</v>
      </c>
      <c r="GH4" s="209">
        <f>C12</f>
        <v>39949</v>
      </c>
      <c r="GI4" s="209">
        <f>C13</f>
        <v>39987</v>
      </c>
      <c r="GJ4" s="210"/>
      <c r="GK4" s="210" t="s">
        <v>24</v>
      </c>
      <c r="GL4" s="210"/>
      <c r="GM4" s="210"/>
      <c r="GN4" s="206"/>
    </row>
    <row r="5" spans="1:211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2.6130020833333374</v>
      </c>
      <c r="N5" s="130">
        <f t="shared" si="1"/>
        <v>0.33975164905022809</v>
      </c>
      <c r="O5" s="130">
        <f t="shared" si="1"/>
        <v>10.470683013183613</v>
      </c>
      <c r="P5" s="130">
        <f t="shared" si="1"/>
        <v>2.686407825024379</v>
      </c>
      <c r="Q5" s="130">
        <f t="shared" si="1"/>
        <v>0.36806725888134184</v>
      </c>
      <c r="R5" s="130">
        <f t="shared" si="1"/>
        <v>2.0287818287371762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3.958333333333333</v>
      </c>
      <c r="Y5" s="131">
        <f>COUNT(EK98:EK107)</f>
        <v>10</v>
      </c>
      <c r="Z5" s="130">
        <f>STDEV(EK98:EK107)</f>
        <v>8.3593344365578677</v>
      </c>
      <c r="AA5" s="130">
        <f t="shared" ref="AA5:AA13" si="2">Z5/SQRT(Y5)</f>
        <v>2.6434536542603171</v>
      </c>
      <c r="AB5" s="131"/>
      <c r="AC5" s="130">
        <f>AVERAGE($FU98:$FU107)</f>
        <v>0.81411144957417536</v>
      </c>
      <c r="AD5" s="132">
        <f>COUNT($FU98:$FU107)</f>
        <v>10</v>
      </c>
      <c r="AE5" s="130">
        <f>STDEV($FU98:$FU107)</f>
        <v>2.1078399614092893</v>
      </c>
      <c r="AF5" s="130">
        <f t="shared" ref="AF5:AF13" si="3">AE5/SQRT(AD5)</f>
        <v>0.66655752211747743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06"/>
      <c r="FY5" s="206"/>
      <c r="FZ5" s="206"/>
      <c r="GA5" s="206"/>
      <c r="GB5" s="206"/>
      <c r="GC5" s="206"/>
      <c r="GD5" s="206"/>
      <c r="GE5" s="206"/>
      <c r="GF5" s="206"/>
      <c r="GG5" s="206"/>
      <c r="GH5" s="206"/>
      <c r="GI5" s="206"/>
      <c r="GJ5" s="206"/>
      <c r="GK5" s="206"/>
      <c r="GL5" s="206"/>
      <c r="GM5" s="206"/>
      <c r="GN5" s="206"/>
    </row>
    <row r="6" spans="1:211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4.0558072916666674</v>
      </c>
      <c r="N6" s="130">
        <f t="shared" si="4"/>
        <v>0.60464418211510562</v>
      </c>
      <c r="O6" s="130">
        <f t="shared" si="4"/>
        <v>23.064859989648827</v>
      </c>
      <c r="P6" s="130">
        <f t="shared" si="4"/>
        <v>4.8745831157380088</v>
      </c>
      <c r="Q6" s="130">
        <f t="shared" si="4"/>
        <v>0.61719457325333038</v>
      </c>
      <c r="R6" s="130">
        <f t="shared" si="4"/>
        <v>3.0798654302764694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0</v>
      </c>
      <c r="Y6" s="131">
        <f>COUNT(EK108:EK117)</f>
        <v>10</v>
      </c>
      <c r="Z6" s="130">
        <f>STDEV(EK108:EK117)</f>
        <v>0</v>
      </c>
      <c r="AA6" s="130">
        <f t="shared" si="2"/>
        <v>0</v>
      </c>
      <c r="AB6" s="131"/>
      <c r="AC6" s="130">
        <f>AVERAGE($FU108:$FU117)</f>
        <v>0</v>
      </c>
      <c r="AD6" s="132">
        <f>COUNT($FU108:$FU117)</f>
        <v>10</v>
      </c>
      <c r="AE6" s="130">
        <f>STDEV($FU108:$FU117)</f>
        <v>0</v>
      </c>
      <c r="AF6" s="130">
        <f t="shared" si="3"/>
        <v>0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24" t="s">
        <v>146</v>
      </c>
      <c r="FJ6" s="224"/>
      <c r="FK6" s="225" t="s">
        <v>147</v>
      </c>
      <c r="FL6" s="225"/>
      <c r="FM6" s="225" t="s">
        <v>148</v>
      </c>
      <c r="FN6" s="225"/>
      <c r="FO6" s="5"/>
      <c r="FY6" s="211">
        <v>1</v>
      </c>
      <c r="FZ6">
        <v>1.30668574954738</v>
      </c>
      <c r="GA6">
        <v>0.47460065171768845</v>
      </c>
      <c r="GB6">
        <v>7.9203986612074825E-2</v>
      </c>
      <c r="GC6">
        <v>4.4138825651920163E-2</v>
      </c>
      <c r="GD6">
        <v>0</v>
      </c>
      <c r="GE6">
        <v>0</v>
      </c>
      <c r="GF6">
        <v>0.33021050058332063</v>
      </c>
      <c r="GG6">
        <v>0.29759236750664797</v>
      </c>
      <c r="GH6">
        <v>0</v>
      </c>
      <c r="GI6">
        <v>0.27693719190513533</v>
      </c>
      <c r="GJ6"/>
      <c r="GK6">
        <v>1.314343926109363</v>
      </c>
      <c r="GL6">
        <v>0.40705572478708768</v>
      </c>
      <c r="GM6">
        <v>0.13091770120800852</v>
      </c>
      <c r="GN6">
        <v>0.13091770120800852</v>
      </c>
      <c r="GO6">
        <v>0</v>
      </c>
      <c r="GP6">
        <v>0</v>
      </c>
      <c r="GQ6">
        <v>0.45369793096285549</v>
      </c>
      <c r="GR6">
        <v>0.45369793096285549</v>
      </c>
      <c r="GS6">
        <v>0</v>
      </c>
      <c r="GT6">
        <v>0.37979191165604537</v>
      </c>
      <c r="GU6"/>
      <c r="GV6"/>
      <c r="GW6"/>
      <c r="GX6"/>
      <c r="GY6"/>
      <c r="GZ6"/>
      <c r="HA6"/>
      <c r="HB6"/>
      <c r="HC6"/>
    </row>
    <row r="7" spans="1:211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1.380078125</v>
      </c>
      <c r="N7" s="130">
        <f t="shared" si="5"/>
        <v>0.12693346182834805</v>
      </c>
      <c r="O7" s="130">
        <f t="shared" si="5"/>
        <v>1.5720872412041922</v>
      </c>
      <c r="P7" s="130">
        <f t="shared" si="5"/>
        <v>0.97471490924768278</v>
      </c>
      <c r="Q7" s="130">
        <f t="shared" si="5"/>
        <v>0.16709884062622449</v>
      </c>
      <c r="R7" s="130">
        <f t="shared" si="5"/>
        <v>1.1374283638818092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3.6458333333333335</v>
      </c>
      <c r="Y7" s="131">
        <f>COUNT(EK118:EK127)</f>
        <v>10</v>
      </c>
      <c r="Z7" s="130">
        <f>STDEV(EK118:EK127)</f>
        <v>8.522873408773318</v>
      </c>
      <c r="AA7" s="130">
        <f t="shared" si="2"/>
        <v>2.6951692181006988</v>
      </c>
      <c r="AB7" s="131"/>
      <c r="AC7" s="130">
        <f>AVERAGE($FU118:$FU127)</f>
        <v>0.47171153288079976</v>
      </c>
      <c r="AD7" s="132">
        <f>COUNT($FU118:$FU127)</f>
        <v>10</v>
      </c>
      <c r="AE7" s="130">
        <f>STDEV($FU118:$FU127)</f>
        <v>1.0019680138604599</v>
      </c>
      <c r="AF7" s="130">
        <f t="shared" si="3"/>
        <v>0.31685010664342134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2">
        <f t="shared" ref="FH7:FH16" si="6">C4</f>
        <v>39646</v>
      </c>
      <c r="FI7" s="219">
        <f>AVERAGE(FZ6:FZ1005)</f>
        <v>1.0454095481854127</v>
      </c>
      <c r="FJ7" s="219"/>
      <c r="FK7" s="219">
        <f>PERCENTILE($FZ$6:$FZ$1005,0.975)</f>
        <v>1.7882943467405443</v>
      </c>
      <c r="FL7" s="219"/>
      <c r="FM7" s="219">
        <f>PERCENTILE($FZ$6:$FZ$1005,0.025)</f>
        <v>0.45110232651111037</v>
      </c>
      <c r="FN7" s="219"/>
      <c r="FO7" s="5"/>
      <c r="FY7" s="211">
        <v>2</v>
      </c>
      <c r="FZ7">
        <v>0.97670346904005756</v>
      </c>
      <c r="GA7">
        <v>0.38735017759921181</v>
      </c>
      <c r="GB7">
        <v>0.22123389596694673</v>
      </c>
      <c r="GC7">
        <v>0.1579162012217627</v>
      </c>
      <c r="GD7">
        <v>2.6724553773673727E-2</v>
      </c>
      <c r="GE7">
        <v>0</v>
      </c>
      <c r="GF7">
        <v>0.33021050058332063</v>
      </c>
      <c r="GG7">
        <v>0.29759236750664797</v>
      </c>
      <c r="GH7">
        <v>0</v>
      </c>
      <c r="GI7">
        <v>0.27841004744552095</v>
      </c>
      <c r="GJ7"/>
      <c r="GK7">
        <v>0.98212416407871062</v>
      </c>
      <c r="GL7">
        <v>0.33331521555783822</v>
      </c>
      <c r="GM7">
        <v>0.3667734676484084</v>
      </c>
      <c r="GN7">
        <v>0.47171153288079981</v>
      </c>
      <c r="GO7">
        <v>0.10493806523239137</v>
      </c>
      <c r="GP7">
        <v>0</v>
      </c>
      <c r="GQ7">
        <v>0.45369793096285549</v>
      </c>
      <c r="GR7">
        <v>0.45369793096285549</v>
      </c>
      <c r="GS7">
        <v>0</v>
      </c>
      <c r="GT7">
        <v>0.38150672558447318</v>
      </c>
      <c r="GU7"/>
      <c r="GV7"/>
      <c r="GW7"/>
      <c r="GX7"/>
      <c r="GY7"/>
      <c r="GZ7"/>
      <c r="HA7"/>
      <c r="HB7"/>
      <c r="HC7"/>
    </row>
    <row r="8" spans="1:211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1.0416666666666665</v>
      </c>
      <c r="Y8" s="131">
        <f>COUNT(EK128:EK137)</f>
        <v>10</v>
      </c>
      <c r="Z8" s="130">
        <f>STDEV(EK128:EK137)</f>
        <v>3.2940392293420615</v>
      </c>
      <c r="AA8" s="130">
        <f t="shared" si="2"/>
        <v>1.0416666666666665</v>
      </c>
      <c r="AB8" s="131"/>
      <c r="AC8" s="130">
        <f>AVERAGE($FU128:$FU137)</f>
        <v>0.20987613046478276</v>
      </c>
      <c r="AD8" s="132">
        <f>COUNT($FU128:$FU137)</f>
        <v>10</v>
      </c>
      <c r="AE8" s="130">
        <f>STDEV($FU128:$FU137)</f>
        <v>0.66368659877136671</v>
      </c>
      <c r="AF8" s="130">
        <f t="shared" si="3"/>
        <v>0.20987613046478273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2">
        <f t="shared" si="6"/>
        <v>39673</v>
      </c>
      <c r="FI8" s="219">
        <f>AVERAGE(GA6:GA1005)</f>
        <v>0.46611729609163238</v>
      </c>
      <c r="FJ8" s="219"/>
      <c r="FK8" s="219">
        <f>PERCENTILE($GA$6:$GA$1005,0.975)</f>
        <v>1.2493010069161121</v>
      </c>
      <c r="FL8" s="219"/>
      <c r="FM8" s="219">
        <f>PERCENTILE($GA$6:$GA$1005,0.025)</f>
        <v>0</v>
      </c>
      <c r="FN8" s="219"/>
      <c r="FO8" s="5"/>
      <c r="FY8" s="211">
        <v>3</v>
      </c>
      <c r="FZ8">
        <v>0.94707408498234935</v>
      </c>
      <c r="GA8">
        <v>0.17450094823695328</v>
      </c>
      <c r="GB8">
        <v>0.23761195983622446</v>
      </c>
      <c r="GC8">
        <v>0.13241647695576048</v>
      </c>
      <c r="GD8">
        <v>0</v>
      </c>
      <c r="GE8">
        <v>0</v>
      </c>
      <c r="GF8">
        <v>0.66042100116664126</v>
      </c>
      <c r="GG8">
        <v>0.59518473501329594</v>
      </c>
      <c r="GH8">
        <v>0</v>
      </c>
      <c r="GI8">
        <v>0.32679831934117631</v>
      </c>
      <c r="GJ8"/>
      <c r="GK8">
        <v>0.94514700012438424</v>
      </c>
      <c r="GL8">
        <v>0.14748101845849892</v>
      </c>
      <c r="GM8">
        <v>0.39275310362402555</v>
      </c>
      <c r="GN8">
        <v>0.39275310362402555</v>
      </c>
      <c r="GO8">
        <v>0</v>
      </c>
      <c r="GP8">
        <v>0</v>
      </c>
      <c r="GQ8">
        <v>0.90739586192571098</v>
      </c>
      <c r="GR8">
        <v>0.90739586192571098</v>
      </c>
      <c r="GS8">
        <v>0</v>
      </c>
      <c r="GT8">
        <v>0.44905919313482412</v>
      </c>
      <c r="GU8"/>
      <c r="GV8"/>
      <c r="GW8"/>
      <c r="GX8"/>
      <c r="GY8"/>
      <c r="GZ8"/>
      <c r="HA8"/>
      <c r="HB8"/>
      <c r="HC8"/>
    </row>
    <row r="9" spans="1:211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0</v>
      </c>
      <c r="Y9" s="131">
        <f>COUNT(EK138:EK147)</f>
        <v>10</v>
      </c>
      <c r="Z9" s="130">
        <f>STDEV(EK138:EK147)</f>
        <v>0</v>
      </c>
      <c r="AA9" s="130">
        <f t="shared" si="2"/>
        <v>0</v>
      </c>
      <c r="AB9" s="131"/>
      <c r="AC9" s="130">
        <f>AVERAGE($FU138:$FU147)</f>
        <v>0</v>
      </c>
      <c r="AD9" s="132">
        <f>COUNT($FU138:$FU147)</f>
        <v>10</v>
      </c>
      <c r="AE9" s="130">
        <f>STDEV($FU138:$FU147)</f>
        <v>0</v>
      </c>
      <c r="AF9" s="130">
        <f t="shared" si="3"/>
        <v>0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2">
        <f t="shared" si="6"/>
        <v>39714</v>
      </c>
      <c r="FI9" s="219">
        <f>AVERAGE(GB6:GB1005)</f>
        <v>0.13868670378583201</v>
      </c>
      <c r="FJ9" s="219"/>
      <c r="FK9" s="219">
        <f>PERCENTILE($GB$6:$GB$1005,0.975)</f>
        <v>0.33050767758326316</v>
      </c>
      <c r="FL9" s="219"/>
      <c r="FM9" s="219">
        <f>PERCENTILE($GB$6:$GB$1005,0.025)</f>
        <v>0</v>
      </c>
      <c r="FN9" s="219"/>
      <c r="FO9" s="5"/>
      <c r="FY9" s="211">
        <v>4</v>
      </c>
      <c r="FZ9">
        <v>1.6764346060284276</v>
      </c>
      <c r="GA9">
        <v>0.9492013034353769</v>
      </c>
      <c r="GB9">
        <v>0.25130369097118832</v>
      </c>
      <c r="GC9">
        <v>0.13927709983584477</v>
      </c>
      <c r="GD9">
        <v>0</v>
      </c>
      <c r="GE9">
        <v>0</v>
      </c>
      <c r="GF9">
        <v>0.66042100116664126</v>
      </c>
      <c r="GG9">
        <v>0.59518473501329594</v>
      </c>
      <c r="GH9">
        <v>0</v>
      </c>
      <c r="GI9">
        <v>0.43810666445361413</v>
      </c>
      <c r="GJ9"/>
      <c r="GK9">
        <v>1.6887093925776711</v>
      </c>
      <c r="GL9">
        <v>0.81411144957417536</v>
      </c>
      <c r="GM9">
        <v>0.41975226092956547</v>
      </c>
      <c r="GN9">
        <v>0.41975226092956547</v>
      </c>
      <c r="GO9">
        <v>0</v>
      </c>
      <c r="GP9">
        <v>0</v>
      </c>
      <c r="GQ9">
        <v>0.90739586192571098</v>
      </c>
      <c r="GR9">
        <v>0.90739586192571098</v>
      </c>
      <c r="GS9">
        <v>0</v>
      </c>
      <c r="GT9">
        <v>0.60317150308658951</v>
      </c>
      <c r="GU9"/>
      <c r="GV9"/>
      <c r="GW9"/>
      <c r="GX9"/>
      <c r="GY9"/>
      <c r="GZ9"/>
      <c r="HA9"/>
      <c r="HB9"/>
      <c r="HC9"/>
    </row>
    <row r="10" spans="1:211" s="7" customFormat="1">
      <c r="A10" s="143"/>
      <c r="B10" s="2"/>
      <c r="C10" s="17">
        <v>39847</v>
      </c>
      <c r="D10" s="18">
        <f>COUNTA(C288:C297)</f>
        <v>10</v>
      </c>
      <c r="E10" s="109">
        <v>10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0</v>
      </c>
      <c r="Y10" s="131">
        <f>COUNT(EK148:EK157)</f>
        <v>10</v>
      </c>
      <c r="Z10" s="130">
        <f>STDEV(EK148:EK157)</f>
        <v>0</v>
      </c>
      <c r="AA10" s="130">
        <f t="shared" si="2"/>
        <v>0</v>
      </c>
      <c r="AB10" s="131"/>
      <c r="AC10" s="130">
        <f>AVERAGE($FU148:$FU157)</f>
        <v>0</v>
      </c>
      <c r="AD10" s="132">
        <f>COUNT($FU148:$FU157)</f>
        <v>10</v>
      </c>
      <c r="AE10" s="130">
        <f>STDEV($FU148:$FU157)</f>
        <v>0</v>
      </c>
      <c r="AF10" s="130">
        <f t="shared" si="3"/>
        <v>0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2">
        <f t="shared" si="6"/>
        <v>39747</v>
      </c>
      <c r="FI10" s="219">
        <f>AVERAGE(GC6:GC1005)</f>
        <v>0.11160628588332246</v>
      </c>
      <c r="FJ10" s="219"/>
      <c r="FK10" s="219">
        <f>PERCENTILE($GC$6:$GC$1005,0.975)</f>
        <v>0.22778773990700885</v>
      </c>
      <c r="FL10" s="219"/>
      <c r="FM10" s="219">
        <f>PERCENTILE($GC$6:$GC$1005,0.025)</f>
        <v>0</v>
      </c>
      <c r="FN10" s="219"/>
      <c r="FO10" s="5"/>
      <c r="FY10" s="211">
        <v>5</v>
      </c>
      <c r="FZ10">
        <v>0.94257525343109372</v>
      </c>
      <c r="GA10">
        <v>0.17450094823695328</v>
      </c>
      <c r="GB10">
        <v>0.14202990935487192</v>
      </c>
      <c r="GC10">
        <v>0.11377737556984255</v>
      </c>
      <c r="GD10">
        <v>2.6724553773673727E-2</v>
      </c>
      <c r="GE10">
        <v>0</v>
      </c>
      <c r="GF10">
        <v>0.33021050058332063</v>
      </c>
      <c r="GG10">
        <v>0.29759236750664797</v>
      </c>
      <c r="GH10">
        <v>0</v>
      </c>
      <c r="GI10">
        <v>0.25408498716354877</v>
      </c>
      <c r="GJ10"/>
      <c r="GK10">
        <v>0.94333460925566914</v>
      </c>
      <c r="GL10">
        <v>0.14748101845849892</v>
      </c>
      <c r="GM10">
        <v>0.23585576644039991</v>
      </c>
      <c r="GN10">
        <v>0.34079383167279126</v>
      </c>
      <c r="GO10">
        <v>0.10493806523239137</v>
      </c>
      <c r="GP10">
        <v>0</v>
      </c>
      <c r="GQ10">
        <v>0.45369793096285549</v>
      </c>
      <c r="GR10">
        <v>0.45369793096285549</v>
      </c>
      <c r="GS10">
        <v>0</v>
      </c>
      <c r="GT10">
        <v>0.34756527437826318</v>
      </c>
      <c r="GU10"/>
      <c r="GV10"/>
      <c r="GW10"/>
      <c r="GX10"/>
      <c r="GY10"/>
      <c r="GZ10"/>
      <c r="HA10"/>
      <c r="HB10"/>
      <c r="HC10"/>
    </row>
    <row r="11" spans="1:211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1.0416666666666665</v>
      </c>
      <c r="Y11" s="131">
        <f>COUNT(EK158:EK167)</f>
        <v>10</v>
      </c>
      <c r="Z11" s="130">
        <f>STDEV(EK158:EK167)</f>
        <v>3.2940392293420615</v>
      </c>
      <c r="AA11" s="130">
        <f t="shared" si="2"/>
        <v>1.0416666666666665</v>
      </c>
      <c r="AB11" s="131"/>
      <c r="AC11" s="130">
        <f>AVERAGE($FU158:$FU167)</f>
        <v>0.90739586192571109</v>
      </c>
      <c r="AD11" s="132">
        <f>COUNT($FU158:$FU167)</f>
        <v>10</v>
      </c>
      <c r="AE11" s="130">
        <f>STDEV($FU158:$FU167)</f>
        <v>2.8694376630969072</v>
      </c>
      <c r="AF11" s="130">
        <f t="shared" si="3"/>
        <v>0.90739586192571098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2">
        <f t="shared" si="6"/>
        <v>39775</v>
      </c>
      <c r="FI11" s="219">
        <f>AVERAGE(GD5:GD1005)</f>
        <v>2.6484032789710399E-2</v>
      </c>
      <c r="FJ11" s="219"/>
      <c r="FK11" s="219">
        <f>PERCENTILE($GD$6:$GD$1005,0.975)</f>
        <v>8.0173661321021189E-2</v>
      </c>
      <c r="FL11" s="219"/>
      <c r="FM11" s="219">
        <f>PERCENTILE($GD$6:$GD$1005,0.025)</f>
        <v>0</v>
      </c>
      <c r="FN11" s="219"/>
      <c r="FO11" s="5"/>
      <c r="FY11" s="211">
        <v>6</v>
      </c>
      <c r="FZ11">
        <v>1.3211076550241692</v>
      </c>
      <c r="GA11">
        <v>0.56185112583616514</v>
      </c>
      <c r="GB11">
        <v>0.28405981870974384</v>
      </c>
      <c r="GC11">
        <v>0.1927354761807239</v>
      </c>
      <c r="GD11">
        <v>2.6724553773673727E-2</v>
      </c>
      <c r="GE11">
        <v>0</v>
      </c>
      <c r="GF11">
        <v>0.66042100116664126</v>
      </c>
      <c r="GG11">
        <v>0.59518473501329594</v>
      </c>
      <c r="GH11">
        <v>0</v>
      </c>
      <c r="GI11">
        <v>0.40890265193960462</v>
      </c>
      <c r="GJ11"/>
      <c r="GK11">
        <v>1.3295201525468441</v>
      </c>
      <c r="GL11">
        <v>0.48079623401633714</v>
      </c>
      <c r="GM11">
        <v>0.47171153288079981</v>
      </c>
      <c r="GN11">
        <v>0.57664959811319116</v>
      </c>
      <c r="GO11">
        <v>0.10493806523239137</v>
      </c>
      <c r="GP11">
        <v>0</v>
      </c>
      <c r="GQ11">
        <v>0.90739586192571098</v>
      </c>
      <c r="GR11">
        <v>0.90739586192571098</v>
      </c>
      <c r="GS11">
        <v>0</v>
      </c>
      <c r="GT11">
        <v>0.56271312251714922</v>
      </c>
      <c r="GU11"/>
      <c r="GV11"/>
      <c r="GW11"/>
      <c r="GX11"/>
      <c r="GY11"/>
      <c r="GZ11"/>
      <c r="HA11"/>
      <c r="HB11"/>
      <c r="HC11"/>
    </row>
    <row r="12" spans="1:211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0</v>
      </c>
      <c r="Y12" s="131">
        <f>COUNT(EK168:EK177)</f>
        <v>10</v>
      </c>
      <c r="Z12" s="130">
        <f>STDEV(EK168:EK177)</f>
        <v>0</v>
      </c>
      <c r="AA12" s="130">
        <f t="shared" si="2"/>
        <v>0</v>
      </c>
      <c r="AB12" s="131"/>
      <c r="AC12" s="130">
        <f>AVERAGE($FU168:$FU177)</f>
        <v>0</v>
      </c>
      <c r="AD12" s="132">
        <f>COUNT($FU168:$FU177)</f>
        <v>10</v>
      </c>
      <c r="AE12" s="130">
        <f>STDEV($FU168:$FU177)</f>
        <v>0</v>
      </c>
      <c r="AF12" s="130">
        <f t="shared" si="3"/>
        <v>0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2">
        <f t="shared" si="6"/>
        <v>39799</v>
      </c>
      <c r="FI12" s="219">
        <f>AVERAGE(GE6:GE1005)</f>
        <v>0</v>
      </c>
      <c r="FJ12" s="219"/>
      <c r="FK12" s="219">
        <f>PERCENTILE($GE$6:$GE$1005,0.975)</f>
        <v>0</v>
      </c>
      <c r="FL12" s="219"/>
      <c r="FM12" s="219">
        <f>PERCENTILE($GE$6:$GE$1005,0.025)</f>
        <v>0</v>
      </c>
      <c r="FN12" s="219"/>
      <c r="FO12" s="5"/>
      <c r="FY12" s="211">
        <v>7</v>
      </c>
      <c r="FZ12">
        <v>0.74690842905001698</v>
      </c>
      <c r="GA12">
        <v>0.47460065171768845</v>
      </c>
      <c r="GB12">
        <v>7.9203986612074825E-2</v>
      </c>
      <c r="GC12">
        <v>7.8958100610881349E-2</v>
      </c>
      <c r="GD12">
        <v>2.6724553773673727E-2</v>
      </c>
      <c r="GE12">
        <v>0</v>
      </c>
      <c r="GF12">
        <v>0.33021050058332063</v>
      </c>
      <c r="GG12">
        <v>0.29759236750664797</v>
      </c>
      <c r="GH12">
        <v>0</v>
      </c>
      <c r="GI12">
        <v>0.20953171141202415</v>
      </c>
      <c r="GJ12"/>
      <c r="GK12">
        <v>0.75080897366901911</v>
      </c>
      <c r="GL12">
        <v>0.40705572478708768</v>
      </c>
      <c r="GM12">
        <v>0.13091770120800852</v>
      </c>
      <c r="GN12">
        <v>0.23585576644039991</v>
      </c>
      <c r="GO12">
        <v>0.10493806523239137</v>
      </c>
      <c r="GP12">
        <v>0</v>
      </c>
      <c r="GQ12">
        <v>0.45369793096285549</v>
      </c>
      <c r="GR12">
        <v>0.45369793096285549</v>
      </c>
      <c r="GS12">
        <v>0</v>
      </c>
      <c r="GT12">
        <v>0.28807253421445495</v>
      </c>
      <c r="GU12"/>
      <c r="GV12"/>
      <c r="GW12"/>
      <c r="GX12"/>
      <c r="GY12"/>
      <c r="GZ12"/>
      <c r="HA12"/>
      <c r="HB12"/>
      <c r="HC12"/>
    </row>
    <row r="13" spans="1:211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0</v>
      </c>
      <c r="Y13" s="131">
        <f>COUNT(EK178:EK187)</f>
        <v>10</v>
      </c>
      <c r="Z13" s="130">
        <f>STDEV(EK178:EK187)</f>
        <v>0</v>
      </c>
      <c r="AA13" s="130">
        <f t="shared" si="2"/>
        <v>0</v>
      </c>
      <c r="AB13" s="131"/>
      <c r="AC13" s="130">
        <f>AVERAGE($FU178:$FU187)</f>
        <v>0</v>
      </c>
      <c r="AD13" s="132">
        <f>COUNT($FU178:$FU187)</f>
        <v>10</v>
      </c>
      <c r="AE13" s="130">
        <f>STDEV($FU178:$FU187)</f>
        <v>0</v>
      </c>
      <c r="AF13" s="130">
        <f t="shared" si="3"/>
        <v>0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2">
        <f t="shared" si="6"/>
        <v>39847</v>
      </c>
      <c r="FI13" s="219">
        <f>AVERAGE(GF6:GF1005)</f>
        <v>0.33120113208507285</v>
      </c>
      <c r="FJ13" s="219"/>
      <c r="FK13" s="219">
        <f>PERCENTILE($GF$6:$GF$1005,0.975)</f>
        <v>0.99063150174996206</v>
      </c>
      <c r="FL13" s="219"/>
      <c r="FM13" s="219">
        <f>PERCENTILE($GF$6:$GF$1005,0.025)</f>
        <v>0</v>
      </c>
      <c r="FN13" s="219"/>
      <c r="FO13" s="5"/>
      <c r="FY13" s="211">
        <v>8</v>
      </c>
      <c r="FZ13">
        <v>1.0991349499367695</v>
      </c>
      <c r="GA13">
        <v>0.38735017759921181</v>
      </c>
      <c r="GB13">
        <v>0</v>
      </c>
      <c r="GC13">
        <v>6.9638549917922385E-2</v>
      </c>
      <c r="GD13">
        <v>5.3449107547347455E-2</v>
      </c>
      <c r="GE13">
        <v>0</v>
      </c>
      <c r="GF13">
        <v>0</v>
      </c>
      <c r="GG13">
        <v>0</v>
      </c>
      <c r="GH13">
        <v>0</v>
      </c>
      <c r="GI13">
        <v>0.19358794605522386</v>
      </c>
      <c r="GJ13"/>
      <c r="GK13">
        <v>1.1075267454861462</v>
      </c>
      <c r="GL13">
        <v>0.33331521555783822</v>
      </c>
      <c r="GM13">
        <v>0</v>
      </c>
      <c r="GN13">
        <v>0.20987613046478273</v>
      </c>
      <c r="GO13">
        <v>0.20987613046478273</v>
      </c>
      <c r="GP13">
        <v>0</v>
      </c>
      <c r="GQ13">
        <v>0</v>
      </c>
      <c r="GR13">
        <v>0</v>
      </c>
      <c r="GS13">
        <v>0</v>
      </c>
      <c r="GT13">
        <v>0.26348057519018581</v>
      </c>
      <c r="GU13"/>
      <c r="GV13"/>
      <c r="GW13"/>
      <c r="GX13"/>
      <c r="GY13"/>
      <c r="GZ13"/>
      <c r="HA13"/>
      <c r="HB13"/>
      <c r="HC13"/>
    </row>
    <row r="14" spans="1:211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2">
        <f t="shared" si="6"/>
        <v>39910</v>
      </c>
      <c r="FI14" s="219">
        <f>AVERAGE(GG6:GG1005)</f>
        <v>0.29848514460916625</v>
      </c>
      <c r="FJ14" s="219"/>
      <c r="FK14" s="219">
        <f>PERCENTILE($GG$6:$GG$1005,0.975)</f>
        <v>0.89277710251994391</v>
      </c>
      <c r="FL14" s="219"/>
      <c r="FM14" s="219">
        <f>PERCENTILE($GG$6:$GG$1005,0.025)</f>
        <v>0</v>
      </c>
      <c r="FN14" s="219"/>
      <c r="FO14" s="5"/>
      <c r="FY14" s="211">
        <v>9</v>
      </c>
      <c r="FZ14">
        <v>1.278275351018028</v>
      </c>
      <c r="GA14">
        <v>0.38735017759921181</v>
      </c>
      <c r="GB14">
        <v>0.23761195983622446</v>
      </c>
      <c r="GC14">
        <v>0.16723575191472168</v>
      </c>
      <c r="GD14">
        <v>2.6724553773673727E-2</v>
      </c>
      <c r="GE14">
        <v>0</v>
      </c>
      <c r="GF14">
        <v>0.33021050058332063</v>
      </c>
      <c r="GG14">
        <v>0.29759236750664797</v>
      </c>
      <c r="GH14">
        <v>0</v>
      </c>
      <c r="GI14">
        <v>0.32690718638093952</v>
      </c>
      <c r="GJ14"/>
      <c r="GK14">
        <v>1.2887904935314827</v>
      </c>
      <c r="GL14">
        <v>0.33331521555783822</v>
      </c>
      <c r="GM14">
        <v>0.39275310362402555</v>
      </c>
      <c r="GN14">
        <v>0.4976911688564169</v>
      </c>
      <c r="GO14">
        <v>0.10493806523239137</v>
      </c>
      <c r="GP14">
        <v>0</v>
      </c>
      <c r="GQ14">
        <v>0.45369793096285549</v>
      </c>
      <c r="GR14">
        <v>0.45369793096285549</v>
      </c>
      <c r="GS14">
        <v>0</v>
      </c>
      <c r="GT14">
        <v>0.44803591867015102</v>
      </c>
      <c r="GU14"/>
      <c r="GV14"/>
      <c r="GW14"/>
      <c r="GX14"/>
      <c r="GY14"/>
      <c r="GZ14"/>
      <c r="HA14"/>
      <c r="HB14"/>
      <c r="HC14"/>
    </row>
    <row r="15" spans="1:211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3.9927083333333337</v>
      </c>
      <c r="AO15" s="163">
        <f>D48</f>
        <v>0.33990348085950672</v>
      </c>
      <c r="AP15" s="163">
        <f>D63</f>
        <v>9.8531689536463194</v>
      </c>
      <c r="AQ15" s="163">
        <f>C453</f>
        <v>2.811354820403801</v>
      </c>
      <c r="AR15" s="163">
        <f>G520</f>
        <v>0.37144747952924589</v>
      </c>
      <c r="AS15" s="163">
        <f>I523</f>
        <v>2.2795386810377862</v>
      </c>
      <c r="AT15" s="122" t="e">
        <f>G556</f>
        <v>#DIV/0!</v>
      </c>
      <c r="AU15" s="122" t="e">
        <f>I556</f>
        <v>#DIV/0!</v>
      </c>
      <c r="AV15" s="23"/>
      <c r="AW15" s="23"/>
      <c r="FG15" s="5"/>
      <c r="FH15" s="212">
        <f t="shared" si="6"/>
        <v>39949</v>
      </c>
      <c r="FI15" s="219">
        <f>AVERAGE(GH6:GH1005)</f>
        <v>0</v>
      </c>
      <c r="FJ15" s="219"/>
      <c r="FK15" s="219">
        <f>PERCENTILE($GH$6:$GH$1005,0.975)</f>
        <v>0</v>
      </c>
      <c r="FL15" s="219"/>
      <c r="FM15" s="219">
        <f>PERCENTILE($GH$6:$GH$1005,0.025)</f>
        <v>0</v>
      </c>
      <c r="FN15" s="219"/>
      <c r="FO15" s="5"/>
      <c r="FY15" s="211">
        <v>10</v>
      </c>
      <c r="FZ15">
        <v>0.98833566175380017</v>
      </c>
      <c r="GA15">
        <v>0.38735017759921181</v>
      </c>
      <c r="GB15">
        <v>6.282592274279708E-2</v>
      </c>
      <c r="GC15">
        <v>3.4819274958961192E-2</v>
      </c>
      <c r="GD15">
        <v>0</v>
      </c>
      <c r="GE15">
        <v>0</v>
      </c>
      <c r="GF15">
        <v>0.33021050058332063</v>
      </c>
      <c r="GG15">
        <v>0.29759236750664797</v>
      </c>
      <c r="GH15">
        <v>0</v>
      </c>
      <c r="GI15">
        <v>0.2257802356740567</v>
      </c>
      <c r="GJ15"/>
      <c r="GK15">
        <v>0.99674823004689783</v>
      </c>
      <c r="GL15">
        <v>0.33331521555783822</v>
      </c>
      <c r="GM15">
        <v>0.10493806523239137</v>
      </c>
      <c r="GN15">
        <v>0.10493806523239137</v>
      </c>
      <c r="GO15">
        <v>0</v>
      </c>
      <c r="GP15">
        <v>0</v>
      </c>
      <c r="GQ15">
        <v>0.45369793096285549</v>
      </c>
      <c r="GR15">
        <v>0.45369793096285549</v>
      </c>
      <c r="GS15">
        <v>0</v>
      </c>
      <c r="GT15">
        <v>0.31107684524842893</v>
      </c>
      <c r="GU15"/>
      <c r="GV15"/>
      <c r="GW15"/>
      <c r="GX15"/>
      <c r="GY15"/>
      <c r="GZ15"/>
      <c r="HA15"/>
      <c r="HB15"/>
      <c r="HC15"/>
    </row>
    <row r="16" spans="1:211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2">
        <f t="shared" si="6"/>
        <v>39987</v>
      </c>
      <c r="FI16" s="219">
        <f>AVERAGE(GI6:GI1005)</f>
        <v>0.2684176815942339</v>
      </c>
      <c r="FJ16" s="219"/>
      <c r="FK16" s="219">
        <f>PERCENTILE($GI$6:$GI$1005,0.975)</f>
        <v>0.44511592028339431</v>
      </c>
      <c r="FL16" s="219"/>
      <c r="FM16" s="219">
        <f>PERCENTILE($GI$6:$GI$1005,0.025)</f>
        <v>0.12305277459140404</v>
      </c>
      <c r="FN16" s="219"/>
      <c r="FO16" s="5"/>
      <c r="FY16" s="211">
        <v>11</v>
      </c>
      <c r="FZ16">
        <v>0.68209075728469026</v>
      </c>
      <c r="GA16">
        <v>8.725047411847664E-2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0.10106599087066465</v>
      </c>
      <c r="GJ16"/>
      <c r="GK16">
        <v>0.68337846877629937</v>
      </c>
      <c r="GL16">
        <v>7.3740509229249462E-2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0.13667569375525987</v>
      </c>
      <c r="GU16"/>
      <c r="GV16"/>
      <c r="GW16"/>
      <c r="GX16"/>
      <c r="GY16"/>
      <c r="GZ16"/>
      <c r="HA16"/>
      <c r="HB16"/>
      <c r="HC16"/>
    </row>
    <row r="17" spans="1:211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3.3364583333333329</v>
      </c>
      <c r="AO17">
        <v>0.32704228268942237</v>
      </c>
      <c r="AP17">
        <v>9.7537618515632616</v>
      </c>
      <c r="AQ17">
        <v>2.8093692735241671</v>
      </c>
      <c r="AR17">
        <v>0.37979191165604537</v>
      </c>
      <c r="AS17">
        <v>2.0648560401184568</v>
      </c>
      <c r="AT17" t="e">
        <v>#DIV/0!</v>
      </c>
      <c r="AU17" t="e">
        <v>#DIV/0!</v>
      </c>
      <c r="AV17"/>
      <c r="AW17"/>
      <c r="FG17" s="5"/>
      <c r="FH17" s="213"/>
      <c r="FI17" s="13"/>
      <c r="FJ17" s="13"/>
      <c r="FK17" s="13"/>
      <c r="FL17" s="13"/>
      <c r="FM17" s="13"/>
      <c r="FN17" s="13"/>
      <c r="FO17" s="5"/>
      <c r="FY17" s="211">
        <v>12</v>
      </c>
      <c r="FZ17">
        <v>1.8321280009817982</v>
      </c>
      <c r="GA17">
        <v>1.2493010069161121</v>
      </c>
      <c r="GB17">
        <v>0.37964186919109638</v>
      </c>
      <c r="GC17">
        <v>0.28101312748456425</v>
      </c>
      <c r="GD17">
        <v>5.3449107547347455E-2</v>
      </c>
      <c r="GE17">
        <v>0</v>
      </c>
      <c r="GF17">
        <v>0.33021050058332063</v>
      </c>
      <c r="GG17">
        <v>0.29759236750664797</v>
      </c>
      <c r="GH17">
        <v>0</v>
      </c>
      <c r="GI17">
        <v>0.45920875447917803</v>
      </c>
      <c r="GJ17"/>
      <c r="GK17">
        <v>1.8464697113722657</v>
      </c>
      <c r="GL17">
        <v>1.073686155902764</v>
      </c>
      <c r="GM17">
        <v>0.62860887006442545</v>
      </c>
      <c r="GN17">
        <v>0.83848500052920816</v>
      </c>
      <c r="GO17">
        <v>0.20987613046478273</v>
      </c>
      <c r="GP17">
        <v>0</v>
      </c>
      <c r="GQ17">
        <v>0.45369793096285549</v>
      </c>
      <c r="GR17">
        <v>0.45369793096285549</v>
      </c>
      <c r="GS17">
        <v>0</v>
      </c>
      <c r="GT17">
        <v>0.62773052857286582</v>
      </c>
      <c r="GU17"/>
      <c r="GV17"/>
      <c r="GW17"/>
      <c r="GX17"/>
      <c r="GY17"/>
      <c r="GZ17"/>
      <c r="HA17"/>
      <c r="HB17"/>
      <c r="HC17"/>
    </row>
    <row r="18" spans="1:211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3.1229166666666659</v>
      </c>
      <c r="AO18">
        <v>0.35477650329083321</v>
      </c>
      <c r="AP18">
        <v>12.914095654736476</v>
      </c>
      <c r="AQ18">
        <v>2.676141213137142</v>
      </c>
      <c r="AR18">
        <v>0.38150672558447318</v>
      </c>
      <c r="AS18">
        <v>2.0323256712112849</v>
      </c>
      <c r="AT18" t="e">
        <v>#DIV/0!</v>
      </c>
      <c r="AU18" t="e">
        <v>#DIV/0!</v>
      </c>
      <c r="AV18"/>
      <c r="AW18"/>
      <c r="FG18" s="5"/>
      <c r="FH18" s="213"/>
      <c r="FI18" s="13"/>
      <c r="FJ18" s="13"/>
      <c r="FK18" s="13"/>
      <c r="FL18" s="13"/>
      <c r="FM18" s="13"/>
      <c r="FN18" s="13"/>
      <c r="FO18" s="5"/>
      <c r="FY18" s="211">
        <v>13</v>
      </c>
      <c r="FZ18">
        <v>0.56439140814983424</v>
      </c>
      <c r="GA18">
        <v>0.38735017759921181</v>
      </c>
      <c r="GB18">
        <v>0.14202990935487192</v>
      </c>
      <c r="GC18">
        <v>0.14859665052880375</v>
      </c>
      <c r="GD18">
        <v>5.3449107547347455E-2</v>
      </c>
      <c r="GE18">
        <v>0</v>
      </c>
      <c r="GF18">
        <v>0.66042100116664126</v>
      </c>
      <c r="GG18">
        <v>0.59518473501329594</v>
      </c>
      <c r="GH18">
        <v>0</v>
      </c>
      <c r="GI18">
        <v>0.27747538156516394</v>
      </c>
      <c r="GJ18"/>
      <c r="GK18">
        <v>0.56798655558214373</v>
      </c>
      <c r="GL18">
        <v>0.33331521555783822</v>
      </c>
      <c r="GM18">
        <v>0.23585576644039991</v>
      </c>
      <c r="GN18">
        <v>0.44573189690518267</v>
      </c>
      <c r="GO18">
        <v>0.20987613046478273</v>
      </c>
      <c r="GP18">
        <v>0</v>
      </c>
      <c r="GQ18">
        <v>0.90739586192571098</v>
      </c>
      <c r="GR18">
        <v>0.90739586192571098</v>
      </c>
      <c r="GS18">
        <v>0</v>
      </c>
      <c r="GT18">
        <v>0.38422286288260743</v>
      </c>
      <c r="GU18"/>
      <c r="GV18"/>
      <c r="GW18"/>
      <c r="GX18"/>
      <c r="GY18"/>
      <c r="GZ18"/>
      <c r="HA18"/>
      <c r="HB18"/>
      <c r="HC18"/>
    </row>
    <row r="19" spans="1:211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4.5468749999999991</v>
      </c>
      <c r="AO19">
        <v>0.41419851428171806</v>
      </c>
      <c r="AP19">
        <v>17.687991916084219</v>
      </c>
      <c r="AQ19">
        <v>3.0740075255324011</v>
      </c>
      <c r="AR19">
        <v>0.44905919313482412</v>
      </c>
      <c r="AS19">
        <v>2.5593384738739391</v>
      </c>
      <c r="AT19" t="e">
        <v>#DIV/0!</v>
      </c>
      <c r="AU19" t="e">
        <v>#DIV/0!</v>
      </c>
      <c r="AV19"/>
      <c r="AW19"/>
      <c r="FG19" s="5"/>
      <c r="FH19" s="213"/>
      <c r="FI19" s="13"/>
      <c r="FJ19" s="13"/>
      <c r="FK19" s="13"/>
      <c r="FL19" s="13"/>
      <c r="FM19" s="13"/>
      <c r="FN19" s="13"/>
      <c r="FO19" s="5"/>
      <c r="FY19" s="211">
        <v>14</v>
      </c>
      <c r="FZ19">
        <v>1.081490442568855</v>
      </c>
      <c r="GA19">
        <v>0.56185112583616514</v>
      </c>
      <c r="GB19">
        <v>0</v>
      </c>
      <c r="GC19">
        <v>3.4819274958961192E-2</v>
      </c>
      <c r="GD19">
        <v>2.6724553773673727E-2</v>
      </c>
      <c r="GE19">
        <v>0</v>
      </c>
      <c r="GF19">
        <v>0</v>
      </c>
      <c r="GG19">
        <v>0</v>
      </c>
      <c r="GH19">
        <v>0</v>
      </c>
      <c r="GI19">
        <v>0.17550677929255704</v>
      </c>
      <c r="GJ19"/>
      <c r="GK19">
        <v>1.090165561440571</v>
      </c>
      <c r="GL19">
        <v>0.48079623401633714</v>
      </c>
      <c r="GM19">
        <v>0</v>
      </c>
      <c r="GN19">
        <v>0.10493806523239137</v>
      </c>
      <c r="GO19">
        <v>0.10493806523239137</v>
      </c>
      <c r="GP19">
        <v>0</v>
      </c>
      <c r="GQ19">
        <v>0</v>
      </c>
      <c r="GR19">
        <v>0</v>
      </c>
      <c r="GS19">
        <v>0</v>
      </c>
      <c r="GT19">
        <v>0.23902072533459248</v>
      </c>
      <c r="GU19"/>
      <c r="GV19"/>
      <c r="GW19"/>
      <c r="GX19"/>
      <c r="GY19"/>
      <c r="GZ19"/>
      <c r="HA19"/>
      <c r="HB19"/>
      <c r="HC19"/>
    </row>
    <row r="20" spans="1:211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3.5583333333333327</v>
      </c>
      <c r="AO20">
        <v>0.57602885909489898</v>
      </c>
      <c r="AP20">
        <v>19.84418447038798</v>
      </c>
      <c r="AQ20">
        <v>4.7099291009043895</v>
      </c>
      <c r="AR20">
        <v>0.6031715030865894</v>
      </c>
      <c r="AS20">
        <v>2.8768546631951546</v>
      </c>
      <c r="AT20" t="e">
        <v>#DIV/0!</v>
      </c>
      <c r="AU20" t="e">
        <v>#DIV/0!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1">
        <v>15</v>
      </c>
      <c r="FZ20">
        <v>0.83969320880784681</v>
      </c>
      <c r="GA20">
        <v>0.17450094823695328</v>
      </c>
      <c r="GB20">
        <v>0.14202990935487192</v>
      </c>
      <c r="GC20">
        <v>7.8958100610881349E-2</v>
      </c>
      <c r="GD20">
        <v>0</v>
      </c>
      <c r="GE20">
        <v>0</v>
      </c>
      <c r="GF20">
        <v>0.66042100116664126</v>
      </c>
      <c r="GG20">
        <v>0.59518473501329594</v>
      </c>
      <c r="GH20">
        <v>0</v>
      </c>
      <c r="GI20">
        <v>0.28752555773503075</v>
      </c>
      <c r="GJ20"/>
      <c r="GK20">
        <v>0.83794435320340543</v>
      </c>
      <c r="GL20">
        <v>0.14748101845849892</v>
      </c>
      <c r="GM20">
        <v>0.23585576644039991</v>
      </c>
      <c r="GN20">
        <v>0.23585576644039991</v>
      </c>
      <c r="GO20">
        <v>0</v>
      </c>
      <c r="GP20">
        <v>0</v>
      </c>
      <c r="GQ20">
        <v>0.90739586192571098</v>
      </c>
      <c r="GR20">
        <v>0.90739586192571098</v>
      </c>
      <c r="GS20">
        <v>0</v>
      </c>
      <c r="GT20">
        <v>0.39623919631390325</v>
      </c>
      <c r="GU20"/>
      <c r="GV20"/>
      <c r="GW20"/>
      <c r="GX20"/>
      <c r="GY20"/>
      <c r="GZ20"/>
      <c r="HA20"/>
      <c r="HB20"/>
      <c r="HC20"/>
    </row>
    <row r="21" spans="1:211" s="7" customFormat="1">
      <c r="A21" s="4"/>
      <c r="B21" s="36"/>
      <c r="C21" s="48" t="s">
        <v>38</v>
      </c>
      <c r="D21" s="49">
        <f t="shared" ref="D21:D26" si="7">SUM(G21:AK21)</f>
        <v>26.458333333333332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0</v>
      </c>
      <c r="I21" s="18">
        <f t="shared" si="9"/>
        <v>12.499999999999998</v>
      </c>
      <c r="J21" s="18">
        <f t="shared" si="9"/>
        <v>10.416666666666666</v>
      </c>
      <c r="K21" s="18">
        <f t="shared" si="9"/>
        <v>2.6041666666666665</v>
      </c>
      <c r="L21" s="18">
        <f t="shared" si="9"/>
        <v>0</v>
      </c>
      <c r="M21" s="18">
        <f t="shared" si="9"/>
        <v>0.9375</v>
      </c>
      <c r="N21" s="18">
        <f t="shared" si="9"/>
        <v>0</v>
      </c>
      <c r="O21" s="18">
        <f t="shared" si="9"/>
        <v>0</v>
      </c>
      <c r="P21" s="18">
        <f t="shared" si="9"/>
        <v>0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3.6510416666666665</v>
      </c>
      <c r="AO21">
        <v>0.30273644273637246</v>
      </c>
      <c r="AP21">
        <v>9.7377577366213011</v>
      </c>
      <c r="AQ21">
        <v>2.2814958956199529</v>
      </c>
      <c r="AR21">
        <v>0.34756527437826318</v>
      </c>
      <c r="AS21">
        <v>2.1150207875060714</v>
      </c>
      <c r="AT21" t="e">
        <v>#DIV/0!</v>
      </c>
      <c r="AU21" t="e">
        <v>#DIV/0!</v>
      </c>
      <c r="AV21"/>
      <c r="AW21"/>
      <c r="FY21" s="211">
        <v>16</v>
      </c>
      <c r="FZ21">
        <v>1.5864222219524702</v>
      </c>
      <c r="GA21">
        <v>1.2493010069161121</v>
      </c>
      <c r="GB21">
        <v>0.204855832097669</v>
      </c>
      <c r="GC21">
        <v>0.14859665052880375</v>
      </c>
      <c r="GD21">
        <v>2.6724553773673727E-2</v>
      </c>
      <c r="GE21">
        <v>0</v>
      </c>
      <c r="GF21">
        <v>0.66042100116664126</v>
      </c>
      <c r="GG21">
        <v>0.59518473501329594</v>
      </c>
      <c r="GH21">
        <v>0</v>
      </c>
      <c r="GI21">
        <v>0.42864790310812784</v>
      </c>
      <c r="GJ21"/>
      <c r="GK21">
        <v>1.6008361355938554</v>
      </c>
      <c r="GL21">
        <v>1.073686155902764</v>
      </c>
      <c r="GM21">
        <v>0.34079383167279126</v>
      </c>
      <c r="GN21">
        <v>0.44573189690518267</v>
      </c>
      <c r="GO21">
        <v>0.10493806523239137</v>
      </c>
      <c r="GP21">
        <v>0</v>
      </c>
      <c r="GQ21">
        <v>0.90739586192571098</v>
      </c>
      <c r="GR21">
        <v>0.90739586192571098</v>
      </c>
      <c r="GS21">
        <v>0</v>
      </c>
      <c r="GT21">
        <v>0.59079277888494985</v>
      </c>
      <c r="GU21"/>
      <c r="GV21"/>
      <c r="GW21"/>
      <c r="GX21"/>
      <c r="GY21"/>
      <c r="GZ21"/>
      <c r="HA21"/>
      <c r="HB21"/>
      <c r="HC21"/>
    </row>
    <row r="22" spans="1:211" s="7" customFormat="1">
      <c r="B22" s="36"/>
      <c r="C22" s="48" t="s">
        <v>39</v>
      </c>
      <c r="D22" s="49">
        <f t="shared" si="7"/>
        <v>3.020833333333333</v>
      </c>
      <c r="E22" s="18">
        <f t="shared" si="8"/>
        <v>41</v>
      </c>
      <c r="F22" s="50"/>
      <c r="G22" s="18">
        <f t="shared" ref="G22:AK22" si="10">AVERAGE(G71:G72)</f>
        <v>0</v>
      </c>
      <c r="H22" s="18">
        <f t="shared" si="10"/>
        <v>0</v>
      </c>
      <c r="I22" s="18">
        <f t="shared" si="10"/>
        <v>0</v>
      </c>
      <c r="J22" s="18">
        <f t="shared" si="10"/>
        <v>1.0416666666666665</v>
      </c>
      <c r="K22" s="18">
        <f t="shared" si="10"/>
        <v>1.0416666666666665</v>
      </c>
      <c r="L22" s="18">
        <f t="shared" si="10"/>
        <v>0</v>
      </c>
      <c r="M22" s="18">
        <f t="shared" si="10"/>
        <v>0.9375</v>
      </c>
      <c r="N22" s="18">
        <f t="shared" si="10"/>
        <v>0</v>
      </c>
      <c r="O22" s="18">
        <f t="shared" si="10"/>
        <v>0</v>
      </c>
      <c r="P22" s="18">
        <f t="shared" si="10"/>
        <v>0</v>
      </c>
      <c r="Q22" s="18">
        <f t="shared" si="10"/>
        <v>0</v>
      </c>
      <c r="R22" s="18">
        <f t="shared" si="10"/>
        <v>0</v>
      </c>
      <c r="S22" s="18">
        <f t="shared" si="10"/>
        <v>0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3.0604166666666668</v>
      </c>
      <c r="AO22">
        <v>0.53411204291581349</v>
      </c>
      <c r="AP22">
        <v>19.108847245822567</v>
      </c>
      <c r="AQ22">
        <v>4.0509870176440179</v>
      </c>
      <c r="AR22">
        <v>0.56271312251714922</v>
      </c>
      <c r="AS22">
        <v>2.8824735345961097</v>
      </c>
      <c r="AT22" t="e">
        <v>#DIV/0!</v>
      </c>
      <c r="AU22" t="e">
        <v>#DIV/0!</v>
      </c>
      <c r="AV22"/>
      <c r="AW22"/>
      <c r="FY22" s="211">
        <v>17</v>
      </c>
      <c r="FZ22">
        <v>0.79554305738408182</v>
      </c>
      <c r="GA22">
        <v>8.725047411847664E-2</v>
      </c>
      <c r="GB22">
        <v>7.9203986612074825E-2</v>
      </c>
      <c r="GC22">
        <v>7.8958100610881349E-2</v>
      </c>
      <c r="GD22">
        <v>2.6724553773673727E-2</v>
      </c>
      <c r="GE22">
        <v>0</v>
      </c>
      <c r="GF22">
        <v>0</v>
      </c>
      <c r="GG22">
        <v>0</v>
      </c>
      <c r="GH22">
        <v>0</v>
      </c>
      <c r="GI22">
        <v>0.15275021847852352</v>
      </c>
      <c r="GJ22"/>
      <c r="GK22">
        <v>0.79662547017011964</v>
      </c>
      <c r="GL22">
        <v>7.3740509229249462E-2</v>
      </c>
      <c r="GM22">
        <v>0.13091770120800852</v>
      </c>
      <c r="GN22">
        <v>0.23585576644039991</v>
      </c>
      <c r="GO22">
        <v>0.10493806523239137</v>
      </c>
      <c r="GP22">
        <v>0</v>
      </c>
      <c r="GQ22">
        <v>0</v>
      </c>
      <c r="GR22">
        <v>0</v>
      </c>
      <c r="GS22">
        <v>0</v>
      </c>
      <c r="GT22">
        <v>0.20649624732210389</v>
      </c>
      <c r="GU22"/>
      <c r="GV22"/>
      <c r="GW22"/>
      <c r="GX22"/>
      <c r="GY22"/>
      <c r="GZ22"/>
      <c r="HA22"/>
      <c r="HB22"/>
      <c r="HC22"/>
    </row>
    <row r="23" spans="1:211" s="7" customFormat="1">
      <c r="B23" s="36"/>
      <c r="C23" s="48" t="s">
        <v>40</v>
      </c>
      <c r="D23" s="49">
        <f t="shared" si="7"/>
        <v>1.3020833333333335</v>
      </c>
      <c r="E23" s="18">
        <f t="shared" si="8"/>
        <v>33</v>
      </c>
      <c r="F23" s="50"/>
      <c r="G23" s="18">
        <f t="shared" ref="G23:AK23" si="11">AVERAGE(G72:G73)</f>
        <v>0</v>
      </c>
      <c r="H23" s="18">
        <f t="shared" si="11"/>
        <v>0</v>
      </c>
      <c r="I23" s="18">
        <f t="shared" si="11"/>
        <v>0</v>
      </c>
      <c r="J23" s="18">
        <f t="shared" si="11"/>
        <v>0</v>
      </c>
      <c r="K23" s="18">
        <f t="shared" si="11"/>
        <v>1.3020833333333335</v>
      </c>
      <c r="L23" s="18">
        <f t="shared" si="11"/>
        <v>0</v>
      </c>
      <c r="M23" s="18">
        <f t="shared" si="11"/>
        <v>0</v>
      </c>
      <c r="N23" s="18">
        <f t="shared" si="11"/>
        <v>0</v>
      </c>
      <c r="O23" s="18">
        <f t="shared" si="11"/>
        <v>0</v>
      </c>
      <c r="P23" s="18">
        <f t="shared" si="11"/>
        <v>0</v>
      </c>
      <c r="Q23" s="18">
        <f t="shared" si="11"/>
        <v>0</v>
      </c>
      <c r="R23" s="18">
        <f t="shared" si="11"/>
        <v>0</v>
      </c>
      <c r="S23" s="18">
        <f t="shared" si="11"/>
        <v>0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1.6385416666666668</v>
      </c>
      <c r="AO23">
        <v>0.28250446274770724</v>
      </c>
      <c r="AP23">
        <v>8.8022942033604306</v>
      </c>
      <c r="AQ23">
        <v>2.2437303012663281</v>
      </c>
      <c r="AR23">
        <v>0.28807253421445495</v>
      </c>
      <c r="AS23">
        <v>1.5882418669914637</v>
      </c>
      <c r="AT23" t="e">
        <v>#DIV/0!</v>
      </c>
      <c r="AU23" t="e">
        <v>#DIV/0!</v>
      </c>
      <c r="AV23"/>
      <c r="AW23"/>
      <c r="FY23" s="211">
        <v>18</v>
      </c>
      <c r="FZ23">
        <v>1.0544926256821596</v>
      </c>
      <c r="GA23">
        <v>0.47460065171768845</v>
      </c>
      <c r="GB23">
        <v>6.282592274279708E-2</v>
      </c>
      <c r="GC23">
        <v>6.9638549917922385E-2</v>
      </c>
      <c r="GD23">
        <v>2.6724553773673727E-2</v>
      </c>
      <c r="GE23">
        <v>0</v>
      </c>
      <c r="GF23">
        <v>0</v>
      </c>
      <c r="GG23">
        <v>0</v>
      </c>
      <c r="GH23">
        <v>0</v>
      </c>
      <c r="GI23">
        <v>0.18704972337209819</v>
      </c>
      <c r="GJ23"/>
      <c r="GK23">
        <v>1.0602124211991792</v>
      </c>
      <c r="GL23">
        <v>0.40705572478708768</v>
      </c>
      <c r="GM23">
        <v>0.10493806523239137</v>
      </c>
      <c r="GN23">
        <v>0.20987613046478273</v>
      </c>
      <c r="GO23">
        <v>0.10493806523239137</v>
      </c>
      <c r="GP23">
        <v>0</v>
      </c>
      <c r="GQ23">
        <v>0</v>
      </c>
      <c r="GR23">
        <v>0</v>
      </c>
      <c r="GS23">
        <v>0</v>
      </c>
      <c r="GT23">
        <v>0.25401771033279241</v>
      </c>
      <c r="GU23"/>
      <c r="GV23"/>
      <c r="GW23"/>
      <c r="GX23"/>
      <c r="GY23"/>
      <c r="GZ23"/>
      <c r="HA23"/>
      <c r="HB23"/>
      <c r="HC23"/>
    </row>
    <row r="24" spans="1:211" s="7" customFormat="1">
      <c r="A24" s="4"/>
      <c r="B24" s="36"/>
      <c r="C24" s="48" t="s">
        <v>41</v>
      </c>
      <c r="D24" s="49">
        <f t="shared" si="7"/>
        <v>1.8229166666666667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0</v>
      </c>
      <c r="I24" s="18">
        <f t="shared" si="12"/>
        <v>0</v>
      </c>
      <c r="J24" s="18">
        <f t="shared" si="12"/>
        <v>0</v>
      </c>
      <c r="K24" s="18">
        <f t="shared" si="12"/>
        <v>1.3020833333333335</v>
      </c>
      <c r="L24" s="18">
        <f t="shared" si="12"/>
        <v>0.52083333333333326</v>
      </c>
      <c r="M24" s="18">
        <f t="shared" si="12"/>
        <v>0</v>
      </c>
      <c r="N24" s="18">
        <f t="shared" si="12"/>
        <v>0</v>
      </c>
      <c r="O24" s="18">
        <f t="shared" si="12"/>
        <v>0</v>
      </c>
      <c r="P24" s="18">
        <f t="shared" si="12"/>
        <v>0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1.8729166666666663</v>
      </c>
      <c r="AO24">
        <v>0.21240747971637358</v>
      </c>
      <c r="AP24">
        <v>4.4515906846818796</v>
      </c>
      <c r="AQ24">
        <v>1.8031607310564752</v>
      </c>
      <c r="AR24">
        <v>0.26348057519018575</v>
      </c>
      <c r="AS24">
        <v>1.4716527276914133</v>
      </c>
      <c r="AT24" t="e">
        <v>#DIV/0!</v>
      </c>
      <c r="AU24" t="e">
        <v>#DIV/0!</v>
      </c>
      <c r="AV24"/>
      <c r="AW24"/>
      <c r="FY24" s="211">
        <v>19</v>
      </c>
      <c r="FZ24">
        <v>0.6625586380923989</v>
      </c>
      <c r="GA24">
        <v>0.17450094823695328</v>
      </c>
      <c r="GB24">
        <v>0.14202990935487192</v>
      </c>
      <c r="GC24">
        <v>0.11377737556984255</v>
      </c>
      <c r="GD24">
        <v>2.6724553773673727E-2</v>
      </c>
      <c r="GE24">
        <v>0</v>
      </c>
      <c r="GF24">
        <v>0.33021050058332063</v>
      </c>
      <c r="GG24">
        <v>0.29759236750664797</v>
      </c>
      <c r="GH24">
        <v>0</v>
      </c>
      <c r="GI24">
        <v>0.21253951075367769</v>
      </c>
      <c r="GJ24"/>
      <c r="GK24">
        <v>0.66465618133985016</v>
      </c>
      <c r="GL24">
        <v>0.14748101845849892</v>
      </c>
      <c r="GM24">
        <v>0.23585576644039991</v>
      </c>
      <c r="GN24">
        <v>0.34079383167279126</v>
      </c>
      <c r="GO24">
        <v>0.10493806523239137</v>
      </c>
      <c r="GP24">
        <v>0</v>
      </c>
      <c r="GQ24">
        <v>0.45369793096285549</v>
      </c>
      <c r="GR24">
        <v>0.45369793096285549</v>
      </c>
      <c r="GS24">
        <v>0</v>
      </c>
      <c r="GT24">
        <v>0.2918295887950994</v>
      </c>
      <c r="GU24"/>
      <c r="GV24"/>
      <c r="GW24"/>
      <c r="GX24"/>
      <c r="GY24"/>
      <c r="GZ24"/>
      <c r="HA24"/>
      <c r="HB24"/>
      <c r="HC24"/>
    </row>
    <row r="25" spans="1:211" s="7" customFormat="1">
      <c r="A25" s="4"/>
      <c r="B25" s="36"/>
      <c r="C25" s="48" t="s">
        <v>42</v>
      </c>
      <c r="D25" s="49">
        <f t="shared" si="7"/>
        <v>0.52083333333333326</v>
      </c>
      <c r="E25" s="18">
        <f t="shared" si="8"/>
        <v>24</v>
      </c>
      <c r="F25" s="50"/>
      <c r="G25" s="18">
        <f t="shared" ref="G25:AK25" si="13">AVERAGE(G74:G75)</f>
        <v>0</v>
      </c>
      <c r="H25" s="18">
        <f t="shared" si="13"/>
        <v>0</v>
      </c>
      <c r="I25" s="18">
        <f t="shared" si="13"/>
        <v>0</v>
      </c>
      <c r="J25" s="18">
        <f t="shared" si="13"/>
        <v>0</v>
      </c>
      <c r="K25" s="18">
        <f t="shared" si="13"/>
        <v>0</v>
      </c>
      <c r="L25" s="18">
        <f t="shared" si="13"/>
        <v>0.52083333333333326</v>
      </c>
      <c r="M25" s="18">
        <f t="shared" si="13"/>
        <v>0</v>
      </c>
      <c r="N25" s="18">
        <f t="shared" si="13"/>
        <v>0</v>
      </c>
      <c r="O25" s="18">
        <f t="shared" si="13"/>
        <v>0</v>
      </c>
      <c r="P25" s="18">
        <f t="shared" si="13"/>
        <v>0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2.9197916666666663</v>
      </c>
      <c r="AO25">
        <v>0.39729198273980165</v>
      </c>
      <c r="AP25">
        <v>13.159489872258622</v>
      </c>
      <c r="AQ25">
        <v>3.051907848612768</v>
      </c>
      <c r="AR25">
        <v>0.44803591867015108</v>
      </c>
      <c r="AS25">
        <v>2.4682509577628995</v>
      </c>
      <c r="AT25" t="e">
        <v>#DIV/0!</v>
      </c>
      <c r="AU25" t="e">
        <v>#DIV/0!</v>
      </c>
      <c r="AV25"/>
      <c r="AW25"/>
      <c r="FY25" s="211">
        <v>20</v>
      </c>
      <c r="FZ25">
        <v>1.132970930496465</v>
      </c>
      <c r="GA25">
        <v>0.64910159995464167</v>
      </c>
      <c r="GB25">
        <v>7.9203986612074825E-2</v>
      </c>
      <c r="GC25">
        <v>4.4138825651920163E-2</v>
      </c>
      <c r="GD25">
        <v>0</v>
      </c>
      <c r="GE25">
        <v>0</v>
      </c>
      <c r="GF25">
        <v>0.66042100116664126</v>
      </c>
      <c r="GG25">
        <v>0.59518473501329594</v>
      </c>
      <c r="GH25">
        <v>0</v>
      </c>
      <c r="GI25">
        <v>0.31540249245067364</v>
      </c>
      <c r="GJ25"/>
      <c r="GK25">
        <v>1.1358661942885966</v>
      </c>
      <c r="GL25">
        <v>0.55453674324558655</v>
      </c>
      <c r="GM25">
        <v>0.13091770120800852</v>
      </c>
      <c r="GN25">
        <v>0.13091770120800852</v>
      </c>
      <c r="GO25">
        <v>0</v>
      </c>
      <c r="GP25">
        <v>0</v>
      </c>
      <c r="GQ25">
        <v>0.90739586192571098</v>
      </c>
      <c r="GR25">
        <v>0.90739586192571098</v>
      </c>
      <c r="GS25">
        <v>0</v>
      </c>
      <c r="GT25">
        <v>0.43483595148446319</v>
      </c>
      <c r="GU25"/>
      <c r="GV25"/>
      <c r="GW25"/>
      <c r="GX25"/>
      <c r="GY25"/>
      <c r="GZ25"/>
      <c r="HA25"/>
      <c r="HB25"/>
      <c r="HC25"/>
    </row>
    <row r="26" spans="1:211" s="7" customFormat="1">
      <c r="A26" s="4"/>
      <c r="B26" s="36"/>
      <c r="C26" s="48" t="s">
        <v>118</v>
      </c>
      <c r="D26" s="49">
        <f t="shared" si="7"/>
        <v>0</v>
      </c>
      <c r="E26" s="18">
        <f t="shared" si="8"/>
        <v>48</v>
      </c>
      <c r="F26" s="50"/>
      <c r="G26" s="18">
        <f t="shared" ref="G26:AK26" si="14">AVERAGE(G75:G76)</f>
        <v>0</v>
      </c>
      <c r="H26" s="18">
        <f t="shared" si="14"/>
        <v>0</v>
      </c>
      <c r="I26" s="18">
        <f t="shared" si="14"/>
        <v>0</v>
      </c>
      <c r="J26" s="18">
        <f t="shared" si="14"/>
        <v>0</v>
      </c>
      <c r="K26" s="18">
        <f t="shared" si="14"/>
        <v>0</v>
      </c>
      <c r="L26" s="18">
        <f t="shared" si="14"/>
        <v>0</v>
      </c>
      <c r="M26" s="18">
        <f t="shared" si="14"/>
        <v>0</v>
      </c>
      <c r="N26" s="18">
        <f t="shared" si="14"/>
        <v>0</v>
      </c>
      <c r="O26" s="18">
        <f t="shared" si="14"/>
        <v>0</v>
      </c>
      <c r="P26" s="18">
        <f t="shared" si="14"/>
        <v>0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1.6854166666666672</v>
      </c>
      <c r="AO26">
        <v>0.27584122832436592</v>
      </c>
      <c r="AP26">
        <v>9.2011294208984928</v>
      </c>
      <c r="AQ26">
        <v>2.3269141408187957</v>
      </c>
      <c r="AR26">
        <v>0.31107684524842893</v>
      </c>
      <c r="AS26">
        <v>1.4947416310947941</v>
      </c>
      <c r="AT26" t="e">
        <v>#DIV/0!</v>
      </c>
      <c r="AU26" t="e">
        <v>#DIV/0!</v>
      </c>
      <c r="AV26"/>
      <c r="AW26"/>
      <c r="FY26" s="211">
        <v>21</v>
      </c>
      <c r="FZ26">
        <v>0.59172568923268187</v>
      </c>
      <c r="GA26">
        <v>0</v>
      </c>
      <c r="GB26">
        <v>0.14202990935487192</v>
      </c>
      <c r="GC26">
        <v>7.8958100610881349E-2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0.12260686193589343</v>
      </c>
      <c r="GJ26"/>
      <c r="GK26">
        <v>0.59051329785192019</v>
      </c>
      <c r="GL26">
        <v>0</v>
      </c>
      <c r="GM26">
        <v>0.23585576644039991</v>
      </c>
      <c r="GN26">
        <v>0.23585576644039991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0.16527381285846404</v>
      </c>
      <c r="GU26"/>
      <c r="GV26"/>
      <c r="GW26"/>
      <c r="GX26"/>
      <c r="GY26"/>
      <c r="GZ26"/>
      <c r="HA26"/>
      <c r="HB26"/>
      <c r="HC26"/>
    </row>
    <row r="27" spans="1:211" s="7" customFormat="1">
      <c r="A27" s="4"/>
      <c r="B27" s="1"/>
      <c r="C27" s="48" t="s">
        <v>119</v>
      </c>
      <c r="D27" s="49">
        <f>SUM(G27:AK27)</f>
        <v>0.52083333333333326</v>
      </c>
      <c r="E27" s="18">
        <f>C11-C10</f>
        <v>63</v>
      </c>
      <c r="F27" s="50"/>
      <c r="G27" s="18">
        <f t="shared" ref="G27:AK29" si="15">AVERAGE(G76:G77)</f>
        <v>0</v>
      </c>
      <c r="H27" s="18">
        <f t="shared" si="15"/>
        <v>0</v>
      </c>
      <c r="I27" s="18">
        <f t="shared" si="15"/>
        <v>0</v>
      </c>
      <c r="J27" s="18">
        <f t="shared" si="15"/>
        <v>0</v>
      </c>
      <c r="K27" s="18">
        <f t="shared" si="15"/>
        <v>0</v>
      </c>
      <c r="L27" s="18">
        <f t="shared" si="15"/>
        <v>0</v>
      </c>
      <c r="M27" s="18">
        <f t="shared" si="15"/>
        <v>0</v>
      </c>
      <c r="N27" s="18">
        <f t="shared" si="15"/>
        <v>0</v>
      </c>
      <c r="O27" s="18">
        <f t="shared" si="15"/>
        <v>0.52083333333333326</v>
      </c>
      <c r="P27" s="18">
        <f t="shared" si="15"/>
        <v>0</v>
      </c>
      <c r="Q27" s="18">
        <f t="shared" si="15"/>
        <v>0</v>
      </c>
      <c r="R27" s="18">
        <f t="shared" si="15"/>
        <v>0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1.9791666666666667</v>
      </c>
      <c r="AO27">
        <v>8.9379467176080876E-2</v>
      </c>
      <c r="AP27">
        <v>0.35996575151174437</v>
      </c>
      <c r="AQ27">
        <v>0.87040722227383149</v>
      </c>
      <c r="AR27">
        <v>0.1366756937552599</v>
      </c>
      <c r="AS27">
        <v>0.96937565175416729</v>
      </c>
      <c r="AT27" t="e">
        <v>#DIV/0!</v>
      </c>
      <c r="AU27" t="e">
        <v>#DIV/0!</v>
      </c>
      <c r="AV27"/>
      <c r="AW27"/>
      <c r="FY27" s="211">
        <v>22</v>
      </c>
      <c r="FZ27">
        <v>1.6785178535380969</v>
      </c>
      <c r="GA27">
        <v>0.86195082931690026</v>
      </c>
      <c r="GB27">
        <v>0.409711664195338</v>
      </c>
      <c r="GC27">
        <v>0.2275547511396851</v>
      </c>
      <c r="GD27">
        <v>0</v>
      </c>
      <c r="GE27">
        <v>0</v>
      </c>
      <c r="GF27">
        <v>0.33021050058332063</v>
      </c>
      <c r="GG27">
        <v>0.29759236750664797</v>
      </c>
      <c r="GH27">
        <v>0</v>
      </c>
      <c r="GI27">
        <v>0.41316135418050259</v>
      </c>
      <c r="GJ27"/>
      <c r="GK27">
        <v>1.6904059991592932</v>
      </c>
      <c r="GL27">
        <v>0.7403709403449259</v>
      </c>
      <c r="GM27">
        <v>0.68158766334558252</v>
      </c>
      <c r="GN27">
        <v>0.68158766334558252</v>
      </c>
      <c r="GO27">
        <v>0</v>
      </c>
      <c r="GP27">
        <v>0</v>
      </c>
      <c r="GQ27">
        <v>0.45369793096285549</v>
      </c>
      <c r="GR27">
        <v>0.45369793096285549</v>
      </c>
      <c r="GS27">
        <v>0</v>
      </c>
      <c r="GT27">
        <v>0.56513831869354625</v>
      </c>
      <c r="GU27"/>
      <c r="GV27"/>
      <c r="GW27"/>
      <c r="GX27"/>
      <c r="GY27"/>
      <c r="GZ27"/>
      <c r="HA27"/>
      <c r="HB27"/>
      <c r="HC27"/>
    </row>
    <row r="28" spans="1:211" s="7" customFormat="1">
      <c r="A28" s="51"/>
      <c r="B28" s="1"/>
      <c r="C28" s="48" t="s">
        <v>120</v>
      </c>
      <c r="D28" s="49">
        <f>SUM(G28:AK28)</f>
        <v>0.52083333333333326</v>
      </c>
      <c r="E28" s="18">
        <f>C12-C11</f>
        <v>39</v>
      </c>
      <c r="F28" s="50"/>
      <c r="G28" s="18">
        <f t="shared" si="15"/>
        <v>0</v>
      </c>
      <c r="H28" s="18">
        <f t="shared" si="15"/>
        <v>0</v>
      </c>
      <c r="I28" s="18">
        <f t="shared" si="15"/>
        <v>0</v>
      </c>
      <c r="J28" s="18">
        <f t="shared" si="15"/>
        <v>0</v>
      </c>
      <c r="K28" s="18">
        <f t="shared" si="15"/>
        <v>0</v>
      </c>
      <c r="L28" s="18">
        <f t="shared" si="15"/>
        <v>0</v>
      </c>
      <c r="M28" s="18">
        <f t="shared" si="15"/>
        <v>0</v>
      </c>
      <c r="N28" s="18">
        <f t="shared" si="15"/>
        <v>0</v>
      </c>
      <c r="O28" s="18">
        <f t="shared" si="15"/>
        <v>0.52083333333333326</v>
      </c>
      <c r="P28" s="18">
        <f t="shared" si="15"/>
        <v>0</v>
      </c>
      <c r="Q28" s="18">
        <f t="shared" si="15"/>
        <v>0</v>
      </c>
      <c r="R28" s="18">
        <f t="shared" si="15"/>
        <v>0</v>
      </c>
      <c r="S28" s="18">
        <f t="shared" si="15"/>
        <v>0</v>
      </c>
      <c r="T28" s="18">
        <f t="shared" si="15"/>
        <v>0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4.4520833333333334</v>
      </c>
      <c r="AO28">
        <v>0.61322522588320227</v>
      </c>
      <c r="AP28">
        <v>17.321419128676524</v>
      </c>
      <c r="AQ28">
        <v>4.8825447346900654</v>
      </c>
      <c r="AR28">
        <v>0.62773052857286582</v>
      </c>
      <c r="AS28">
        <v>3.1107675934678105</v>
      </c>
      <c r="AT28" t="e">
        <v>#DIV/0!</v>
      </c>
      <c r="AU28" t="e">
        <v>#DIV/0!</v>
      </c>
      <c r="AV28"/>
      <c r="AW28"/>
      <c r="FY28" s="211">
        <v>23</v>
      </c>
      <c r="FZ28">
        <v>0.63023335262745073</v>
      </c>
      <c r="GA28">
        <v>0.38735017759921181</v>
      </c>
      <c r="GB28">
        <v>0.14202990935487192</v>
      </c>
      <c r="GC28">
        <v>7.8958100610881349E-2</v>
      </c>
      <c r="GD28">
        <v>0</v>
      </c>
      <c r="GE28">
        <v>0</v>
      </c>
      <c r="GF28">
        <v>0.99063150174996206</v>
      </c>
      <c r="GG28">
        <v>0.89277710251994391</v>
      </c>
      <c r="GH28">
        <v>0</v>
      </c>
      <c r="GI28">
        <v>0.32037924794975481</v>
      </c>
      <c r="GJ28"/>
      <c r="GK28">
        <v>0.63432160694767759</v>
      </c>
      <c r="GL28">
        <v>0.33331521555783822</v>
      </c>
      <c r="GM28">
        <v>0.23585576644039991</v>
      </c>
      <c r="GN28">
        <v>0.23585576644039991</v>
      </c>
      <c r="GO28">
        <v>0</v>
      </c>
      <c r="GP28">
        <v>0</v>
      </c>
      <c r="GQ28">
        <v>1.3610937928885667</v>
      </c>
      <c r="GR28">
        <v>1.3610937928885667</v>
      </c>
      <c r="GS28">
        <v>0</v>
      </c>
      <c r="GT28">
        <v>0.44625423325532887</v>
      </c>
      <c r="GU28"/>
      <c r="GV28"/>
      <c r="GW28"/>
      <c r="GX28"/>
      <c r="GY28"/>
      <c r="GZ28"/>
      <c r="HA28"/>
      <c r="HB28"/>
      <c r="HC28"/>
    </row>
    <row r="29" spans="1:211" s="7" customFormat="1">
      <c r="A29" s="51"/>
      <c r="B29" s="1"/>
      <c r="C29" s="48" t="s">
        <v>121</v>
      </c>
      <c r="D29" s="49">
        <f>SUM(G29:AK29)</f>
        <v>0</v>
      </c>
      <c r="E29" s="18">
        <f>C13-C12</f>
        <v>38</v>
      </c>
      <c r="F29" s="50"/>
      <c r="G29" s="18">
        <f t="shared" si="15"/>
        <v>0</v>
      </c>
      <c r="H29" s="18">
        <f t="shared" si="15"/>
        <v>0</v>
      </c>
      <c r="I29" s="18">
        <f t="shared" si="15"/>
        <v>0</v>
      </c>
      <c r="J29" s="18">
        <f t="shared" si="15"/>
        <v>0</v>
      </c>
      <c r="K29" s="18">
        <f t="shared" si="15"/>
        <v>0</v>
      </c>
      <c r="L29" s="18">
        <f t="shared" si="15"/>
        <v>0</v>
      </c>
      <c r="M29" s="18">
        <f t="shared" si="15"/>
        <v>0</v>
      </c>
      <c r="N29" s="18">
        <f t="shared" si="15"/>
        <v>0</v>
      </c>
      <c r="O29" s="18">
        <f t="shared" si="15"/>
        <v>0</v>
      </c>
      <c r="P29" s="18">
        <f t="shared" si="15"/>
        <v>0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0</v>
      </c>
      <c r="U29" s="18">
        <f t="shared" si="15"/>
        <v>0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2.0656249999999998</v>
      </c>
      <c r="AO29">
        <v>0.39917801516843771</v>
      </c>
      <c r="AP29">
        <v>16.82473368478805</v>
      </c>
      <c r="AQ29">
        <v>2.8288983709251707</v>
      </c>
      <c r="AR29">
        <v>0.38422286288260749</v>
      </c>
      <c r="AS29">
        <v>1.7748538638267293</v>
      </c>
      <c r="AT29" t="e">
        <v>#DIV/0!</v>
      </c>
      <c r="AU29" t="e">
        <v>#DIV/0!</v>
      </c>
      <c r="AV29"/>
      <c r="AW29"/>
      <c r="FY29" s="211">
        <v>24</v>
      </c>
      <c r="FZ29">
        <v>1.3514647746486146</v>
      </c>
      <c r="GA29">
        <v>0.56185112583616514</v>
      </c>
      <c r="GB29">
        <v>0.26768175484046608</v>
      </c>
      <c r="GC29">
        <v>0.14859665052880378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0.26585484829027622</v>
      </c>
      <c r="GJ29"/>
      <c r="GK29">
        <v>1.3597419249110518</v>
      </c>
      <c r="GL29">
        <v>0.48079623401633714</v>
      </c>
      <c r="GM29">
        <v>0.44573189690518267</v>
      </c>
      <c r="GN29">
        <v>0.44573189690518267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0.36109476436324695</v>
      </c>
      <c r="GU29"/>
      <c r="GV29"/>
      <c r="GW29"/>
      <c r="GX29"/>
      <c r="GY29"/>
      <c r="GZ29"/>
      <c r="HA29"/>
      <c r="HB29"/>
      <c r="HC29"/>
    </row>
    <row r="30" spans="1:211" s="7" customFormat="1">
      <c r="A30" s="51"/>
      <c r="B30" s="1"/>
      <c r="C30" s="48" t="s">
        <v>122</v>
      </c>
      <c r="D30" s="49">
        <f>SUM(G30:AK30)</f>
        <v>5.7604166666666661</v>
      </c>
      <c r="E30" s="18">
        <v>24</v>
      </c>
      <c r="F30" s="50"/>
      <c r="G30" s="18">
        <f>AVERAGE(G70:G79)</f>
        <v>0</v>
      </c>
      <c r="H30" s="18">
        <f t="shared" ref="H30:AK30" si="16">AVERAGE(H70:H79)</f>
        <v>0</v>
      </c>
      <c r="I30" s="18">
        <f t="shared" si="16"/>
        <v>2.4999999999999996</v>
      </c>
      <c r="J30" s="18">
        <f t="shared" si="16"/>
        <v>2.083333333333333</v>
      </c>
      <c r="K30" s="18">
        <f t="shared" si="16"/>
        <v>0.78125</v>
      </c>
      <c r="L30" s="18">
        <f t="shared" si="16"/>
        <v>0.10416666666666666</v>
      </c>
      <c r="M30" s="18">
        <f t="shared" si="16"/>
        <v>0.1875</v>
      </c>
      <c r="N30" s="18">
        <f t="shared" si="16"/>
        <v>0</v>
      </c>
      <c r="O30" s="18">
        <f t="shared" si="16"/>
        <v>0.10416666666666666</v>
      </c>
      <c r="P30" s="18">
        <f t="shared" si="16"/>
        <v>0</v>
      </c>
      <c r="Q30" s="18">
        <f t="shared" si="16"/>
        <v>0</v>
      </c>
      <c r="R30" s="18">
        <f t="shared" si="16"/>
        <v>0</v>
      </c>
      <c r="S30" s="18">
        <f t="shared" si="16"/>
        <v>0</v>
      </c>
      <c r="T30" s="18">
        <f t="shared" si="16"/>
        <v>0</v>
      </c>
      <c r="U30" s="18">
        <f t="shared" si="16"/>
        <v>0</v>
      </c>
      <c r="V30" s="18">
        <f t="shared" si="16"/>
        <v>0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1.4666666666666666</v>
      </c>
      <c r="AO30">
        <v>0.20198586512562838</v>
      </c>
      <c r="AP30">
        <v>1.7210540722896983</v>
      </c>
      <c r="AQ30">
        <v>1.8803921764302121</v>
      </c>
      <c r="AR30">
        <v>0.23902072533459245</v>
      </c>
      <c r="AS30">
        <v>1.3794340638971117</v>
      </c>
      <c r="AT30" t="e">
        <v>#DIV/0!</v>
      </c>
      <c r="AU30" t="e">
        <v>#DIV/0!</v>
      </c>
      <c r="AV30"/>
      <c r="AW30"/>
      <c r="FY30" s="211">
        <v>25</v>
      </c>
      <c r="FZ30">
        <v>0.65780506158513374</v>
      </c>
      <c r="GA30">
        <v>0</v>
      </c>
      <c r="GB30">
        <v>0.22123389596694673</v>
      </c>
      <c r="GC30">
        <v>0.12309692626280153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0.1517286030964369</v>
      </c>
      <c r="GJ30"/>
      <c r="GK30">
        <v>0.65920105088493308</v>
      </c>
      <c r="GL30">
        <v>0</v>
      </c>
      <c r="GM30">
        <v>0.3667734676484084</v>
      </c>
      <c r="GN30">
        <v>0.3667734676484084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0.20519490370666832</v>
      </c>
      <c r="GU30"/>
      <c r="GV30"/>
      <c r="GW30"/>
      <c r="GX30"/>
      <c r="GY30"/>
      <c r="GZ30"/>
      <c r="HA30"/>
      <c r="HB30"/>
      <c r="HC30"/>
    </row>
    <row r="31" spans="1:211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3.7760416666666665</v>
      </c>
      <c r="AO31">
        <v>0.36681678247080296</v>
      </c>
      <c r="AP31">
        <v>15.883601967230883</v>
      </c>
      <c r="AQ31">
        <v>2.7783134609255211</v>
      </c>
      <c r="AR31">
        <v>0.39623919631390325</v>
      </c>
      <c r="AS31">
        <v>2.1576851166039277</v>
      </c>
      <c r="AT31" t="e">
        <v>#DIV/0!</v>
      </c>
      <c r="AU31" t="e">
        <v>#DIV/0!</v>
      </c>
      <c r="AV31"/>
      <c r="AW31"/>
      <c r="FY31" s="211">
        <v>26</v>
      </c>
      <c r="FZ31">
        <v>1.091865062359707</v>
      </c>
      <c r="GA31">
        <v>0.47460065171768845</v>
      </c>
      <c r="GB31">
        <v>7.9203986612074825E-2</v>
      </c>
      <c r="GC31">
        <v>0.11377737556984255</v>
      </c>
      <c r="GD31">
        <v>5.3449107547347455E-2</v>
      </c>
      <c r="GE31">
        <v>0</v>
      </c>
      <c r="GF31">
        <v>0</v>
      </c>
      <c r="GG31">
        <v>0</v>
      </c>
      <c r="GH31">
        <v>0</v>
      </c>
      <c r="GI31">
        <v>0.21199039886354476</v>
      </c>
      <c r="GJ31"/>
      <c r="GK31">
        <v>1.0976868035913792</v>
      </c>
      <c r="GL31">
        <v>0.40705572478708768</v>
      </c>
      <c r="GM31">
        <v>0.13091770120800852</v>
      </c>
      <c r="GN31">
        <v>0.34079383167279126</v>
      </c>
      <c r="GO31">
        <v>0.20987613046478273</v>
      </c>
      <c r="GP31">
        <v>0</v>
      </c>
      <c r="GQ31">
        <v>0</v>
      </c>
      <c r="GR31">
        <v>0</v>
      </c>
      <c r="GS31">
        <v>0</v>
      </c>
      <c r="GT31">
        <v>0.28769612705283415</v>
      </c>
      <c r="GU31"/>
      <c r="GV31"/>
      <c r="GW31"/>
      <c r="GX31"/>
      <c r="GY31"/>
      <c r="GZ31"/>
      <c r="HA31"/>
      <c r="HB31"/>
      <c r="HC31"/>
    </row>
    <row r="32" spans="1:211" s="7" customFormat="1">
      <c r="A32" s="51"/>
      <c r="B32" s="1"/>
      <c r="C32" s="52" t="s">
        <v>43</v>
      </c>
      <c r="D32" s="53">
        <f>AVERAGE(D21:D31)</f>
        <v>3.9927083333333337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2.7697916666666669</v>
      </c>
      <c r="AO32">
        <v>0.59715705880433556</v>
      </c>
      <c r="AP32">
        <v>19.077666468503736</v>
      </c>
      <c r="AQ32">
        <v>4.9001539045567943</v>
      </c>
      <c r="AR32">
        <v>0.59079277888494974</v>
      </c>
      <c r="AS32">
        <v>2.888772282647734</v>
      </c>
      <c r="AT32" t="e">
        <v>#DIV/0!</v>
      </c>
      <c r="AU32" t="e">
        <v>#DIV/0!</v>
      </c>
      <c r="AV32"/>
      <c r="AW32"/>
      <c r="FY32" s="211">
        <v>27</v>
      </c>
      <c r="FZ32">
        <v>1.7882928690087765</v>
      </c>
      <c r="GA32">
        <v>1.2493010069161121</v>
      </c>
      <c r="GB32">
        <v>6.282592274279708E-2</v>
      </c>
      <c r="GC32">
        <v>6.9638549917922385E-2</v>
      </c>
      <c r="GD32">
        <v>2.6724553773673727E-2</v>
      </c>
      <c r="GE32">
        <v>0</v>
      </c>
      <c r="GF32">
        <v>0.33021050058332063</v>
      </c>
      <c r="GG32">
        <v>0.29759236750664797</v>
      </c>
      <c r="GH32">
        <v>0</v>
      </c>
      <c r="GI32">
        <v>0.35964790573800465</v>
      </c>
      <c r="GJ32"/>
      <c r="GK32">
        <v>1.8022799681257275</v>
      </c>
      <c r="GL32">
        <v>1.073686155902764</v>
      </c>
      <c r="GM32">
        <v>0.10493806523239137</v>
      </c>
      <c r="GN32">
        <v>0.20987613046478273</v>
      </c>
      <c r="GO32">
        <v>0.10493806523239137</v>
      </c>
      <c r="GP32">
        <v>0</v>
      </c>
      <c r="GQ32">
        <v>0.45369793096285549</v>
      </c>
      <c r="GR32">
        <v>0.45369793096285549</v>
      </c>
      <c r="GS32">
        <v>0</v>
      </c>
      <c r="GT32">
        <v>0.49317080591067314</v>
      </c>
      <c r="GU32"/>
      <c r="GV32"/>
      <c r="GW32"/>
      <c r="GX32"/>
      <c r="GY32"/>
      <c r="GZ32"/>
      <c r="HA32"/>
      <c r="HB32"/>
      <c r="HC32"/>
    </row>
    <row r="33" spans="1:211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2.755208333333333</v>
      </c>
      <c r="AO33">
        <v>0.15485737596022731</v>
      </c>
      <c r="AP33">
        <v>2.1104532335513628</v>
      </c>
      <c r="AQ33">
        <v>1.2204303909777119</v>
      </c>
      <c r="AR33">
        <v>0.20649624732210389</v>
      </c>
      <c r="AS33">
        <v>1.3841366679387093</v>
      </c>
      <c r="AT33" t="e">
        <v>#DIV/0!</v>
      </c>
      <c r="AU33" t="e">
        <v>#DIV/0!</v>
      </c>
      <c r="AV33"/>
      <c r="AW33"/>
      <c r="FY33" s="211">
        <v>28</v>
      </c>
      <c r="FZ33">
        <v>0.63764406871537282</v>
      </c>
      <c r="GA33">
        <v>8.725047411847664E-2</v>
      </c>
      <c r="GB33">
        <v>0.14202990935487192</v>
      </c>
      <c r="GC33">
        <v>0.11377737556984255</v>
      </c>
      <c r="GD33">
        <v>2.6724553773673727E-2</v>
      </c>
      <c r="GE33">
        <v>0</v>
      </c>
      <c r="GF33">
        <v>0</v>
      </c>
      <c r="GG33">
        <v>0</v>
      </c>
      <c r="GH33">
        <v>0</v>
      </c>
      <c r="GI33">
        <v>0.14487154471163988</v>
      </c>
      <c r="GJ33"/>
      <c r="GK33">
        <v>0.63639964768008084</v>
      </c>
      <c r="GL33">
        <v>7.3740509229249462E-2</v>
      </c>
      <c r="GM33">
        <v>0.23585576644039991</v>
      </c>
      <c r="GN33">
        <v>0.34079383167279126</v>
      </c>
      <c r="GO33">
        <v>0.10493806523239137</v>
      </c>
      <c r="GP33">
        <v>0</v>
      </c>
      <c r="GQ33">
        <v>0</v>
      </c>
      <c r="GR33">
        <v>0</v>
      </c>
      <c r="GS33">
        <v>0</v>
      </c>
      <c r="GT33">
        <v>0.19543869587057444</v>
      </c>
      <c r="GU33"/>
      <c r="GV33"/>
      <c r="GW33"/>
      <c r="GX33"/>
      <c r="GY33"/>
      <c r="GZ33"/>
      <c r="HA33"/>
      <c r="HB33"/>
      <c r="HC33"/>
    </row>
    <row r="34" spans="1:211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2.2270833333333329</v>
      </c>
      <c r="AO34">
        <v>0.21410381172486251</v>
      </c>
      <c r="AP34">
        <v>2.7776238762069831</v>
      </c>
      <c r="AQ34">
        <v>1.8753320272063394</v>
      </c>
      <c r="AR34">
        <v>0.25401771033279241</v>
      </c>
      <c r="AS34">
        <v>1.5457101022072528</v>
      </c>
      <c r="AT34" t="e">
        <v>#DIV/0!</v>
      </c>
      <c r="AU34" t="e">
        <v>#DIV/0!</v>
      </c>
      <c r="AV34"/>
      <c r="AW34"/>
      <c r="FY34" s="211">
        <v>29</v>
      </c>
      <c r="FZ34">
        <v>1.091490933638247</v>
      </c>
      <c r="GA34">
        <v>0.47460065171768845</v>
      </c>
      <c r="GB34">
        <v>0.14202990935487192</v>
      </c>
      <c r="GC34">
        <v>7.8958100610881349E-2</v>
      </c>
      <c r="GD34">
        <v>0</v>
      </c>
      <c r="GE34">
        <v>0</v>
      </c>
      <c r="GF34">
        <v>0.33021050058332063</v>
      </c>
      <c r="GG34">
        <v>0.29759236750664797</v>
      </c>
      <c r="GH34">
        <v>0</v>
      </c>
      <c r="GI34">
        <v>0.26055309590943398</v>
      </c>
      <c r="GJ34"/>
      <c r="GK34">
        <v>1.0972504274091781</v>
      </c>
      <c r="GL34">
        <v>0.40705572478708768</v>
      </c>
      <c r="GM34">
        <v>0.23585576644039991</v>
      </c>
      <c r="GN34">
        <v>0.23585576644039991</v>
      </c>
      <c r="GO34">
        <v>0</v>
      </c>
      <c r="GP34">
        <v>0</v>
      </c>
      <c r="GQ34">
        <v>0.45369793096285549</v>
      </c>
      <c r="GR34">
        <v>0.45369793096285549</v>
      </c>
      <c r="GS34">
        <v>0</v>
      </c>
      <c r="GT34">
        <v>0.35736082496248672</v>
      </c>
      <c r="GU34"/>
      <c r="GV34"/>
      <c r="GW34"/>
      <c r="GX34"/>
      <c r="GY34"/>
      <c r="GZ34"/>
      <c r="HA34"/>
      <c r="HB34"/>
      <c r="HC34"/>
    </row>
    <row r="35" spans="1:211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1.7135416666666667</v>
      </c>
      <c r="AO35">
        <v>0.2692950313864742</v>
      </c>
      <c r="AP35">
        <v>9.1325501481303739</v>
      </c>
      <c r="AQ35">
        <v>1.9599338038713867</v>
      </c>
      <c r="AR35">
        <v>0.2918295887950994</v>
      </c>
      <c r="AS35">
        <v>1.8143077942065964</v>
      </c>
      <c r="AT35" t="e">
        <v>#DIV/0!</v>
      </c>
      <c r="AU35" t="e">
        <v>#DIV/0!</v>
      </c>
      <c r="AV35"/>
      <c r="AW35"/>
      <c r="FY35" s="211">
        <v>30</v>
      </c>
      <c r="FZ35">
        <v>0.62422516563751351</v>
      </c>
      <c r="GA35">
        <v>8.725047411847664E-2</v>
      </c>
      <c r="GB35">
        <v>0.14202990935487192</v>
      </c>
      <c r="GC35">
        <v>7.8958100610881349E-2</v>
      </c>
      <c r="GD35">
        <v>0</v>
      </c>
      <c r="GE35">
        <v>0</v>
      </c>
      <c r="GF35">
        <v>0.33021050058332063</v>
      </c>
      <c r="GG35">
        <v>0.29759236750664797</v>
      </c>
      <c r="GH35">
        <v>0</v>
      </c>
      <c r="GI35">
        <v>0.19141731183643065</v>
      </c>
      <c r="GJ35"/>
      <c r="GK35">
        <v>0.62573891319320385</v>
      </c>
      <c r="GL35">
        <v>7.3740509229249462E-2</v>
      </c>
      <c r="GM35">
        <v>0.23585576644039991</v>
      </c>
      <c r="GN35">
        <v>0.23585576644039991</v>
      </c>
      <c r="GO35">
        <v>0</v>
      </c>
      <c r="GP35">
        <v>0</v>
      </c>
      <c r="GQ35">
        <v>0.45369793096285549</v>
      </c>
      <c r="GR35">
        <v>0.45369793096285549</v>
      </c>
      <c r="GS35">
        <v>0</v>
      </c>
      <c r="GT35">
        <v>0.26305852211929187</v>
      </c>
      <c r="GU35"/>
      <c r="GV35"/>
      <c r="GW35"/>
      <c r="GX35"/>
      <c r="GY35"/>
      <c r="GZ35"/>
      <c r="HA35"/>
      <c r="HB35"/>
      <c r="HC35"/>
    </row>
    <row r="36" spans="1:211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1.5460882565275302E-4</v>
      </c>
      <c r="H36" s="59">
        <f t="shared" ref="H36:AK36" si="17">(1-($A$43/100))*($A$39*(H35^$A$41))</f>
        <v>1.3395E-3</v>
      </c>
      <c r="I36" s="59">
        <f t="shared" si="17"/>
        <v>1.1605160587855814E-2</v>
      </c>
      <c r="J36" s="59">
        <f t="shared" si="17"/>
        <v>4.1036983192408429E-2</v>
      </c>
      <c r="K36" s="59">
        <f t="shared" si="17"/>
        <v>0.10054479452775054</v>
      </c>
      <c r="L36" s="59">
        <f t="shared" si="17"/>
        <v>0.20148108524619146</v>
      </c>
      <c r="M36" s="59">
        <f t="shared" si="17"/>
        <v>0.35553622992836076</v>
      </c>
      <c r="N36" s="59">
        <f t="shared" si="17"/>
        <v>0.57467606929839166</v>
      </c>
      <c r="O36" s="59">
        <f t="shared" si="17"/>
        <v>0.87110002744868265</v>
      </c>
      <c r="P36" s="59">
        <f t="shared" si="17"/>
        <v>1.2572108917760445</v>
      </c>
      <c r="Q36" s="59">
        <f t="shared" si="17"/>
        <v>1.7455918997368574</v>
      </c>
      <c r="R36" s="59">
        <f t="shared" si="17"/>
        <v>2.3489887250867154</v>
      </c>
      <c r="S36" s="59">
        <f t="shared" si="17"/>
        <v>3.0802949183422608</v>
      </c>
      <c r="T36" s="59">
        <f t="shared" si="17"/>
        <v>3.9525398786004713</v>
      </c>
      <c r="U36" s="59">
        <f t="shared" si="17"/>
        <v>4.9788787384886826</v>
      </c>
      <c r="V36" s="59">
        <f t="shared" si="17"/>
        <v>6.1725837318672401</v>
      </c>
      <c r="W36" s="59">
        <f t="shared" si="17"/>
        <v>7.5470367350709795</v>
      </c>
      <c r="X36" s="59">
        <f t="shared" si="17"/>
        <v>9.1157227535838086</v>
      </c>
      <c r="Y36" s="59">
        <f t="shared" si="17"/>
        <v>10.892224182054795</v>
      </c>
      <c r="Z36" s="59">
        <f t="shared" si="17"/>
        <v>12.890215705291629</v>
      </c>
      <c r="AA36" s="59">
        <f t="shared" si="17"/>
        <v>15.123459736697646</v>
      </c>
      <c r="AB36" s="59">
        <f t="shared" si="17"/>
        <v>17.605802311965238</v>
      </c>
      <c r="AC36" s="59">
        <f t="shared" si="17"/>
        <v>20.351169371925362</v>
      </c>
      <c r="AD36" s="59">
        <f t="shared" si="17"/>
        <v>23.373563380766857</v>
      </c>
      <c r="AE36" s="59">
        <f t="shared" si="17"/>
        <v>26.68706023539988</v>
      </c>
      <c r="AF36" s="59">
        <f t="shared" si="17"/>
        <v>30.305806429252016</v>
      </c>
      <c r="AG36" s="59">
        <f t="shared" si="17"/>
        <v>34.244016439763037</v>
      </c>
      <c r="AH36" s="59">
        <f t="shared" si="17"/>
        <v>38.515970313644125</v>
      </c>
      <c r="AI36" s="59">
        <f t="shared" si="17"/>
        <v>43.136011427862769</v>
      </c>
      <c r="AJ36" s="59">
        <f t="shared" si="17"/>
        <v>48.118544407499712</v>
      </c>
      <c r="AK36" s="59">
        <f t="shared" si="17"/>
        <v>53.478033184252119</v>
      </c>
      <c r="AL36" s="42"/>
      <c r="AM36" s="43">
        <v>20</v>
      </c>
      <c r="AN36">
        <v>2.9718749999999998</v>
      </c>
      <c r="AO36">
        <v>0.42018660152860854</v>
      </c>
      <c r="AP36">
        <v>15.188282073883755</v>
      </c>
      <c r="AQ36">
        <v>3.4764235713457126</v>
      </c>
      <c r="AR36">
        <v>0.43483595148446319</v>
      </c>
      <c r="AS36">
        <v>2.650540481862782</v>
      </c>
      <c r="AT36" t="e">
        <v>#DIV/0!</v>
      </c>
      <c r="AU36" t="e">
        <v>#DIV/0!</v>
      </c>
      <c r="AV36"/>
      <c r="AW36"/>
      <c r="FY36" s="211">
        <v>31</v>
      </c>
      <c r="FZ36">
        <v>0.78598998451577362</v>
      </c>
      <c r="GA36">
        <v>0.47460065171768845</v>
      </c>
      <c r="GB36">
        <v>0.37964186919109638</v>
      </c>
      <c r="GC36">
        <v>0.24619385252560305</v>
      </c>
      <c r="GD36">
        <v>2.6724553773673727E-2</v>
      </c>
      <c r="GE36">
        <v>0</v>
      </c>
      <c r="GF36">
        <v>0.33021050058332063</v>
      </c>
      <c r="GG36">
        <v>0.29759236750664797</v>
      </c>
      <c r="GH36">
        <v>0</v>
      </c>
      <c r="GI36">
        <v>0.28900458889246705</v>
      </c>
      <c r="GJ36"/>
      <c r="GK36">
        <v>0.78954358646064038</v>
      </c>
      <c r="GL36">
        <v>0.40705572478708768</v>
      </c>
      <c r="GM36">
        <v>0.62860887006442545</v>
      </c>
      <c r="GN36">
        <v>0.7335469352968168</v>
      </c>
      <c r="GO36">
        <v>0.10493806523239137</v>
      </c>
      <c r="GP36">
        <v>0</v>
      </c>
      <c r="GQ36">
        <v>0.45369793096285549</v>
      </c>
      <c r="GR36">
        <v>0.45369793096285549</v>
      </c>
      <c r="GS36">
        <v>0</v>
      </c>
      <c r="GT36">
        <v>0.39535769054406261</v>
      </c>
      <c r="GU36"/>
      <c r="GV36"/>
      <c r="GW36"/>
      <c r="GX36"/>
      <c r="GY36"/>
      <c r="GZ36"/>
      <c r="HA36"/>
      <c r="HB36"/>
      <c r="HC36"/>
    </row>
    <row r="37" spans="1:211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1.1676837002429741</v>
      </c>
      <c r="E37" s="107">
        <f t="shared" ref="E37:E46" si="19">+D37/D21</f>
        <v>4.4132927253277762E-2</v>
      </c>
      <c r="F37" s="18"/>
      <c r="G37" s="49">
        <f t="shared" ref="G37:G43" si="20">G21*G$36</f>
        <v>0</v>
      </c>
      <c r="H37" s="49">
        <f t="shared" ref="H37:AK40" si="21">H21*H$36</f>
        <v>0</v>
      </c>
      <c r="I37" s="49">
        <f t="shared" si="21"/>
        <v>0.14506450734819765</v>
      </c>
      <c r="J37" s="49">
        <f t="shared" si="21"/>
        <v>0.42746857492092111</v>
      </c>
      <c r="K37" s="49">
        <f t="shared" si="21"/>
        <v>0.26183540241601705</v>
      </c>
      <c r="L37" s="49">
        <f t="shared" si="21"/>
        <v>0</v>
      </c>
      <c r="M37" s="49">
        <f t="shared" si="21"/>
        <v>0.33331521555783822</v>
      </c>
      <c r="N37" s="49">
        <f t="shared" si="21"/>
        <v>0</v>
      </c>
      <c r="O37" s="49">
        <f t="shared" si="21"/>
        <v>0</v>
      </c>
      <c r="P37" s="49">
        <f t="shared" si="21"/>
        <v>0</v>
      </c>
      <c r="Q37" s="49">
        <f t="shared" si="21"/>
        <v>0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2.213541666666667</v>
      </c>
      <c r="AO37">
        <v>0.12274986435911842</v>
      </c>
      <c r="AP37">
        <v>2.7761492509261529</v>
      </c>
      <c r="AQ37">
        <v>0.9353205611343286</v>
      </c>
      <c r="AR37">
        <v>0.16527381285846404</v>
      </c>
      <c r="AS37">
        <v>1.265382548018773</v>
      </c>
      <c r="AT37" t="e">
        <v>#DIV/0!</v>
      </c>
      <c r="AU37" t="e">
        <v>#DIV/0!</v>
      </c>
      <c r="AV37"/>
      <c r="AW37"/>
      <c r="FY37" s="211">
        <v>32</v>
      </c>
      <c r="FZ37">
        <v>0.52171724973572697</v>
      </c>
      <c r="GA37">
        <v>8.725047411847664E-2</v>
      </c>
      <c r="GB37">
        <v>0.14202990935487192</v>
      </c>
      <c r="GC37">
        <v>7.8958100610881349E-2</v>
      </c>
      <c r="GD37">
        <v>0</v>
      </c>
      <c r="GE37">
        <v>0</v>
      </c>
      <c r="GF37">
        <v>0.66042100116664126</v>
      </c>
      <c r="GG37">
        <v>0.59518473501329594</v>
      </c>
      <c r="GH37">
        <v>0</v>
      </c>
      <c r="GI37">
        <v>0.24036890639078262</v>
      </c>
      <c r="GJ37"/>
      <c r="GK37">
        <v>0.52078503332314163</v>
      </c>
      <c r="GL37">
        <v>7.3740509229249462E-2</v>
      </c>
      <c r="GM37">
        <v>0.23585576644039991</v>
      </c>
      <c r="GN37">
        <v>0.23585576644039991</v>
      </c>
      <c r="GO37">
        <v>0</v>
      </c>
      <c r="GP37">
        <v>0</v>
      </c>
      <c r="GQ37">
        <v>0.90739586192571098</v>
      </c>
      <c r="GR37">
        <v>0.90739586192571098</v>
      </c>
      <c r="GS37">
        <v>0</v>
      </c>
      <c r="GT37">
        <v>0.33280733233785048</v>
      </c>
      <c r="GU37"/>
      <c r="GV37"/>
      <c r="GW37"/>
      <c r="GX37"/>
      <c r="GY37"/>
      <c r="GZ37"/>
      <c r="HA37"/>
      <c r="HB37"/>
      <c r="HC37"/>
    </row>
    <row r="38" spans="1:211" s="7" customFormat="1">
      <c r="A38" s="9" t="s">
        <v>47</v>
      </c>
      <c r="B38" s="57"/>
      <c r="C38" s="48" t="s">
        <v>39</v>
      </c>
      <c r="D38" s="49">
        <f t="shared" si="18"/>
        <v>0.48079623401633714</v>
      </c>
      <c r="E38" s="107">
        <f t="shared" si="19"/>
        <v>0.15916013263989093</v>
      </c>
      <c r="F38" s="18"/>
      <c r="G38" s="49">
        <f t="shared" si="20"/>
        <v>0</v>
      </c>
      <c r="H38" s="49">
        <f t="shared" si="21"/>
        <v>0</v>
      </c>
      <c r="I38" s="49">
        <f t="shared" si="21"/>
        <v>0</v>
      </c>
      <c r="J38" s="49">
        <f t="shared" si="21"/>
        <v>4.2746857492092109E-2</v>
      </c>
      <c r="K38" s="49">
        <f t="shared" si="21"/>
        <v>0.10473416096640681</v>
      </c>
      <c r="L38" s="49">
        <f t="shared" si="21"/>
        <v>0</v>
      </c>
      <c r="M38" s="49">
        <f t="shared" si="21"/>
        <v>0.33331521555783822</v>
      </c>
      <c r="N38" s="49">
        <f t="shared" si="21"/>
        <v>0</v>
      </c>
      <c r="O38" s="49">
        <f t="shared" si="21"/>
        <v>0</v>
      </c>
      <c r="P38" s="49">
        <f t="shared" si="21"/>
        <v>0</v>
      </c>
      <c r="Q38" s="49">
        <f t="shared" si="21"/>
        <v>0</v>
      </c>
      <c r="R38" s="49">
        <f t="shared" si="21"/>
        <v>0</v>
      </c>
      <c r="S38" s="49">
        <f t="shared" si="21"/>
        <v>0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4.4125000000000005</v>
      </c>
      <c r="AO38">
        <v>0.52664864468146411</v>
      </c>
      <c r="AP38">
        <v>17.292188403783044</v>
      </c>
      <c r="AQ38">
        <v>4.2186993204604919</v>
      </c>
      <c r="AR38">
        <v>0.56513831869354625</v>
      </c>
      <c r="AS38">
        <v>3.0784813649161555</v>
      </c>
      <c r="AT38" t="e">
        <v>#DIV/0!</v>
      </c>
      <c r="AU38" t="e">
        <v>#DIV/0!</v>
      </c>
      <c r="AV38"/>
      <c r="AW38"/>
      <c r="FY38" s="211">
        <v>33</v>
      </c>
      <c r="FZ38">
        <v>1.5037397575935183</v>
      </c>
      <c r="GA38">
        <v>0.86195082931690026</v>
      </c>
      <c r="GB38">
        <v>0.22123389596694673</v>
      </c>
      <c r="GC38">
        <v>0.1579162012217627</v>
      </c>
      <c r="GD38">
        <v>2.6724553773673727E-2</v>
      </c>
      <c r="GE38">
        <v>0</v>
      </c>
      <c r="GF38">
        <v>0</v>
      </c>
      <c r="GG38">
        <v>0</v>
      </c>
      <c r="GH38">
        <v>0</v>
      </c>
      <c r="GI38">
        <v>0.2923163241561415</v>
      </c>
      <c r="GJ38"/>
      <c r="GK38">
        <v>1.513926375187377</v>
      </c>
      <c r="GL38">
        <v>0.7403709403449259</v>
      </c>
      <c r="GM38">
        <v>0.3667734676484084</v>
      </c>
      <c r="GN38">
        <v>0.47171153288079981</v>
      </c>
      <c r="GO38">
        <v>0.10493806523239137</v>
      </c>
      <c r="GP38">
        <v>0</v>
      </c>
      <c r="GQ38">
        <v>0</v>
      </c>
      <c r="GR38">
        <v>0</v>
      </c>
      <c r="GS38">
        <v>0</v>
      </c>
      <c r="GT38">
        <v>0.39712758161363537</v>
      </c>
      <c r="GU38"/>
      <c r="GV38"/>
      <c r="GW38"/>
      <c r="GX38"/>
      <c r="GY38"/>
      <c r="GZ38"/>
      <c r="HA38"/>
      <c r="HB38"/>
      <c r="HC38"/>
    </row>
    <row r="39" spans="1:211" s="7" customFormat="1">
      <c r="A39" s="114">
        <v>1.5E-3</v>
      </c>
      <c r="B39" s="57"/>
      <c r="C39" s="48" t="s">
        <v>40</v>
      </c>
      <c r="D39" s="49">
        <f t="shared" si="18"/>
        <v>0.13091770120800852</v>
      </c>
      <c r="E39" s="107">
        <f t="shared" si="19"/>
        <v>0.10054479452775053</v>
      </c>
      <c r="F39" s="18"/>
      <c r="G39" s="49">
        <f t="shared" si="20"/>
        <v>0</v>
      </c>
      <c r="H39" s="49">
        <f t="shared" si="21"/>
        <v>0</v>
      </c>
      <c r="I39" s="49">
        <f t="shared" si="21"/>
        <v>0</v>
      </c>
      <c r="J39" s="49">
        <f t="shared" si="21"/>
        <v>0</v>
      </c>
      <c r="K39" s="49">
        <f t="shared" si="21"/>
        <v>0.13091770120800852</v>
      </c>
      <c r="L39" s="49">
        <f t="shared" si="21"/>
        <v>0</v>
      </c>
      <c r="M39" s="49">
        <f t="shared" si="21"/>
        <v>0</v>
      </c>
      <c r="N39" s="49">
        <f t="shared" si="21"/>
        <v>0</v>
      </c>
      <c r="O39" s="49">
        <f t="shared" si="21"/>
        <v>0</v>
      </c>
      <c r="P39" s="49">
        <f t="shared" si="21"/>
        <v>0</v>
      </c>
      <c r="Q39" s="49">
        <f t="shared" si="21"/>
        <v>0</v>
      </c>
      <c r="R39" s="49">
        <f t="shared" si="21"/>
        <v>0</v>
      </c>
      <c r="S39" s="49">
        <f t="shared" si="21"/>
        <v>0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1.5135416666666666</v>
      </c>
      <c r="AO39">
        <v>0.46077901744187777</v>
      </c>
      <c r="AP39">
        <v>22.478100918540612</v>
      </c>
      <c r="AQ39">
        <v>3.4423593924120763</v>
      </c>
      <c r="AR39">
        <v>0.44625423325532887</v>
      </c>
      <c r="AS39">
        <v>1.9165863270805674</v>
      </c>
      <c r="AT39" t="e">
        <v>#DIV/0!</v>
      </c>
      <c r="AU39" t="e">
        <v>#DIV/0!</v>
      </c>
      <c r="AV39"/>
      <c r="AW39"/>
      <c r="FY39" s="211">
        <v>34</v>
      </c>
      <c r="FZ39">
        <v>1.4027453247946482</v>
      </c>
      <c r="GA39">
        <v>0.9492013034353769</v>
      </c>
      <c r="GB39">
        <v>0.22123389596694673</v>
      </c>
      <c r="GC39">
        <v>0.1579162012217627</v>
      </c>
      <c r="GD39">
        <v>2.6724553773673727E-2</v>
      </c>
      <c r="GE39">
        <v>0</v>
      </c>
      <c r="GF39">
        <v>0</v>
      </c>
      <c r="GG39">
        <v>0</v>
      </c>
      <c r="GH39">
        <v>0</v>
      </c>
      <c r="GI39">
        <v>0.27743593463455984</v>
      </c>
      <c r="GJ39"/>
      <c r="GK39">
        <v>1.4098972225259874</v>
      </c>
      <c r="GL39">
        <v>0.81411144957417536</v>
      </c>
      <c r="GM39">
        <v>0.3667734676484084</v>
      </c>
      <c r="GN39">
        <v>0.47171153288079981</v>
      </c>
      <c r="GO39">
        <v>0.10493806523239137</v>
      </c>
      <c r="GP39">
        <v>0</v>
      </c>
      <c r="GQ39">
        <v>0</v>
      </c>
      <c r="GR39">
        <v>0</v>
      </c>
      <c r="GS39">
        <v>0</v>
      </c>
      <c r="GT39">
        <v>0.37632175108135751</v>
      </c>
      <c r="GU39"/>
      <c r="GV39"/>
      <c r="GW39"/>
      <c r="GX39"/>
      <c r="GY39"/>
      <c r="GZ39"/>
      <c r="HA39"/>
      <c r="HB39"/>
      <c r="HC39"/>
    </row>
    <row r="40" spans="1:211" s="7" customFormat="1">
      <c r="A40" s="9" t="s">
        <v>48</v>
      </c>
      <c r="B40" s="57"/>
      <c r="C40" s="48" t="s">
        <v>41</v>
      </c>
      <c r="D40" s="49">
        <f t="shared" si="18"/>
        <v>0.23585576644039991</v>
      </c>
      <c r="E40" s="107">
        <f t="shared" si="19"/>
        <v>0.12938373473301937</v>
      </c>
      <c r="F40" s="18"/>
      <c r="G40" s="49">
        <f t="shared" si="20"/>
        <v>0</v>
      </c>
      <c r="H40" s="49">
        <f t="shared" si="21"/>
        <v>0</v>
      </c>
      <c r="I40" s="49">
        <f t="shared" si="21"/>
        <v>0</v>
      </c>
      <c r="J40" s="49">
        <f t="shared" si="21"/>
        <v>0</v>
      </c>
      <c r="K40" s="49">
        <f t="shared" si="21"/>
        <v>0.13091770120800852</v>
      </c>
      <c r="L40" s="49">
        <f t="shared" si="21"/>
        <v>0.10493806523239137</v>
      </c>
      <c r="M40" s="49">
        <f t="shared" si="21"/>
        <v>0</v>
      </c>
      <c r="N40" s="49">
        <f t="shared" si="21"/>
        <v>0</v>
      </c>
      <c r="O40" s="49">
        <f t="shared" si="21"/>
        <v>0</v>
      </c>
      <c r="P40" s="49">
        <f t="shared" si="21"/>
        <v>0</v>
      </c>
      <c r="Q40" s="49">
        <f t="shared" si="21"/>
        <v>0</v>
      </c>
      <c r="R40" s="49">
        <f t="shared" si="21"/>
        <v>0</v>
      </c>
      <c r="S40" s="49">
        <f t="shared" si="21"/>
        <v>0</v>
      </c>
      <c r="T40" s="49">
        <f t="shared" si="21"/>
        <v>0</v>
      </c>
      <c r="U40" s="49">
        <f t="shared" si="21"/>
        <v>0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2.8572916666666663</v>
      </c>
      <c r="AO40">
        <v>0.3093096717101001</v>
      </c>
      <c r="AP40">
        <v>6.4950499123841929</v>
      </c>
      <c r="AQ40">
        <v>2.5954491541443256</v>
      </c>
      <c r="AR40">
        <v>0.36109476436324689</v>
      </c>
      <c r="AS40">
        <v>2.1455386588404646</v>
      </c>
      <c r="AT40" t="e">
        <v>#DIV/0!</v>
      </c>
      <c r="AU40" t="e">
        <v>#DIV/0!</v>
      </c>
      <c r="AV40"/>
      <c r="AW40"/>
      <c r="FY40" s="211">
        <v>35</v>
      </c>
      <c r="FZ40">
        <v>0.80356120240406459</v>
      </c>
      <c r="GA40">
        <v>0</v>
      </c>
      <c r="GB40">
        <v>0.22123389596694673</v>
      </c>
      <c r="GC40">
        <v>0.1579162012217627</v>
      </c>
      <c r="GD40">
        <v>2.6724553773673727E-2</v>
      </c>
      <c r="GE40">
        <v>0</v>
      </c>
      <c r="GF40">
        <v>0.33021050058332063</v>
      </c>
      <c r="GG40">
        <v>0.29759236750664797</v>
      </c>
      <c r="GH40">
        <v>0</v>
      </c>
      <c r="GI40">
        <v>0.25279431929695068</v>
      </c>
      <c r="GJ40"/>
      <c r="GK40">
        <v>0.80733816442928874</v>
      </c>
      <c r="GL40">
        <v>0</v>
      </c>
      <c r="GM40">
        <v>0.3667734676484084</v>
      </c>
      <c r="GN40">
        <v>0.47171153288079981</v>
      </c>
      <c r="GO40">
        <v>0.10493806523239137</v>
      </c>
      <c r="GP40">
        <v>0</v>
      </c>
      <c r="GQ40">
        <v>0.45369793096285549</v>
      </c>
      <c r="GR40">
        <v>0.45369793096285549</v>
      </c>
      <c r="GS40">
        <v>0</v>
      </c>
      <c r="GT40">
        <v>0.34654952565458885</v>
      </c>
      <c r="GU40"/>
      <c r="GV40"/>
      <c r="GW40"/>
      <c r="GX40"/>
      <c r="GY40"/>
      <c r="GZ40"/>
      <c r="HA40"/>
      <c r="HB40"/>
      <c r="HC40"/>
    </row>
    <row r="41" spans="1:211" s="7" customFormat="1">
      <c r="A41" s="114">
        <v>3.1150000000000002</v>
      </c>
      <c r="B41" s="57"/>
      <c r="C41" s="48" t="s">
        <v>42</v>
      </c>
      <c r="D41" s="49">
        <f t="shared" si="18"/>
        <v>0.10493806523239137</v>
      </c>
      <c r="E41" s="107">
        <f t="shared" si="19"/>
        <v>0.20148108524619146</v>
      </c>
      <c r="F41" s="18"/>
      <c r="G41" s="49">
        <f t="shared" si="20"/>
        <v>0</v>
      </c>
      <c r="H41" s="49">
        <f t="shared" ref="H41:AK43" si="22">H25*H$36</f>
        <v>0</v>
      </c>
      <c r="I41" s="49">
        <f t="shared" si="22"/>
        <v>0</v>
      </c>
      <c r="J41" s="49">
        <f t="shared" si="22"/>
        <v>0</v>
      </c>
      <c r="K41" s="49">
        <f t="shared" si="22"/>
        <v>0</v>
      </c>
      <c r="L41" s="49">
        <f t="shared" si="22"/>
        <v>0.10493806523239137</v>
      </c>
      <c r="M41" s="49">
        <f t="shared" si="22"/>
        <v>0</v>
      </c>
      <c r="N41" s="49">
        <f t="shared" si="22"/>
        <v>0</v>
      </c>
      <c r="O41" s="49">
        <f t="shared" si="22"/>
        <v>0</v>
      </c>
      <c r="P41" s="49">
        <f t="shared" si="22"/>
        <v>0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2.3124999999999996</v>
      </c>
      <c r="AO41">
        <v>0.15979428898884182</v>
      </c>
      <c r="AP41">
        <v>4.2813706744428295</v>
      </c>
      <c r="AQ41">
        <v>1.1538644869113188</v>
      </c>
      <c r="AR41">
        <v>0.20519490370666835</v>
      </c>
      <c r="AS41">
        <v>1.4495068450496404</v>
      </c>
      <c r="AT41" t="e">
        <v>#DIV/0!</v>
      </c>
      <c r="AU41" t="e">
        <v>#DIV/0!</v>
      </c>
      <c r="AV41"/>
      <c r="AW41"/>
      <c r="FY41" s="211">
        <v>36</v>
      </c>
      <c r="FZ41">
        <v>1.2105601493569906</v>
      </c>
      <c r="GA41">
        <v>1.0364517775538535</v>
      </c>
      <c r="GB41">
        <v>7.9203986612074825E-2</v>
      </c>
      <c r="GC41">
        <v>7.8958100610881349E-2</v>
      </c>
      <c r="GD41">
        <v>2.6724553773673727E-2</v>
      </c>
      <c r="GE41">
        <v>0</v>
      </c>
      <c r="GF41">
        <v>0</v>
      </c>
      <c r="GG41">
        <v>0</v>
      </c>
      <c r="GH41">
        <v>0</v>
      </c>
      <c r="GI41">
        <v>0.2140668624406446</v>
      </c>
      <c r="GJ41"/>
      <c r="GK41">
        <v>1.2184091161759754</v>
      </c>
      <c r="GL41">
        <v>0.88785195880342482</v>
      </c>
      <c r="GM41">
        <v>0.13091770120800852</v>
      </c>
      <c r="GN41">
        <v>0.23585576644039991</v>
      </c>
      <c r="GO41">
        <v>0.10493806523239137</v>
      </c>
      <c r="GP41">
        <v>0</v>
      </c>
      <c r="GQ41">
        <v>0</v>
      </c>
      <c r="GR41">
        <v>0</v>
      </c>
      <c r="GS41">
        <v>0</v>
      </c>
      <c r="GT41">
        <v>0.29085297652327502</v>
      </c>
      <c r="GU41"/>
      <c r="GV41"/>
      <c r="GW41"/>
      <c r="GX41"/>
      <c r="GY41"/>
      <c r="GZ41"/>
      <c r="HA41"/>
      <c r="HB41"/>
      <c r="HC41"/>
    </row>
    <row r="42" spans="1:211" s="7" customFormat="1">
      <c r="A42" s="9" t="s">
        <v>49</v>
      </c>
      <c r="B42" s="57"/>
      <c r="C42" s="48" t="s">
        <v>118</v>
      </c>
      <c r="D42" s="49">
        <f t="shared" si="18"/>
        <v>0</v>
      </c>
      <c r="E42" s="107" t="e">
        <f t="shared" si="19"/>
        <v>#DIV/0!</v>
      </c>
      <c r="F42" s="18"/>
      <c r="G42" s="49">
        <f t="shared" si="20"/>
        <v>0</v>
      </c>
      <c r="H42" s="49">
        <f t="shared" si="22"/>
        <v>0</v>
      </c>
      <c r="I42" s="49">
        <f t="shared" si="22"/>
        <v>0</v>
      </c>
      <c r="J42" s="49">
        <f t="shared" si="22"/>
        <v>0</v>
      </c>
      <c r="K42" s="49">
        <f t="shared" si="22"/>
        <v>0</v>
      </c>
      <c r="L42" s="49">
        <f t="shared" si="22"/>
        <v>0</v>
      </c>
      <c r="M42" s="49">
        <f t="shared" si="22"/>
        <v>0</v>
      </c>
      <c r="N42" s="49">
        <f t="shared" si="22"/>
        <v>0</v>
      </c>
      <c r="O42" s="49">
        <f t="shared" si="22"/>
        <v>0</v>
      </c>
      <c r="P42" s="49">
        <f t="shared" si="22"/>
        <v>0</v>
      </c>
      <c r="Q42" s="49">
        <f t="shared" si="22"/>
        <v>0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0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2.2635416666666663</v>
      </c>
      <c r="AO42">
        <v>0.24740263187768835</v>
      </c>
      <c r="AP42">
        <v>3.0410608239447794</v>
      </c>
      <c r="AQ42">
        <v>2.0248865826702049</v>
      </c>
      <c r="AR42">
        <v>0.28769612705283409</v>
      </c>
      <c r="AS42">
        <v>1.9974065837466064</v>
      </c>
      <c r="AT42" t="e">
        <v>#DIV/0!</v>
      </c>
      <c r="AU42" t="e">
        <v>#DIV/0!</v>
      </c>
      <c r="AV42"/>
      <c r="AW42"/>
      <c r="FY42" s="211">
        <v>37</v>
      </c>
      <c r="FZ42">
        <v>0.94363422822847298</v>
      </c>
      <c r="GA42">
        <v>0.38735017759921181</v>
      </c>
      <c r="GB42">
        <v>0.14202990935487192</v>
      </c>
      <c r="GC42">
        <v>7.8958100610881349E-2</v>
      </c>
      <c r="GD42">
        <v>0</v>
      </c>
      <c r="GE42">
        <v>0</v>
      </c>
      <c r="GF42">
        <v>0.33021050058332063</v>
      </c>
      <c r="GG42">
        <v>0.29759236750664797</v>
      </c>
      <c r="GH42">
        <v>0</v>
      </c>
      <c r="GI42">
        <v>0.23873333328299062</v>
      </c>
      <c r="GJ42"/>
      <c r="GK42">
        <v>0.9461266693644772</v>
      </c>
      <c r="GL42">
        <v>0.33331521555783822</v>
      </c>
      <c r="GM42">
        <v>0.23585576644039991</v>
      </c>
      <c r="GN42">
        <v>0.23585576644039991</v>
      </c>
      <c r="GO42">
        <v>0</v>
      </c>
      <c r="GP42">
        <v>0</v>
      </c>
      <c r="GQ42">
        <v>0.45369793096285549</v>
      </c>
      <c r="GR42">
        <v>0.45369793096285549</v>
      </c>
      <c r="GS42">
        <v>0</v>
      </c>
      <c r="GT42">
        <v>0.32713607335354655</v>
      </c>
      <c r="GU42"/>
      <c r="GV42"/>
      <c r="GW42"/>
      <c r="GX42"/>
      <c r="GY42"/>
      <c r="GZ42"/>
      <c r="HA42"/>
      <c r="HB42"/>
      <c r="HC42"/>
    </row>
    <row r="43" spans="1:211" s="7" customFormat="1">
      <c r="A43" s="95">
        <v>10.7</v>
      </c>
      <c r="B43" s="1"/>
      <c r="C43" s="48" t="s">
        <v>119</v>
      </c>
      <c r="D43" s="49">
        <f>IF(SUM(G43:AK43)&lt;0.0001, 0, SUM(G43:AK43))</f>
        <v>0.45369793096285549</v>
      </c>
      <c r="E43" s="107">
        <f t="shared" si="19"/>
        <v>0.87110002744868265</v>
      </c>
      <c r="F43" s="18"/>
      <c r="G43" s="49">
        <f t="shared" si="20"/>
        <v>0</v>
      </c>
      <c r="H43" s="49">
        <f t="shared" si="22"/>
        <v>0</v>
      </c>
      <c r="I43" s="49">
        <f t="shared" si="22"/>
        <v>0</v>
      </c>
      <c r="J43" s="49">
        <f t="shared" si="22"/>
        <v>0</v>
      </c>
      <c r="K43" s="49">
        <f t="shared" si="22"/>
        <v>0</v>
      </c>
      <c r="L43" s="49">
        <f t="shared" si="22"/>
        <v>0</v>
      </c>
      <c r="M43" s="49">
        <f t="shared" si="22"/>
        <v>0</v>
      </c>
      <c r="N43" s="49">
        <f t="shared" si="22"/>
        <v>0</v>
      </c>
      <c r="O43" s="49">
        <f t="shared" si="22"/>
        <v>0.45369793096285549</v>
      </c>
      <c r="P43" s="49">
        <f t="shared" si="22"/>
        <v>0</v>
      </c>
      <c r="Q43" s="49">
        <f t="shared" si="22"/>
        <v>0</v>
      </c>
      <c r="R43" s="49">
        <f t="shared" si="22"/>
        <v>0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3.3791666666666664</v>
      </c>
      <c r="AO43">
        <v>0.46962850527944411</v>
      </c>
      <c r="AP43">
        <v>10.986430056199675</v>
      </c>
      <c r="AQ43">
        <v>4.1842336761872545</v>
      </c>
      <c r="AR43">
        <v>0.49317080591067314</v>
      </c>
      <c r="AS43">
        <v>2.7286338772579408</v>
      </c>
      <c r="AT43" t="e">
        <v>#DIV/0!</v>
      </c>
      <c r="AU43" t="e">
        <v>#DIV/0!</v>
      </c>
      <c r="AV43"/>
      <c r="AW43"/>
      <c r="FY43" s="211">
        <v>38</v>
      </c>
      <c r="FZ43">
        <v>1.8522298845808425</v>
      </c>
      <c r="GA43">
        <v>1.2493010069161121</v>
      </c>
      <c r="GB43">
        <v>0.18847776822839127</v>
      </c>
      <c r="GC43">
        <v>0.13927709983584477</v>
      </c>
      <c r="GD43">
        <v>2.6724553773673727E-2</v>
      </c>
      <c r="GE43">
        <v>0</v>
      </c>
      <c r="GF43">
        <v>0.33021050058332063</v>
      </c>
      <c r="GG43">
        <v>0.29759236750664797</v>
      </c>
      <c r="GH43">
        <v>0</v>
      </c>
      <c r="GI43">
        <v>0.40004737165117854</v>
      </c>
      <c r="GJ43"/>
      <c r="GK43">
        <v>1.8659638781816645</v>
      </c>
      <c r="GL43">
        <v>1.073686155902764</v>
      </c>
      <c r="GM43">
        <v>0.31481419569717417</v>
      </c>
      <c r="GN43">
        <v>0.41975226092956547</v>
      </c>
      <c r="GO43">
        <v>0.10493806523239137</v>
      </c>
      <c r="GP43">
        <v>0</v>
      </c>
      <c r="GQ43">
        <v>0.45369793096285549</v>
      </c>
      <c r="GR43">
        <v>0.45369793096285549</v>
      </c>
      <c r="GS43">
        <v>0</v>
      </c>
      <c r="GT43">
        <v>0.54788281401481709</v>
      </c>
      <c r="GU43"/>
      <c r="GV43"/>
      <c r="GW43"/>
      <c r="GX43"/>
      <c r="GY43"/>
      <c r="GZ43"/>
      <c r="HA43"/>
      <c r="HB43"/>
      <c r="HC43"/>
    </row>
    <row r="44" spans="1:211" s="7" customFormat="1">
      <c r="A44" s="4"/>
      <c r="B44" s="1"/>
      <c r="C44" s="48" t="s">
        <v>120</v>
      </c>
      <c r="D44" s="49">
        <f>IF(SUM(G44:AK44)&lt;0.0001, 0, SUM(G44:AK44))</f>
        <v>0.45369793096285549</v>
      </c>
      <c r="E44" s="107">
        <f t="shared" si="19"/>
        <v>0.87110002744868265</v>
      </c>
      <c r="F44" s="18"/>
      <c r="G44" s="49">
        <f>G28*G36</f>
        <v>0</v>
      </c>
      <c r="H44" s="49">
        <f t="shared" ref="H44:AK44" si="23">H28*H36</f>
        <v>0</v>
      </c>
      <c r="I44" s="49">
        <f t="shared" si="23"/>
        <v>0</v>
      </c>
      <c r="J44" s="49">
        <f t="shared" si="23"/>
        <v>0</v>
      </c>
      <c r="K44" s="49">
        <f t="shared" si="23"/>
        <v>0</v>
      </c>
      <c r="L44" s="49">
        <f t="shared" si="23"/>
        <v>0</v>
      </c>
      <c r="M44" s="49">
        <f t="shared" si="23"/>
        <v>0</v>
      </c>
      <c r="N44" s="49">
        <f t="shared" si="23"/>
        <v>0</v>
      </c>
      <c r="O44" s="49">
        <f t="shared" si="23"/>
        <v>0.45369793096285549</v>
      </c>
      <c r="P44" s="49">
        <f t="shared" si="23"/>
        <v>0</v>
      </c>
      <c r="Q44" s="49">
        <f t="shared" si="23"/>
        <v>0</v>
      </c>
      <c r="R44" s="49">
        <f t="shared" si="23"/>
        <v>0</v>
      </c>
      <c r="S44" s="49">
        <f t="shared" si="23"/>
        <v>0</v>
      </c>
      <c r="T44" s="49">
        <f t="shared" si="23"/>
        <v>0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2.7447916666666665</v>
      </c>
      <c r="AO44">
        <v>0.15871665161254872</v>
      </c>
      <c r="AP44">
        <v>3.3983241583410635</v>
      </c>
      <c r="AQ44">
        <v>1.1522979262438775</v>
      </c>
      <c r="AR44">
        <v>0.19543869587057444</v>
      </c>
      <c r="AS44">
        <v>1.3880687205882944</v>
      </c>
      <c r="AT44" t="e">
        <v>#DIV/0!</v>
      </c>
      <c r="AU44" t="e">
        <v>#DIV/0!</v>
      </c>
      <c r="AV44"/>
      <c r="AW44"/>
      <c r="FY44" s="211">
        <v>39</v>
      </c>
      <c r="FZ44">
        <v>0.96438643025039583</v>
      </c>
      <c r="GA44">
        <v>0.17450094823695328</v>
      </c>
      <c r="GB44">
        <v>0.12565184548559416</v>
      </c>
      <c r="GC44">
        <v>0.10445782487688358</v>
      </c>
      <c r="GD44">
        <v>2.6724553773673727E-2</v>
      </c>
      <c r="GE44">
        <v>0</v>
      </c>
      <c r="GF44">
        <v>0.66042100116664126</v>
      </c>
      <c r="GG44">
        <v>0.59518473501329594</v>
      </c>
      <c r="GH44">
        <v>0</v>
      </c>
      <c r="GI44">
        <v>0.31744505841223752</v>
      </c>
      <c r="GJ44"/>
      <c r="GK44">
        <v>0.96514441418391628</v>
      </c>
      <c r="GL44">
        <v>0.14748101845849892</v>
      </c>
      <c r="GM44">
        <v>0.20987613046478273</v>
      </c>
      <c r="GN44">
        <v>0.31481419569717412</v>
      </c>
      <c r="GO44">
        <v>0.10493806523239137</v>
      </c>
      <c r="GP44">
        <v>0</v>
      </c>
      <c r="GQ44">
        <v>0.90739586192571098</v>
      </c>
      <c r="GR44">
        <v>0.90739586192571098</v>
      </c>
      <c r="GS44">
        <v>0</v>
      </c>
      <c r="GT44">
        <v>0.43747089436136022</v>
      </c>
      <c r="GU44"/>
      <c r="GV44"/>
      <c r="GW44"/>
      <c r="GX44"/>
      <c r="GY44"/>
      <c r="GZ44"/>
      <c r="HA44"/>
      <c r="HB44"/>
      <c r="HC44"/>
    </row>
    <row r="45" spans="1:211" s="7" customFormat="1">
      <c r="A45" s="4"/>
      <c r="B45" s="1"/>
      <c r="C45" s="48" t="s">
        <v>121</v>
      </c>
      <c r="D45" s="49">
        <f>IF(SUM(G45:AK45)&lt;0.0001, 0, SUM(G45:AK45))</f>
        <v>0</v>
      </c>
      <c r="E45" s="107" t="e">
        <f t="shared" si="19"/>
        <v>#DIV/0!</v>
      </c>
      <c r="F45" s="18"/>
      <c r="G45" s="49">
        <f>G29*G36</f>
        <v>0</v>
      </c>
      <c r="H45" s="49">
        <f t="shared" ref="H45:AK45" si="24">H29*H36</f>
        <v>0</v>
      </c>
      <c r="I45" s="49">
        <f t="shared" si="24"/>
        <v>0</v>
      </c>
      <c r="J45" s="49">
        <f t="shared" si="24"/>
        <v>0</v>
      </c>
      <c r="K45" s="49">
        <f t="shared" si="24"/>
        <v>0</v>
      </c>
      <c r="L45" s="49">
        <f t="shared" si="24"/>
        <v>0</v>
      </c>
      <c r="M45" s="49">
        <f t="shared" si="24"/>
        <v>0</v>
      </c>
      <c r="N45" s="49">
        <f t="shared" si="24"/>
        <v>0</v>
      </c>
      <c r="O45" s="49">
        <f t="shared" si="24"/>
        <v>0</v>
      </c>
      <c r="P45" s="49">
        <f t="shared" si="24"/>
        <v>0</v>
      </c>
      <c r="Q45" s="49">
        <f t="shared" si="24"/>
        <v>0</v>
      </c>
      <c r="R45" s="49">
        <f t="shared" si="24"/>
        <v>0</v>
      </c>
      <c r="S45" s="49">
        <f t="shared" si="24"/>
        <v>0</v>
      </c>
      <c r="T45" s="49">
        <f t="shared" si="24"/>
        <v>0</v>
      </c>
      <c r="U45" s="49">
        <f t="shared" si="24"/>
        <v>0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2.5760416666666663</v>
      </c>
      <c r="AO45">
        <v>0.32407743719652632</v>
      </c>
      <c r="AP45">
        <v>10.512351346794746</v>
      </c>
      <c r="AQ45">
        <v>2.675435559321091</v>
      </c>
      <c r="AR45">
        <v>0.35736082496248672</v>
      </c>
      <c r="AS45">
        <v>1.8127089695314871</v>
      </c>
      <c r="AT45" t="e">
        <v>#DIV/0!</v>
      </c>
      <c r="AU45" t="e">
        <v>#DIV/0!</v>
      </c>
      <c r="AV45"/>
      <c r="AW45"/>
      <c r="FY45" s="211">
        <v>40</v>
      </c>
      <c r="FZ45">
        <v>1.1345392207738145</v>
      </c>
      <c r="GA45">
        <v>0.77470035519842362</v>
      </c>
      <c r="GB45">
        <v>6.282592274279708E-2</v>
      </c>
      <c r="GC45">
        <v>3.4819274958961192E-2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0.1833205550934191</v>
      </c>
      <c r="GJ45"/>
      <c r="GK45">
        <v>1.1448883258503812</v>
      </c>
      <c r="GL45">
        <v>0.66663043111567644</v>
      </c>
      <c r="GM45">
        <v>0.10493806523239137</v>
      </c>
      <c r="GN45">
        <v>0.10493806523239137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0.24996527821655457</v>
      </c>
      <c r="GU45"/>
      <c r="GV45"/>
      <c r="GW45"/>
      <c r="GX45"/>
      <c r="GY45"/>
      <c r="GZ45"/>
      <c r="HA45"/>
      <c r="HB45"/>
      <c r="HC45"/>
    </row>
    <row r="46" spans="1:211" s="7" customFormat="1">
      <c r="A46" s="4"/>
      <c r="B46" s="1"/>
      <c r="C46" s="48" t="s">
        <v>122</v>
      </c>
      <c r="D46" s="49">
        <f>IF(SUM(G46:AK46)&lt;0.0001, 0, SUM(G46:AK46))</f>
        <v>0.37144747952924589</v>
      </c>
      <c r="E46" s="107">
        <f t="shared" si="19"/>
        <v>6.4482745090068017E-2</v>
      </c>
      <c r="F46" s="18"/>
      <c r="G46" s="49">
        <f>G30*G36</f>
        <v>0</v>
      </c>
      <c r="H46" s="49">
        <f t="shared" ref="H46:AK46" si="25">H30*H36</f>
        <v>0</v>
      </c>
      <c r="I46" s="49">
        <f t="shared" si="25"/>
        <v>2.9012901469639529E-2</v>
      </c>
      <c r="J46" s="49">
        <f t="shared" si="25"/>
        <v>8.5493714984184219E-2</v>
      </c>
      <c r="K46" s="49">
        <f t="shared" si="25"/>
        <v>7.8550620724805106E-2</v>
      </c>
      <c r="L46" s="49">
        <f t="shared" si="25"/>
        <v>2.0987613046478275E-2</v>
      </c>
      <c r="M46" s="49">
        <f t="shared" si="25"/>
        <v>6.6663043111567649E-2</v>
      </c>
      <c r="N46" s="49">
        <f t="shared" si="25"/>
        <v>0</v>
      </c>
      <c r="O46" s="49">
        <f t="shared" si="25"/>
        <v>9.0739586192571095E-2</v>
      </c>
      <c r="P46" s="49">
        <f t="shared" si="25"/>
        <v>0</v>
      </c>
      <c r="Q46" s="49">
        <f t="shared" si="25"/>
        <v>0</v>
      </c>
      <c r="R46" s="49">
        <f t="shared" si="25"/>
        <v>0</v>
      </c>
      <c r="S46" s="49">
        <f t="shared" si="25"/>
        <v>0</v>
      </c>
      <c r="T46" s="49">
        <f t="shared" si="25"/>
        <v>0</v>
      </c>
      <c r="U46" s="49">
        <f t="shared" si="25"/>
        <v>0</v>
      </c>
      <c r="V46" s="49">
        <f t="shared" si="25"/>
        <v>0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0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2.0572916666666661</v>
      </c>
      <c r="AO46">
        <v>0.23416453393482559</v>
      </c>
      <c r="AP46">
        <v>9.1933472231853841</v>
      </c>
      <c r="AQ46">
        <v>1.7516838296481427</v>
      </c>
      <c r="AR46">
        <v>0.26305852211929187</v>
      </c>
      <c r="AS46">
        <v>1.4568943080693164</v>
      </c>
      <c r="AT46" t="e">
        <v>#DIV/0!</v>
      </c>
      <c r="AU46" t="e">
        <v>#DIV/0!</v>
      </c>
      <c r="AV46"/>
      <c r="AW46"/>
      <c r="FY46" s="211">
        <v>41</v>
      </c>
      <c r="FZ46">
        <v>1.2607041331297371</v>
      </c>
      <c r="GA46">
        <v>0.77470035519842362</v>
      </c>
      <c r="GB46">
        <v>0.15840797322414965</v>
      </c>
      <c r="GC46">
        <v>0.12309692626280153</v>
      </c>
      <c r="GD46">
        <v>2.6724553773673727E-2</v>
      </c>
      <c r="GE46">
        <v>0</v>
      </c>
      <c r="GF46">
        <v>0.66042100116664126</v>
      </c>
      <c r="GG46">
        <v>0.59518473501329594</v>
      </c>
      <c r="GH46">
        <v>0</v>
      </c>
      <c r="GI46">
        <v>0.3689788886446777</v>
      </c>
      <c r="GJ46"/>
      <c r="GK46">
        <v>1.2709959155628341</v>
      </c>
      <c r="GL46">
        <v>0.66663043111567644</v>
      </c>
      <c r="GM46">
        <v>0.26183540241601705</v>
      </c>
      <c r="GN46">
        <v>0.3667734676484084</v>
      </c>
      <c r="GO46">
        <v>0.10493806523239137</v>
      </c>
      <c r="GP46">
        <v>0</v>
      </c>
      <c r="GQ46">
        <v>0.90739586192571098</v>
      </c>
      <c r="GR46">
        <v>0.90739586192571098</v>
      </c>
      <c r="GS46">
        <v>0</v>
      </c>
      <c r="GT46">
        <v>0.50903304902739077</v>
      </c>
      <c r="GU46"/>
      <c r="GV46"/>
      <c r="GW46"/>
      <c r="GX46"/>
      <c r="GY46"/>
      <c r="GZ46"/>
      <c r="HA46"/>
      <c r="HB46"/>
      <c r="HC46"/>
    </row>
    <row r="47" spans="1:211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3.1749999999999994</v>
      </c>
      <c r="AO47">
        <v>0.39664467343111348</v>
      </c>
      <c r="AP47">
        <v>15.307090478299454</v>
      </c>
      <c r="AQ47">
        <v>2.8299583687062708</v>
      </c>
      <c r="AR47">
        <v>0.39535769054406261</v>
      </c>
      <c r="AS47">
        <v>2.2166232111000683</v>
      </c>
      <c r="AT47" t="e">
        <v>#DIV/0!</v>
      </c>
      <c r="AU47" t="e">
        <v>#DIV/0!</v>
      </c>
      <c r="AV47"/>
      <c r="AW47"/>
      <c r="FY47" s="211">
        <v>42</v>
      </c>
      <c r="FZ47">
        <v>1.6090200691771774</v>
      </c>
      <c r="GA47">
        <v>0.86195082931690026</v>
      </c>
      <c r="GB47">
        <v>6.282592274279708E-2</v>
      </c>
      <c r="GC47">
        <v>6.9638549917922385E-2</v>
      </c>
      <c r="GD47">
        <v>2.6724553773673727E-2</v>
      </c>
      <c r="GE47">
        <v>0</v>
      </c>
      <c r="GF47">
        <v>0</v>
      </c>
      <c r="GG47">
        <v>0</v>
      </c>
      <c r="GH47">
        <v>0</v>
      </c>
      <c r="GI47">
        <v>0.26914493382688187</v>
      </c>
      <c r="GJ47"/>
      <c r="GK47">
        <v>1.6181423776080104</v>
      </c>
      <c r="GL47">
        <v>0.7403709403449259</v>
      </c>
      <c r="GM47">
        <v>0.10493806523239137</v>
      </c>
      <c r="GN47">
        <v>0.20987613046478273</v>
      </c>
      <c r="GO47">
        <v>0.10493806523239137</v>
      </c>
      <c r="GP47">
        <v>0</v>
      </c>
      <c r="GQ47">
        <v>0</v>
      </c>
      <c r="GR47">
        <v>0</v>
      </c>
      <c r="GS47">
        <v>0</v>
      </c>
      <c r="GT47">
        <v>0.36560370161455863</v>
      </c>
      <c r="GU47"/>
      <c r="GV47"/>
      <c r="GW47"/>
      <c r="GX47"/>
      <c r="GY47"/>
      <c r="GZ47"/>
      <c r="HA47"/>
      <c r="HB47"/>
      <c r="HC47"/>
    </row>
    <row r="48" spans="1:211" s="7" customFormat="1">
      <c r="A48" s="4"/>
      <c r="B48" s="1"/>
      <c r="C48" s="60" t="s">
        <v>50</v>
      </c>
      <c r="D48" s="53">
        <f>AVERAGE(D37:D47)</f>
        <v>0.33990348085950672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1.984375</v>
      </c>
      <c r="AO48">
        <v>0.32138361316224634</v>
      </c>
      <c r="AP48">
        <v>15.392839018816659</v>
      </c>
      <c r="AQ48">
        <v>2.3259303763906769</v>
      </c>
      <c r="AR48">
        <v>0.33280733233785048</v>
      </c>
      <c r="AS48">
        <v>1.8148235565917061</v>
      </c>
      <c r="AT48" t="e">
        <v>#DIV/0!</v>
      </c>
      <c r="AU48" t="e">
        <v>#DIV/0!</v>
      </c>
      <c r="AV48"/>
      <c r="AW48"/>
      <c r="FY48" s="211">
        <v>43</v>
      </c>
      <c r="FZ48">
        <v>0.91276645346799179</v>
      </c>
      <c r="GA48">
        <v>0.38735017759921181</v>
      </c>
      <c r="GB48">
        <v>0.28405981870974384</v>
      </c>
      <c r="GC48">
        <v>0.1927354761807239</v>
      </c>
      <c r="GD48">
        <v>2.6724553773673727E-2</v>
      </c>
      <c r="GE48">
        <v>0</v>
      </c>
      <c r="GF48">
        <v>0.33021050058332063</v>
      </c>
      <c r="GG48">
        <v>0.29759236750664797</v>
      </c>
      <c r="GH48">
        <v>0</v>
      </c>
      <c r="GI48">
        <v>0.28438280435667485</v>
      </c>
      <c r="GJ48"/>
      <c r="GK48">
        <v>0.91844025402277352</v>
      </c>
      <c r="GL48">
        <v>0.33331521555783822</v>
      </c>
      <c r="GM48">
        <v>0.47171153288079981</v>
      </c>
      <c r="GN48">
        <v>0.57664959811319116</v>
      </c>
      <c r="GO48">
        <v>0.10493806523239137</v>
      </c>
      <c r="GP48">
        <v>0</v>
      </c>
      <c r="GQ48">
        <v>0.45369793096285549</v>
      </c>
      <c r="GR48">
        <v>0.45369793096285549</v>
      </c>
      <c r="GS48">
        <v>0</v>
      </c>
      <c r="GT48">
        <v>0.38975755661976402</v>
      </c>
      <c r="GU48"/>
      <c r="GV48"/>
      <c r="GW48"/>
      <c r="GX48"/>
      <c r="GY48"/>
      <c r="GZ48"/>
      <c r="HA48"/>
      <c r="HB48"/>
      <c r="HC48"/>
    </row>
    <row r="49" spans="1:211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3.1312499999999996</v>
      </c>
      <c r="AO49">
        <v>0.35948479629075375</v>
      </c>
      <c r="AP49">
        <v>6.8514096416203234</v>
      </c>
      <c r="AQ49">
        <v>3.0638815620289432</v>
      </c>
      <c r="AR49">
        <v>0.39712758161363537</v>
      </c>
      <c r="AS49">
        <v>2.1569974847267765</v>
      </c>
      <c r="AT49" t="e">
        <v>#DIV/0!</v>
      </c>
      <c r="AU49" t="e">
        <v>#DIV/0!</v>
      </c>
      <c r="AV49"/>
      <c r="AW49"/>
      <c r="FY49" s="211">
        <v>44</v>
      </c>
      <c r="FZ49">
        <v>1.3787185017153363</v>
      </c>
      <c r="GA49">
        <v>0.64910159995464167</v>
      </c>
      <c r="GB49">
        <v>7.9203986612074825E-2</v>
      </c>
      <c r="GC49">
        <v>0.11377737556984255</v>
      </c>
      <c r="GD49">
        <v>5.3449107547347455E-2</v>
      </c>
      <c r="GE49">
        <v>0</v>
      </c>
      <c r="GF49">
        <v>0.33021050058332063</v>
      </c>
      <c r="GG49">
        <v>0.29759236750664797</v>
      </c>
      <c r="GH49">
        <v>0</v>
      </c>
      <c r="GI49">
        <v>0.31861368995801592</v>
      </c>
      <c r="GJ49"/>
      <c r="GK49">
        <v>1.3835169685437376</v>
      </c>
      <c r="GL49">
        <v>0.55453674324558655</v>
      </c>
      <c r="GM49">
        <v>0.13091770120800852</v>
      </c>
      <c r="GN49">
        <v>0.34079383167279126</v>
      </c>
      <c r="GO49">
        <v>0.20987613046478273</v>
      </c>
      <c r="GP49">
        <v>0</v>
      </c>
      <c r="GQ49">
        <v>0.45369793096285549</v>
      </c>
      <c r="GR49">
        <v>0.45369793096285549</v>
      </c>
      <c r="GS49">
        <v>0</v>
      </c>
      <c r="GT49">
        <v>0.43560174623587689</v>
      </c>
      <c r="GU49"/>
      <c r="GV49"/>
      <c r="GW49"/>
      <c r="GX49"/>
      <c r="GY49"/>
      <c r="GZ49"/>
      <c r="HA49"/>
      <c r="HB49"/>
      <c r="HC49"/>
    </row>
    <row r="50" spans="1:211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3.8604166666666666</v>
      </c>
      <c r="AO50">
        <v>0.35437534889431194</v>
      </c>
      <c r="AP50">
        <v>7.1296640985127251</v>
      </c>
      <c r="AQ50">
        <v>3.0352572138269682</v>
      </c>
      <c r="AR50">
        <v>0.37632175108135751</v>
      </c>
      <c r="AS50">
        <v>2.270752624022577</v>
      </c>
      <c r="AT50" t="e">
        <v>#DIV/0!</v>
      </c>
      <c r="AU50" t="e">
        <v>#DIV/0!</v>
      </c>
      <c r="AV50"/>
      <c r="AW50"/>
      <c r="FY50" s="211">
        <v>45</v>
      </c>
      <c r="FZ50">
        <v>1.4996883442433464</v>
      </c>
      <c r="GA50">
        <v>1.2493010069161121</v>
      </c>
      <c r="GB50">
        <v>0.204855832097669</v>
      </c>
      <c r="GC50">
        <v>0.14859665052880375</v>
      </c>
      <c r="GD50">
        <v>2.6724553773673727E-2</v>
      </c>
      <c r="GE50">
        <v>0</v>
      </c>
      <c r="GF50">
        <v>0</v>
      </c>
      <c r="GG50">
        <v>0</v>
      </c>
      <c r="GH50">
        <v>0</v>
      </c>
      <c r="GI50">
        <v>0.28770285440381932</v>
      </c>
      <c r="GJ50"/>
      <c r="GK50">
        <v>1.51211696657779</v>
      </c>
      <c r="GL50">
        <v>1.073686155902764</v>
      </c>
      <c r="GM50">
        <v>0.34079383167279126</v>
      </c>
      <c r="GN50">
        <v>0.44573189690518267</v>
      </c>
      <c r="GO50">
        <v>0.10493806523239137</v>
      </c>
      <c r="GP50">
        <v>0</v>
      </c>
      <c r="GQ50">
        <v>0</v>
      </c>
      <c r="GR50">
        <v>0</v>
      </c>
      <c r="GS50">
        <v>0</v>
      </c>
      <c r="GT50">
        <v>0.39156977269659454</v>
      </c>
      <c r="GU50"/>
      <c r="GV50"/>
      <c r="GW50"/>
      <c r="GX50"/>
      <c r="GY50"/>
      <c r="GZ50"/>
      <c r="HA50"/>
      <c r="HB50"/>
      <c r="HC50"/>
    </row>
    <row r="51" spans="1:211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2.5416666666666661</v>
      </c>
      <c r="AO51">
        <v>0.30047066177711884</v>
      </c>
      <c r="AP51">
        <v>10.741735630388494</v>
      </c>
      <c r="AQ51">
        <v>2.0900330407533674</v>
      </c>
      <c r="AR51">
        <v>0.34654952565458885</v>
      </c>
      <c r="AS51">
        <v>1.9227121733614545</v>
      </c>
      <c r="AT51" t="e">
        <v>#DIV/0!</v>
      </c>
      <c r="AU51" t="e">
        <v>#DIV/0!</v>
      </c>
      <c r="AV51"/>
      <c r="AW51"/>
      <c r="FY51" s="211">
        <v>46</v>
      </c>
      <c r="FZ51">
        <v>0.96532602128232459</v>
      </c>
      <c r="GA51">
        <v>0.38735017759921181</v>
      </c>
      <c r="GB51">
        <v>7.9203986612074825E-2</v>
      </c>
      <c r="GC51">
        <v>4.4138825651920163E-2</v>
      </c>
      <c r="GD51">
        <v>0</v>
      </c>
      <c r="GE51">
        <v>0</v>
      </c>
      <c r="GF51">
        <v>0.33021050058332063</v>
      </c>
      <c r="GG51">
        <v>0.29759236750664797</v>
      </c>
      <c r="GH51">
        <v>0</v>
      </c>
      <c r="GI51">
        <v>0.22639298904794269</v>
      </c>
      <c r="GJ51"/>
      <c r="GK51">
        <v>0.97114283769672527</v>
      </c>
      <c r="GL51">
        <v>0.33331521555783822</v>
      </c>
      <c r="GM51">
        <v>0.13091770120800852</v>
      </c>
      <c r="GN51">
        <v>0.13091770120800852</v>
      </c>
      <c r="GO51">
        <v>0</v>
      </c>
      <c r="GP51">
        <v>0</v>
      </c>
      <c r="GQ51">
        <v>0.45369793096285549</v>
      </c>
      <c r="GR51">
        <v>0.45369793096285549</v>
      </c>
      <c r="GS51">
        <v>0</v>
      </c>
      <c r="GT51">
        <v>0.31115169397351788</v>
      </c>
      <c r="GU51"/>
      <c r="GV51"/>
      <c r="GW51"/>
      <c r="GX51"/>
      <c r="GY51"/>
      <c r="GZ51"/>
      <c r="HA51"/>
      <c r="HB51"/>
      <c r="HC51"/>
    </row>
    <row r="52" spans="1:211" s="7" customFormat="1">
      <c r="A52" s="4"/>
      <c r="B52" s="36"/>
      <c r="C52" s="48" t="s">
        <v>38</v>
      </c>
      <c r="D52" s="49">
        <f>SUM(G52:AK52)</f>
        <v>1.975811489672985</v>
      </c>
      <c r="E52" s="19">
        <f>F374</f>
        <v>6.2669542536214734E-2</v>
      </c>
      <c r="F52" s="8"/>
      <c r="G52" s="49">
        <f>$E$52*$E$21*G37</f>
        <v>0</v>
      </c>
      <c r="H52" s="49">
        <f t="shared" ref="H52:AK52" si="26">$E$52*$E$21*H37</f>
        <v>0</v>
      </c>
      <c r="I52" s="49">
        <f t="shared" si="26"/>
        <v>0.24546041047132849</v>
      </c>
      <c r="J52" s="49">
        <f t="shared" si="26"/>
        <v>0.72331002105034747</v>
      </c>
      <c r="K52" s="49">
        <f t="shared" si="26"/>
        <v>0.44304583200833203</v>
      </c>
      <c r="L52" s="49">
        <f t="shared" si="26"/>
        <v>0</v>
      </c>
      <c r="M52" s="49">
        <f t="shared" si="26"/>
        <v>0.56399522614297715</v>
      </c>
      <c r="N52" s="49">
        <f t="shared" si="26"/>
        <v>0</v>
      </c>
      <c r="O52" s="49">
        <f t="shared" si="26"/>
        <v>0</v>
      </c>
      <c r="P52" s="49">
        <f t="shared" si="26"/>
        <v>0</v>
      </c>
      <c r="Q52" s="49">
        <f t="shared" si="26"/>
        <v>0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2.3760416666666666</v>
      </c>
      <c r="AO52">
        <v>0.28688255843834753</v>
      </c>
      <c r="AP52">
        <v>3.3354164485284792</v>
      </c>
      <c r="AQ52">
        <v>2.6459654303481188</v>
      </c>
      <c r="AR52">
        <v>0.29085297652327502</v>
      </c>
      <c r="AS52">
        <v>1.8824767872990162</v>
      </c>
      <c r="AT52" t="e">
        <v>#DIV/0!</v>
      </c>
      <c r="AU52" t="e">
        <v>#DIV/0!</v>
      </c>
      <c r="AV52"/>
      <c r="AW52"/>
      <c r="FY52" s="211">
        <v>47</v>
      </c>
      <c r="FZ52">
        <v>0.61530509411090983</v>
      </c>
      <c r="GA52">
        <v>0</v>
      </c>
      <c r="GB52">
        <v>7.9203986612074825E-2</v>
      </c>
      <c r="GC52">
        <v>7.8958100610881349E-2</v>
      </c>
      <c r="GD52">
        <v>2.6724553773673727E-2</v>
      </c>
      <c r="GE52">
        <v>0</v>
      </c>
      <c r="GF52">
        <v>0.33021050058332063</v>
      </c>
      <c r="GG52">
        <v>0.29759236750664797</v>
      </c>
      <c r="GH52">
        <v>0</v>
      </c>
      <c r="GI52">
        <v>0.19009299966530027</v>
      </c>
      <c r="GJ52"/>
      <c r="GK52">
        <v>0.61689056957504207</v>
      </c>
      <c r="GL52">
        <v>0</v>
      </c>
      <c r="GM52">
        <v>0.13091770120800852</v>
      </c>
      <c r="GN52">
        <v>0.23585576644039991</v>
      </c>
      <c r="GO52">
        <v>0.10493806523239137</v>
      </c>
      <c r="GP52">
        <v>0</v>
      </c>
      <c r="GQ52">
        <v>0.45369793096285549</v>
      </c>
      <c r="GR52">
        <v>0.45369793096285549</v>
      </c>
      <c r="GS52">
        <v>0</v>
      </c>
      <c r="GT52">
        <v>0.26128885339565949</v>
      </c>
      <c r="GU52"/>
      <c r="GV52"/>
      <c r="GW52"/>
      <c r="GX52"/>
      <c r="GY52"/>
      <c r="GZ52"/>
      <c r="HA52"/>
      <c r="HB52"/>
      <c r="HC52"/>
    </row>
    <row r="53" spans="1:211" s="7" customFormat="1">
      <c r="A53" s="4"/>
      <c r="B53" s="36"/>
      <c r="C53" s="48" t="s">
        <v>39</v>
      </c>
      <c r="D53" s="49">
        <f t="shared" ref="D53:D61" si="27">SUM(G53:AK53)</f>
        <v>0</v>
      </c>
      <c r="E53" s="19">
        <f>F375</f>
        <v>0</v>
      </c>
      <c r="F53" s="8"/>
      <c r="G53" s="49">
        <f>$E$53*$E$22*G38</f>
        <v>0</v>
      </c>
      <c r="H53" s="49">
        <f t="shared" ref="H53:AK53" si="28">$E$53*$E$22*H38</f>
        <v>0</v>
      </c>
      <c r="I53" s="49">
        <f t="shared" si="28"/>
        <v>0</v>
      </c>
      <c r="J53" s="49">
        <f t="shared" si="28"/>
        <v>0</v>
      </c>
      <c r="K53" s="49">
        <f t="shared" si="28"/>
        <v>0</v>
      </c>
      <c r="L53" s="49">
        <f t="shared" si="28"/>
        <v>0</v>
      </c>
      <c r="M53" s="49">
        <f t="shared" si="28"/>
        <v>0</v>
      </c>
      <c r="N53" s="49">
        <f t="shared" si="28"/>
        <v>0</v>
      </c>
      <c r="O53" s="49">
        <f t="shared" si="28"/>
        <v>0</v>
      </c>
      <c r="P53" s="49">
        <f t="shared" si="28"/>
        <v>0</v>
      </c>
      <c r="Q53" s="49">
        <f t="shared" si="28"/>
        <v>0</v>
      </c>
      <c r="R53" s="49">
        <f t="shared" si="28"/>
        <v>0</v>
      </c>
      <c r="S53" s="49">
        <f t="shared" si="28"/>
        <v>0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3.4093749999999998</v>
      </c>
      <c r="AO53">
        <v>0.29856853530823735</v>
      </c>
      <c r="AP53">
        <v>11.407897783214715</v>
      </c>
      <c r="AQ53">
        <v>2.4185086171663972</v>
      </c>
      <c r="AR53">
        <v>0.32713607335354655</v>
      </c>
      <c r="AS53">
        <v>1.9008578090580506</v>
      </c>
      <c r="AT53" t="e">
        <v>#DIV/0!</v>
      </c>
      <c r="AU53" t="e">
        <v>#DIV/0!</v>
      </c>
      <c r="AV53"/>
      <c r="AW53"/>
      <c r="FY53" s="211">
        <v>48</v>
      </c>
      <c r="FZ53">
        <v>0.67715886217330645</v>
      </c>
      <c r="GA53">
        <v>8.725047411847664E-2</v>
      </c>
      <c r="GB53">
        <v>0.12565184548559416</v>
      </c>
      <c r="GC53">
        <v>0.10445782487688358</v>
      </c>
      <c r="GD53">
        <v>2.6724553773673727E-2</v>
      </c>
      <c r="GE53">
        <v>0</v>
      </c>
      <c r="GF53">
        <v>0</v>
      </c>
      <c r="GG53">
        <v>0</v>
      </c>
      <c r="GH53">
        <v>0</v>
      </c>
      <c r="GI53">
        <v>0.14669442991424647</v>
      </c>
      <c r="GJ53"/>
      <c r="GK53">
        <v>0.67887787304935676</v>
      </c>
      <c r="GL53">
        <v>7.3740509229249462E-2</v>
      </c>
      <c r="GM53">
        <v>0.20987613046478273</v>
      </c>
      <c r="GN53">
        <v>0.31481419569717412</v>
      </c>
      <c r="GO53">
        <v>0.10493806523239137</v>
      </c>
      <c r="GP53">
        <v>0</v>
      </c>
      <c r="GQ53">
        <v>0</v>
      </c>
      <c r="GR53">
        <v>0</v>
      </c>
      <c r="GS53">
        <v>0</v>
      </c>
      <c r="GT53">
        <v>0.19873841374930618</v>
      </c>
      <c r="GU53"/>
      <c r="GV53"/>
      <c r="GW53"/>
      <c r="GX53"/>
      <c r="GY53"/>
      <c r="GZ53"/>
      <c r="HA53"/>
      <c r="HB53"/>
      <c r="HC53"/>
    </row>
    <row r="54" spans="1:211" s="7" customFormat="1">
      <c r="A54" s="4"/>
      <c r="B54" s="36"/>
      <c r="C54" s="48" t="s">
        <v>40</v>
      </c>
      <c r="D54" s="49">
        <f t="shared" si="27"/>
        <v>1.5079570327269098</v>
      </c>
      <c r="E54" s="19">
        <f t="shared" ref="E54:E61" si="29">F376</f>
        <v>0.34904117042039767</v>
      </c>
      <c r="F54" s="8"/>
      <c r="G54" s="49">
        <f>$E$54*$E$23*G39</f>
        <v>0</v>
      </c>
      <c r="H54" s="49">
        <f t="shared" ref="H54:AK54" si="30">$E$54*$E$23*H39</f>
        <v>0</v>
      </c>
      <c r="I54" s="49">
        <f t="shared" si="30"/>
        <v>0</v>
      </c>
      <c r="J54" s="49">
        <f t="shared" si="30"/>
        <v>0</v>
      </c>
      <c r="K54" s="49">
        <f t="shared" si="30"/>
        <v>1.5079570327269098</v>
      </c>
      <c r="L54" s="49">
        <f t="shared" si="30"/>
        <v>0</v>
      </c>
      <c r="M54" s="49">
        <f t="shared" si="30"/>
        <v>0</v>
      </c>
      <c r="N54" s="49">
        <f t="shared" si="30"/>
        <v>0</v>
      </c>
      <c r="O54" s="49">
        <f t="shared" si="30"/>
        <v>0</v>
      </c>
      <c r="P54" s="49">
        <f t="shared" si="30"/>
        <v>0</v>
      </c>
      <c r="Q54" s="49">
        <f t="shared" si="30"/>
        <v>0</v>
      </c>
      <c r="R54" s="49">
        <f t="shared" si="30"/>
        <v>0</v>
      </c>
      <c r="S54" s="49">
        <f t="shared" si="30"/>
        <v>0</v>
      </c>
      <c r="T54" s="49">
        <f t="shared" si="30"/>
        <v>0</v>
      </c>
      <c r="U54" s="49">
        <f t="shared" si="30"/>
        <v>0</v>
      </c>
      <c r="V54" s="49">
        <f t="shared" si="30"/>
        <v>0</v>
      </c>
      <c r="W54" s="49">
        <f t="shared" si="30"/>
        <v>0</v>
      </c>
      <c r="X54" s="49">
        <f t="shared" si="30"/>
        <v>0</v>
      </c>
      <c r="Y54" s="49">
        <f t="shared" si="30"/>
        <v>0</v>
      </c>
      <c r="Z54" s="49">
        <f t="shared" si="30"/>
        <v>0</v>
      </c>
      <c r="AA54" s="49">
        <f t="shared" si="30"/>
        <v>0</v>
      </c>
      <c r="AB54" s="49">
        <f t="shared" si="30"/>
        <v>0</v>
      </c>
      <c r="AC54" s="49">
        <f t="shared" si="30"/>
        <v>0</v>
      </c>
      <c r="AD54" s="49">
        <f t="shared" si="30"/>
        <v>0</v>
      </c>
      <c r="AE54" s="49">
        <f t="shared" si="30"/>
        <v>0</v>
      </c>
      <c r="AF54" s="49">
        <f t="shared" si="30"/>
        <v>0</v>
      </c>
      <c r="AG54" s="49">
        <f t="shared" si="30"/>
        <v>0</v>
      </c>
      <c r="AH54" s="49">
        <f t="shared" si="30"/>
        <v>0</v>
      </c>
      <c r="AI54" s="49">
        <f t="shared" si="30"/>
        <v>0</v>
      </c>
      <c r="AJ54" s="49">
        <f t="shared" si="30"/>
        <v>0</v>
      </c>
      <c r="AK54" s="49">
        <f t="shared" si="30"/>
        <v>0</v>
      </c>
      <c r="AL54" s="42"/>
      <c r="AM54" s="43">
        <v>38</v>
      </c>
      <c r="AN54">
        <v>4.1083333333333352</v>
      </c>
      <c r="AO54">
        <v>0.52344332318840869</v>
      </c>
      <c r="AP54">
        <v>13.901143763238958</v>
      </c>
      <c r="AQ54">
        <v>4.4838605530760116</v>
      </c>
      <c r="AR54">
        <v>0.54788281401481698</v>
      </c>
      <c r="AS54">
        <v>3.5045986724643341</v>
      </c>
      <c r="AT54" t="e">
        <v>#DIV/0!</v>
      </c>
      <c r="AU54" t="e">
        <v>#DIV/0!</v>
      </c>
      <c r="AV54"/>
      <c r="AW54"/>
      <c r="FY54" s="211">
        <v>49</v>
      </c>
      <c r="FZ54">
        <v>1.8337567401859305</v>
      </c>
      <c r="GA54">
        <v>1.5494007103968472</v>
      </c>
      <c r="GB54">
        <v>0.36326380532181862</v>
      </c>
      <c r="GC54">
        <v>0.20205502687368287</v>
      </c>
      <c r="GD54">
        <v>0</v>
      </c>
      <c r="GE54">
        <v>0</v>
      </c>
      <c r="GF54">
        <v>0.33021050058332063</v>
      </c>
      <c r="GG54">
        <v>0.29759236750664797</v>
      </c>
      <c r="GH54">
        <v>0</v>
      </c>
      <c r="GI54">
        <v>0.42453148604090468</v>
      </c>
      <c r="GJ54"/>
      <c r="GK54">
        <v>1.8500336508540236</v>
      </c>
      <c r="GL54">
        <v>1.3332608622313529</v>
      </c>
      <c r="GM54">
        <v>0.60262923408880831</v>
      </c>
      <c r="GN54">
        <v>0.60262923408880831</v>
      </c>
      <c r="GO54">
        <v>0</v>
      </c>
      <c r="GP54">
        <v>0</v>
      </c>
      <c r="GQ54">
        <v>0.45369793096285549</v>
      </c>
      <c r="GR54">
        <v>0.45369793096285549</v>
      </c>
      <c r="GS54">
        <v>0</v>
      </c>
      <c r="GT54">
        <v>0.5812721631811375</v>
      </c>
      <c r="GU54"/>
      <c r="GV54"/>
      <c r="GW54"/>
      <c r="GX54"/>
      <c r="GY54"/>
      <c r="GZ54"/>
      <c r="HA54"/>
      <c r="HB54"/>
      <c r="HC54"/>
    </row>
    <row r="55" spans="1:211" s="7" customFormat="1">
      <c r="A55" s="4"/>
      <c r="B55" s="36"/>
      <c r="C55" s="48" t="s">
        <v>41</v>
      </c>
      <c r="D55" s="49">
        <f t="shared" si="27"/>
        <v>0.16394149469630317</v>
      </c>
      <c r="E55" s="19">
        <f t="shared" si="29"/>
        <v>2.4824720083705835E-2</v>
      </c>
      <c r="F55" s="8"/>
      <c r="G55" s="49">
        <f>$E$55*$E$24*G40</f>
        <v>0</v>
      </c>
      <c r="H55" s="49">
        <f t="shared" ref="H55:AK55" si="31">$E$55*$E$24*H40</f>
        <v>0</v>
      </c>
      <c r="I55" s="49">
        <f t="shared" si="31"/>
        <v>0</v>
      </c>
      <c r="J55" s="49">
        <f t="shared" si="31"/>
        <v>0</v>
      </c>
      <c r="K55" s="49">
        <f t="shared" si="31"/>
        <v>9.0999868021749364E-2</v>
      </c>
      <c r="L55" s="49">
        <f t="shared" si="31"/>
        <v>7.2941626674553811E-2</v>
      </c>
      <c r="M55" s="49">
        <f t="shared" si="31"/>
        <v>0</v>
      </c>
      <c r="N55" s="49">
        <f t="shared" si="31"/>
        <v>0</v>
      </c>
      <c r="O55" s="49">
        <f t="shared" si="31"/>
        <v>0</v>
      </c>
      <c r="P55" s="49">
        <f t="shared" si="31"/>
        <v>0</v>
      </c>
      <c r="Q55" s="49">
        <f t="shared" si="31"/>
        <v>0</v>
      </c>
      <c r="R55" s="49">
        <f t="shared" si="31"/>
        <v>0</v>
      </c>
      <c r="S55" s="49">
        <f t="shared" si="31"/>
        <v>0</v>
      </c>
      <c r="T55" s="49">
        <f t="shared" si="31"/>
        <v>0</v>
      </c>
      <c r="U55" s="49">
        <f t="shared" si="31"/>
        <v>0</v>
      </c>
      <c r="V55" s="49">
        <f t="shared" si="31"/>
        <v>0</v>
      </c>
      <c r="W55" s="49">
        <f t="shared" si="31"/>
        <v>0</v>
      </c>
      <c r="X55" s="49">
        <f t="shared" si="31"/>
        <v>0</v>
      </c>
      <c r="Y55" s="49">
        <f t="shared" si="31"/>
        <v>0</v>
      </c>
      <c r="Z55" s="49">
        <f t="shared" si="31"/>
        <v>0</v>
      </c>
      <c r="AA55" s="49">
        <f t="shared" si="31"/>
        <v>0</v>
      </c>
      <c r="AB55" s="49">
        <f t="shared" si="31"/>
        <v>0</v>
      </c>
      <c r="AC55" s="49">
        <f t="shared" si="31"/>
        <v>0</v>
      </c>
      <c r="AD55" s="49">
        <f t="shared" si="31"/>
        <v>0</v>
      </c>
      <c r="AE55" s="49">
        <f t="shared" si="31"/>
        <v>0</v>
      </c>
      <c r="AF55" s="49">
        <f t="shared" si="31"/>
        <v>0</v>
      </c>
      <c r="AG55" s="49">
        <f t="shared" si="31"/>
        <v>0</v>
      </c>
      <c r="AH55" s="49">
        <f t="shared" si="31"/>
        <v>0</v>
      </c>
      <c r="AI55" s="49">
        <f t="shared" si="31"/>
        <v>0</v>
      </c>
      <c r="AJ55" s="49">
        <f t="shared" si="31"/>
        <v>0</v>
      </c>
      <c r="AK55" s="49">
        <f t="shared" si="31"/>
        <v>0</v>
      </c>
      <c r="AL55" s="42"/>
      <c r="AM55" s="43">
        <v>39</v>
      </c>
      <c r="AN55">
        <v>3.34375</v>
      </c>
      <c r="AO55">
        <v>0.39945164422495461</v>
      </c>
      <c r="AP55">
        <v>15.46826033107245</v>
      </c>
      <c r="AQ55">
        <v>2.9687723972156754</v>
      </c>
      <c r="AR55">
        <v>0.43747089436136033</v>
      </c>
      <c r="AS55">
        <v>2.4282946631323346</v>
      </c>
      <c r="AT55" t="e">
        <v>#DIV/0!</v>
      </c>
      <c r="AU55" t="e">
        <v>#DIV/0!</v>
      </c>
      <c r="AV55"/>
      <c r="AW55"/>
      <c r="FY55" s="211">
        <v>50</v>
      </c>
      <c r="FZ55">
        <v>0.90435999951764212</v>
      </c>
      <c r="GA55">
        <v>8.725047411847664E-2</v>
      </c>
      <c r="GB55">
        <v>0.14202990935487192</v>
      </c>
      <c r="GC55">
        <v>7.8958100610881349E-2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0.1687146188737815</v>
      </c>
      <c r="GJ55"/>
      <c r="GK55">
        <v>0.91103181389992993</v>
      </c>
      <c r="GL55">
        <v>7.3740509229249462E-2</v>
      </c>
      <c r="GM55">
        <v>0.23585576644039991</v>
      </c>
      <c r="GN55">
        <v>0.23585576644039991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0.22937751606806597</v>
      </c>
      <c r="GU55"/>
      <c r="GV55"/>
      <c r="GW55"/>
      <c r="GX55"/>
      <c r="GY55"/>
      <c r="GZ55"/>
      <c r="HA55"/>
      <c r="HB55"/>
      <c r="HC55"/>
    </row>
    <row r="56" spans="1:211" s="7" customFormat="1">
      <c r="A56" s="4"/>
      <c r="B56" s="36"/>
      <c r="C56" s="48" t="s">
        <v>42</v>
      </c>
      <c r="D56" s="49">
        <f t="shared" si="27"/>
        <v>0</v>
      </c>
      <c r="E56" s="19">
        <f t="shared" si="29"/>
        <v>0</v>
      </c>
      <c r="F56" s="8"/>
      <c r="G56" s="49">
        <f>$E$56*$E$25*G41</f>
        <v>0</v>
      </c>
      <c r="H56" s="49">
        <f t="shared" ref="H56:AK56" si="32">$E$56*$E$25*H41</f>
        <v>0</v>
      </c>
      <c r="I56" s="49">
        <f t="shared" si="32"/>
        <v>0</v>
      </c>
      <c r="J56" s="49">
        <f t="shared" si="32"/>
        <v>0</v>
      </c>
      <c r="K56" s="49">
        <f t="shared" si="32"/>
        <v>0</v>
      </c>
      <c r="L56" s="49">
        <f t="shared" si="32"/>
        <v>0</v>
      </c>
      <c r="M56" s="49">
        <f t="shared" si="32"/>
        <v>0</v>
      </c>
      <c r="N56" s="49">
        <f t="shared" si="32"/>
        <v>0</v>
      </c>
      <c r="O56" s="49">
        <f t="shared" si="32"/>
        <v>0</v>
      </c>
      <c r="P56" s="49">
        <f t="shared" si="32"/>
        <v>0</v>
      </c>
      <c r="Q56" s="49">
        <f t="shared" si="32"/>
        <v>0</v>
      </c>
      <c r="R56" s="49">
        <f t="shared" si="32"/>
        <v>0</v>
      </c>
      <c r="S56" s="49">
        <f t="shared" si="32"/>
        <v>0</v>
      </c>
      <c r="T56" s="49">
        <f t="shared" si="32"/>
        <v>0</v>
      </c>
      <c r="U56" s="49">
        <f t="shared" si="32"/>
        <v>0</v>
      </c>
      <c r="V56" s="49">
        <f t="shared" si="32"/>
        <v>0</v>
      </c>
      <c r="W56" s="49">
        <f t="shared" si="32"/>
        <v>0</v>
      </c>
      <c r="X56" s="49">
        <f t="shared" si="32"/>
        <v>0</v>
      </c>
      <c r="Y56" s="49">
        <f t="shared" si="32"/>
        <v>0</v>
      </c>
      <c r="Z56" s="49">
        <f t="shared" si="32"/>
        <v>0</v>
      </c>
      <c r="AA56" s="49">
        <f t="shared" si="32"/>
        <v>0</v>
      </c>
      <c r="AB56" s="49">
        <f t="shared" si="32"/>
        <v>0</v>
      </c>
      <c r="AC56" s="49">
        <f t="shared" si="32"/>
        <v>0</v>
      </c>
      <c r="AD56" s="49">
        <f t="shared" si="32"/>
        <v>0</v>
      </c>
      <c r="AE56" s="49">
        <f t="shared" si="32"/>
        <v>0</v>
      </c>
      <c r="AF56" s="49">
        <f t="shared" si="32"/>
        <v>0</v>
      </c>
      <c r="AG56" s="49">
        <f t="shared" si="32"/>
        <v>0</v>
      </c>
      <c r="AH56" s="49">
        <f t="shared" si="32"/>
        <v>0</v>
      </c>
      <c r="AI56" s="49">
        <f t="shared" si="32"/>
        <v>0</v>
      </c>
      <c r="AJ56" s="49">
        <f t="shared" si="32"/>
        <v>0</v>
      </c>
      <c r="AK56" s="49">
        <f t="shared" si="32"/>
        <v>0</v>
      </c>
      <c r="AL56" s="42"/>
      <c r="AM56" s="43">
        <v>40</v>
      </c>
      <c r="AN56">
        <v>1.7145833333333336</v>
      </c>
      <c r="AO56">
        <v>0.22713601656473953</v>
      </c>
      <c r="AP56">
        <v>3.5663845443862767</v>
      </c>
      <c r="AQ56">
        <v>2.1902053287674152</v>
      </c>
      <c r="AR56">
        <v>0.24996527821655457</v>
      </c>
      <c r="AS56">
        <v>1.3787719982436555</v>
      </c>
      <c r="AT56" t="e">
        <v>#DIV/0!</v>
      </c>
      <c r="AU56" t="e">
        <v>#DIV/0!</v>
      </c>
      <c r="AV56"/>
      <c r="AW56"/>
      <c r="FY56" s="211">
        <v>51</v>
      </c>
      <c r="FZ56">
        <v>1.1218480532626929</v>
      </c>
      <c r="GA56">
        <v>0.56185112583616514</v>
      </c>
      <c r="GB56">
        <v>0.14202990935487192</v>
      </c>
      <c r="GC56">
        <v>7.8958100610881349E-2</v>
      </c>
      <c r="GD56">
        <v>0</v>
      </c>
      <c r="GE56">
        <v>0</v>
      </c>
      <c r="GF56">
        <v>0.66042100116664126</v>
      </c>
      <c r="GG56">
        <v>0.59518473501329594</v>
      </c>
      <c r="GH56">
        <v>0</v>
      </c>
      <c r="GI56">
        <v>0.32913055146656223</v>
      </c>
      <c r="GJ56"/>
      <c r="GK56">
        <v>1.1274721997733861</v>
      </c>
      <c r="GL56">
        <v>0.48079623401633714</v>
      </c>
      <c r="GM56">
        <v>0.23585576644039991</v>
      </c>
      <c r="GN56">
        <v>0.23585576644039991</v>
      </c>
      <c r="GO56">
        <v>0</v>
      </c>
      <c r="GP56">
        <v>0</v>
      </c>
      <c r="GQ56">
        <v>0.90739586192571098</v>
      </c>
      <c r="GR56">
        <v>0.90739586192571098</v>
      </c>
      <c r="GS56">
        <v>0</v>
      </c>
      <c r="GT56">
        <v>0.4541447656278994</v>
      </c>
      <c r="GU56"/>
      <c r="GV56"/>
      <c r="GW56"/>
      <c r="GX56"/>
      <c r="GY56"/>
      <c r="GZ56"/>
      <c r="HA56"/>
      <c r="HB56"/>
      <c r="HC56"/>
    </row>
    <row r="57" spans="1:211" s="7" customFormat="1">
      <c r="A57" s="4"/>
      <c r="B57" s="36"/>
      <c r="C57" s="48" t="s">
        <v>118</v>
      </c>
      <c r="D57" s="49">
        <f t="shared" si="27"/>
        <v>0</v>
      </c>
      <c r="E57" s="19">
        <f t="shared" si="29"/>
        <v>0</v>
      </c>
      <c r="F57" s="8"/>
      <c r="G57" s="49">
        <f>$E$57*$E$26*G42</f>
        <v>0</v>
      </c>
      <c r="H57" s="49">
        <f t="shared" ref="H57:AK57" si="33">$E$57*$E$26*H42</f>
        <v>0</v>
      </c>
      <c r="I57" s="49">
        <f t="shared" si="33"/>
        <v>0</v>
      </c>
      <c r="J57" s="49">
        <f t="shared" si="33"/>
        <v>0</v>
      </c>
      <c r="K57" s="49">
        <f t="shared" si="33"/>
        <v>0</v>
      </c>
      <c r="L57" s="49">
        <f t="shared" si="33"/>
        <v>0</v>
      </c>
      <c r="M57" s="49">
        <f t="shared" si="33"/>
        <v>0</v>
      </c>
      <c r="N57" s="49">
        <f t="shared" si="33"/>
        <v>0</v>
      </c>
      <c r="O57" s="49">
        <f t="shared" si="33"/>
        <v>0</v>
      </c>
      <c r="P57" s="49">
        <f t="shared" si="33"/>
        <v>0</v>
      </c>
      <c r="Q57" s="49">
        <f t="shared" si="33"/>
        <v>0</v>
      </c>
      <c r="R57" s="49">
        <f t="shared" si="33"/>
        <v>0</v>
      </c>
      <c r="S57" s="49">
        <f t="shared" si="33"/>
        <v>0</v>
      </c>
      <c r="T57" s="49">
        <f t="shared" si="33"/>
        <v>0</v>
      </c>
      <c r="U57" s="49">
        <f t="shared" si="33"/>
        <v>0</v>
      </c>
      <c r="V57" s="49">
        <f t="shared" si="33"/>
        <v>0</v>
      </c>
      <c r="W57" s="49">
        <f t="shared" si="33"/>
        <v>0</v>
      </c>
      <c r="X57" s="49">
        <f t="shared" si="33"/>
        <v>0</v>
      </c>
      <c r="Y57" s="49">
        <f t="shared" si="33"/>
        <v>0</v>
      </c>
      <c r="Z57" s="49">
        <f t="shared" si="33"/>
        <v>0</v>
      </c>
      <c r="AA57" s="49">
        <f t="shared" si="33"/>
        <v>0</v>
      </c>
      <c r="AB57" s="49">
        <f t="shared" si="33"/>
        <v>0</v>
      </c>
      <c r="AC57" s="49">
        <f t="shared" si="33"/>
        <v>0</v>
      </c>
      <c r="AD57" s="49">
        <f t="shared" si="33"/>
        <v>0</v>
      </c>
      <c r="AE57" s="49">
        <f t="shared" si="33"/>
        <v>0</v>
      </c>
      <c r="AF57" s="49">
        <f t="shared" si="33"/>
        <v>0</v>
      </c>
      <c r="AG57" s="49">
        <f t="shared" si="33"/>
        <v>0</v>
      </c>
      <c r="AH57" s="49">
        <f t="shared" si="33"/>
        <v>0</v>
      </c>
      <c r="AI57" s="49">
        <f t="shared" si="33"/>
        <v>0</v>
      </c>
      <c r="AJ57" s="49">
        <f t="shared" si="33"/>
        <v>0</v>
      </c>
      <c r="AK57" s="49">
        <f t="shared" si="33"/>
        <v>0</v>
      </c>
      <c r="AL57" s="42"/>
      <c r="AM57" s="43">
        <v>41</v>
      </c>
      <c r="AN57">
        <v>2.7041666666666666</v>
      </c>
      <c r="AO57">
        <v>0.49949980548541395</v>
      </c>
      <c r="AP57">
        <v>18.107043606757827</v>
      </c>
      <c r="AQ57">
        <v>3.9682185664134004</v>
      </c>
      <c r="AR57">
        <v>0.50903304902739077</v>
      </c>
      <c r="AS57">
        <v>2.3628773595367427</v>
      </c>
      <c r="AT57" t="e">
        <v>#DIV/0!</v>
      </c>
      <c r="AU57" t="e">
        <v>#DIV/0!</v>
      </c>
      <c r="AV57"/>
      <c r="AW57"/>
      <c r="FY57" s="211">
        <v>52</v>
      </c>
      <c r="FZ57">
        <v>0.77783944074545031</v>
      </c>
      <c r="GA57">
        <v>8.725047411847664E-2</v>
      </c>
      <c r="GB57">
        <v>0.30043788257902154</v>
      </c>
      <c r="GC57">
        <v>0.27169357679160522</v>
      </c>
      <c r="GD57">
        <v>8.0173661321021189E-2</v>
      </c>
      <c r="GE57">
        <v>0</v>
      </c>
      <c r="GF57">
        <v>0.66042100116664126</v>
      </c>
      <c r="GG57">
        <v>0.59518473501329594</v>
      </c>
      <c r="GH57">
        <v>0</v>
      </c>
      <c r="GI57">
        <v>0.36354154061805094</v>
      </c>
      <c r="GJ57"/>
      <c r="GK57">
        <v>0.77595704972909085</v>
      </c>
      <c r="GL57">
        <v>7.3740509229249462E-2</v>
      </c>
      <c r="GM57">
        <v>0.4976911688564169</v>
      </c>
      <c r="GN57">
        <v>0.81250536455359101</v>
      </c>
      <c r="GO57">
        <v>0.31481419569717417</v>
      </c>
      <c r="GP57">
        <v>0</v>
      </c>
      <c r="GQ57">
        <v>0.90739586192571098</v>
      </c>
      <c r="GR57">
        <v>0.90739586192571098</v>
      </c>
      <c r="GS57">
        <v>0</v>
      </c>
      <c r="GT57">
        <v>0.49917165524167861</v>
      </c>
      <c r="GU57"/>
      <c r="GV57"/>
      <c r="GW57"/>
      <c r="GX57"/>
      <c r="GY57"/>
      <c r="GZ57"/>
      <c r="HA57"/>
      <c r="HB57"/>
      <c r="HC57"/>
    </row>
    <row r="58" spans="1:211" s="7" customFormat="1">
      <c r="A58" s="4"/>
      <c r="B58" s="1"/>
      <c r="C58" s="48" t="s">
        <v>119</v>
      </c>
      <c r="D58" s="49">
        <f t="shared" si="27"/>
        <v>6.2054589365501212</v>
      </c>
      <c r="E58" s="19">
        <f t="shared" si="29"/>
        <v>0.21710336652884685</v>
      </c>
      <c r="F58" s="8"/>
      <c r="G58" s="49">
        <f>$E$58*$E$27*G43</f>
        <v>0</v>
      </c>
      <c r="H58" s="49">
        <f t="shared" ref="H58:AK58" si="34">$E$58*$E$27*H43</f>
        <v>0</v>
      </c>
      <c r="I58" s="49">
        <f t="shared" si="34"/>
        <v>0</v>
      </c>
      <c r="J58" s="49">
        <f t="shared" si="34"/>
        <v>0</v>
      </c>
      <c r="K58" s="49">
        <f t="shared" si="34"/>
        <v>0</v>
      </c>
      <c r="L58" s="49">
        <f t="shared" si="34"/>
        <v>0</v>
      </c>
      <c r="M58" s="49">
        <f t="shared" si="34"/>
        <v>0</v>
      </c>
      <c r="N58" s="49">
        <f t="shared" si="34"/>
        <v>0</v>
      </c>
      <c r="O58" s="49">
        <f t="shared" si="34"/>
        <v>6.2054589365501212</v>
      </c>
      <c r="P58" s="49">
        <f t="shared" si="34"/>
        <v>0</v>
      </c>
      <c r="Q58" s="49">
        <f t="shared" si="34"/>
        <v>0</v>
      </c>
      <c r="R58" s="49">
        <f t="shared" si="34"/>
        <v>0</v>
      </c>
      <c r="S58" s="49">
        <f t="shared" si="34"/>
        <v>0</v>
      </c>
      <c r="T58" s="49">
        <f t="shared" si="34"/>
        <v>0</v>
      </c>
      <c r="U58" s="49">
        <f t="shared" si="34"/>
        <v>0</v>
      </c>
      <c r="V58" s="49">
        <f t="shared" si="34"/>
        <v>0</v>
      </c>
      <c r="W58" s="49">
        <f t="shared" si="34"/>
        <v>0</v>
      </c>
      <c r="X58" s="49">
        <f t="shared" si="34"/>
        <v>0</v>
      </c>
      <c r="Y58" s="49">
        <f t="shared" si="34"/>
        <v>0</v>
      </c>
      <c r="Z58" s="49">
        <f t="shared" si="34"/>
        <v>0</v>
      </c>
      <c r="AA58" s="49">
        <f t="shared" si="34"/>
        <v>0</v>
      </c>
      <c r="AB58" s="49">
        <f t="shared" si="34"/>
        <v>0</v>
      </c>
      <c r="AC58" s="49">
        <f t="shared" si="34"/>
        <v>0</v>
      </c>
      <c r="AD58" s="49">
        <f t="shared" si="34"/>
        <v>0</v>
      </c>
      <c r="AE58" s="49">
        <f t="shared" si="34"/>
        <v>0</v>
      </c>
      <c r="AF58" s="49">
        <f t="shared" si="34"/>
        <v>0</v>
      </c>
      <c r="AG58" s="49">
        <f t="shared" si="34"/>
        <v>0</v>
      </c>
      <c r="AH58" s="49">
        <f t="shared" si="34"/>
        <v>0</v>
      </c>
      <c r="AI58" s="49">
        <f t="shared" si="34"/>
        <v>0</v>
      </c>
      <c r="AJ58" s="49">
        <f t="shared" si="34"/>
        <v>0</v>
      </c>
      <c r="AK58" s="49">
        <f t="shared" si="34"/>
        <v>0</v>
      </c>
      <c r="AL58" s="42"/>
      <c r="AM58" s="43">
        <v>42</v>
      </c>
      <c r="AN58">
        <v>3.8083333333333336</v>
      </c>
      <c r="AO58">
        <v>0.31438692804970603</v>
      </c>
      <c r="AP58">
        <v>4.4485969349934544</v>
      </c>
      <c r="AQ58">
        <v>2.8993048587553525</v>
      </c>
      <c r="AR58">
        <v>0.36560370161455863</v>
      </c>
      <c r="AS58">
        <v>2.252448723157662</v>
      </c>
      <c r="AT58" t="e">
        <v>#DIV/0!</v>
      </c>
      <c r="AU58" t="e">
        <v>#DIV/0!</v>
      </c>
      <c r="AV58"/>
      <c r="AW58"/>
      <c r="FY58" s="211">
        <v>53</v>
      </c>
      <c r="FZ58">
        <v>0.79289004546765995</v>
      </c>
      <c r="GA58">
        <v>0.17450094823695328</v>
      </c>
      <c r="GB58">
        <v>7.9203986612074825E-2</v>
      </c>
      <c r="GC58">
        <v>7.8958100610881349E-2</v>
      </c>
      <c r="GD58">
        <v>2.6724553773673727E-2</v>
      </c>
      <c r="GE58">
        <v>0</v>
      </c>
      <c r="GF58">
        <v>0</v>
      </c>
      <c r="GG58">
        <v>0</v>
      </c>
      <c r="GH58">
        <v>0</v>
      </c>
      <c r="GI58">
        <v>0.15235151840077013</v>
      </c>
      <c r="GJ58"/>
      <c r="GK58">
        <v>0.79415698421554781</v>
      </c>
      <c r="GL58">
        <v>0.14748101845849892</v>
      </c>
      <c r="GM58">
        <v>0.13091770120800852</v>
      </c>
      <c r="GN58">
        <v>0.23585576644039991</v>
      </c>
      <c r="GO58">
        <v>0.10493806523239137</v>
      </c>
      <c r="GP58">
        <v>0</v>
      </c>
      <c r="GQ58">
        <v>0</v>
      </c>
      <c r="GR58">
        <v>0</v>
      </c>
      <c r="GS58">
        <v>0</v>
      </c>
      <c r="GT58">
        <v>0.20600255013118954</v>
      </c>
      <c r="GU58"/>
      <c r="GV58"/>
      <c r="GW58"/>
      <c r="GX58"/>
      <c r="GY58"/>
      <c r="GZ58"/>
      <c r="HA58"/>
      <c r="HB58"/>
      <c r="HC58"/>
    </row>
    <row r="59" spans="1:211" s="7" customFormat="1">
      <c r="A59" s="4"/>
      <c r="B59" s="1"/>
      <c r="C59" s="48" t="s">
        <v>120</v>
      </c>
      <c r="D59" s="49">
        <f t="shared" si="27"/>
        <v>0</v>
      </c>
      <c r="E59" s="19">
        <f t="shared" si="29"/>
        <v>0</v>
      </c>
      <c r="F59" s="8"/>
      <c r="G59" s="49">
        <f>$E$59*$E$28*G44</f>
        <v>0</v>
      </c>
      <c r="H59" s="49">
        <f t="shared" ref="H59:AK59" si="35">$E$59*$E$28*H44</f>
        <v>0</v>
      </c>
      <c r="I59" s="49">
        <f t="shared" si="35"/>
        <v>0</v>
      </c>
      <c r="J59" s="49">
        <f t="shared" si="35"/>
        <v>0</v>
      </c>
      <c r="K59" s="49">
        <f t="shared" si="35"/>
        <v>0</v>
      </c>
      <c r="L59" s="49">
        <f t="shared" si="35"/>
        <v>0</v>
      </c>
      <c r="M59" s="49">
        <f t="shared" si="35"/>
        <v>0</v>
      </c>
      <c r="N59" s="49">
        <f t="shared" si="35"/>
        <v>0</v>
      </c>
      <c r="O59" s="49">
        <f t="shared" si="35"/>
        <v>0</v>
      </c>
      <c r="P59" s="49">
        <f t="shared" si="35"/>
        <v>0</v>
      </c>
      <c r="Q59" s="49">
        <f t="shared" si="35"/>
        <v>0</v>
      </c>
      <c r="R59" s="49">
        <f t="shared" si="35"/>
        <v>0</v>
      </c>
      <c r="S59" s="49">
        <f t="shared" si="35"/>
        <v>0</v>
      </c>
      <c r="T59" s="49">
        <f t="shared" si="35"/>
        <v>0</v>
      </c>
      <c r="U59" s="49">
        <f t="shared" si="35"/>
        <v>0</v>
      </c>
      <c r="V59" s="49">
        <f t="shared" si="35"/>
        <v>0</v>
      </c>
      <c r="W59" s="49">
        <f t="shared" si="35"/>
        <v>0</v>
      </c>
      <c r="X59" s="49">
        <f t="shared" si="35"/>
        <v>0</v>
      </c>
      <c r="Y59" s="49">
        <f t="shared" si="35"/>
        <v>0</v>
      </c>
      <c r="Z59" s="49">
        <f t="shared" si="35"/>
        <v>0</v>
      </c>
      <c r="AA59" s="49">
        <f t="shared" si="35"/>
        <v>0</v>
      </c>
      <c r="AB59" s="49">
        <f t="shared" si="35"/>
        <v>0</v>
      </c>
      <c r="AC59" s="49">
        <f t="shared" si="35"/>
        <v>0</v>
      </c>
      <c r="AD59" s="49">
        <f t="shared" si="35"/>
        <v>0</v>
      </c>
      <c r="AE59" s="49">
        <f t="shared" si="35"/>
        <v>0</v>
      </c>
      <c r="AF59" s="49">
        <f t="shared" si="35"/>
        <v>0</v>
      </c>
      <c r="AG59" s="49">
        <f t="shared" si="35"/>
        <v>0</v>
      </c>
      <c r="AH59" s="49">
        <f t="shared" si="35"/>
        <v>0</v>
      </c>
      <c r="AI59" s="49">
        <f t="shared" si="35"/>
        <v>0</v>
      </c>
      <c r="AJ59" s="49">
        <f t="shared" si="35"/>
        <v>0</v>
      </c>
      <c r="AK59" s="49">
        <f t="shared" si="35"/>
        <v>0</v>
      </c>
      <c r="AL59" s="42"/>
      <c r="AM59" s="43">
        <v>43</v>
      </c>
      <c r="AN59">
        <v>2.7374999999999998</v>
      </c>
      <c r="AO59">
        <v>0.37022080843524685</v>
      </c>
      <c r="AP59">
        <v>13.875328328817108</v>
      </c>
      <c r="AQ59">
        <v>2.7158221521779886</v>
      </c>
      <c r="AR59">
        <v>0.38975755661976402</v>
      </c>
      <c r="AS59">
        <v>2.082375580928602</v>
      </c>
      <c r="AT59" t="e">
        <v>#DIV/0!</v>
      </c>
      <c r="AU59" t="e">
        <v>#DIV/0!</v>
      </c>
      <c r="AV59"/>
      <c r="AW59"/>
      <c r="FY59" s="211">
        <v>54</v>
      </c>
      <c r="FZ59">
        <v>0.99550894996688655</v>
      </c>
      <c r="GA59">
        <v>0.17450094823695328</v>
      </c>
      <c r="GB59">
        <v>0.37964186919109638</v>
      </c>
      <c r="GC59">
        <v>0.21137457756664185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0.24060626689775316</v>
      </c>
      <c r="GJ59"/>
      <c r="GK59">
        <v>0.99647356911182194</v>
      </c>
      <c r="GL59">
        <v>0.14748101845849892</v>
      </c>
      <c r="GM59">
        <v>0.62860887006442545</v>
      </c>
      <c r="GN59">
        <v>0.62860887006442545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0.3250164878352495</v>
      </c>
      <c r="GU59"/>
      <c r="GV59"/>
      <c r="GW59"/>
      <c r="GX59"/>
      <c r="GY59"/>
      <c r="GZ59"/>
      <c r="HA59"/>
      <c r="HB59"/>
      <c r="HC59"/>
    </row>
    <row r="60" spans="1:211" s="7" customFormat="1">
      <c r="A60" s="4"/>
      <c r="B60" s="1"/>
      <c r="C60" s="48" t="s">
        <v>121</v>
      </c>
      <c r="D60" s="49">
        <f t="shared" si="27"/>
        <v>0</v>
      </c>
      <c r="E60" s="19">
        <f t="shared" si="29"/>
        <v>0</v>
      </c>
      <c r="F60" s="8"/>
      <c r="G60" s="49">
        <f>$E$60*$E$29*G45</f>
        <v>0</v>
      </c>
      <c r="H60" s="49">
        <f t="shared" ref="H60:AK60" si="36">$E$60*$E$29*H45</f>
        <v>0</v>
      </c>
      <c r="I60" s="49">
        <f t="shared" si="36"/>
        <v>0</v>
      </c>
      <c r="J60" s="49">
        <f t="shared" si="36"/>
        <v>0</v>
      </c>
      <c r="K60" s="49">
        <f t="shared" si="36"/>
        <v>0</v>
      </c>
      <c r="L60" s="49">
        <f t="shared" si="36"/>
        <v>0</v>
      </c>
      <c r="M60" s="49">
        <f t="shared" si="36"/>
        <v>0</v>
      </c>
      <c r="N60" s="49">
        <f t="shared" si="36"/>
        <v>0</v>
      </c>
      <c r="O60" s="49">
        <f t="shared" si="36"/>
        <v>0</v>
      </c>
      <c r="P60" s="49">
        <f t="shared" si="36"/>
        <v>0</v>
      </c>
      <c r="Q60" s="49">
        <f t="shared" si="36"/>
        <v>0</v>
      </c>
      <c r="R60" s="49">
        <f t="shared" si="36"/>
        <v>0</v>
      </c>
      <c r="S60" s="49">
        <f t="shared" si="36"/>
        <v>0</v>
      </c>
      <c r="T60" s="49">
        <f t="shared" si="36"/>
        <v>0</v>
      </c>
      <c r="U60" s="49">
        <f t="shared" si="36"/>
        <v>0</v>
      </c>
      <c r="V60" s="49">
        <f t="shared" si="36"/>
        <v>0</v>
      </c>
      <c r="W60" s="49">
        <f t="shared" si="36"/>
        <v>0</v>
      </c>
      <c r="X60" s="49">
        <f t="shared" si="36"/>
        <v>0</v>
      </c>
      <c r="Y60" s="49">
        <f t="shared" si="36"/>
        <v>0</v>
      </c>
      <c r="Z60" s="49">
        <f t="shared" si="36"/>
        <v>0</v>
      </c>
      <c r="AA60" s="49">
        <f t="shared" si="36"/>
        <v>0</v>
      </c>
      <c r="AB60" s="49">
        <f t="shared" si="36"/>
        <v>0</v>
      </c>
      <c r="AC60" s="49">
        <f t="shared" si="36"/>
        <v>0</v>
      </c>
      <c r="AD60" s="49">
        <f t="shared" si="36"/>
        <v>0</v>
      </c>
      <c r="AE60" s="49">
        <f t="shared" si="36"/>
        <v>0</v>
      </c>
      <c r="AF60" s="49">
        <f t="shared" si="36"/>
        <v>0</v>
      </c>
      <c r="AG60" s="49">
        <f t="shared" si="36"/>
        <v>0</v>
      </c>
      <c r="AH60" s="49">
        <f t="shared" si="36"/>
        <v>0</v>
      </c>
      <c r="AI60" s="49">
        <f t="shared" si="36"/>
        <v>0</v>
      </c>
      <c r="AJ60" s="49">
        <f t="shared" si="36"/>
        <v>0</v>
      </c>
      <c r="AK60" s="49">
        <f t="shared" si="36"/>
        <v>0</v>
      </c>
      <c r="AL60" s="42"/>
      <c r="AM60" s="43">
        <v>44</v>
      </c>
      <c r="AN60">
        <v>4.2739583333333337</v>
      </c>
      <c r="AO60">
        <v>0.39626389832964942</v>
      </c>
      <c r="AP60">
        <v>9.787613315255415</v>
      </c>
      <c r="AQ60">
        <v>3.2206671294472278</v>
      </c>
      <c r="AR60">
        <v>0.43560174623587689</v>
      </c>
      <c r="AS60">
        <v>2.4394922478682219</v>
      </c>
      <c r="AT60" t="e">
        <v>#DIV/0!</v>
      </c>
      <c r="AU60" t="e">
        <v>#DIV/0!</v>
      </c>
      <c r="AV60"/>
      <c r="AW60"/>
      <c r="FY60" s="211">
        <v>55</v>
      </c>
      <c r="FZ60">
        <v>0.90911061358468892</v>
      </c>
      <c r="GA60">
        <v>0.47460065171768845</v>
      </c>
      <c r="GB60">
        <v>0</v>
      </c>
      <c r="GC60">
        <v>0</v>
      </c>
      <c r="GD60">
        <v>0</v>
      </c>
      <c r="GE60">
        <v>0</v>
      </c>
      <c r="GF60">
        <v>0.33021050058332063</v>
      </c>
      <c r="GG60">
        <v>0.29759236750664797</v>
      </c>
      <c r="GH60">
        <v>0</v>
      </c>
      <c r="GI60">
        <v>0.1987276579957542</v>
      </c>
      <c r="GJ60"/>
      <c r="GK60">
        <v>0.91251168383702463</v>
      </c>
      <c r="GL60">
        <v>0.40705572478708768</v>
      </c>
      <c r="GM60">
        <v>0</v>
      </c>
      <c r="GN60">
        <v>0</v>
      </c>
      <c r="GO60">
        <v>0</v>
      </c>
      <c r="GP60">
        <v>0</v>
      </c>
      <c r="GQ60">
        <v>0.45369793096285549</v>
      </c>
      <c r="GR60">
        <v>0.45369793096285549</v>
      </c>
      <c r="GS60">
        <v>0</v>
      </c>
      <c r="GT60">
        <v>0.27324192295997607</v>
      </c>
      <c r="GU60"/>
      <c r="GV60"/>
      <c r="GW60"/>
      <c r="GX60"/>
      <c r="GY60"/>
      <c r="GZ60"/>
      <c r="HA60"/>
      <c r="HB60"/>
      <c r="HC60"/>
    </row>
    <row r="61" spans="1:211" s="7" customFormat="1">
      <c r="A61" s="4"/>
      <c r="B61" s="1"/>
      <c r="C61" s="48" t="s">
        <v>122</v>
      </c>
      <c r="D61" s="49">
        <f t="shared" si="27"/>
        <v>0</v>
      </c>
      <c r="E61" s="19">
        <f t="shared" si="29"/>
        <v>0</v>
      </c>
      <c r="F61" s="8"/>
      <c r="G61" s="49">
        <f>$E$61*$E$30*G46</f>
        <v>0</v>
      </c>
      <c r="H61" s="49">
        <f t="shared" ref="H61:AK61" si="37">$E$61*$E$30*H46</f>
        <v>0</v>
      </c>
      <c r="I61" s="49">
        <f t="shared" si="37"/>
        <v>0</v>
      </c>
      <c r="J61" s="49">
        <f t="shared" si="37"/>
        <v>0</v>
      </c>
      <c r="K61" s="49">
        <f t="shared" si="37"/>
        <v>0</v>
      </c>
      <c r="L61" s="49">
        <f t="shared" si="37"/>
        <v>0</v>
      </c>
      <c r="M61" s="49">
        <f t="shared" si="37"/>
        <v>0</v>
      </c>
      <c r="N61" s="49">
        <f t="shared" si="37"/>
        <v>0</v>
      </c>
      <c r="O61" s="49">
        <f t="shared" si="37"/>
        <v>0</v>
      </c>
      <c r="P61" s="49">
        <f t="shared" si="37"/>
        <v>0</v>
      </c>
      <c r="Q61" s="49">
        <f t="shared" si="37"/>
        <v>0</v>
      </c>
      <c r="R61" s="49">
        <f t="shared" si="37"/>
        <v>0</v>
      </c>
      <c r="S61" s="49">
        <f t="shared" si="37"/>
        <v>0</v>
      </c>
      <c r="T61" s="49">
        <f t="shared" si="37"/>
        <v>0</v>
      </c>
      <c r="U61" s="49">
        <f t="shared" si="37"/>
        <v>0</v>
      </c>
      <c r="V61" s="49">
        <f t="shared" si="37"/>
        <v>0</v>
      </c>
      <c r="W61" s="49">
        <f t="shared" si="37"/>
        <v>0</v>
      </c>
      <c r="X61" s="49">
        <f t="shared" si="37"/>
        <v>0</v>
      </c>
      <c r="Y61" s="49">
        <f t="shared" si="37"/>
        <v>0</v>
      </c>
      <c r="Z61" s="49">
        <f t="shared" si="37"/>
        <v>0</v>
      </c>
      <c r="AA61" s="49">
        <f t="shared" si="37"/>
        <v>0</v>
      </c>
      <c r="AB61" s="49">
        <f t="shared" si="37"/>
        <v>0</v>
      </c>
      <c r="AC61" s="49">
        <f t="shared" si="37"/>
        <v>0</v>
      </c>
      <c r="AD61" s="49">
        <f t="shared" si="37"/>
        <v>0</v>
      </c>
      <c r="AE61" s="49">
        <f t="shared" si="37"/>
        <v>0</v>
      </c>
      <c r="AF61" s="49">
        <f t="shared" si="37"/>
        <v>0</v>
      </c>
      <c r="AG61" s="49">
        <f t="shared" si="37"/>
        <v>0</v>
      </c>
      <c r="AH61" s="49">
        <f t="shared" si="37"/>
        <v>0</v>
      </c>
      <c r="AI61" s="49">
        <f t="shared" si="37"/>
        <v>0</v>
      </c>
      <c r="AJ61" s="49">
        <f t="shared" si="37"/>
        <v>0</v>
      </c>
      <c r="AK61" s="49">
        <f t="shared" si="37"/>
        <v>0</v>
      </c>
      <c r="AL61" s="42"/>
      <c r="AM61" s="43">
        <v>45</v>
      </c>
      <c r="AN61">
        <v>2.6656249999999999</v>
      </c>
      <c r="AO61">
        <v>0.38688366889875142</v>
      </c>
      <c r="AP61">
        <v>6.9766896859163543</v>
      </c>
      <c r="AQ61">
        <v>3.4168692419634246</v>
      </c>
      <c r="AR61">
        <v>0.39156977269659449</v>
      </c>
      <c r="AS61">
        <v>2.1575385188745653</v>
      </c>
      <c r="AT61" t="e">
        <v>#DIV/0!</v>
      </c>
      <c r="AU61" t="e">
        <v>#DIV/0!</v>
      </c>
      <c r="AV61"/>
      <c r="AW61"/>
      <c r="FY61" s="211">
        <v>56</v>
      </c>
      <c r="FZ61">
        <v>1.3400067728747556</v>
      </c>
      <c r="GA61">
        <v>0.86195082931690026</v>
      </c>
      <c r="GB61">
        <v>0.12565184548559416</v>
      </c>
      <c r="GC61">
        <v>0.13927709983584477</v>
      </c>
      <c r="GD61">
        <v>5.3449107547347455E-2</v>
      </c>
      <c r="GE61">
        <v>0</v>
      </c>
      <c r="GF61">
        <v>0.33021050058332063</v>
      </c>
      <c r="GG61">
        <v>0.29759236750664797</v>
      </c>
      <c r="GH61">
        <v>0</v>
      </c>
      <c r="GI61">
        <v>0.32423252434840838</v>
      </c>
      <c r="GJ61"/>
      <c r="GK61">
        <v>1.3500088998919757</v>
      </c>
      <c r="GL61">
        <v>0.7403709403449259</v>
      </c>
      <c r="GM61">
        <v>0.20987613046478273</v>
      </c>
      <c r="GN61">
        <v>0.41975226092956547</v>
      </c>
      <c r="GO61">
        <v>0.20987613046478273</v>
      </c>
      <c r="GP61">
        <v>0</v>
      </c>
      <c r="GQ61">
        <v>0.45369793096285549</v>
      </c>
      <c r="GR61">
        <v>0.45369793096285549</v>
      </c>
      <c r="GS61">
        <v>0</v>
      </c>
      <c r="GT61">
        <v>0.44469181835687938</v>
      </c>
      <c r="GU61"/>
      <c r="GV61"/>
      <c r="GW61"/>
      <c r="GX61"/>
      <c r="GY61"/>
      <c r="GZ61"/>
      <c r="HA61"/>
      <c r="HB61"/>
      <c r="HC61"/>
    </row>
    <row r="62" spans="1:211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2.1697916666666663</v>
      </c>
      <c r="AO62">
        <v>0.27848410115698097</v>
      </c>
      <c r="AP62">
        <v>9.6383276403715712</v>
      </c>
      <c r="AQ62">
        <v>2.3302148682834427</v>
      </c>
      <c r="AR62">
        <v>0.31115169397351788</v>
      </c>
      <c r="AS62">
        <v>1.7261479900241776</v>
      </c>
      <c r="AT62" t="e">
        <v>#DIV/0!</v>
      </c>
      <c r="AU62" t="e">
        <v>#DIV/0!</v>
      </c>
      <c r="AV62"/>
      <c r="AW62"/>
      <c r="FY62" s="211">
        <v>57</v>
      </c>
      <c r="FZ62">
        <v>1.3350748777633719</v>
      </c>
      <c r="GA62">
        <v>0.77470035519842362</v>
      </c>
      <c r="GB62">
        <v>0.15840797322414965</v>
      </c>
      <c r="GC62">
        <v>0.12309692626280153</v>
      </c>
      <c r="GD62">
        <v>2.6724553773673727E-2</v>
      </c>
      <c r="GE62">
        <v>0</v>
      </c>
      <c r="GF62">
        <v>0.33021050058332063</v>
      </c>
      <c r="GG62">
        <v>0.29759236750664797</v>
      </c>
      <c r="GH62">
        <v>0</v>
      </c>
      <c r="GI62">
        <v>0.31592470998369271</v>
      </c>
      <c r="GJ62"/>
      <c r="GK62">
        <v>1.3455083041650333</v>
      </c>
      <c r="GL62">
        <v>0.66663043111567644</v>
      </c>
      <c r="GM62">
        <v>0.26183540241601705</v>
      </c>
      <c r="GN62">
        <v>0.3667734676484084</v>
      </c>
      <c r="GO62">
        <v>0.10493806523239137</v>
      </c>
      <c r="GP62">
        <v>0</v>
      </c>
      <c r="GQ62">
        <v>0.45369793096285549</v>
      </c>
      <c r="GR62">
        <v>0.45369793096285549</v>
      </c>
      <c r="GS62">
        <v>0</v>
      </c>
      <c r="GT62">
        <v>0.43319594055525945</v>
      </c>
      <c r="GU62"/>
      <c r="GV62"/>
      <c r="GW62"/>
      <c r="GX62"/>
      <c r="GY62"/>
      <c r="GZ62"/>
      <c r="HA62"/>
      <c r="HB62"/>
      <c r="HC62"/>
    </row>
    <row r="63" spans="1:211" s="7" customFormat="1">
      <c r="A63" s="4"/>
      <c r="B63" s="1"/>
      <c r="C63" s="52" t="s">
        <v>53</v>
      </c>
      <c r="D63" s="53">
        <f>SUM(D52:D62)</f>
        <v>9.8531689536463194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1.703125</v>
      </c>
      <c r="AO63">
        <v>0.22572868177772124</v>
      </c>
      <c r="AP63">
        <v>7.8773574639733344</v>
      </c>
      <c r="AQ63">
        <v>1.6180876028628086</v>
      </c>
      <c r="AR63">
        <v>0.26128885339565949</v>
      </c>
      <c r="AS63">
        <v>1.5020474961523651</v>
      </c>
      <c r="AT63" t="e">
        <v>#DIV/0!</v>
      </c>
      <c r="AU63" t="e">
        <v>#DIV/0!</v>
      </c>
      <c r="AV63"/>
      <c r="AW63"/>
      <c r="FY63" s="211">
        <v>58</v>
      </c>
      <c r="FZ63">
        <v>1.6744075053492569</v>
      </c>
      <c r="GA63">
        <v>1.2493010069161121</v>
      </c>
      <c r="GB63">
        <v>7.9203986612074825E-2</v>
      </c>
      <c r="GC63">
        <v>7.8958100610881349E-2</v>
      </c>
      <c r="GD63">
        <v>2.6724553773673727E-2</v>
      </c>
      <c r="GE63">
        <v>0</v>
      </c>
      <c r="GF63">
        <v>0.66042100116664126</v>
      </c>
      <c r="GG63">
        <v>0.59518473501329594</v>
      </c>
      <c r="GH63">
        <v>0</v>
      </c>
      <c r="GI63">
        <v>0.41084804174324585</v>
      </c>
      <c r="GJ63"/>
      <c r="GK63">
        <v>1.6863447618736798</v>
      </c>
      <c r="GL63">
        <v>1.073686155902764</v>
      </c>
      <c r="GM63">
        <v>0.13091770120800852</v>
      </c>
      <c r="GN63">
        <v>0.23585576644039991</v>
      </c>
      <c r="GO63">
        <v>0.10493806523239137</v>
      </c>
      <c r="GP63">
        <v>0</v>
      </c>
      <c r="GQ63">
        <v>0.90739586192571098</v>
      </c>
      <c r="GR63">
        <v>0.90739586192571098</v>
      </c>
      <c r="GS63">
        <v>0</v>
      </c>
      <c r="GT63">
        <v>0.56591927804795816</v>
      </c>
      <c r="GU63"/>
      <c r="GV63"/>
      <c r="GW63"/>
      <c r="GX63"/>
      <c r="GY63"/>
      <c r="GZ63"/>
      <c r="HA63"/>
      <c r="HB63"/>
      <c r="HC63"/>
    </row>
    <row r="64" spans="1:211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1.6354166666666665</v>
      </c>
      <c r="AO64">
        <v>0.15809851874222608</v>
      </c>
      <c r="AP64">
        <v>2.5871831611464571</v>
      </c>
      <c r="AQ64">
        <v>1.1679379903421812</v>
      </c>
      <c r="AR64">
        <v>0.1987384137493062</v>
      </c>
      <c r="AS64">
        <v>1.3332667332953778</v>
      </c>
      <c r="AT64" t="e">
        <v>#DIV/0!</v>
      </c>
      <c r="AU64" t="e">
        <v>#DIV/0!</v>
      </c>
      <c r="AV64"/>
      <c r="AW64"/>
      <c r="FY64" s="211">
        <v>59</v>
      </c>
      <c r="FZ64">
        <v>1.7619239257995507</v>
      </c>
      <c r="GA64">
        <v>1.1620505327976354</v>
      </c>
      <c r="GB64">
        <v>7.9203986612074825E-2</v>
      </c>
      <c r="GC64">
        <v>4.4138825651920163E-2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0.2801402594752212</v>
      </c>
      <c r="GJ64"/>
      <c r="GK64">
        <v>1.7764059436527389</v>
      </c>
      <c r="GL64">
        <v>0.9999456466735146</v>
      </c>
      <c r="GM64">
        <v>0.13091770120800852</v>
      </c>
      <c r="GN64">
        <v>0.13091770120800852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0.38146472897214945</v>
      </c>
      <c r="GU64"/>
      <c r="GV64"/>
      <c r="GW64"/>
      <c r="GX64"/>
      <c r="GY64"/>
      <c r="GZ64"/>
      <c r="HA64"/>
      <c r="HB64"/>
      <c r="HC64"/>
    </row>
    <row r="65" spans="1:211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3.7156249999999993</v>
      </c>
      <c r="AO65">
        <v>0.58772210063698416</v>
      </c>
      <c r="AP65">
        <v>17.461019108782509</v>
      </c>
      <c r="AQ65">
        <v>5.0008106369091525</v>
      </c>
      <c r="AR65">
        <v>0.5812721631811375</v>
      </c>
      <c r="AS65">
        <v>2.9159311445947749</v>
      </c>
      <c r="AT65" t="e">
        <v>#DIV/0!</v>
      </c>
      <c r="AU65" t="e">
        <v>#DIV/0!</v>
      </c>
      <c r="AV65"/>
      <c r="AW65"/>
      <c r="FY65" s="211">
        <v>60</v>
      </c>
      <c r="FZ65">
        <v>1.331209047553821</v>
      </c>
      <c r="GA65">
        <v>0.38735017759921181</v>
      </c>
      <c r="GB65">
        <v>0.15840797322414965</v>
      </c>
      <c r="GC65">
        <v>0.12309692626280153</v>
      </c>
      <c r="GD65">
        <v>2.6724553773673727E-2</v>
      </c>
      <c r="GE65">
        <v>0</v>
      </c>
      <c r="GF65">
        <v>0</v>
      </c>
      <c r="GG65">
        <v>0</v>
      </c>
      <c r="GH65">
        <v>0</v>
      </c>
      <c r="GI65">
        <v>0.25126948924253673</v>
      </c>
      <c r="GJ65"/>
      <c r="GK65">
        <v>1.3419294533876354</v>
      </c>
      <c r="GL65">
        <v>0.33331521555783822</v>
      </c>
      <c r="GM65">
        <v>0.26183540241601705</v>
      </c>
      <c r="GN65">
        <v>0.3667734676484084</v>
      </c>
      <c r="GO65">
        <v>0.10493806523239137</v>
      </c>
      <c r="GP65">
        <v>0</v>
      </c>
      <c r="GQ65">
        <v>0</v>
      </c>
      <c r="GR65">
        <v>0</v>
      </c>
      <c r="GS65">
        <v>0</v>
      </c>
      <c r="GT65">
        <v>0.34174058420720882</v>
      </c>
      <c r="GU65"/>
      <c r="GV65"/>
      <c r="GW65"/>
      <c r="GX65"/>
      <c r="GY65"/>
      <c r="GZ65"/>
      <c r="HA65"/>
      <c r="HB65"/>
      <c r="HC65"/>
    </row>
    <row r="66" spans="1:211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1.505208333333333</v>
      </c>
      <c r="AO66">
        <v>0.16858613720780452</v>
      </c>
      <c r="AP66">
        <v>2.7761492509261529</v>
      </c>
      <c r="AQ66">
        <v>1.3813131024756535</v>
      </c>
      <c r="AR66">
        <v>0.22937751606806597</v>
      </c>
      <c r="AS66">
        <v>1.3438487651933966</v>
      </c>
      <c r="AT66" t="e">
        <v>#DIV/0!</v>
      </c>
      <c r="AU66" t="e">
        <v>#DIV/0!</v>
      </c>
      <c r="AV66"/>
      <c r="AW66"/>
      <c r="FY66" s="211">
        <v>61</v>
      </c>
      <c r="FZ66">
        <v>0.8480436903597468</v>
      </c>
      <c r="GA66">
        <v>0.26175142235542992</v>
      </c>
      <c r="GB66">
        <v>6.282592274279708E-2</v>
      </c>
      <c r="GC66">
        <v>3.4819274958961192E-2</v>
      </c>
      <c r="GD66">
        <v>0</v>
      </c>
      <c r="GE66">
        <v>0</v>
      </c>
      <c r="GF66">
        <v>0.33021050058332063</v>
      </c>
      <c r="GG66">
        <v>0.29759236750664797</v>
      </c>
      <c r="GH66">
        <v>0</v>
      </c>
      <c r="GI66">
        <v>0.2052624137416218</v>
      </c>
      <c r="GJ66"/>
      <c r="GK66">
        <v>0.84707622516804526</v>
      </c>
      <c r="GL66">
        <v>0.22122152768774839</v>
      </c>
      <c r="GM66">
        <v>0.10493806523239137</v>
      </c>
      <c r="GN66">
        <v>0.10493806523239137</v>
      </c>
      <c r="GO66">
        <v>0</v>
      </c>
      <c r="GP66">
        <v>0</v>
      </c>
      <c r="GQ66">
        <v>0.45369793096285549</v>
      </c>
      <c r="GR66">
        <v>0.45369793096285549</v>
      </c>
      <c r="GS66">
        <v>0</v>
      </c>
      <c r="GT66">
        <v>0.28114244427265839</v>
      </c>
      <c r="GU66"/>
      <c r="GV66"/>
      <c r="GW66"/>
      <c r="GX66"/>
      <c r="GY66"/>
      <c r="GZ66"/>
      <c r="HA66"/>
      <c r="HB66"/>
      <c r="HC66"/>
    </row>
    <row r="67" spans="1:211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3.1072916666666672</v>
      </c>
      <c r="AO67">
        <v>0.43489164561498439</v>
      </c>
      <c r="AP67">
        <v>16.667478846125409</v>
      </c>
      <c r="AQ67">
        <v>3.489423476711111</v>
      </c>
      <c r="AR67">
        <v>0.4541447656278994</v>
      </c>
      <c r="AS67">
        <v>2.2005106214902064</v>
      </c>
      <c r="AT67" t="e">
        <v>#DIV/0!</v>
      </c>
      <c r="AU67" t="e">
        <v>#DIV/0!</v>
      </c>
      <c r="AV67"/>
      <c r="AW67"/>
      <c r="FY67" s="211">
        <v>62</v>
      </c>
      <c r="FZ67">
        <v>0.95908040641755177</v>
      </c>
      <c r="GA67">
        <v>0.17450094823695328</v>
      </c>
      <c r="GB67">
        <v>0.14202990935487192</v>
      </c>
      <c r="GC67">
        <v>0.11377737556984255</v>
      </c>
      <c r="GD67">
        <v>2.6724553773673727E-2</v>
      </c>
      <c r="GE67">
        <v>0</v>
      </c>
      <c r="GF67">
        <v>0.33021050058332063</v>
      </c>
      <c r="GG67">
        <v>0.29759236750664797</v>
      </c>
      <c r="GH67">
        <v>0</v>
      </c>
      <c r="GI67">
        <v>0.25652062574004142</v>
      </c>
      <c r="GJ67"/>
      <c r="GK67">
        <v>0.9602074422747725</v>
      </c>
      <c r="GL67">
        <v>0.14748101845849892</v>
      </c>
      <c r="GM67">
        <v>0.23585576644039991</v>
      </c>
      <c r="GN67">
        <v>0.34079383167279126</v>
      </c>
      <c r="GO67">
        <v>0.10493806523239137</v>
      </c>
      <c r="GP67">
        <v>0</v>
      </c>
      <c r="GQ67">
        <v>0.45369793096285549</v>
      </c>
      <c r="GR67">
        <v>0.45369793096285549</v>
      </c>
      <c r="GS67">
        <v>0</v>
      </c>
      <c r="GT67">
        <v>0.35093984098208392</v>
      </c>
      <c r="GU67"/>
      <c r="GV67"/>
      <c r="GW67"/>
      <c r="GX67"/>
      <c r="GY67"/>
      <c r="GZ67"/>
      <c r="HA67"/>
      <c r="HB67"/>
      <c r="HC67"/>
    </row>
    <row r="68" spans="1:211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4.5885416666666661</v>
      </c>
      <c r="AO68">
        <v>0.47886716671586227</v>
      </c>
      <c r="AP68">
        <v>19.340312818430405</v>
      </c>
      <c r="AQ68">
        <v>3.1365423123535625</v>
      </c>
      <c r="AR68">
        <v>0.49917165524167861</v>
      </c>
      <c r="AS68">
        <v>2.81109025597332</v>
      </c>
      <c r="AT68" t="e">
        <v>#DIV/0!</v>
      </c>
      <c r="AU68" t="e">
        <v>#DIV/0!</v>
      </c>
      <c r="AV68"/>
      <c r="AW68"/>
      <c r="FY68" s="211">
        <v>63</v>
      </c>
      <c r="FZ68">
        <v>0.82411346664441065</v>
      </c>
      <c r="GA68">
        <v>8.725047411847664E-2</v>
      </c>
      <c r="GB68">
        <v>7.9203986612074825E-2</v>
      </c>
      <c r="GC68">
        <v>0.11377737556984255</v>
      </c>
      <c r="GD68">
        <v>5.3449107547347455E-2</v>
      </c>
      <c r="GE68">
        <v>0</v>
      </c>
      <c r="GF68">
        <v>0.33021050058332063</v>
      </c>
      <c r="GG68">
        <v>0.29759236750664797</v>
      </c>
      <c r="GH68">
        <v>0</v>
      </c>
      <c r="GI68">
        <v>0.2363503234249052</v>
      </c>
      <c r="GJ68"/>
      <c r="GK68">
        <v>0.83081057401563785</v>
      </c>
      <c r="GL68">
        <v>7.3740509229249462E-2</v>
      </c>
      <c r="GM68">
        <v>0.13091770120800852</v>
      </c>
      <c r="GN68">
        <v>0.34079383167279126</v>
      </c>
      <c r="GO68">
        <v>0.20987613046478273</v>
      </c>
      <c r="GP68">
        <v>0</v>
      </c>
      <c r="GQ68">
        <v>0.45369793096285549</v>
      </c>
      <c r="GR68">
        <v>0.45369793096285549</v>
      </c>
      <c r="GS68">
        <v>0</v>
      </c>
      <c r="GT68">
        <v>0.3250604673302569</v>
      </c>
      <c r="GU68"/>
      <c r="GV68"/>
      <c r="GW68"/>
      <c r="GX68"/>
      <c r="GY68"/>
      <c r="GZ68"/>
      <c r="HA68"/>
      <c r="HB68"/>
      <c r="HC68"/>
    </row>
    <row r="69" spans="1:211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2.6718749999999996</v>
      </c>
      <c r="AO69">
        <v>0.16193520856860361</v>
      </c>
      <c r="AP69">
        <v>2.0712448178887963</v>
      </c>
      <c r="AQ69">
        <v>1.3046291531020133</v>
      </c>
      <c r="AR69">
        <v>0.20600255013118954</v>
      </c>
      <c r="AS69">
        <v>1.4260906894693248</v>
      </c>
      <c r="AT69" t="e">
        <v>#DIV/0!</v>
      </c>
      <c r="AU69" t="e">
        <v>#DIV/0!</v>
      </c>
      <c r="AV69"/>
      <c r="AW69"/>
      <c r="FY69" s="211">
        <v>64</v>
      </c>
      <c r="FZ69">
        <v>1.1686512166028795</v>
      </c>
      <c r="GA69">
        <v>0.56185112583616514</v>
      </c>
      <c r="GB69">
        <v>7.9203986612074825E-2</v>
      </c>
      <c r="GC69">
        <v>7.8958100610881349E-2</v>
      </c>
      <c r="GD69">
        <v>2.6724553773673727E-2</v>
      </c>
      <c r="GE69">
        <v>0</v>
      </c>
      <c r="GF69">
        <v>0</v>
      </c>
      <c r="GG69">
        <v>0</v>
      </c>
      <c r="GH69">
        <v>0</v>
      </c>
      <c r="GI69">
        <v>0.20800970668578608</v>
      </c>
      <c r="GJ69"/>
      <c r="GK69">
        <v>1.1712595687612437</v>
      </c>
      <c r="GL69">
        <v>0.48079623401633714</v>
      </c>
      <c r="GM69">
        <v>0.13091770120800852</v>
      </c>
      <c r="GN69">
        <v>0.23585576644039991</v>
      </c>
      <c r="GO69">
        <v>0.10493806523239137</v>
      </c>
      <c r="GP69">
        <v>0</v>
      </c>
      <c r="GQ69">
        <v>0</v>
      </c>
      <c r="GR69">
        <v>0</v>
      </c>
      <c r="GS69">
        <v>0</v>
      </c>
      <c r="GT69">
        <v>0.28142306704032871</v>
      </c>
      <c r="GU69"/>
      <c r="GV69"/>
      <c r="GW69"/>
      <c r="GX69"/>
      <c r="GY69"/>
      <c r="GZ69"/>
      <c r="HA69"/>
      <c r="HB69"/>
      <c r="HC69"/>
    </row>
    <row r="70" spans="1:211" s="7" customFormat="1">
      <c r="A70" s="4"/>
      <c r="B70" s="66"/>
      <c r="C70" s="71">
        <f t="shared" ref="C70:C79" si="38">C4</f>
        <v>39646</v>
      </c>
      <c r="D70" s="72">
        <f t="shared" ref="D70:D75" si="39">SUM(G70:AK70)</f>
        <v>46.875</v>
      </c>
      <c r="E70" s="64"/>
      <c r="F70" s="64"/>
      <c r="G70" s="18">
        <f>AVERAGE(E228:E237)</f>
        <v>0</v>
      </c>
      <c r="H70" s="18">
        <f t="shared" ref="H70:AK70" si="40">AVERAGE(F228:F237)</f>
        <v>0</v>
      </c>
      <c r="I70" s="18">
        <f t="shared" si="40"/>
        <v>24.999999999999996</v>
      </c>
      <c r="J70" s="18">
        <f t="shared" si="40"/>
        <v>18.75</v>
      </c>
      <c r="K70" s="18">
        <f t="shared" si="40"/>
        <v>3.125</v>
      </c>
      <c r="L70" s="18">
        <f t="shared" si="40"/>
        <v>0</v>
      </c>
      <c r="M70" s="18">
        <f t="shared" si="40"/>
        <v>0</v>
      </c>
      <c r="N70" s="18">
        <f t="shared" si="40"/>
        <v>0</v>
      </c>
      <c r="O70" s="18">
        <f t="shared" si="40"/>
        <v>0</v>
      </c>
      <c r="P70" s="18">
        <f t="shared" si="40"/>
        <v>0</v>
      </c>
      <c r="Q70" s="18">
        <f t="shared" si="40"/>
        <v>0</v>
      </c>
      <c r="R70" s="18">
        <f t="shared" si="40"/>
        <v>0</v>
      </c>
      <c r="S70" s="18">
        <f t="shared" si="40"/>
        <v>0</v>
      </c>
      <c r="T70" s="18">
        <f t="shared" si="40"/>
        <v>0</v>
      </c>
      <c r="U70" s="18">
        <f t="shared" si="40"/>
        <v>0</v>
      </c>
      <c r="V70" s="18">
        <f t="shared" si="40"/>
        <v>0</v>
      </c>
      <c r="W70" s="18">
        <f t="shared" si="40"/>
        <v>0</v>
      </c>
      <c r="X70" s="18">
        <f t="shared" si="40"/>
        <v>0</v>
      </c>
      <c r="Y70" s="18">
        <f t="shared" si="40"/>
        <v>0</v>
      </c>
      <c r="Z70" s="18">
        <f t="shared" si="40"/>
        <v>0</v>
      </c>
      <c r="AA70" s="18">
        <f t="shared" si="40"/>
        <v>0</v>
      </c>
      <c r="AB70" s="18">
        <f t="shared" si="40"/>
        <v>0</v>
      </c>
      <c r="AC70" s="18">
        <f t="shared" si="40"/>
        <v>0</v>
      </c>
      <c r="AD70" s="18">
        <f t="shared" si="40"/>
        <v>0</v>
      </c>
      <c r="AE70" s="18">
        <f t="shared" si="40"/>
        <v>0</v>
      </c>
      <c r="AF70" s="18">
        <f t="shared" si="40"/>
        <v>0</v>
      </c>
      <c r="AG70" s="18">
        <f t="shared" si="40"/>
        <v>0</v>
      </c>
      <c r="AH70" s="18">
        <f t="shared" si="40"/>
        <v>0</v>
      </c>
      <c r="AI70" s="18">
        <f t="shared" si="40"/>
        <v>0</v>
      </c>
      <c r="AJ70" s="18">
        <f t="shared" si="40"/>
        <v>0</v>
      </c>
      <c r="AK70" s="18">
        <f t="shared" si="40"/>
        <v>0</v>
      </c>
      <c r="AL70" s="2"/>
      <c r="AM70" s="43">
        <v>54</v>
      </c>
      <c r="AN70">
        <v>4.03125</v>
      </c>
      <c r="AO70">
        <v>0.27261888155344211</v>
      </c>
      <c r="AP70">
        <v>7.7680425892472922</v>
      </c>
      <c r="AQ70">
        <v>2.0016326118593311</v>
      </c>
      <c r="AR70">
        <v>0.3250164878352495</v>
      </c>
      <c r="AS70">
        <v>2.1841050375535631</v>
      </c>
      <c r="AT70" t="e">
        <v>#DIV/0!</v>
      </c>
      <c r="AU70" t="e">
        <v>#DIV/0!</v>
      </c>
      <c r="AV70"/>
      <c r="AW70"/>
      <c r="FY70" s="211">
        <v>65</v>
      </c>
      <c r="FZ70">
        <v>1.5272600532010294</v>
      </c>
      <c r="GA70">
        <v>0.86195082931690026</v>
      </c>
      <c r="GB70">
        <v>0.14202990935487192</v>
      </c>
      <c r="GC70">
        <v>0.14859665052880375</v>
      </c>
      <c r="GD70">
        <v>5.3449107547347455E-2</v>
      </c>
      <c r="GE70">
        <v>0</v>
      </c>
      <c r="GF70">
        <v>0.33021050058332063</v>
      </c>
      <c r="GG70">
        <v>0.29759236750664797</v>
      </c>
      <c r="GH70">
        <v>0</v>
      </c>
      <c r="GI70">
        <v>0.35594299754535902</v>
      </c>
      <c r="GJ70"/>
      <c r="GK70">
        <v>1.5369964105150453</v>
      </c>
      <c r="GL70">
        <v>0.7403709403449259</v>
      </c>
      <c r="GM70">
        <v>0.23585576644039991</v>
      </c>
      <c r="GN70">
        <v>0.44573189690518267</v>
      </c>
      <c r="GO70">
        <v>0.20987613046478273</v>
      </c>
      <c r="GP70">
        <v>0</v>
      </c>
      <c r="GQ70">
        <v>0.45369793096285549</v>
      </c>
      <c r="GR70">
        <v>0.45369793096285549</v>
      </c>
      <c r="GS70">
        <v>0</v>
      </c>
      <c r="GT70">
        <v>0.48728524767661668</v>
      </c>
      <c r="GU70"/>
      <c r="GV70"/>
      <c r="GW70"/>
      <c r="GX70"/>
      <c r="GY70"/>
      <c r="GZ70"/>
      <c r="HA70"/>
      <c r="HB70"/>
      <c r="HC70"/>
    </row>
    <row r="71" spans="1:211" s="7" customFormat="1">
      <c r="A71" s="4"/>
      <c r="B71" s="66"/>
      <c r="C71" s="71">
        <f t="shared" si="38"/>
        <v>39673</v>
      </c>
      <c r="D71" s="72">
        <f t="shared" si="39"/>
        <v>6.0416666666666661</v>
      </c>
      <c r="E71" s="64"/>
      <c r="F71" s="64"/>
      <c r="G71" s="18">
        <f>AVERAGE(E238:E247)</f>
        <v>0</v>
      </c>
      <c r="H71" s="18">
        <f t="shared" ref="H71:AK71" si="41">AVERAGE(F238:F247)</f>
        <v>0</v>
      </c>
      <c r="I71" s="18">
        <f t="shared" si="41"/>
        <v>0</v>
      </c>
      <c r="J71" s="18">
        <f t="shared" si="41"/>
        <v>2.083333333333333</v>
      </c>
      <c r="K71" s="18">
        <f t="shared" si="41"/>
        <v>2.083333333333333</v>
      </c>
      <c r="L71" s="18">
        <f t="shared" si="41"/>
        <v>0</v>
      </c>
      <c r="M71" s="18">
        <f t="shared" si="41"/>
        <v>1.875</v>
      </c>
      <c r="N71" s="18">
        <f t="shared" si="41"/>
        <v>0</v>
      </c>
      <c r="O71" s="18">
        <f t="shared" si="41"/>
        <v>0</v>
      </c>
      <c r="P71" s="18">
        <f t="shared" si="41"/>
        <v>0</v>
      </c>
      <c r="Q71" s="18">
        <f t="shared" si="41"/>
        <v>0</v>
      </c>
      <c r="R71" s="18">
        <f t="shared" si="41"/>
        <v>0</v>
      </c>
      <c r="S71" s="18">
        <f t="shared" si="41"/>
        <v>0</v>
      </c>
      <c r="T71" s="18">
        <f t="shared" si="41"/>
        <v>0</v>
      </c>
      <c r="U71" s="18">
        <f t="shared" si="41"/>
        <v>0</v>
      </c>
      <c r="V71" s="18">
        <f t="shared" si="41"/>
        <v>0</v>
      </c>
      <c r="W71" s="18">
        <f t="shared" si="41"/>
        <v>0</v>
      </c>
      <c r="X71" s="18">
        <f t="shared" si="41"/>
        <v>0</v>
      </c>
      <c r="Y71" s="18">
        <f t="shared" si="41"/>
        <v>0</v>
      </c>
      <c r="Z71" s="18">
        <f t="shared" si="41"/>
        <v>0</v>
      </c>
      <c r="AA71" s="18">
        <f t="shared" si="41"/>
        <v>0</v>
      </c>
      <c r="AB71" s="18">
        <f t="shared" si="41"/>
        <v>0</v>
      </c>
      <c r="AC71" s="18">
        <f t="shared" si="41"/>
        <v>0</v>
      </c>
      <c r="AD71" s="18">
        <f t="shared" si="41"/>
        <v>0</v>
      </c>
      <c r="AE71" s="18">
        <f t="shared" si="41"/>
        <v>0</v>
      </c>
      <c r="AF71" s="18">
        <f t="shared" si="41"/>
        <v>0</v>
      </c>
      <c r="AG71" s="18">
        <f t="shared" si="41"/>
        <v>0</v>
      </c>
      <c r="AH71" s="18">
        <f t="shared" si="41"/>
        <v>0</v>
      </c>
      <c r="AI71" s="18">
        <f t="shared" si="41"/>
        <v>0</v>
      </c>
      <c r="AJ71" s="18">
        <f t="shared" si="41"/>
        <v>0</v>
      </c>
      <c r="AK71" s="18">
        <f t="shared" si="41"/>
        <v>0</v>
      </c>
      <c r="AL71" s="2"/>
      <c r="AM71" s="43">
        <v>55</v>
      </c>
      <c r="AN71">
        <v>1.8</v>
      </c>
      <c r="AO71">
        <v>0.25002051935097991</v>
      </c>
      <c r="AP71">
        <v>7.5233269143684218</v>
      </c>
      <c r="AQ71">
        <v>2.2102417913881003</v>
      </c>
      <c r="AR71">
        <v>0.27324192295997607</v>
      </c>
      <c r="AS71">
        <v>1.594859173166032</v>
      </c>
      <c r="AT71" t="e">
        <v>#DIV/0!</v>
      </c>
      <c r="AU71" t="e">
        <v>#DIV/0!</v>
      </c>
      <c r="AV71"/>
      <c r="AW71"/>
      <c r="FY71" s="211">
        <v>66</v>
      </c>
      <c r="FZ71">
        <v>1.9790236706142343</v>
      </c>
      <c r="GA71">
        <v>1.3365514810345887</v>
      </c>
      <c r="GB71">
        <v>7.9203986612074825E-2</v>
      </c>
      <c r="GC71">
        <v>4.4138825651920163E-2</v>
      </c>
      <c r="GD71">
        <v>0</v>
      </c>
      <c r="GE71">
        <v>0</v>
      </c>
      <c r="GF71">
        <v>0.33021050058332063</v>
      </c>
      <c r="GG71">
        <v>0.29759236750664797</v>
      </c>
      <c r="GH71">
        <v>0</v>
      </c>
      <c r="GI71">
        <v>0.37631579398288584</v>
      </c>
      <c r="GJ71"/>
      <c r="GK71">
        <v>1.9961505836625204</v>
      </c>
      <c r="GL71">
        <v>1.1474266651320135</v>
      </c>
      <c r="GM71">
        <v>0.13091770120800852</v>
      </c>
      <c r="GN71">
        <v>0.13091770120800852</v>
      </c>
      <c r="GO71">
        <v>0</v>
      </c>
      <c r="GP71">
        <v>0</v>
      </c>
      <c r="GQ71">
        <v>0.45369793096285549</v>
      </c>
      <c r="GR71">
        <v>0.45369793096285549</v>
      </c>
      <c r="GS71">
        <v>0</v>
      </c>
      <c r="GT71">
        <v>0.51615324316667688</v>
      </c>
      <c r="GU71"/>
      <c r="GV71"/>
      <c r="GW71"/>
      <c r="GX71"/>
      <c r="GY71"/>
      <c r="GZ71"/>
      <c r="HA71"/>
      <c r="HB71"/>
      <c r="HC71"/>
    </row>
    <row r="72" spans="1:211" s="7" customFormat="1">
      <c r="A72" s="4"/>
      <c r="B72" s="66"/>
      <c r="C72" s="71">
        <f t="shared" si="38"/>
        <v>39714</v>
      </c>
      <c r="D72" s="72">
        <f t="shared" si="39"/>
        <v>0</v>
      </c>
      <c r="E72" s="64"/>
      <c r="F72" s="64"/>
      <c r="G72" s="18">
        <f>AVERAGE(E248:E257)</f>
        <v>0</v>
      </c>
      <c r="H72" s="18">
        <f t="shared" ref="H72:AK72" si="42">AVERAGE(F248:F257)</f>
        <v>0</v>
      </c>
      <c r="I72" s="18">
        <f t="shared" si="42"/>
        <v>0</v>
      </c>
      <c r="J72" s="18">
        <f t="shared" si="42"/>
        <v>0</v>
      </c>
      <c r="K72" s="18">
        <f t="shared" si="42"/>
        <v>0</v>
      </c>
      <c r="L72" s="18">
        <f t="shared" si="42"/>
        <v>0</v>
      </c>
      <c r="M72" s="18">
        <f t="shared" si="42"/>
        <v>0</v>
      </c>
      <c r="N72" s="18">
        <f t="shared" si="42"/>
        <v>0</v>
      </c>
      <c r="O72" s="18">
        <f t="shared" si="42"/>
        <v>0</v>
      </c>
      <c r="P72" s="18">
        <f t="shared" si="42"/>
        <v>0</v>
      </c>
      <c r="Q72" s="18">
        <f t="shared" si="42"/>
        <v>0</v>
      </c>
      <c r="R72" s="18">
        <f t="shared" si="42"/>
        <v>0</v>
      </c>
      <c r="S72" s="18">
        <f t="shared" si="42"/>
        <v>0</v>
      </c>
      <c r="T72" s="18">
        <f t="shared" si="42"/>
        <v>0</v>
      </c>
      <c r="U72" s="18">
        <f t="shared" si="42"/>
        <v>0</v>
      </c>
      <c r="V72" s="18">
        <f t="shared" si="42"/>
        <v>0</v>
      </c>
      <c r="W72" s="18">
        <f t="shared" si="42"/>
        <v>0</v>
      </c>
      <c r="X72" s="18">
        <f t="shared" si="42"/>
        <v>0</v>
      </c>
      <c r="Y72" s="18">
        <f t="shared" si="42"/>
        <v>0</v>
      </c>
      <c r="Z72" s="18">
        <f t="shared" si="42"/>
        <v>0</v>
      </c>
      <c r="AA72" s="18">
        <f t="shared" si="42"/>
        <v>0</v>
      </c>
      <c r="AB72" s="18">
        <f t="shared" si="42"/>
        <v>0</v>
      </c>
      <c r="AC72" s="18">
        <f t="shared" si="42"/>
        <v>0</v>
      </c>
      <c r="AD72" s="18">
        <f t="shared" si="42"/>
        <v>0</v>
      </c>
      <c r="AE72" s="18">
        <f t="shared" si="42"/>
        <v>0</v>
      </c>
      <c r="AF72" s="18">
        <f t="shared" si="42"/>
        <v>0</v>
      </c>
      <c r="AG72" s="18">
        <f t="shared" si="42"/>
        <v>0</v>
      </c>
      <c r="AH72" s="18">
        <f t="shared" si="42"/>
        <v>0</v>
      </c>
      <c r="AI72" s="18">
        <f t="shared" si="42"/>
        <v>0</v>
      </c>
      <c r="AJ72" s="18">
        <f t="shared" si="42"/>
        <v>0</v>
      </c>
      <c r="AK72" s="18">
        <f t="shared" si="42"/>
        <v>0</v>
      </c>
      <c r="AL72" s="2"/>
      <c r="AM72" s="43">
        <v>56</v>
      </c>
      <c r="AN72">
        <v>2.9645833333333331</v>
      </c>
      <c r="AO72">
        <v>0.42819720423786239</v>
      </c>
      <c r="AP72">
        <v>11.203814141984326</v>
      </c>
      <c r="AQ72">
        <v>3.4723710474988194</v>
      </c>
      <c r="AR72">
        <v>0.44469181835687938</v>
      </c>
      <c r="AS72">
        <v>2.4639489090456417</v>
      </c>
      <c r="AT72" t="e">
        <v>#DIV/0!</v>
      </c>
      <c r="AU72" t="e">
        <v>#DIV/0!</v>
      </c>
      <c r="AV72"/>
      <c r="AW72"/>
      <c r="FY72" s="211">
        <v>67</v>
      </c>
      <c r="FZ72">
        <v>0.83688222573144033</v>
      </c>
      <c r="GA72">
        <v>0.47460065171768845</v>
      </c>
      <c r="GB72">
        <v>0.12565184548559416</v>
      </c>
      <c r="GC72">
        <v>0.13927709983584477</v>
      </c>
      <c r="GD72">
        <v>5.3449107547347455E-2</v>
      </c>
      <c r="GE72">
        <v>0</v>
      </c>
      <c r="GF72">
        <v>0.33021050058332063</v>
      </c>
      <c r="GG72">
        <v>0.29759236750664797</v>
      </c>
      <c r="GH72">
        <v>0</v>
      </c>
      <c r="GI72">
        <v>0.24977074040382607</v>
      </c>
      <c r="GJ72"/>
      <c r="GK72">
        <v>0.84300313821190176</v>
      </c>
      <c r="GL72">
        <v>0.40705572478708768</v>
      </c>
      <c r="GM72">
        <v>0.20987613046478273</v>
      </c>
      <c r="GN72">
        <v>0.41975226092956547</v>
      </c>
      <c r="GO72">
        <v>0.20987613046478273</v>
      </c>
      <c r="GP72">
        <v>0</v>
      </c>
      <c r="GQ72">
        <v>0.45369793096285549</v>
      </c>
      <c r="GR72">
        <v>0.45369793096285549</v>
      </c>
      <c r="GS72">
        <v>0</v>
      </c>
      <c r="GT72">
        <v>0.34329066602086455</v>
      </c>
      <c r="GU72"/>
      <c r="GV72"/>
      <c r="GW72"/>
      <c r="GX72"/>
      <c r="GY72"/>
      <c r="GZ72"/>
      <c r="HA72"/>
      <c r="HB72"/>
      <c r="HC72"/>
    </row>
    <row r="73" spans="1:211" s="7" customFormat="1">
      <c r="A73" s="4"/>
      <c r="B73" s="66"/>
      <c r="C73" s="71">
        <f t="shared" si="38"/>
        <v>39747</v>
      </c>
      <c r="D73" s="72">
        <f t="shared" si="39"/>
        <v>2.604166666666667</v>
      </c>
      <c r="E73" s="64"/>
      <c r="F73" s="64"/>
      <c r="G73" s="18">
        <f>AVERAGE(E258:E267)</f>
        <v>0</v>
      </c>
      <c r="H73" s="18">
        <f t="shared" ref="H73:AK73" si="43">AVERAGE(F258:F267)</f>
        <v>0</v>
      </c>
      <c r="I73" s="18">
        <f t="shared" si="43"/>
        <v>0</v>
      </c>
      <c r="J73" s="18">
        <f t="shared" si="43"/>
        <v>0</v>
      </c>
      <c r="K73" s="18">
        <f t="shared" si="43"/>
        <v>2.604166666666667</v>
      </c>
      <c r="L73" s="18">
        <f t="shared" si="43"/>
        <v>0</v>
      </c>
      <c r="M73" s="18">
        <f t="shared" si="43"/>
        <v>0</v>
      </c>
      <c r="N73" s="18">
        <f t="shared" si="43"/>
        <v>0</v>
      </c>
      <c r="O73" s="18">
        <f t="shared" si="43"/>
        <v>0</v>
      </c>
      <c r="P73" s="18">
        <f t="shared" si="43"/>
        <v>0</v>
      </c>
      <c r="Q73" s="18">
        <f t="shared" si="43"/>
        <v>0</v>
      </c>
      <c r="R73" s="18">
        <f t="shared" si="43"/>
        <v>0</v>
      </c>
      <c r="S73" s="18">
        <f t="shared" si="43"/>
        <v>0</v>
      </c>
      <c r="T73" s="18">
        <f t="shared" si="43"/>
        <v>0</v>
      </c>
      <c r="U73" s="18">
        <f t="shared" si="43"/>
        <v>0</v>
      </c>
      <c r="V73" s="18">
        <f t="shared" si="43"/>
        <v>0</v>
      </c>
      <c r="W73" s="18">
        <f t="shared" si="43"/>
        <v>0</v>
      </c>
      <c r="X73" s="18">
        <f t="shared" si="43"/>
        <v>0</v>
      </c>
      <c r="Y73" s="18">
        <f t="shared" si="43"/>
        <v>0</v>
      </c>
      <c r="Z73" s="18">
        <f t="shared" si="43"/>
        <v>0</v>
      </c>
      <c r="AA73" s="18">
        <f t="shared" si="43"/>
        <v>0</v>
      </c>
      <c r="AB73" s="18">
        <f t="shared" si="43"/>
        <v>0</v>
      </c>
      <c r="AC73" s="18">
        <f t="shared" si="43"/>
        <v>0</v>
      </c>
      <c r="AD73" s="18">
        <f t="shared" si="43"/>
        <v>0</v>
      </c>
      <c r="AE73" s="18">
        <f t="shared" si="43"/>
        <v>0</v>
      </c>
      <c r="AF73" s="18">
        <f t="shared" si="43"/>
        <v>0</v>
      </c>
      <c r="AG73" s="18">
        <f t="shared" si="43"/>
        <v>0</v>
      </c>
      <c r="AH73" s="18">
        <f t="shared" si="43"/>
        <v>0</v>
      </c>
      <c r="AI73" s="18">
        <f t="shared" si="43"/>
        <v>0</v>
      </c>
      <c r="AJ73" s="18">
        <f t="shared" si="43"/>
        <v>0</v>
      </c>
      <c r="AK73" s="18">
        <f t="shared" si="43"/>
        <v>0</v>
      </c>
      <c r="AL73" s="2"/>
      <c r="AM73" s="43">
        <v>57</v>
      </c>
      <c r="AN73">
        <v>2.4020833333333327</v>
      </c>
      <c r="AO73">
        <v>0.40862774730584961</v>
      </c>
      <c r="AP73">
        <v>11.690078775734637</v>
      </c>
      <c r="AQ73">
        <v>3.3617322642960819</v>
      </c>
      <c r="AR73">
        <v>0.43319594055525945</v>
      </c>
      <c r="AS73">
        <v>2.4429885538671483</v>
      </c>
      <c r="AT73" t="e">
        <v>#DIV/0!</v>
      </c>
      <c r="AU73" t="e">
        <v>#DIV/0!</v>
      </c>
      <c r="AV73"/>
      <c r="AW73"/>
      <c r="FY73" s="211">
        <v>68</v>
      </c>
      <c r="FZ73">
        <v>0.95161058105891283</v>
      </c>
      <c r="GA73">
        <v>0.38735017759921181</v>
      </c>
      <c r="GB73">
        <v>0.30043788257902154</v>
      </c>
      <c r="GC73">
        <v>0.20205502687368287</v>
      </c>
      <c r="GD73">
        <v>2.6724553773673727E-2</v>
      </c>
      <c r="GE73">
        <v>0</v>
      </c>
      <c r="GF73">
        <v>0</v>
      </c>
      <c r="GG73">
        <v>0</v>
      </c>
      <c r="GH73">
        <v>0</v>
      </c>
      <c r="GI73">
        <v>0.23008626888346764</v>
      </c>
      <c r="GJ73"/>
      <c r="GK73">
        <v>0.95482216514691576</v>
      </c>
      <c r="GL73">
        <v>0.33331521555783822</v>
      </c>
      <c r="GM73">
        <v>0.4976911688564169</v>
      </c>
      <c r="GN73">
        <v>0.60262923408880831</v>
      </c>
      <c r="GO73">
        <v>0.10493806523239137</v>
      </c>
      <c r="GP73">
        <v>0</v>
      </c>
      <c r="GQ73">
        <v>0</v>
      </c>
      <c r="GR73">
        <v>0</v>
      </c>
      <c r="GS73">
        <v>0</v>
      </c>
      <c r="GT73">
        <v>0.31149027984714484</v>
      </c>
      <c r="GU73"/>
      <c r="GV73"/>
      <c r="GW73"/>
      <c r="GX73"/>
      <c r="GY73"/>
      <c r="GZ73"/>
      <c r="HA73"/>
      <c r="HB73"/>
      <c r="HC73"/>
    </row>
    <row r="74" spans="1:211" s="7" customFormat="1">
      <c r="A74" s="4"/>
      <c r="B74" s="66"/>
      <c r="C74" s="71">
        <f t="shared" si="38"/>
        <v>39775</v>
      </c>
      <c r="D74" s="72">
        <f t="shared" si="39"/>
        <v>1.0416666666666665</v>
      </c>
      <c r="E74" s="64"/>
      <c r="F74" s="64"/>
      <c r="G74" s="18">
        <f>AVERAGE(E268:E277)</f>
        <v>0</v>
      </c>
      <c r="H74" s="18">
        <f t="shared" ref="H74:AK74" si="44">AVERAGE(F268:F277)</f>
        <v>0</v>
      </c>
      <c r="I74" s="18">
        <f t="shared" si="44"/>
        <v>0</v>
      </c>
      <c r="J74" s="18">
        <f t="shared" si="44"/>
        <v>0</v>
      </c>
      <c r="K74" s="18">
        <f t="shared" si="44"/>
        <v>0</v>
      </c>
      <c r="L74" s="18">
        <f t="shared" si="44"/>
        <v>1.0416666666666665</v>
      </c>
      <c r="M74" s="18">
        <f t="shared" si="44"/>
        <v>0</v>
      </c>
      <c r="N74" s="18">
        <f t="shared" si="44"/>
        <v>0</v>
      </c>
      <c r="O74" s="18">
        <f t="shared" si="44"/>
        <v>0</v>
      </c>
      <c r="P74" s="18">
        <f t="shared" si="44"/>
        <v>0</v>
      </c>
      <c r="Q74" s="18">
        <f t="shared" si="44"/>
        <v>0</v>
      </c>
      <c r="R74" s="18">
        <f t="shared" si="44"/>
        <v>0</v>
      </c>
      <c r="S74" s="18">
        <f t="shared" si="44"/>
        <v>0</v>
      </c>
      <c r="T74" s="18">
        <f t="shared" si="44"/>
        <v>0</v>
      </c>
      <c r="U74" s="18">
        <f t="shared" si="44"/>
        <v>0</v>
      </c>
      <c r="V74" s="18">
        <f t="shared" si="44"/>
        <v>0</v>
      </c>
      <c r="W74" s="18">
        <f t="shared" si="44"/>
        <v>0</v>
      </c>
      <c r="X74" s="18">
        <f t="shared" si="44"/>
        <v>0</v>
      </c>
      <c r="Y74" s="18">
        <f t="shared" si="44"/>
        <v>0</v>
      </c>
      <c r="Z74" s="18">
        <f t="shared" si="44"/>
        <v>0</v>
      </c>
      <c r="AA74" s="18">
        <f t="shared" si="44"/>
        <v>0</v>
      </c>
      <c r="AB74" s="18">
        <f t="shared" si="44"/>
        <v>0</v>
      </c>
      <c r="AC74" s="18">
        <f t="shared" si="44"/>
        <v>0</v>
      </c>
      <c r="AD74" s="18">
        <f t="shared" si="44"/>
        <v>0</v>
      </c>
      <c r="AE74" s="18">
        <f t="shared" si="44"/>
        <v>0</v>
      </c>
      <c r="AF74" s="18">
        <f t="shared" si="44"/>
        <v>0</v>
      </c>
      <c r="AG74" s="18">
        <f t="shared" si="44"/>
        <v>0</v>
      </c>
      <c r="AH74" s="18">
        <f t="shared" si="44"/>
        <v>0</v>
      </c>
      <c r="AI74" s="18">
        <f t="shared" si="44"/>
        <v>0</v>
      </c>
      <c r="AJ74" s="18">
        <f t="shared" si="44"/>
        <v>0</v>
      </c>
      <c r="AK74" s="18">
        <f t="shared" si="44"/>
        <v>0</v>
      </c>
      <c r="AL74" s="2"/>
      <c r="AM74" s="43">
        <v>58</v>
      </c>
      <c r="AN74">
        <v>3.0406250000000004</v>
      </c>
      <c r="AO74">
        <v>0.56124534525566228</v>
      </c>
      <c r="AP74">
        <v>17.081881031061911</v>
      </c>
      <c r="AQ74">
        <v>4.7750489311851823</v>
      </c>
      <c r="AR74">
        <v>0.56591927804795816</v>
      </c>
      <c r="AS74">
        <v>2.7917479897652533</v>
      </c>
      <c r="AT74" t="e">
        <v>#DIV/0!</v>
      </c>
      <c r="AU74" t="e">
        <v>#DIV/0!</v>
      </c>
      <c r="AV74"/>
      <c r="AW74"/>
      <c r="FY74" s="211">
        <v>69</v>
      </c>
      <c r="FZ74">
        <v>1.204411133856194</v>
      </c>
      <c r="GA74">
        <v>0.77470035519842362</v>
      </c>
      <c r="GB74">
        <v>0.22123389596694673</v>
      </c>
      <c r="GC74">
        <v>0.1579162012217627</v>
      </c>
      <c r="GD74">
        <v>2.6724553773673727E-2</v>
      </c>
      <c r="GE74">
        <v>0</v>
      </c>
      <c r="GF74">
        <v>0.66042100116664126</v>
      </c>
      <c r="GG74">
        <v>0.59518473501329594</v>
      </c>
      <c r="GH74">
        <v>0</v>
      </c>
      <c r="GI74">
        <v>0.37600690524245051</v>
      </c>
      <c r="GJ74"/>
      <c r="GK74">
        <v>1.2175883235838654</v>
      </c>
      <c r="GL74">
        <v>0.66663043111567644</v>
      </c>
      <c r="GM74">
        <v>0.3667734676484084</v>
      </c>
      <c r="GN74">
        <v>0.47171153288079981</v>
      </c>
      <c r="GO74">
        <v>0.10493806523239137</v>
      </c>
      <c r="GP74">
        <v>0</v>
      </c>
      <c r="GQ74">
        <v>0.90739586192571098</v>
      </c>
      <c r="GR74">
        <v>0.90739586192571098</v>
      </c>
      <c r="GS74">
        <v>0</v>
      </c>
      <c r="GT74">
        <v>0.51933914367807521</v>
      </c>
      <c r="GU74"/>
      <c r="GV74"/>
      <c r="GW74"/>
      <c r="GX74"/>
      <c r="GY74"/>
      <c r="GZ74"/>
      <c r="HA74"/>
      <c r="HB74"/>
      <c r="HC74"/>
    </row>
    <row r="75" spans="1:211" s="7" customFormat="1">
      <c r="A75" s="4"/>
      <c r="B75" s="66"/>
      <c r="C75" s="71">
        <f t="shared" si="38"/>
        <v>39799</v>
      </c>
      <c r="D75" s="72">
        <f t="shared" si="39"/>
        <v>0</v>
      </c>
      <c r="E75" s="64"/>
      <c r="F75" s="64"/>
      <c r="G75" s="18">
        <f>AVERAGE(E278:E287)</f>
        <v>0</v>
      </c>
      <c r="H75" s="18">
        <f t="shared" ref="H75:AK75" si="45">AVERAGE(F278:F287)</f>
        <v>0</v>
      </c>
      <c r="I75" s="18">
        <f t="shared" si="45"/>
        <v>0</v>
      </c>
      <c r="J75" s="18">
        <f t="shared" si="45"/>
        <v>0</v>
      </c>
      <c r="K75" s="18">
        <f t="shared" si="45"/>
        <v>0</v>
      </c>
      <c r="L75" s="18">
        <f t="shared" si="45"/>
        <v>0</v>
      </c>
      <c r="M75" s="18">
        <f t="shared" si="45"/>
        <v>0</v>
      </c>
      <c r="N75" s="18">
        <f t="shared" si="45"/>
        <v>0</v>
      </c>
      <c r="O75" s="18">
        <f t="shared" si="45"/>
        <v>0</v>
      </c>
      <c r="P75" s="18">
        <f t="shared" si="45"/>
        <v>0</v>
      </c>
      <c r="Q75" s="18">
        <f t="shared" si="45"/>
        <v>0</v>
      </c>
      <c r="R75" s="18">
        <f t="shared" si="45"/>
        <v>0</v>
      </c>
      <c r="S75" s="18">
        <f t="shared" si="45"/>
        <v>0</v>
      </c>
      <c r="T75" s="18">
        <f t="shared" si="45"/>
        <v>0</v>
      </c>
      <c r="U75" s="18">
        <f t="shared" si="45"/>
        <v>0</v>
      </c>
      <c r="V75" s="18">
        <f t="shared" si="45"/>
        <v>0</v>
      </c>
      <c r="W75" s="18">
        <f t="shared" si="45"/>
        <v>0</v>
      </c>
      <c r="X75" s="18">
        <f t="shared" si="45"/>
        <v>0</v>
      </c>
      <c r="Y75" s="18">
        <f t="shared" si="45"/>
        <v>0</v>
      </c>
      <c r="Z75" s="18">
        <f t="shared" si="45"/>
        <v>0</v>
      </c>
      <c r="AA75" s="18">
        <f t="shared" si="45"/>
        <v>0</v>
      </c>
      <c r="AB75" s="18">
        <f t="shared" si="45"/>
        <v>0</v>
      </c>
      <c r="AC75" s="18">
        <f t="shared" si="45"/>
        <v>0</v>
      </c>
      <c r="AD75" s="18">
        <f t="shared" si="45"/>
        <v>0</v>
      </c>
      <c r="AE75" s="18">
        <f t="shared" si="45"/>
        <v>0</v>
      </c>
      <c r="AF75" s="18">
        <f t="shared" si="45"/>
        <v>0</v>
      </c>
      <c r="AG75" s="18">
        <f t="shared" si="45"/>
        <v>0</v>
      </c>
      <c r="AH75" s="18">
        <f t="shared" si="45"/>
        <v>0</v>
      </c>
      <c r="AI75" s="18">
        <f t="shared" si="45"/>
        <v>0</v>
      </c>
      <c r="AJ75" s="18">
        <f t="shared" si="45"/>
        <v>0</v>
      </c>
      <c r="AK75" s="18">
        <f t="shared" si="45"/>
        <v>0</v>
      </c>
      <c r="AL75" s="2"/>
      <c r="AM75" s="43">
        <v>59</v>
      </c>
      <c r="AN75">
        <v>2.4677083333333329</v>
      </c>
      <c r="AO75">
        <v>0.34196517217144207</v>
      </c>
      <c r="AP75">
        <v>4.6796095556774375</v>
      </c>
      <c r="AQ75">
        <v>3.3274575303364022</v>
      </c>
      <c r="AR75">
        <v>0.38146472897214939</v>
      </c>
      <c r="AS75">
        <v>2.1319815076535917</v>
      </c>
      <c r="AT75" t="e">
        <v>#DIV/0!</v>
      </c>
      <c r="AU75" t="e">
        <v>#DIV/0!</v>
      </c>
      <c r="AV75"/>
      <c r="AW75"/>
      <c r="FY75" s="211">
        <v>70</v>
      </c>
      <c r="FZ75">
        <v>0.87780960083203063</v>
      </c>
      <c r="GA75">
        <v>0.47460065171768845</v>
      </c>
      <c r="GB75">
        <v>7.9203986612074825E-2</v>
      </c>
      <c r="GC75">
        <v>7.8958100610881349E-2</v>
      </c>
      <c r="GD75">
        <v>2.6724553773673727E-2</v>
      </c>
      <c r="GE75">
        <v>0</v>
      </c>
      <c r="GF75">
        <v>0.66042100116664126</v>
      </c>
      <c r="GG75">
        <v>0.59518473501329594</v>
      </c>
      <c r="GH75">
        <v>0</v>
      </c>
      <c r="GI75">
        <v>0.29302705028720816</v>
      </c>
      <c r="GJ75"/>
      <c r="GK75">
        <v>0.88108165591766618</v>
      </c>
      <c r="GL75">
        <v>0.40705572478708768</v>
      </c>
      <c r="GM75">
        <v>0.13091770120800852</v>
      </c>
      <c r="GN75">
        <v>0.23585576644039991</v>
      </c>
      <c r="GO75">
        <v>0.10493806523239137</v>
      </c>
      <c r="GP75">
        <v>0</v>
      </c>
      <c r="GQ75">
        <v>0.90739586192571098</v>
      </c>
      <c r="GR75">
        <v>0.90739586192571098</v>
      </c>
      <c r="GS75">
        <v>0</v>
      </c>
      <c r="GT75">
        <v>0.40486665685675544</v>
      </c>
      <c r="GU75"/>
      <c r="GV75"/>
      <c r="GW75"/>
      <c r="GX75"/>
      <c r="GY75"/>
      <c r="GZ75"/>
      <c r="HA75"/>
      <c r="HB75"/>
      <c r="HC75"/>
    </row>
    <row r="76" spans="1:211" s="7" customFormat="1">
      <c r="A76" s="4"/>
      <c r="B76" s="66"/>
      <c r="C76" s="71">
        <f t="shared" si="38"/>
        <v>39847</v>
      </c>
      <c r="D76" s="72">
        <f>SUM(G76:AK76)</f>
        <v>0</v>
      </c>
      <c r="E76" s="64"/>
      <c r="F76" s="64"/>
      <c r="G76" s="18">
        <f>AVERAGE(E288:E297)</f>
        <v>0</v>
      </c>
      <c r="H76" s="18">
        <f t="shared" ref="H76:AK76" si="46">AVERAGE(F288:F297)</f>
        <v>0</v>
      </c>
      <c r="I76" s="18">
        <f t="shared" si="46"/>
        <v>0</v>
      </c>
      <c r="J76" s="18">
        <f t="shared" si="46"/>
        <v>0</v>
      </c>
      <c r="K76" s="18">
        <f t="shared" si="46"/>
        <v>0</v>
      </c>
      <c r="L76" s="18">
        <f t="shared" si="46"/>
        <v>0</v>
      </c>
      <c r="M76" s="18">
        <f t="shared" si="46"/>
        <v>0</v>
      </c>
      <c r="N76" s="18">
        <f t="shared" si="46"/>
        <v>0</v>
      </c>
      <c r="O76" s="18">
        <f t="shared" si="46"/>
        <v>0</v>
      </c>
      <c r="P76" s="18">
        <f t="shared" si="46"/>
        <v>0</v>
      </c>
      <c r="Q76" s="18">
        <f t="shared" si="46"/>
        <v>0</v>
      </c>
      <c r="R76" s="18">
        <f t="shared" si="46"/>
        <v>0</v>
      </c>
      <c r="S76" s="18">
        <f t="shared" si="46"/>
        <v>0</v>
      </c>
      <c r="T76" s="18">
        <f t="shared" si="46"/>
        <v>0</v>
      </c>
      <c r="U76" s="18">
        <f t="shared" si="46"/>
        <v>0</v>
      </c>
      <c r="V76" s="18">
        <f t="shared" si="46"/>
        <v>0</v>
      </c>
      <c r="W76" s="18">
        <f t="shared" si="46"/>
        <v>0</v>
      </c>
      <c r="X76" s="18">
        <f t="shared" si="46"/>
        <v>0</v>
      </c>
      <c r="Y76" s="18">
        <f t="shared" si="46"/>
        <v>0</v>
      </c>
      <c r="Z76" s="18">
        <f t="shared" si="46"/>
        <v>0</v>
      </c>
      <c r="AA76" s="18">
        <f t="shared" si="46"/>
        <v>0</v>
      </c>
      <c r="AB76" s="18">
        <f t="shared" si="46"/>
        <v>0</v>
      </c>
      <c r="AC76" s="18">
        <f t="shared" si="46"/>
        <v>0</v>
      </c>
      <c r="AD76" s="18">
        <f t="shared" si="46"/>
        <v>0</v>
      </c>
      <c r="AE76" s="18">
        <f t="shared" si="46"/>
        <v>0</v>
      </c>
      <c r="AF76" s="18">
        <f t="shared" si="46"/>
        <v>0</v>
      </c>
      <c r="AG76" s="18">
        <f t="shared" si="46"/>
        <v>0</v>
      </c>
      <c r="AH76" s="18">
        <f t="shared" si="46"/>
        <v>0</v>
      </c>
      <c r="AI76" s="18">
        <f t="shared" si="46"/>
        <v>0</v>
      </c>
      <c r="AJ76" s="18">
        <f t="shared" si="46"/>
        <v>0</v>
      </c>
      <c r="AK76" s="18">
        <f t="shared" si="46"/>
        <v>0</v>
      </c>
      <c r="AL76" s="2"/>
      <c r="AM76" s="43">
        <v>60</v>
      </c>
      <c r="AN76">
        <v>2.2687499999999998</v>
      </c>
      <c r="AO76">
        <v>0.27505321884494993</v>
      </c>
      <c r="AP76">
        <v>5.1442047771780492</v>
      </c>
      <c r="AQ76">
        <v>2.2780581676561948</v>
      </c>
      <c r="AR76">
        <v>0.34174058420720882</v>
      </c>
      <c r="AS76">
        <v>2.1279811261385659</v>
      </c>
      <c r="AT76" t="e">
        <v>#DIV/0!</v>
      </c>
      <c r="AU76" t="e">
        <v>#DIV/0!</v>
      </c>
      <c r="AV76"/>
      <c r="AW76"/>
      <c r="FY76" s="211">
        <v>71</v>
      </c>
      <c r="FZ76">
        <v>0.34073102901963476</v>
      </c>
      <c r="GA76">
        <v>0</v>
      </c>
      <c r="GB76">
        <v>7.9203986612074825E-2</v>
      </c>
      <c r="GC76">
        <v>0.14859665052880378</v>
      </c>
      <c r="GD76">
        <v>8.0173661321021189E-2</v>
      </c>
      <c r="GE76">
        <v>0</v>
      </c>
      <c r="GF76">
        <v>0</v>
      </c>
      <c r="GG76">
        <v>0</v>
      </c>
      <c r="GH76">
        <v>0</v>
      </c>
      <c r="GI76">
        <v>0.11629810695797904</v>
      </c>
      <c r="GJ76"/>
      <c r="GK76">
        <v>0.3401773803636618</v>
      </c>
      <c r="GL76">
        <v>0</v>
      </c>
      <c r="GM76">
        <v>0.13091770120800852</v>
      </c>
      <c r="GN76">
        <v>0.44573189690518267</v>
      </c>
      <c r="GO76">
        <v>0.31481419569717417</v>
      </c>
      <c r="GP76">
        <v>0</v>
      </c>
      <c r="GQ76">
        <v>0</v>
      </c>
      <c r="GR76">
        <v>0</v>
      </c>
      <c r="GS76">
        <v>0</v>
      </c>
      <c r="GT76">
        <v>0.15718185545376889</v>
      </c>
      <c r="GU76"/>
      <c r="GV76"/>
      <c r="GW76"/>
      <c r="GX76"/>
      <c r="GY76"/>
      <c r="GZ76"/>
      <c r="HA76"/>
      <c r="HB76"/>
      <c r="HC76"/>
    </row>
    <row r="77" spans="1:211" s="7" customFormat="1">
      <c r="A77" s="4"/>
      <c r="B77" s="66"/>
      <c r="C77" s="71">
        <f t="shared" si="38"/>
        <v>39910</v>
      </c>
      <c r="D77" s="72">
        <f>SUM(G77:AK77)</f>
        <v>1.0416666666666665</v>
      </c>
      <c r="E77" s="64"/>
      <c r="F77" s="64"/>
      <c r="G77" s="18">
        <f>AVERAGE(E298:E307)</f>
        <v>0</v>
      </c>
      <c r="H77" s="18">
        <f t="shared" ref="H77:AK77" si="47">AVERAGE(F298:F307)</f>
        <v>0</v>
      </c>
      <c r="I77" s="18">
        <f t="shared" si="47"/>
        <v>0</v>
      </c>
      <c r="J77" s="18">
        <f t="shared" si="47"/>
        <v>0</v>
      </c>
      <c r="K77" s="18">
        <f t="shared" si="47"/>
        <v>0</v>
      </c>
      <c r="L77" s="18">
        <f t="shared" si="47"/>
        <v>0</v>
      </c>
      <c r="M77" s="18">
        <f t="shared" si="47"/>
        <v>0</v>
      </c>
      <c r="N77" s="18">
        <f t="shared" si="47"/>
        <v>0</v>
      </c>
      <c r="O77" s="18">
        <f t="shared" si="47"/>
        <v>1.0416666666666665</v>
      </c>
      <c r="P77" s="18">
        <f t="shared" si="47"/>
        <v>0</v>
      </c>
      <c r="Q77" s="18">
        <f t="shared" si="47"/>
        <v>0</v>
      </c>
      <c r="R77" s="18">
        <f t="shared" si="47"/>
        <v>0</v>
      </c>
      <c r="S77" s="18">
        <f t="shared" si="47"/>
        <v>0</v>
      </c>
      <c r="T77" s="18">
        <f t="shared" si="47"/>
        <v>0</v>
      </c>
      <c r="U77" s="18">
        <f t="shared" si="47"/>
        <v>0</v>
      </c>
      <c r="V77" s="18">
        <f t="shared" si="47"/>
        <v>0</v>
      </c>
      <c r="W77" s="18">
        <f t="shared" si="47"/>
        <v>0</v>
      </c>
      <c r="X77" s="18">
        <f t="shared" si="47"/>
        <v>0</v>
      </c>
      <c r="Y77" s="18">
        <f t="shared" si="47"/>
        <v>0</v>
      </c>
      <c r="Z77" s="18">
        <f t="shared" si="47"/>
        <v>0</v>
      </c>
      <c r="AA77" s="18">
        <f t="shared" si="47"/>
        <v>0</v>
      </c>
      <c r="AB77" s="18">
        <f t="shared" si="47"/>
        <v>0</v>
      </c>
      <c r="AC77" s="18">
        <f t="shared" si="47"/>
        <v>0</v>
      </c>
      <c r="AD77" s="18">
        <f t="shared" si="47"/>
        <v>0</v>
      </c>
      <c r="AE77" s="18">
        <f t="shared" si="47"/>
        <v>0</v>
      </c>
      <c r="AF77" s="18">
        <f t="shared" si="47"/>
        <v>0</v>
      </c>
      <c r="AG77" s="18">
        <f t="shared" si="47"/>
        <v>0</v>
      </c>
      <c r="AH77" s="18">
        <f t="shared" si="47"/>
        <v>0</v>
      </c>
      <c r="AI77" s="18">
        <f t="shared" si="47"/>
        <v>0</v>
      </c>
      <c r="AJ77" s="18">
        <f t="shared" si="47"/>
        <v>0</v>
      </c>
      <c r="AK77" s="18">
        <f t="shared" si="47"/>
        <v>0</v>
      </c>
      <c r="AL77" s="2"/>
      <c r="AM77" s="43">
        <v>61</v>
      </c>
      <c r="AN77">
        <v>2.2916666666666661</v>
      </c>
      <c r="AO77">
        <v>0.24667121895189456</v>
      </c>
      <c r="AP77">
        <v>7.7067865501115236</v>
      </c>
      <c r="AQ77">
        <v>2.0405055922485253</v>
      </c>
      <c r="AR77">
        <v>0.28114244427265844</v>
      </c>
      <c r="AS77">
        <v>1.7463378176726276</v>
      </c>
      <c r="AT77" t="e">
        <v>#DIV/0!</v>
      </c>
      <c r="AU77" t="e">
        <v>#DIV/0!</v>
      </c>
      <c r="AV77"/>
      <c r="AW77"/>
      <c r="FY77" s="211">
        <v>72</v>
      </c>
      <c r="FZ77">
        <v>1.3422714758608105</v>
      </c>
      <c r="GA77">
        <v>0.47460065171768845</v>
      </c>
      <c r="GB77">
        <v>0.204855832097669</v>
      </c>
      <c r="GC77">
        <v>0.11377737556984255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0.24888010724500623</v>
      </c>
      <c r="GJ77"/>
      <c r="GK77">
        <v>1.3557816399828733</v>
      </c>
      <c r="GL77">
        <v>0.40705572478708768</v>
      </c>
      <c r="GM77">
        <v>0.34079383167279126</v>
      </c>
      <c r="GN77">
        <v>0.34079383167279126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0.33931509433113294</v>
      </c>
      <c r="GU77"/>
      <c r="GV77"/>
      <c r="GW77"/>
      <c r="GX77"/>
      <c r="GY77"/>
      <c r="GZ77"/>
      <c r="HA77"/>
      <c r="HB77"/>
      <c r="HC77"/>
    </row>
    <row r="78" spans="1:211" s="7" customFormat="1">
      <c r="A78" s="4"/>
      <c r="B78" s="66"/>
      <c r="C78" s="71">
        <f t="shared" si="38"/>
        <v>39949</v>
      </c>
      <c r="D78" s="72">
        <f>SUM(G78:AK78)</f>
        <v>0</v>
      </c>
      <c r="E78" s="64"/>
      <c r="F78" s="64"/>
      <c r="G78" s="18">
        <f>AVERAGE(E308:E317)</f>
        <v>0</v>
      </c>
      <c r="H78" s="18">
        <f t="shared" ref="H78:AK78" si="48">AVERAGE(F308:F317)</f>
        <v>0</v>
      </c>
      <c r="I78" s="18">
        <f t="shared" si="48"/>
        <v>0</v>
      </c>
      <c r="J78" s="18">
        <f t="shared" si="48"/>
        <v>0</v>
      </c>
      <c r="K78" s="18">
        <f t="shared" si="48"/>
        <v>0</v>
      </c>
      <c r="L78" s="18">
        <f t="shared" si="48"/>
        <v>0</v>
      </c>
      <c r="M78" s="18">
        <f t="shared" si="48"/>
        <v>0</v>
      </c>
      <c r="N78" s="18">
        <f t="shared" si="48"/>
        <v>0</v>
      </c>
      <c r="O78" s="18">
        <f t="shared" si="48"/>
        <v>0</v>
      </c>
      <c r="P78" s="18">
        <f t="shared" si="48"/>
        <v>0</v>
      </c>
      <c r="Q78" s="18">
        <f t="shared" si="48"/>
        <v>0</v>
      </c>
      <c r="R78" s="18">
        <f t="shared" si="48"/>
        <v>0</v>
      </c>
      <c r="S78" s="18">
        <f t="shared" si="48"/>
        <v>0</v>
      </c>
      <c r="T78" s="18">
        <f t="shared" si="48"/>
        <v>0</v>
      </c>
      <c r="U78" s="18">
        <f t="shared" si="48"/>
        <v>0</v>
      </c>
      <c r="V78" s="18">
        <f t="shared" si="48"/>
        <v>0</v>
      </c>
      <c r="W78" s="18">
        <f t="shared" si="48"/>
        <v>0</v>
      </c>
      <c r="X78" s="18">
        <f t="shared" si="48"/>
        <v>0</v>
      </c>
      <c r="Y78" s="18">
        <f t="shared" si="48"/>
        <v>0</v>
      </c>
      <c r="Z78" s="18">
        <f t="shared" si="48"/>
        <v>0</v>
      </c>
      <c r="AA78" s="18">
        <f t="shared" si="48"/>
        <v>0</v>
      </c>
      <c r="AB78" s="18">
        <f t="shared" si="48"/>
        <v>0</v>
      </c>
      <c r="AC78" s="18">
        <f t="shared" si="48"/>
        <v>0</v>
      </c>
      <c r="AD78" s="18">
        <f t="shared" si="48"/>
        <v>0</v>
      </c>
      <c r="AE78" s="18">
        <f t="shared" si="48"/>
        <v>0</v>
      </c>
      <c r="AF78" s="18">
        <f t="shared" si="48"/>
        <v>0</v>
      </c>
      <c r="AG78" s="18">
        <f t="shared" si="48"/>
        <v>0</v>
      </c>
      <c r="AH78" s="18">
        <f t="shared" si="48"/>
        <v>0</v>
      </c>
      <c r="AI78" s="18">
        <f t="shared" si="48"/>
        <v>0</v>
      </c>
      <c r="AJ78" s="18">
        <f t="shared" si="48"/>
        <v>0</v>
      </c>
      <c r="AK78" s="18">
        <f t="shared" si="48"/>
        <v>0</v>
      </c>
      <c r="AL78" s="2"/>
      <c r="AM78" s="43">
        <v>62</v>
      </c>
      <c r="AN78">
        <v>3.0260416666666661</v>
      </c>
      <c r="AO78">
        <v>0.30476118269866492</v>
      </c>
      <c r="AP78">
        <v>9.4599787462196439</v>
      </c>
      <c r="AQ78">
        <v>2.3004366871829038</v>
      </c>
      <c r="AR78">
        <v>0.35093984098208392</v>
      </c>
      <c r="AS78">
        <v>2.1003016551996514</v>
      </c>
      <c r="AT78" t="e">
        <v>#DIV/0!</v>
      </c>
      <c r="AU78" t="e">
        <v>#DIV/0!</v>
      </c>
      <c r="AV78"/>
      <c r="AW78"/>
      <c r="FY78" s="211">
        <v>73</v>
      </c>
      <c r="FZ78">
        <v>1.3246411487018026</v>
      </c>
      <c r="GA78">
        <v>0.77470035519842362</v>
      </c>
      <c r="GB78">
        <v>7.9203986612074825E-2</v>
      </c>
      <c r="GC78">
        <v>0.11377737556984255</v>
      </c>
      <c r="GD78">
        <v>5.3449107547347455E-2</v>
      </c>
      <c r="GE78">
        <v>0</v>
      </c>
      <c r="GF78">
        <v>0.66042100116664126</v>
      </c>
      <c r="GG78">
        <v>0.59518473501329594</v>
      </c>
      <c r="GH78">
        <v>0</v>
      </c>
      <c r="GI78">
        <v>0.37451685082956326</v>
      </c>
      <c r="GJ78"/>
      <c r="GK78">
        <v>1.3346798256187711</v>
      </c>
      <c r="GL78">
        <v>0.66663043111567644</v>
      </c>
      <c r="GM78">
        <v>0.13091770120800852</v>
      </c>
      <c r="GN78">
        <v>0.34079383167279126</v>
      </c>
      <c r="GO78">
        <v>0.20987613046478273</v>
      </c>
      <c r="GP78">
        <v>0</v>
      </c>
      <c r="GQ78">
        <v>0.90739586192571098</v>
      </c>
      <c r="GR78">
        <v>0.90739586192571098</v>
      </c>
      <c r="GS78">
        <v>0</v>
      </c>
      <c r="GT78">
        <v>0.5165739038434547</v>
      </c>
      <c r="GU78"/>
      <c r="GV78"/>
      <c r="GW78"/>
      <c r="GX78"/>
      <c r="GY78"/>
      <c r="GZ78"/>
      <c r="HA78"/>
      <c r="HB78"/>
      <c r="HC78"/>
    </row>
    <row r="79" spans="1:211" s="7" customFormat="1">
      <c r="A79" s="4"/>
      <c r="B79" s="66"/>
      <c r="C79" s="71">
        <f t="shared" si="38"/>
        <v>39987</v>
      </c>
      <c r="D79" s="72">
        <f>SUM(G79:AK79)</f>
        <v>0</v>
      </c>
      <c r="E79" s="64"/>
      <c r="F79" s="64"/>
      <c r="G79" s="18">
        <f>AVERAGE(E318:E327)</f>
        <v>0</v>
      </c>
      <c r="H79" s="18">
        <f t="shared" ref="H79:AK79" si="49">AVERAGE(F318:F327)</f>
        <v>0</v>
      </c>
      <c r="I79" s="18">
        <f t="shared" si="49"/>
        <v>0</v>
      </c>
      <c r="J79" s="18">
        <f t="shared" si="49"/>
        <v>0</v>
      </c>
      <c r="K79" s="18">
        <f t="shared" si="49"/>
        <v>0</v>
      </c>
      <c r="L79" s="18">
        <f t="shared" si="49"/>
        <v>0</v>
      </c>
      <c r="M79" s="18">
        <f t="shared" si="49"/>
        <v>0</v>
      </c>
      <c r="N79" s="18">
        <f t="shared" si="49"/>
        <v>0</v>
      </c>
      <c r="O79" s="18">
        <f t="shared" si="49"/>
        <v>0</v>
      </c>
      <c r="P79" s="18">
        <f t="shared" si="49"/>
        <v>0</v>
      </c>
      <c r="Q79" s="18">
        <f t="shared" si="49"/>
        <v>0</v>
      </c>
      <c r="R79" s="18">
        <f t="shared" si="49"/>
        <v>0</v>
      </c>
      <c r="S79" s="18">
        <f t="shared" si="49"/>
        <v>0</v>
      </c>
      <c r="T79" s="18">
        <f t="shared" si="49"/>
        <v>0</v>
      </c>
      <c r="U79" s="18">
        <f t="shared" si="49"/>
        <v>0</v>
      </c>
      <c r="V79" s="18">
        <f t="shared" si="49"/>
        <v>0</v>
      </c>
      <c r="W79" s="18">
        <f t="shared" si="49"/>
        <v>0</v>
      </c>
      <c r="X79" s="18">
        <f t="shared" si="49"/>
        <v>0</v>
      </c>
      <c r="Y79" s="18">
        <f t="shared" si="49"/>
        <v>0</v>
      </c>
      <c r="Z79" s="18">
        <f t="shared" si="49"/>
        <v>0</v>
      </c>
      <c r="AA79" s="18">
        <f t="shared" si="49"/>
        <v>0</v>
      </c>
      <c r="AB79" s="18">
        <f t="shared" si="49"/>
        <v>0</v>
      </c>
      <c r="AC79" s="18">
        <f t="shared" si="49"/>
        <v>0</v>
      </c>
      <c r="AD79" s="18">
        <f t="shared" si="49"/>
        <v>0</v>
      </c>
      <c r="AE79" s="18">
        <f t="shared" si="49"/>
        <v>0</v>
      </c>
      <c r="AF79" s="18">
        <f t="shared" si="49"/>
        <v>0</v>
      </c>
      <c r="AG79" s="18">
        <f t="shared" si="49"/>
        <v>0</v>
      </c>
      <c r="AH79" s="18">
        <f t="shared" si="49"/>
        <v>0</v>
      </c>
      <c r="AI79" s="18">
        <f t="shared" si="49"/>
        <v>0</v>
      </c>
      <c r="AJ79" s="18">
        <f t="shared" si="49"/>
        <v>0</v>
      </c>
      <c r="AK79" s="18">
        <f t="shared" si="49"/>
        <v>0</v>
      </c>
      <c r="AL79" s="2"/>
      <c r="AM79" s="43">
        <v>63</v>
      </c>
      <c r="AN79">
        <v>1.859375</v>
      </c>
      <c r="AO79">
        <v>0.28185950758464379</v>
      </c>
      <c r="AP79">
        <v>7.9502990906478885</v>
      </c>
      <c r="AQ79">
        <v>2.0219476020070264</v>
      </c>
      <c r="AR79">
        <v>0.3250604673302569</v>
      </c>
      <c r="AS79">
        <v>1.599352043800931</v>
      </c>
      <c r="AT79" t="e">
        <v>#DIV/0!</v>
      </c>
      <c r="AU79" t="e">
        <v>#DIV/0!</v>
      </c>
      <c r="AV79"/>
      <c r="AW79"/>
      <c r="FY79" s="211">
        <v>74</v>
      </c>
      <c r="FZ79">
        <v>0.41073946851658971</v>
      </c>
      <c r="GA79">
        <v>0</v>
      </c>
      <c r="GB79">
        <v>0.15840797322414965</v>
      </c>
      <c r="GC79">
        <v>0.19273547618072395</v>
      </c>
      <c r="GD79">
        <v>8.0173661321021189E-2</v>
      </c>
      <c r="GE79">
        <v>0</v>
      </c>
      <c r="GF79">
        <v>0.66042100116664126</v>
      </c>
      <c r="GG79">
        <v>0.59518473501329594</v>
      </c>
      <c r="GH79">
        <v>0</v>
      </c>
      <c r="GI79">
        <v>0.27423504273830573</v>
      </c>
      <c r="GJ79"/>
      <c r="GK79">
        <v>0.40990564489244041</v>
      </c>
      <c r="GL79">
        <v>0</v>
      </c>
      <c r="GM79">
        <v>0.26183540241601705</v>
      </c>
      <c r="GN79">
        <v>0.57664959811319116</v>
      </c>
      <c r="GO79">
        <v>0.31481419569717417</v>
      </c>
      <c r="GP79">
        <v>0</v>
      </c>
      <c r="GQ79">
        <v>0.90739586192571098</v>
      </c>
      <c r="GR79">
        <v>0.90739586192571098</v>
      </c>
      <c r="GS79">
        <v>0</v>
      </c>
      <c r="GT79">
        <v>0.37879022098626847</v>
      </c>
      <c r="GU79"/>
      <c r="GV79"/>
      <c r="GW79"/>
      <c r="GX79"/>
      <c r="GY79"/>
      <c r="GZ79"/>
      <c r="HA79"/>
      <c r="HB79"/>
      <c r="HC79"/>
    </row>
    <row r="80" spans="1:211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3.7531249999999994</v>
      </c>
      <c r="AO80">
        <v>0.24051904026987092</v>
      </c>
      <c r="AP80">
        <v>3.5944307781653331</v>
      </c>
      <c r="AQ80">
        <v>2.1233986901214608</v>
      </c>
      <c r="AR80">
        <v>0.28142306704032871</v>
      </c>
      <c r="AS80">
        <v>1.8902483239897019</v>
      </c>
      <c r="AT80" t="e">
        <v>#DIV/0!</v>
      </c>
      <c r="AU80" t="e">
        <v>#DIV/0!</v>
      </c>
      <c r="AV80"/>
      <c r="AW80"/>
      <c r="FY80" s="211">
        <v>75</v>
      </c>
      <c r="FZ80">
        <v>1.5027787218161803</v>
      </c>
      <c r="GA80">
        <v>0.77470035519842362</v>
      </c>
      <c r="GB80">
        <v>0.14202990935487192</v>
      </c>
      <c r="GC80">
        <v>7.8958100610881349E-2</v>
      </c>
      <c r="GD80">
        <v>0</v>
      </c>
      <c r="GE80">
        <v>0</v>
      </c>
      <c r="GF80">
        <v>0.33021050058332063</v>
      </c>
      <c r="GG80">
        <v>0.29759236750664797</v>
      </c>
      <c r="GH80">
        <v>0</v>
      </c>
      <c r="GI80">
        <v>0.32140032951874198</v>
      </c>
      <c r="GJ80"/>
      <c r="GK80">
        <v>1.5124834894329307</v>
      </c>
      <c r="GL80">
        <v>0.66663043111567644</v>
      </c>
      <c r="GM80">
        <v>0.23585576644039991</v>
      </c>
      <c r="GN80">
        <v>0.23585576644039991</v>
      </c>
      <c r="GO80">
        <v>0</v>
      </c>
      <c r="GP80">
        <v>0</v>
      </c>
      <c r="GQ80">
        <v>0.45369793096285549</v>
      </c>
      <c r="GR80">
        <v>0.45369793096285549</v>
      </c>
      <c r="GS80">
        <v>0</v>
      </c>
      <c r="GT80">
        <v>0.44040743736723725</v>
      </c>
      <c r="GU80"/>
      <c r="GV80"/>
      <c r="GW80"/>
      <c r="GX80"/>
      <c r="GY80"/>
      <c r="GZ80"/>
      <c r="HA80"/>
      <c r="HB80"/>
      <c r="HC80"/>
    </row>
    <row r="81" spans="1:211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3.6364583333333336</v>
      </c>
      <c r="AO81">
        <v>0.45635122542726647</v>
      </c>
      <c r="AP81">
        <v>11.926438893744596</v>
      </c>
      <c r="AQ81">
        <v>3.7170324155842804</v>
      </c>
      <c r="AR81">
        <v>0.48728524767661674</v>
      </c>
      <c r="AS81">
        <v>2.4484044669154423</v>
      </c>
      <c r="AT81" t="e">
        <v>#DIV/0!</v>
      </c>
      <c r="AU81" t="e">
        <v>#DIV/0!</v>
      </c>
      <c r="AV81"/>
      <c r="AW81"/>
      <c r="FY81" s="211">
        <v>76</v>
      </c>
      <c r="FZ81">
        <v>0.7949732929773291</v>
      </c>
      <c r="GA81">
        <v>8.725047411847664E-2</v>
      </c>
      <c r="GB81">
        <v>0.204855832097669</v>
      </c>
      <c r="GC81">
        <v>0.14859665052880375</v>
      </c>
      <c r="GD81">
        <v>2.6724553773673727E-2</v>
      </c>
      <c r="GE81">
        <v>0</v>
      </c>
      <c r="GF81">
        <v>0</v>
      </c>
      <c r="GG81">
        <v>0</v>
      </c>
      <c r="GH81">
        <v>0</v>
      </c>
      <c r="GI81">
        <v>0.1835865521322782</v>
      </c>
      <c r="GJ81"/>
      <c r="GK81">
        <v>0.79585359079717011</v>
      </c>
      <c r="GL81">
        <v>7.3740509229249462E-2</v>
      </c>
      <c r="GM81">
        <v>0.34079383167279126</v>
      </c>
      <c r="GN81">
        <v>0.44573189690518267</v>
      </c>
      <c r="GO81">
        <v>0.10493806523239137</v>
      </c>
      <c r="GP81">
        <v>0</v>
      </c>
      <c r="GQ81">
        <v>0</v>
      </c>
      <c r="GR81">
        <v>0</v>
      </c>
      <c r="GS81">
        <v>0</v>
      </c>
      <c r="GT81">
        <v>0.24831709754047054</v>
      </c>
      <c r="GU81"/>
      <c r="GV81"/>
      <c r="GW81"/>
      <c r="GX81"/>
      <c r="GY81"/>
      <c r="GZ81"/>
      <c r="HA81"/>
      <c r="HB81"/>
      <c r="HC81"/>
    </row>
    <row r="82" spans="1:211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2.7281249999999995</v>
      </c>
      <c r="AO82">
        <v>0.48289617563029391</v>
      </c>
      <c r="AP82">
        <v>9.8224801414580263</v>
      </c>
      <c r="AQ82">
        <v>4.4430366259856724</v>
      </c>
      <c r="AR82">
        <v>0.51615324316667688</v>
      </c>
      <c r="AS82">
        <v>2.6568067756267757</v>
      </c>
      <c r="AT82" t="e">
        <v>#DIV/0!</v>
      </c>
      <c r="AU82" t="e">
        <v>#DIV/0!</v>
      </c>
      <c r="AV82"/>
      <c r="AW82"/>
      <c r="FY82" s="211">
        <v>77</v>
      </c>
      <c r="FZ82">
        <v>0.5269038898031202</v>
      </c>
      <c r="GA82">
        <v>8.725047411847664E-2</v>
      </c>
      <c r="GB82">
        <v>0.22123389596694673</v>
      </c>
      <c r="GC82">
        <v>0.1579162012217627</v>
      </c>
      <c r="GD82">
        <v>2.6724553773673727E-2</v>
      </c>
      <c r="GE82">
        <v>0</v>
      </c>
      <c r="GF82">
        <v>0</v>
      </c>
      <c r="GG82">
        <v>0</v>
      </c>
      <c r="GH82">
        <v>0</v>
      </c>
      <c r="GI82">
        <v>0.14776439285812137</v>
      </c>
      <c r="GJ82"/>
      <c r="GK82">
        <v>0.52892836863628601</v>
      </c>
      <c r="GL82">
        <v>7.3740509229249462E-2</v>
      </c>
      <c r="GM82">
        <v>0.3667734676484084</v>
      </c>
      <c r="GN82">
        <v>0.47171153288079981</v>
      </c>
      <c r="GO82">
        <v>0.10493806523239137</v>
      </c>
      <c r="GP82">
        <v>0</v>
      </c>
      <c r="GQ82">
        <v>0</v>
      </c>
      <c r="GR82">
        <v>0</v>
      </c>
      <c r="GS82">
        <v>0</v>
      </c>
      <c r="GT82">
        <v>0.20012798030341719</v>
      </c>
      <c r="GU82"/>
      <c r="GV82"/>
      <c r="GW82"/>
      <c r="GX82"/>
      <c r="GY82"/>
      <c r="GZ82"/>
      <c r="HA82"/>
      <c r="HB82"/>
      <c r="HC82"/>
    </row>
    <row r="83" spans="1:211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1.7583333333333333</v>
      </c>
      <c r="AO83">
        <v>0.33402499128046959</v>
      </c>
      <c r="AP83">
        <v>9.6803387251268074</v>
      </c>
      <c r="AQ83">
        <v>2.5074345388117099</v>
      </c>
      <c r="AR83">
        <v>0.34329066602086455</v>
      </c>
      <c r="AS83">
        <v>1.797879303324498</v>
      </c>
      <c r="AT83" t="e">
        <v>#DIV/0!</v>
      </c>
      <c r="AU83" t="e">
        <v>#DIV/0!</v>
      </c>
      <c r="AV83"/>
      <c r="AW83"/>
      <c r="FY83" s="211">
        <v>78</v>
      </c>
      <c r="FZ83">
        <v>0.72187877800382416</v>
      </c>
      <c r="GA83">
        <v>8.725047411847664E-2</v>
      </c>
      <c r="GB83">
        <v>0.34688574145254092</v>
      </c>
      <c r="GC83">
        <v>0.19273547618072395</v>
      </c>
      <c r="GD83">
        <v>0</v>
      </c>
      <c r="GE83">
        <v>0</v>
      </c>
      <c r="GF83">
        <v>0.33021050058332063</v>
      </c>
      <c r="GG83">
        <v>0.29759236750664797</v>
      </c>
      <c r="GH83">
        <v>0</v>
      </c>
      <c r="GI83">
        <v>0.2562827219448166</v>
      </c>
      <c r="GJ83"/>
      <c r="GK83">
        <v>0.7209686354555922</v>
      </c>
      <c r="GL83">
        <v>7.3740509229249462E-2</v>
      </c>
      <c r="GM83">
        <v>0.57664959811319116</v>
      </c>
      <c r="GN83">
        <v>0.57664959811319116</v>
      </c>
      <c r="GO83">
        <v>0</v>
      </c>
      <c r="GP83">
        <v>0</v>
      </c>
      <c r="GQ83">
        <v>0.45369793096285549</v>
      </c>
      <c r="GR83">
        <v>0.45369793096285549</v>
      </c>
      <c r="GS83">
        <v>0</v>
      </c>
      <c r="GT83">
        <v>0.35026323290632777</v>
      </c>
      <c r="GU83"/>
      <c r="GV83"/>
      <c r="GW83"/>
      <c r="GX83"/>
      <c r="GY83"/>
      <c r="GZ83"/>
      <c r="HA83"/>
      <c r="HB83"/>
      <c r="HC83"/>
    </row>
    <row r="84" spans="1:211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3.1072916666666663</v>
      </c>
      <c r="AO84">
        <v>0.28048861287295157</v>
      </c>
      <c r="AP84">
        <v>8.1987803531102603</v>
      </c>
      <c r="AQ84">
        <v>2.0982644907679706</v>
      </c>
      <c r="AR84">
        <v>0.31149027984714484</v>
      </c>
      <c r="AS84">
        <v>2.1151147524858147</v>
      </c>
      <c r="AT84" t="e">
        <v>#DIV/0!</v>
      </c>
      <c r="AU84" t="e">
        <v>#DIV/0!</v>
      </c>
      <c r="AV84"/>
      <c r="AW84"/>
      <c r="AX84" s="157" t="s">
        <v>111</v>
      </c>
      <c r="CJ84" s="157" t="s">
        <v>112</v>
      </c>
      <c r="FY84" s="211">
        <v>79</v>
      </c>
      <c r="FZ84">
        <v>0.46505012174072352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6.8876953219878662E-2</v>
      </c>
      <c r="GJ84"/>
      <c r="GK84">
        <v>0.46694106516197131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9.3388213032394279E-2</v>
      </c>
      <c r="GU84"/>
      <c r="GV84"/>
      <c r="GW84"/>
      <c r="GX84"/>
      <c r="GY84"/>
      <c r="GZ84"/>
      <c r="HA84"/>
      <c r="HB84"/>
      <c r="HC84"/>
    </row>
    <row r="85" spans="1:211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2.0062500000000005</v>
      </c>
      <c r="AO85">
        <v>0.51617726879906389</v>
      </c>
      <c r="AP85">
        <v>18.294904316632604</v>
      </c>
      <c r="AQ85">
        <v>4.016598781439388</v>
      </c>
      <c r="AR85">
        <v>0.51933914367807521</v>
      </c>
      <c r="AS85">
        <v>2.2837046631745697</v>
      </c>
      <c r="AT85" t="e">
        <v>#DIV/0!</v>
      </c>
      <c r="AU85" t="e">
        <v>#DIV/0!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1">
        <v>80</v>
      </c>
      <c r="FZ85">
        <v>1.264755546479909</v>
      </c>
      <c r="GA85">
        <v>0.47460065171768845</v>
      </c>
      <c r="GB85">
        <v>0.14202990935487192</v>
      </c>
      <c r="GC85">
        <v>0.14859665052880375</v>
      </c>
      <c r="GD85">
        <v>5.3449107547347455E-2</v>
      </c>
      <c r="GE85">
        <v>0</v>
      </c>
      <c r="GF85">
        <v>0.33021050058332063</v>
      </c>
      <c r="GG85">
        <v>0.29759236750664797</v>
      </c>
      <c r="GH85">
        <v>0</v>
      </c>
      <c r="GI85">
        <v>0.31708266795221035</v>
      </c>
      <c r="GJ85"/>
      <c r="GK85">
        <v>1.2728053241724213</v>
      </c>
      <c r="GL85">
        <v>0.40705572478708768</v>
      </c>
      <c r="GM85">
        <v>0.23585576644039991</v>
      </c>
      <c r="GN85">
        <v>0.44573189690518267</v>
      </c>
      <c r="GO85">
        <v>0.20987613046478273</v>
      </c>
      <c r="GP85">
        <v>0</v>
      </c>
      <c r="GQ85">
        <v>0.45369793096285549</v>
      </c>
      <c r="GR85">
        <v>0.45369793096285549</v>
      </c>
      <c r="GS85">
        <v>0</v>
      </c>
      <c r="GT85">
        <v>0.43444703040809191</v>
      </c>
      <c r="GU85"/>
      <c r="GV85"/>
      <c r="GW85"/>
      <c r="GX85"/>
      <c r="GY85"/>
      <c r="GZ85"/>
      <c r="HA85"/>
      <c r="HB85"/>
      <c r="HC85"/>
    </row>
    <row r="86" spans="1:211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2.6281249999999998</v>
      </c>
      <c r="AO86">
        <v>0.3979507294293731</v>
      </c>
      <c r="AP86">
        <v>15.608464639867169</v>
      </c>
      <c r="AQ86">
        <v>3.0859296800134941</v>
      </c>
      <c r="AR86">
        <v>0.40486665685675544</v>
      </c>
      <c r="AS86">
        <v>2.0185237928873851</v>
      </c>
      <c r="AT86" t="e">
        <v>#DIV/0!</v>
      </c>
      <c r="AU86" t="e">
        <v>#DIV/0!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20" t="s">
        <v>123</v>
      </c>
      <c r="CX86" s="220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1">
        <v>81</v>
      </c>
      <c r="FZ86">
        <v>0.74697166598496878</v>
      </c>
      <c r="GA86">
        <v>0.17450094823695328</v>
      </c>
      <c r="GB86">
        <v>0.33050767758326316</v>
      </c>
      <c r="GC86">
        <v>0.21823520044672612</v>
      </c>
      <c r="GD86">
        <v>2.6724553773673727E-2</v>
      </c>
      <c r="GE86">
        <v>0</v>
      </c>
      <c r="GF86">
        <v>0.99063150174996206</v>
      </c>
      <c r="GG86">
        <v>0.89277710251994391</v>
      </c>
      <c r="GH86">
        <v>0</v>
      </c>
      <c r="GI86">
        <v>0.39959503675184777</v>
      </c>
      <c r="GJ86"/>
      <c r="GK86">
        <v>0.74827063438738706</v>
      </c>
      <c r="GL86">
        <v>0.14748101845849892</v>
      </c>
      <c r="GM86">
        <v>0.55066996213757402</v>
      </c>
      <c r="GN86">
        <v>0.65560802736996526</v>
      </c>
      <c r="GO86">
        <v>0.10493806523239137</v>
      </c>
      <c r="GP86">
        <v>0</v>
      </c>
      <c r="GQ86">
        <v>1.3610937928885667</v>
      </c>
      <c r="GR86">
        <v>1.3610937928885667</v>
      </c>
      <c r="GS86">
        <v>0</v>
      </c>
      <c r="GT86">
        <v>0.55299449092918374</v>
      </c>
      <c r="GU86"/>
      <c r="GV86"/>
      <c r="GW86"/>
      <c r="GX86"/>
      <c r="GY86"/>
      <c r="GZ86"/>
      <c r="HA86"/>
      <c r="HB86"/>
      <c r="HC86"/>
    </row>
    <row r="87" spans="1:211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1.4427083333333335</v>
      </c>
      <c r="AO87">
        <v>0.13888230296277962</v>
      </c>
      <c r="AP87">
        <v>1.8177817807723207</v>
      </c>
      <c r="AQ87">
        <v>0.76500343443951357</v>
      </c>
      <c r="AR87">
        <v>0.15718185545376889</v>
      </c>
      <c r="AS87">
        <v>1.1517489999142509</v>
      </c>
      <c r="AT87" t="e">
        <v>#DIV/0!</v>
      </c>
      <c r="AU87" t="e">
        <v>#DIV/0!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1">
        <v>82</v>
      </c>
      <c r="FZ87">
        <v>1.3329325209829856</v>
      </c>
      <c r="GA87">
        <v>0.86195082931690026</v>
      </c>
      <c r="GB87">
        <v>0</v>
      </c>
      <c r="GC87">
        <v>0</v>
      </c>
      <c r="GD87">
        <v>0</v>
      </c>
      <c r="GE87">
        <v>0</v>
      </c>
      <c r="GF87">
        <v>0.33021050058332063</v>
      </c>
      <c r="GG87">
        <v>0.29759236750664797</v>
      </c>
      <c r="GH87">
        <v>0</v>
      </c>
      <c r="GI87">
        <v>0.26142611579181624</v>
      </c>
      <c r="GJ87"/>
      <c r="GK87">
        <v>1.3405044611879573</v>
      </c>
      <c r="GL87">
        <v>0.7403709403449259</v>
      </c>
      <c r="GM87">
        <v>0</v>
      </c>
      <c r="GN87">
        <v>0</v>
      </c>
      <c r="GO87">
        <v>0</v>
      </c>
      <c r="GP87">
        <v>0</v>
      </c>
      <c r="GQ87">
        <v>0.45369793096285549</v>
      </c>
      <c r="GR87">
        <v>0.45369793096285549</v>
      </c>
      <c r="GS87">
        <v>0</v>
      </c>
      <c r="GT87">
        <v>0.35884047843016259</v>
      </c>
      <c r="GU87"/>
      <c r="GV87"/>
      <c r="GW87"/>
      <c r="GX87"/>
      <c r="GY87"/>
      <c r="GZ87"/>
      <c r="HA87"/>
      <c r="HB87"/>
      <c r="HC87"/>
    </row>
    <row r="88" spans="1:211" s="7" customFormat="1">
      <c r="A88" s="128"/>
      <c r="B88" s="76">
        <f t="shared" ref="B88:B119" ca="1" si="50">IF(C88="", "", RAND())</f>
        <v>0.56108213521243488</v>
      </c>
      <c r="C88">
        <v>10</v>
      </c>
      <c r="D88">
        <v>39646</v>
      </c>
      <c r="E88">
        <v>0</v>
      </c>
      <c r="F88">
        <v>0</v>
      </c>
      <c r="G88">
        <v>0</v>
      </c>
      <c r="H88">
        <v>0</v>
      </c>
      <c r="I88">
        <v>10.416666666666666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1.7635416666666663</v>
      </c>
      <c r="AO88">
        <v>0.27837401224466768</v>
      </c>
      <c r="AP88">
        <v>4.5714317225739887</v>
      </c>
      <c r="AQ88">
        <v>2.3843854424910171</v>
      </c>
      <c r="AR88">
        <v>0.33931509433113294</v>
      </c>
      <c r="AS88">
        <v>1.8447555608582489</v>
      </c>
      <c r="AT88" t="e">
        <v>#DIV/0!</v>
      </c>
      <c r="AU88" t="e">
        <v>#DIV/0!</v>
      </c>
      <c r="AV88"/>
      <c r="AW88"/>
      <c r="AX88" s="128"/>
      <c r="AY88" s="76">
        <f ca="1">IF(AZ88="", "", RAND())</f>
        <v>5.4402959115300797E-2</v>
      </c>
      <c r="AZ88">
        <v>1</v>
      </c>
      <c r="BA88" s="129">
        <f>IF(AZ88="", "",$C$4)</f>
        <v>39646</v>
      </c>
      <c r="BB88">
        <v>0</v>
      </c>
      <c r="BC88">
        <v>0</v>
      </c>
      <c r="BD88">
        <v>1</v>
      </c>
      <c r="BE88">
        <v>2</v>
      </c>
      <c r="BF88">
        <v>1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 s="147"/>
      <c r="CH88" s="176"/>
      <c r="CJ88" s="128"/>
      <c r="CK88" s="76">
        <f ca="1">IF(AZ88="", "", RAND())</f>
        <v>0.24003493624696937</v>
      </c>
      <c r="CL88" s="179">
        <f>IF(AZ88="", "", AZ88)</f>
        <v>1</v>
      </c>
      <c r="CM88" s="180">
        <f>IF(AZ88="", "", BA88)</f>
        <v>39646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51">IF(DD88="", "", RAND())</f>
        <v>0.16965608161531343</v>
      </c>
      <c r="DD88">
        <f>IF(AZ88="", "", AZ88)</f>
        <v>1</v>
      </c>
      <c r="DE88" s="129">
        <f t="shared" ref="DE88:DE97" si="52">IF(DD88="", "", $C$4)</f>
        <v>39646</v>
      </c>
      <c r="DF88" s="161">
        <f t="shared" ref="DF88:DM88" si="53">IF($AZ88="", "", ((BB88*$CW88)+(CN88*$CX88))/$CZ88)</f>
        <v>0</v>
      </c>
      <c r="DG88" s="161">
        <f t="shared" si="53"/>
        <v>0</v>
      </c>
      <c r="DH88" s="161">
        <f t="shared" si="53"/>
        <v>10.416666666666666</v>
      </c>
      <c r="DI88" s="161">
        <f t="shared" si="53"/>
        <v>20.833333333333332</v>
      </c>
      <c r="DJ88" s="161">
        <f t="shared" si="53"/>
        <v>10.416666666666666</v>
      </c>
      <c r="DK88" s="161">
        <f t="shared" si="53"/>
        <v>0</v>
      </c>
      <c r="DL88" s="161">
        <f t="shared" si="53"/>
        <v>0</v>
      </c>
      <c r="DM88" s="161">
        <f t="shared" si="53"/>
        <v>0</v>
      </c>
      <c r="DN88" s="161">
        <f t="shared" ref="DN88:EJ88" si="54">IF($AZ88="", "", (BJ88*$CW88)/$CZ88)</f>
        <v>0</v>
      </c>
      <c r="DO88" s="161">
        <f t="shared" si="54"/>
        <v>0</v>
      </c>
      <c r="DP88" s="161">
        <f t="shared" si="54"/>
        <v>0</v>
      </c>
      <c r="DQ88" s="161">
        <f t="shared" si="54"/>
        <v>0</v>
      </c>
      <c r="DR88" s="161">
        <f t="shared" si="54"/>
        <v>0</v>
      </c>
      <c r="DS88" s="161">
        <f t="shared" si="54"/>
        <v>0</v>
      </c>
      <c r="DT88" s="161">
        <f t="shared" si="54"/>
        <v>0</v>
      </c>
      <c r="DU88" s="161">
        <f t="shared" si="54"/>
        <v>0</v>
      </c>
      <c r="DV88" s="161">
        <f t="shared" si="54"/>
        <v>0</v>
      </c>
      <c r="DW88" s="161">
        <f t="shared" si="54"/>
        <v>0</v>
      </c>
      <c r="DX88" s="161">
        <f t="shared" si="54"/>
        <v>0</v>
      </c>
      <c r="DY88" s="161">
        <f t="shared" si="54"/>
        <v>0</v>
      </c>
      <c r="DZ88" s="161">
        <f t="shared" si="54"/>
        <v>0</v>
      </c>
      <c r="EA88" s="161">
        <f t="shared" si="54"/>
        <v>0</v>
      </c>
      <c r="EB88" s="161">
        <f t="shared" si="54"/>
        <v>0</v>
      </c>
      <c r="EC88" s="161">
        <f t="shared" si="54"/>
        <v>0</v>
      </c>
      <c r="ED88" s="161">
        <f t="shared" si="54"/>
        <v>0</v>
      </c>
      <c r="EE88" s="161">
        <f t="shared" si="54"/>
        <v>0</v>
      </c>
      <c r="EF88" s="161">
        <f t="shared" si="54"/>
        <v>0</v>
      </c>
      <c r="EG88" s="161">
        <f t="shared" si="54"/>
        <v>0</v>
      </c>
      <c r="EH88" s="161">
        <f t="shared" si="54"/>
        <v>0</v>
      </c>
      <c r="EI88" s="161">
        <f t="shared" si="54"/>
        <v>0</v>
      </c>
      <c r="EJ88" s="161">
        <f t="shared" si="54"/>
        <v>0</v>
      </c>
      <c r="EK88" s="147">
        <f t="shared" ref="EK88:EK119" si="55">IF(DF88="", "", SUM(DF88:EJ88))</f>
        <v>41.666666666666664</v>
      </c>
      <c r="EL88" s="149"/>
      <c r="EN88" s="146"/>
      <c r="EO88" s="146"/>
      <c r="EP88" s="139">
        <f t="shared" ref="EP88:EP119" si="56">IF(DF88="", "", DF88*G$36)</f>
        <v>0</v>
      </c>
      <c r="EQ88" s="139">
        <f t="shared" ref="EQ88:EQ119" si="57">IF(DG88="", "", DG88*H$36)</f>
        <v>0</v>
      </c>
      <c r="ER88" s="139">
        <f t="shared" ref="ER88:ER119" si="58">IF(DH88="", "", DH88*I$36)</f>
        <v>0.1208870894568314</v>
      </c>
      <c r="ES88" s="139">
        <f t="shared" ref="ES88:ES119" si="59">IF(DI88="", "", DI88*J$36)</f>
        <v>0.85493714984184221</v>
      </c>
      <c r="ET88" s="139">
        <f t="shared" ref="ET88:ET119" si="60">IF(DJ88="", "", DJ88*K$36)</f>
        <v>1.0473416096640682</v>
      </c>
      <c r="EU88" s="139">
        <f t="shared" ref="EU88:EU119" si="61">IF(DK88="", "", DK88*L$36)</f>
        <v>0</v>
      </c>
      <c r="EV88" s="139">
        <f t="shared" ref="EV88:EV119" si="62">IF(DL88="", "", DL88*M$36)</f>
        <v>0</v>
      </c>
      <c r="EW88" s="139">
        <f t="shared" ref="EW88:EW119" si="63">IF(DM88="", "", DM88*N$36)</f>
        <v>0</v>
      </c>
      <c r="EX88" s="139">
        <f t="shared" ref="EX88:EX119" si="64">IF(DN88="", "", DN88*O$36)</f>
        <v>0</v>
      </c>
      <c r="EY88" s="139">
        <f t="shared" ref="EY88:EY119" si="65">IF(DO88="", "", DO88*P$36)</f>
        <v>0</v>
      </c>
      <c r="EZ88" s="139">
        <f t="shared" ref="EZ88:EZ119" si="66">IF(DP88="", "", DP88*Q$36)</f>
        <v>0</v>
      </c>
      <c r="FA88" s="139">
        <f t="shared" ref="FA88:FA119" si="67">IF(DQ88="", "", DQ88*R$36)</f>
        <v>0</v>
      </c>
      <c r="FB88" s="139">
        <f t="shared" ref="FB88:FB119" si="68">IF(DR88="", "", DR88*S$36)</f>
        <v>0</v>
      </c>
      <c r="FC88" s="139">
        <f t="shared" ref="FC88:FC119" si="69">IF(DS88="", "", DS88*T$36)</f>
        <v>0</v>
      </c>
      <c r="FD88" s="139">
        <f t="shared" ref="FD88:FD119" si="70">IF(DT88="", "", DT88*U$36)</f>
        <v>0</v>
      </c>
      <c r="FE88" s="139">
        <f t="shared" ref="FE88:FE119" si="71">IF(DU88="", "", DU88*V$36)</f>
        <v>0</v>
      </c>
      <c r="FF88" s="139">
        <f t="shared" ref="FF88:FF119" si="72">IF(DV88="", "", DV88*W$36)</f>
        <v>0</v>
      </c>
      <c r="FG88" s="139">
        <f t="shared" ref="FG88:FG119" si="73">IF(DW88="", "", DW88*X$36)</f>
        <v>0</v>
      </c>
      <c r="FH88" s="139">
        <f t="shared" ref="FH88:FH119" si="74">IF(DX88="", "", DX88*Y$36)</f>
        <v>0</v>
      </c>
      <c r="FI88" s="139">
        <f t="shared" ref="FI88:FI119" si="75">IF(DY88="", "", DY88*Z$36)</f>
        <v>0</v>
      </c>
      <c r="FJ88" s="139">
        <f t="shared" ref="FJ88:FJ119" si="76">IF(DZ88="", "", DZ88*AA$36)</f>
        <v>0</v>
      </c>
      <c r="FK88" s="139">
        <f t="shared" ref="FK88:FK119" si="77">IF(EA88="", "", EA88*AB$36)</f>
        <v>0</v>
      </c>
      <c r="FL88" s="139">
        <f t="shared" ref="FL88:FL119" si="78">IF(EB88="", "", EB88*AC$36)</f>
        <v>0</v>
      </c>
      <c r="FM88" s="139">
        <f t="shared" ref="FM88:FM119" si="79">IF(EC88="", "", EC88*AD$36)</f>
        <v>0</v>
      </c>
      <c r="FN88" s="139">
        <f t="shared" ref="FN88:FN119" si="80">IF(ED88="", "", ED88*AE$36)</f>
        <v>0</v>
      </c>
      <c r="FO88" s="139">
        <f t="shared" ref="FO88:FO119" si="81">IF(EE88="", "", EE88*AF$36)</f>
        <v>0</v>
      </c>
      <c r="FP88" s="139">
        <f t="shared" ref="FP88:FP119" si="82">IF(EF88="", "", EF88*AG$36)</f>
        <v>0</v>
      </c>
      <c r="FQ88" s="139">
        <f t="shared" ref="FQ88:FQ119" si="83">IF(EG88="", "", EG88*AH$36)</f>
        <v>0</v>
      </c>
      <c r="FR88" s="139">
        <f t="shared" ref="FR88:FR119" si="84">IF(EH88="", "", EH88*AI$36)</f>
        <v>0</v>
      </c>
      <c r="FS88" s="139">
        <f t="shared" ref="FS88:FS119" si="85">IF(EI88="", "", EI88*AJ$36)</f>
        <v>0</v>
      </c>
      <c r="FT88" s="139">
        <f t="shared" ref="FT88:FT119" si="86">IF(EJ88="", "", EJ88*AK$36)</f>
        <v>0</v>
      </c>
      <c r="FU88" s="148">
        <f t="shared" ref="FU88:FU119" si="87">IF(EP88="","",SUM(EP88:FT88))</f>
        <v>2.0231658489627415</v>
      </c>
      <c r="FV88" s="149"/>
      <c r="FY88" s="211">
        <v>83</v>
      </c>
      <c r="FZ88">
        <v>1.1977322809992441</v>
      </c>
      <c r="GA88">
        <v>0.47460065171768845</v>
      </c>
      <c r="GB88">
        <v>0.14202990935487192</v>
      </c>
      <c r="GC88">
        <v>7.8958100610881349E-2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0.21224438872964363</v>
      </c>
      <c r="GJ88"/>
      <c r="GK88">
        <v>1.2029093155842578</v>
      </c>
      <c r="GL88">
        <v>0.40705572478708768</v>
      </c>
      <c r="GM88">
        <v>0.23585576644039991</v>
      </c>
      <c r="GN88">
        <v>0.23585576644039991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0.28775301640493156</v>
      </c>
      <c r="GU88"/>
      <c r="GV88"/>
      <c r="GW88"/>
      <c r="GX88"/>
      <c r="GY88"/>
      <c r="GZ88"/>
      <c r="HA88"/>
      <c r="HB88"/>
      <c r="HC88"/>
    </row>
    <row r="89" spans="1:211" s="7" customFormat="1">
      <c r="A89" s="115"/>
      <c r="B89" s="76">
        <f t="shared" ca="1" si="50"/>
        <v>0.94313829821163697</v>
      </c>
      <c r="C89">
        <v>8</v>
      </c>
      <c r="D89">
        <v>39646</v>
      </c>
      <c r="E89">
        <v>0</v>
      </c>
      <c r="F89">
        <v>0</v>
      </c>
      <c r="G89">
        <v>0</v>
      </c>
      <c r="H89">
        <v>10.416666666666666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3.0322916666666666</v>
      </c>
      <c r="AO89">
        <v>0.50142635477749065</v>
      </c>
      <c r="AP89">
        <v>16.982793066115327</v>
      </c>
      <c r="AQ89">
        <v>3.9758945606389915</v>
      </c>
      <c r="AR89">
        <v>0.5165739038434547</v>
      </c>
      <c r="AS89">
        <v>2.3776259239920683</v>
      </c>
      <c r="AT89" t="e">
        <v>#DIV/0!</v>
      </c>
      <c r="AU89" t="e">
        <v>#DIV/0!</v>
      </c>
      <c r="AV89"/>
      <c r="AW89"/>
      <c r="AX89" s="150"/>
      <c r="AY89" s="76">
        <f t="shared" ref="AY89:AY151" ca="1" si="88">IF(AZ89="", "", RAND())</f>
        <v>0.66825092015960319</v>
      </c>
      <c r="AZ89">
        <v>2</v>
      </c>
      <c r="BA89" s="129">
        <f t="shared" ref="BA89:BA97" si="89">IF(AZ89="", "",$C$4)</f>
        <v>39646</v>
      </c>
      <c r="BB89">
        <v>0</v>
      </c>
      <c r="BC89">
        <v>0</v>
      </c>
      <c r="BD89">
        <v>0</v>
      </c>
      <c r="BE89">
        <v>1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 s="147"/>
      <c r="CH89" s="176"/>
      <c r="CJ89" s="150"/>
      <c r="CK89" s="76">
        <f t="shared" ref="CK89:CK152" ca="1" si="90">IF(AZ89="", "", RAND())</f>
        <v>0.79959300920553944</v>
      </c>
      <c r="CL89" s="179">
        <f t="shared" ref="CL89:CL152" si="91">IF(AZ89="", "", AZ89)</f>
        <v>2</v>
      </c>
      <c r="CM89" s="180">
        <f t="shared" ref="CM89:CM152" si="92">IF(AZ89="", "", BA89)</f>
        <v>39646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W89">
        <v>1</v>
      </c>
      <c r="CX89">
        <f>2/1</f>
        <v>2</v>
      </c>
      <c r="CY89" s="158"/>
      <c r="CZ89" s="177">
        <f t="shared" ref="CZ89:CZ152" si="93">IF(AZ89="", "", $G$15)</f>
        <v>9.6000000000000002E-2</v>
      </c>
      <c r="DB89" s="150"/>
      <c r="DC89" s="76">
        <f t="shared" ca="1" si="51"/>
        <v>0.33099231764095549</v>
      </c>
      <c r="DD89">
        <f t="shared" ref="DD89:DD152" si="94">IF(AZ89="", "", AZ89)</f>
        <v>2</v>
      </c>
      <c r="DE89" s="129">
        <f t="shared" si="52"/>
        <v>39646</v>
      </c>
      <c r="DF89" s="161">
        <f t="shared" ref="DF89:DF152" si="95">IF($AZ89="", "", ((BB89*$CW89)+(CN89*$CX89))/$CZ89)</f>
        <v>0</v>
      </c>
      <c r="DG89" s="161">
        <f t="shared" ref="DG89:DG152" si="96">IF($AZ89="", "", ((BC89*$CW89)+(CO89*$CX89))/$CZ89)</f>
        <v>0</v>
      </c>
      <c r="DH89" s="161">
        <f t="shared" ref="DH89:DH152" si="97">IF($AZ89="", "", ((BD89*$CW89)+(CP89*$CX89))/$CZ89)</f>
        <v>0</v>
      </c>
      <c r="DI89" s="161">
        <f t="shared" ref="DI89:DI152" si="98">IF($AZ89="", "", ((BE89*$CW89)+(CQ89*$CX89))/$CZ89)</f>
        <v>10.416666666666666</v>
      </c>
      <c r="DJ89" s="161">
        <f t="shared" ref="DJ89:DJ152" si="99">IF($AZ89="", "", ((BF89*$CW89)+(CR89*$CX89))/$CZ89)</f>
        <v>0</v>
      </c>
      <c r="DK89" s="161">
        <f t="shared" ref="DK89:DK152" si="100">IF($AZ89="", "", ((BG89*$CW89)+(CS89*$CX89))/$CZ89)</f>
        <v>0</v>
      </c>
      <c r="DL89" s="161">
        <f t="shared" ref="DL89:DL152" si="101">IF($AZ89="", "", ((BH89*$CW89)+(CT89*$CX89))/$CZ89)</f>
        <v>0</v>
      </c>
      <c r="DM89" s="161">
        <f t="shared" ref="DM89:DM152" si="102">IF($AZ89="", "", ((BI89*$CW89)+(CU89*$CX89))/$CZ89)</f>
        <v>0</v>
      </c>
      <c r="DN89" s="161">
        <f t="shared" ref="DN89:DN152" si="103">IF($AZ89="", "", (BJ89*$CW89)/$CZ89)</f>
        <v>0</v>
      </c>
      <c r="DO89" s="161">
        <f t="shared" ref="DO89:DO152" si="104">IF($AZ89="", "", (BK89*$CW89)/$CZ89)</f>
        <v>0</v>
      </c>
      <c r="DP89" s="161">
        <f t="shared" ref="DP89:DP152" si="105">IF($AZ89="", "", (BL89*$CW89)/$CZ89)</f>
        <v>0</v>
      </c>
      <c r="DQ89" s="161">
        <f t="shared" ref="DQ89:DQ152" si="106">IF($AZ89="", "", (BM89*$CW89)/$CZ89)</f>
        <v>0</v>
      </c>
      <c r="DR89" s="161">
        <f t="shared" ref="DR89:DR152" si="107">IF($AZ89="", "", (BN89*$CW89)/$CZ89)</f>
        <v>0</v>
      </c>
      <c r="DS89" s="161">
        <f t="shared" ref="DS89:DS152" si="108">IF($AZ89="", "", (BO89*$CW89)/$CZ89)</f>
        <v>0</v>
      </c>
      <c r="DT89" s="161">
        <f t="shared" ref="DT89:DT152" si="109">IF($AZ89="", "", (BP89*$CW89)/$CZ89)</f>
        <v>0</v>
      </c>
      <c r="DU89" s="161">
        <f t="shared" ref="DU89:DU152" si="110">IF($AZ89="", "", (BQ89*$CW89)/$CZ89)</f>
        <v>0</v>
      </c>
      <c r="DV89" s="161">
        <f t="shared" ref="DV89:DV152" si="111">IF($AZ89="", "", (BR89*$CW89)/$CZ89)</f>
        <v>0</v>
      </c>
      <c r="DW89" s="161">
        <f t="shared" ref="DW89:DW152" si="112">IF($AZ89="", "", (BS89*$CW89)/$CZ89)</f>
        <v>0</v>
      </c>
      <c r="DX89" s="161">
        <f t="shared" ref="DX89:DX152" si="113">IF($AZ89="", "", (BT89*$CW89)/$CZ89)</f>
        <v>0</v>
      </c>
      <c r="DY89" s="161">
        <f t="shared" ref="DY89:DY152" si="114">IF($AZ89="", "", (BU89*$CW89)/$CZ89)</f>
        <v>0</v>
      </c>
      <c r="DZ89" s="161">
        <f t="shared" ref="DZ89:DZ152" si="115">IF($AZ89="", "", (BV89*$CW89)/$CZ89)</f>
        <v>0</v>
      </c>
      <c r="EA89" s="161">
        <f t="shared" ref="EA89:EA152" si="116">IF($AZ89="", "", (BW89*$CW89)/$CZ89)</f>
        <v>0</v>
      </c>
      <c r="EB89" s="161">
        <f t="shared" ref="EB89:EB152" si="117">IF($AZ89="", "", (BX89*$CW89)/$CZ89)</f>
        <v>0</v>
      </c>
      <c r="EC89" s="161">
        <f t="shared" ref="EC89:EC152" si="118">IF($AZ89="", "", (BY89*$CW89)/$CZ89)</f>
        <v>0</v>
      </c>
      <c r="ED89" s="161">
        <f t="shared" ref="ED89:ED152" si="119">IF($AZ89="", "", (BZ89*$CW89)/$CZ89)</f>
        <v>0</v>
      </c>
      <c r="EE89" s="161">
        <f t="shared" ref="EE89:EE152" si="120">IF($AZ89="", "", (CA89*$CW89)/$CZ89)</f>
        <v>0</v>
      </c>
      <c r="EF89" s="161">
        <f t="shared" ref="EF89:EF152" si="121">IF($AZ89="", "", (CB89*$CW89)/$CZ89)</f>
        <v>0</v>
      </c>
      <c r="EG89" s="161">
        <f t="shared" ref="EG89:EG152" si="122">IF($AZ89="", "", (CC89*$CW89)/$CZ89)</f>
        <v>0</v>
      </c>
      <c r="EH89" s="161">
        <f t="shared" ref="EH89:EH152" si="123">IF($AZ89="", "", (CD89*$CW89)/$CZ89)</f>
        <v>0</v>
      </c>
      <c r="EI89" s="161">
        <f t="shared" ref="EI89:EI152" si="124">IF($AZ89="", "", (CE89*$CW89)/$CZ89)</f>
        <v>0</v>
      </c>
      <c r="EJ89" s="161">
        <f t="shared" ref="EJ89:EJ152" si="125">IF($AZ89="", "", (CF89*$CW89)/$CZ89)</f>
        <v>0</v>
      </c>
      <c r="EK89" s="147">
        <f t="shared" si="55"/>
        <v>10.416666666666666</v>
      </c>
      <c r="EL89" s="149"/>
      <c r="EN89" s="150"/>
      <c r="EO89" s="150"/>
      <c r="EP89" s="139">
        <f t="shared" si="56"/>
        <v>0</v>
      </c>
      <c r="EQ89" s="139">
        <f t="shared" si="57"/>
        <v>0</v>
      </c>
      <c r="ER89" s="139">
        <f t="shared" si="58"/>
        <v>0</v>
      </c>
      <c r="ES89" s="139">
        <f t="shared" si="59"/>
        <v>0.42746857492092111</v>
      </c>
      <c r="ET89" s="139">
        <f t="shared" si="60"/>
        <v>0</v>
      </c>
      <c r="EU89" s="139">
        <f t="shared" si="61"/>
        <v>0</v>
      </c>
      <c r="EV89" s="139">
        <f t="shared" si="62"/>
        <v>0</v>
      </c>
      <c r="EW89" s="139">
        <f t="shared" si="63"/>
        <v>0</v>
      </c>
      <c r="EX89" s="139">
        <f t="shared" si="64"/>
        <v>0</v>
      </c>
      <c r="EY89" s="139">
        <f t="shared" si="65"/>
        <v>0</v>
      </c>
      <c r="EZ89" s="139">
        <f t="shared" si="66"/>
        <v>0</v>
      </c>
      <c r="FA89" s="139">
        <f t="shared" si="67"/>
        <v>0</v>
      </c>
      <c r="FB89" s="139">
        <f t="shared" si="68"/>
        <v>0</v>
      </c>
      <c r="FC89" s="139">
        <f t="shared" si="69"/>
        <v>0</v>
      </c>
      <c r="FD89" s="139">
        <f t="shared" si="70"/>
        <v>0</v>
      </c>
      <c r="FE89" s="139">
        <f t="shared" si="71"/>
        <v>0</v>
      </c>
      <c r="FF89" s="139">
        <f t="shared" si="72"/>
        <v>0</v>
      </c>
      <c r="FG89" s="139">
        <f t="shared" si="73"/>
        <v>0</v>
      </c>
      <c r="FH89" s="139">
        <f t="shared" si="74"/>
        <v>0</v>
      </c>
      <c r="FI89" s="139">
        <f t="shared" si="75"/>
        <v>0</v>
      </c>
      <c r="FJ89" s="139">
        <f t="shared" si="76"/>
        <v>0</v>
      </c>
      <c r="FK89" s="139">
        <f t="shared" si="77"/>
        <v>0</v>
      </c>
      <c r="FL89" s="139">
        <f t="shared" si="78"/>
        <v>0</v>
      </c>
      <c r="FM89" s="139">
        <f t="shared" si="79"/>
        <v>0</v>
      </c>
      <c r="FN89" s="139">
        <f t="shared" si="80"/>
        <v>0</v>
      </c>
      <c r="FO89" s="139">
        <f t="shared" si="81"/>
        <v>0</v>
      </c>
      <c r="FP89" s="139">
        <f t="shared" si="82"/>
        <v>0</v>
      </c>
      <c r="FQ89" s="139">
        <f t="shared" si="83"/>
        <v>0</v>
      </c>
      <c r="FR89" s="139">
        <f t="shared" si="84"/>
        <v>0</v>
      </c>
      <c r="FS89" s="139">
        <f t="shared" si="85"/>
        <v>0</v>
      </c>
      <c r="FT89" s="139">
        <f t="shared" si="86"/>
        <v>0</v>
      </c>
      <c r="FU89" s="148">
        <f t="shared" si="87"/>
        <v>0.42746857492092111</v>
      </c>
      <c r="FV89" s="149"/>
      <c r="FY89" s="211">
        <v>84</v>
      </c>
      <c r="FZ89">
        <v>0.64534719428461229</v>
      </c>
      <c r="GA89">
        <v>8.725047411847664E-2</v>
      </c>
      <c r="GB89">
        <v>0.15840797322414965</v>
      </c>
      <c r="GC89">
        <v>8.8277651303840327E-2</v>
      </c>
      <c r="GD89">
        <v>0</v>
      </c>
      <c r="GE89">
        <v>0</v>
      </c>
      <c r="GF89">
        <v>0.33021050058332063</v>
      </c>
      <c r="GG89">
        <v>0.29759236750664797</v>
      </c>
      <c r="GH89">
        <v>0</v>
      </c>
      <c r="GI89">
        <v>0.19840258215909798</v>
      </c>
      <c r="GJ89"/>
      <c r="GK89">
        <v>0.64998320215250238</v>
      </c>
      <c r="GL89">
        <v>7.3740509229249462E-2</v>
      </c>
      <c r="GM89">
        <v>0.26183540241601705</v>
      </c>
      <c r="GN89">
        <v>0.26183540241601705</v>
      </c>
      <c r="GO89">
        <v>0</v>
      </c>
      <c r="GP89">
        <v>0</v>
      </c>
      <c r="GQ89">
        <v>0.45369793096285549</v>
      </c>
      <c r="GR89">
        <v>0.45369793096285549</v>
      </c>
      <c r="GS89">
        <v>0</v>
      </c>
      <c r="GT89">
        <v>0.27310330710627501</v>
      </c>
      <c r="GU89"/>
      <c r="GV89"/>
      <c r="GW89"/>
      <c r="GX89"/>
      <c r="GY89"/>
      <c r="GZ89"/>
      <c r="HA89"/>
      <c r="HB89"/>
      <c r="HC89"/>
    </row>
    <row r="90" spans="1:211" s="7" customFormat="1">
      <c r="A90" s="115"/>
      <c r="B90" s="76">
        <f t="shared" ca="1" si="50"/>
        <v>0.45189817039174685</v>
      </c>
      <c r="C90">
        <v>2</v>
      </c>
      <c r="D90">
        <v>39646</v>
      </c>
      <c r="E90">
        <v>0</v>
      </c>
      <c r="F90">
        <v>0</v>
      </c>
      <c r="G90">
        <v>0</v>
      </c>
      <c r="H90">
        <v>10.416666666666666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2.5208333333333335</v>
      </c>
      <c r="AO90">
        <v>0.37567867859565129</v>
      </c>
      <c r="AP90">
        <v>15.827656554621221</v>
      </c>
      <c r="AQ90">
        <v>2.3718973581607279</v>
      </c>
      <c r="AR90">
        <v>0.37879022098626858</v>
      </c>
      <c r="AS90">
        <v>1.9096976612234218</v>
      </c>
      <c r="AT90" t="e">
        <v>#DIV/0!</v>
      </c>
      <c r="AU90" t="e">
        <v>#DIV/0!</v>
      </c>
      <c r="AV90"/>
      <c r="AW90"/>
      <c r="AX90" s="150"/>
      <c r="AY90" s="76">
        <f t="shared" ca="1" si="88"/>
        <v>0.9815496341406158</v>
      </c>
      <c r="AZ90">
        <v>3</v>
      </c>
      <c r="BA90" s="129">
        <f t="shared" si="89"/>
        <v>39646</v>
      </c>
      <c r="BB90">
        <v>0</v>
      </c>
      <c r="BC90">
        <v>0</v>
      </c>
      <c r="BD90">
        <v>0</v>
      </c>
      <c r="BE90">
        <v>3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 s="147"/>
      <c r="CH90" s="176"/>
      <c r="CJ90" s="150"/>
      <c r="CK90" s="76">
        <f t="shared" ca="1" si="90"/>
        <v>0.15407110857909689</v>
      </c>
      <c r="CL90" s="179">
        <f t="shared" si="91"/>
        <v>3</v>
      </c>
      <c r="CM90" s="180">
        <f t="shared" si="92"/>
        <v>39646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W90">
        <v>1</v>
      </c>
      <c r="CX90">
        <v>1</v>
      </c>
      <c r="CY90" s="158"/>
      <c r="CZ90" s="177">
        <f t="shared" si="93"/>
        <v>9.6000000000000002E-2</v>
      </c>
      <c r="DB90" s="150"/>
      <c r="DC90" s="76">
        <f t="shared" ca="1" si="51"/>
        <v>0.77705905579235734</v>
      </c>
      <c r="DD90">
        <f t="shared" si="94"/>
        <v>3</v>
      </c>
      <c r="DE90" s="129">
        <f t="shared" si="52"/>
        <v>39646</v>
      </c>
      <c r="DF90" s="161">
        <f t="shared" si="95"/>
        <v>0</v>
      </c>
      <c r="DG90" s="161">
        <f t="shared" si="96"/>
        <v>0</v>
      </c>
      <c r="DH90" s="161">
        <f t="shared" si="97"/>
        <v>0</v>
      </c>
      <c r="DI90" s="161">
        <f t="shared" si="98"/>
        <v>31.25</v>
      </c>
      <c r="DJ90" s="161">
        <f t="shared" si="99"/>
        <v>0</v>
      </c>
      <c r="DK90" s="161">
        <f t="shared" si="100"/>
        <v>0</v>
      </c>
      <c r="DL90" s="161">
        <f t="shared" si="101"/>
        <v>0</v>
      </c>
      <c r="DM90" s="161">
        <f t="shared" si="102"/>
        <v>0</v>
      </c>
      <c r="DN90" s="161">
        <f t="shared" si="103"/>
        <v>0</v>
      </c>
      <c r="DO90" s="161">
        <f t="shared" si="104"/>
        <v>0</v>
      </c>
      <c r="DP90" s="161">
        <f t="shared" si="105"/>
        <v>0</v>
      </c>
      <c r="DQ90" s="161">
        <f t="shared" si="106"/>
        <v>0</v>
      </c>
      <c r="DR90" s="161">
        <f t="shared" si="107"/>
        <v>0</v>
      </c>
      <c r="DS90" s="161">
        <f t="shared" si="108"/>
        <v>0</v>
      </c>
      <c r="DT90" s="161">
        <f t="shared" si="109"/>
        <v>0</v>
      </c>
      <c r="DU90" s="161">
        <f t="shared" si="110"/>
        <v>0</v>
      </c>
      <c r="DV90" s="161">
        <f t="shared" si="111"/>
        <v>0</v>
      </c>
      <c r="DW90" s="161">
        <f t="shared" si="112"/>
        <v>0</v>
      </c>
      <c r="DX90" s="161">
        <f t="shared" si="113"/>
        <v>0</v>
      </c>
      <c r="DY90" s="161">
        <f t="shared" si="114"/>
        <v>0</v>
      </c>
      <c r="DZ90" s="161">
        <f t="shared" si="115"/>
        <v>0</v>
      </c>
      <c r="EA90" s="161">
        <f t="shared" si="116"/>
        <v>0</v>
      </c>
      <c r="EB90" s="161">
        <f t="shared" si="117"/>
        <v>0</v>
      </c>
      <c r="EC90" s="161">
        <f t="shared" si="118"/>
        <v>0</v>
      </c>
      <c r="ED90" s="161">
        <f t="shared" si="119"/>
        <v>0</v>
      </c>
      <c r="EE90" s="161">
        <f t="shared" si="120"/>
        <v>0</v>
      </c>
      <c r="EF90" s="161">
        <f t="shared" si="121"/>
        <v>0</v>
      </c>
      <c r="EG90" s="161">
        <f t="shared" si="122"/>
        <v>0</v>
      </c>
      <c r="EH90" s="161">
        <f t="shared" si="123"/>
        <v>0</v>
      </c>
      <c r="EI90" s="161">
        <f t="shared" si="124"/>
        <v>0</v>
      </c>
      <c r="EJ90" s="161">
        <f t="shared" si="125"/>
        <v>0</v>
      </c>
      <c r="EK90" s="147">
        <f t="shared" si="55"/>
        <v>31.25</v>
      </c>
      <c r="EL90" s="149"/>
      <c r="EN90" s="150"/>
      <c r="EO90" s="150"/>
      <c r="EP90" s="139">
        <f t="shared" si="56"/>
        <v>0</v>
      </c>
      <c r="EQ90" s="139">
        <f t="shared" si="57"/>
        <v>0</v>
      </c>
      <c r="ER90" s="139">
        <f t="shared" si="58"/>
        <v>0</v>
      </c>
      <c r="ES90" s="139">
        <f t="shared" si="59"/>
        <v>1.2824057247627634</v>
      </c>
      <c r="ET90" s="139">
        <f t="shared" si="60"/>
        <v>0</v>
      </c>
      <c r="EU90" s="139">
        <f t="shared" si="61"/>
        <v>0</v>
      </c>
      <c r="EV90" s="139">
        <f t="shared" si="62"/>
        <v>0</v>
      </c>
      <c r="EW90" s="139">
        <f t="shared" si="63"/>
        <v>0</v>
      </c>
      <c r="EX90" s="139">
        <f t="shared" si="64"/>
        <v>0</v>
      </c>
      <c r="EY90" s="139">
        <f t="shared" si="65"/>
        <v>0</v>
      </c>
      <c r="EZ90" s="139">
        <f t="shared" si="66"/>
        <v>0</v>
      </c>
      <c r="FA90" s="139">
        <f t="shared" si="67"/>
        <v>0</v>
      </c>
      <c r="FB90" s="139">
        <f t="shared" si="68"/>
        <v>0</v>
      </c>
      <c r="FC90" s="139">
        <f t="shared" si="69"/>
        <v>0</v>
      </c>
      <c r="FD90" s="139">
        <f t="shared" si="70"/>
        <v>0</v>
      </c>
      <c r="FE90" s="139">
        <f t="shared" si="71"/>
        <v>0</v>
      </c>
      <c r="FF90" s="139">
        <f t="shared" si="72"/>
        <v>0</v>
      </c>
      <c r="FG90" s="139">
        <f t="shared" si="73"/>
        <v>0</v>
      </c>
      <c r="FH90" s="139">
        <f t="shared" si="74"/>
        <v>0</v>
      </c>
      <c r="FI90" s="139">
        <f t="shared" si="75"/>
        <v>0</v>
      </c>
      <c r="FJ90" s="139">
        <f t="shared" si="76"/>
        <v>0</v>
      </c>
      <c r="FK90" s="139">
        <f t="shared" si="77"/>
        <v>0</v>
      </c>
      <c r="FL90" s="139">
        <f t="shared" si="78"/>
        <v>0</v>
      </c>
      <c r="FM90" s="139">
        <f t="shared" si="79"/>
        <v>0</v>
      </c>
      <c r="FN90" s="139">
        <f t="shared" si="80"/>
        <v>0</v>
      </c>
      <c r="FO90" s="139">
        <f t="shared" si="81"/>
        <v>0</v>
      </c>
      <c r="FP90" s="139">
        <f t="shared" si="82"/>
        <v>0</v>
      </c>
      <c r="FQ90" s="139">
        <f t="shared" si="83"/>
        <v>0</v>
      </c>
      <c r="FR90" s="139">
        <f t="shared" si="84"/>
        <v>0</v>
      </c>
      <c r="FS90" s="139">
        <f t="shared" si="85"/>
        <v>0</v>
      </c>
      <c r="FT90" s="139">
        <f t="shared" si="86"/>
        <v>0</v>
      </c>
      <c r="FU90" s="148">
        <f t="shared" si="87"/>
        <v>1.2824057247627634</v>
      </c>
      <c r="FV90" s="149"/>
      <c r="FY90" s="211">
        <v>85</v>
      </c>
      <c r="FZ90">
        <v>0.90323482534509236</v>
      </c>
      <c r="GA90">
        <v>0.47460065171768845</v>
      </c>
      <c r="GB90">
        <v>0.204855832097669</v>
      </c>
      <c r="GC90">
        <v>0.11377737556984255</v>
      </c>
      <c r="GD90">
        <v>0</v>
      </c>
      <c r="GE90">
        <v>0</v>
      </c>
      <c r="GF90">
        <v>0.66042100116664126</v>
      </c>
      <c r="GG90">
        <v>0.59518473501329594</v>
      </c>
      <c r="GH90">
        <v>0</v>
      </c>
      <c r="GI90">
        <v>0.31224440864294045</v>
      </c>
      <c r="GJ90"/>
      <c r="GK90">
        <v>0.90680283255493155</v>
      </c>
      <c r="GL90">
        <v>0.40705572478708768</v>
      </c>
      <c r="GM90">
        <v>0.34079383167279126</v>
      </c>
      <c r="GN90">
        <v>0.34079383167279126</v>
      </c>
      <c r="GO90">
        <v>0</v>
      </c>
      <c r="GP90">
        <v>0</v>
      </c>
      <c r="GQ90">
        <v>0.90739586192571098</v>
      </c>
      <c r="GR90">
        <v>0.90739586192571098</v>
      </c>
      <c r="GS90">
        <v>0</v>
      </c>
      <c r="GT90">
        <v>0.43099850523068678</v>
      </c>
      <c r="GU90"/>
      <c r="GV90"/>
      <c r="GW90"/>
      <c r="GX90"/>
      <c r="GY90"/>
      <c r="GZ90"/>
      <c r="HA90"/>
      <c r="HB90"/>
      <c r="HC90"/>
    </row>
    <row r="91" spans="1:211" s="7" customFormat="1">
      <c r="A91" s="77"/>
      <c r="B91" s="76">
        <f t="shared" ca="1" si="50"/>
        <v>0.99547899506252602</v>
      </c>
      <c r="C91">
        <v>6</v>
      </c>
      <c r="D91">
        <v>39646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10.416666666666666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3.0531250000000001</v>
      </c>
      <c r="AO91">
        <v>0.39986287527223546</v>
      </c>
      <c r="AP91">
        <v>12.0176417669994</v>
      </c>
      <c r="AQ91">
        <v>3.4476702845890683</v>
      </c>
      <c r="AR91">
        <v>0.44040743736723725</v>
      </c>
      <c r="AS91">
        <v>2.4538467941413362</v>
      </c>
      <c r="AT91" t="e">
        <v>#DIV/0!</v>
      </c>
      <c r="AU91" t="e">
        <v>#DIV/0!</v>
      </c>
      <c r="AV91"/>
      <c r="AW91"/>
      <c r="AX91" s="151"/>
      <c r="AY91" s="76">
        <f t="shared" ca="1" si="88"/>
        <v>0.18051543104871737</v>
      </c>
      <c r="AZ91">
        <v>4</v>
      </c>
      <c r="BA91" s="129">
        <f t="shared" si="89"/>
        <v>39646</v>
      </c>
      <c r="BB91">
        <v>0</v>
      </c>
      <c r="BC91">
        <v>0</v>
      </c>
      <c r="BD91">
        <v>7</v>
      </c>
      <c r="BE91">
        <v>3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 s="147"/>
      <c r="CH91" s="176"/>
      <c r="CJ91" s="151"/>
      <c r="CK91" s="76">
        <f t="shared" ca="1" si="90"/>
        <v>0.36724996185633541</v>
      </c>
      <c r="CL91" s="179">
        <f t="shared" si="91"/>
        <v>4</v>
      </c>
      <c r="CM91" s="180">
        <f t="shared" si="92"/>
        <v>39646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W91">
        <v>1</v>
      </c>
      <c r="CX91">
        <v>1</v>
      </c>
      <c r="CY91" s="158"/>
      <c r="CZ91" s="177">
        <f t="shared" si="93"/>
        <v>9.6000000000000002E-2</v>
      </c>
      <c r="DB91" s="151"/>
      <c r="DC91" s="76">
        <f t="shared" ca="1" si="51"/>
        <v>0.27956463337923143</v>
      </c>
      <c r="DD91">
        <f t="shared" si="94"/>
        <v>4</v>
      </c>
      <c r="DE91" s="129">
        <f t="shared" si="52"/>
        <v>39646</v>
      </c>
      <c r="DF91" s="161">
        <f t="shared" si="95"/>
        <v>0</v>
      </c>
      <c r="DG91" s="161">
        <f t="shared" si="96"/>
        <v>0</v>
      </c>
      <c r="DH91" s="161">
        <f t="shared" si="97"/>
        <v>72.916666666666671</v>
      </c>
      <c r="DI91" s="161">
        <f t="shared" si="98"/>
        <v>31.25</v>
      </c>
      <c r="DJ91" s="161">
        <f t="shared" si="99"/>
        <v>0</v>
      </c>
      <c r="DK91" s="161">
        <f t="shared" si="100"/>
        <v>0</v>
      </c>
      <c r="DL91" s="161">
        <f t="shared" si="101"/>
        <v>0</v>
      </c>
      <c r="DM91" s="161">
        <f t="shared" si="102"/>
        <v>0</v>
      </c>
      <c r="DN91" s="161">
        <f t="shared" si="103"/>
        <v>0</v>
      </c>
      <c r="DO91" s="161">
        <f t="shared" si="104"/>
        <v>0</v>
      </c>
      <c r="DP91" s="161">
        <f t="shared" si="105"/>
        <v>0</v>
      </c>
      <c r="DQ91" s="161">
        <f t="shared" si="106"/>
        <v>0</v>
      </c>
      <c r="DR91" s="161">
        <f t="shared" si="107"/>
        <v>0</v>
      </c>
      <c r="DS91" s="161">
        <f t="shared" si="108"/>
        <v>0</v>
      </c>
      <c r="DT91" s="161">
        <f t="shared" si="109"/>
        <v>0</v>
      </c>
      <c r="DU91" s="161">
        <f t="shared" si="110"/>
        <v>0</v>
      </c>
      <c r="DV91" s="161">
        <f t="shared" si="111"/>
        <v>0</v>
      </c>
      <c r="DW91" s="161">
        <f t="shared" si="112"/>
        <v>0</v>
      </c>
      <c r="DX91" s="161">
        <f t="shared" si="113"/>
        <v>0</v>
      </c>
      <c r="DY91" s="161">
        <f t="shared" si="114"/>
        <v>0</v>
      </c>
      <c r="DZ91" s="161">
        <f t="shared" si="115"/>
        <v>0</v>
      </c>
      <c r="EA91" s="161">
        <f t="shared" si="116"/>
        <v>0</v>
      </c>
      <c r="EB91" s="161">
        <f t="shared" si="117"/>
        <v>0</v>
      </c>
      <c r="EC91" s="161">
        <f t="shared" si="118"/>
        <v>0</v>
      </c>
      <c r="ED91" s="161">
        <f t="shared" si="119"/>
        <v>0</v>
      </c>
      <c r="EE91" s="161">
        <f t="shared" si="120"/>
        <v>0</v>
      </c>
      <c r="EF91" s="161">
        <f t="shared" si="121"/>
        <v>0</v>
      </c>
      <c r="EG91" s="161">
        <f t="shared" si="122"/>
        <v>0</v>
      </c>
      <c r="EH91" s="161">
        <f t="shared" si="123"/>
        <v>0</v>
      </c>
      <c r="EI91" s="161">
        <f t="shared" si="124"/>
        <v>0</v>
      </c>
      <c r="EJ91" s="161">
        <f t="shared" si="125"/>
        <v>0</v>
      </c>
      <c r="EK91" s="147">
        <f t="shared" si="55"/>
        <v>104.16666666666667</v>
      </c>
      <c r="EL91" s="149"/>
      <c r="EN91" s="151"/>
      <c r="EO91" s="151"/>
      <c r="EP91" s="139">
        <f t="shared" si="56"/>
        <v>0</v>
      </c>
      <c r="EQ91" s="139">
        <f t="shared" si="57"/>
        <v>0</v>
      </c>
      <c r="ER91" s="139">
        <f t="shared" si="58"/>
        <v>0.84620962619781981</v>
      </c>
      <c r="ES91" s="139">
        <f t="shared" si="59"/>
        <v>1.2824057247627634</v>
      </c>
      <c r="ET91" s="139">
        <f t="shared" si="60"/>
        <v>0</v>
      </c>
      <c r="EU91" s="139">
        <f t="shared" si="61"/>
        <v>0</v>
      </c>
      <c r="EV91" s="139">
        <f t="shared" si="62"/>
        <v>0</v>
      </c>
      <c r="EW91" s="139">
        <f t="shared" si="63"/>
        <v>0</v>
      </c>
      <c r="EX91" s="139">
        <f t="shared" si="64"/>
        <v>0</v>
      </c>
      <c r="EY91" s="139">
        <f t="shared" si="65"/>
        <v>0</v>
      </c>
      <c r="EZ91" s="139">
        <f t="shared" si="66"/>
        <v>0</v>
      </c>
      <c r="FA91" s="139">
        <f t="shared" si="67"/>
        <v>0</v>
      </c>
      <c r="FB91" s="139">
        <f t="shared" si="68"/>
        <v>0</v>
      </c>
      <c r="FC91" s="139">
        <f t="shared" si="69"/>
        <v>0</v>
      </c>
      <c r="FD91" s="139">
        <f t="shared" si="70"/>
        <v>0</v>
      </c>
      <c r="FE91" s="139">
        <f t="shared" si="71"/>
        <v>0</v>
      </c>
      <c r="FF91" s="139">
        <f t="shared" si="72"/>
        <v>0</v>
      </c>
      <c r="FG91" s="139">
        <f t="shared" si="73"/>
        <v>0</v>
      </c>
      <c r="FH91" s="139">
        <f t="shared" si="74"/>
        <v>0</v>
      </c>
      <c r="FI91" s="139">
        <f t="shared" si="75"/>
        <v>0</v>
      </c>
      <c r="FJ91" s="139">
        <f t="shared" si="76"/>
        <v>0</v>
      </c>
      <c r="FK91" s="139">
        <f t="shared" si="77"/>
        <v>0</v>
      </c>
      <c r="FL91" s="139">
        <f t="shared" si="78"/>
        <v>0</v>
      </c>
      <c r="FM91" s="139">
        <f t="shared" si="79"/>
        <v>0</v>
      </c>
      <c r="FN91" s="139">
        <f t="shared" si="80"/>
        <v>0</v>
      </c>
      <c r="FO91" s="139">
        <f t="shared" si="81"/>
        <v>0</v>
      </c>
      <c r="FP91" s="139">
        <f t="shared" si="82"/>
        <v>0</v>
      </c>
      <c r="FQ91" s="139">
        <f t="shared" si="83"/>
        <v>0</v>
      </c>
      <c r="FR91" s="139">
        <f t="shared" si="84"/>
        <v>0</v>
      </c>
      <c r="FS91" s="139">
        <f t="shared" si="85"/>
        <v>0</v>
      </c>
      <c r="FT91" s="139">
        <f t="shared" si="86"/>
        <v>0</v>
      </c>
      <c r="FU91" s="148">
        <f t="shared" si="87"/>
        <v>2.1286153509605832</v>
      </c>
      <c r="FV91" s="149"/>
      <c r="FY91" s="211">
        <v>86</v>
      </c>
      <c r="FZ91">
        <v>0.96874443329079185</v>
      </c>
      <c r="GA91">
        <v>0.38735017759921181</v>
      </c>
      <c r="GB91">
        <v>0.28405981870974384</v>
      </c>
      <c r="GC91">
        <v>0.1579162012217627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0.21314022618350165</v>
      </c>
      <c r="GJ91"/>
      <c r="GK91">
        <v>0.97471870621499501</v>
      </c>
      <c r="GL91">
        <v>0.33331521555783822</v>
      </c>
      <c r="GM91">
        <v>0.47171153288079981</v>
      </c>
      <c r="GN91">
        <v>0.47171153288079981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0.28928604781915895</v>
      </c>
      <c r="GU91"/>
      <c r="GV91"/>
      <c r="GW91"/>
      <c r="GX91"/>
      <c r="GY91"/>
      <c r="GZ91"/>
      <c r="HA91"/>
      <c r="HB91"/>
      <c r="HC91"/>
    </row>
    <row r="92" spans="1:211" s="7" customFormat="1">
      <c r="A92" s="77"/>
      <c r="B92" s="76">
        <f t="shared" ca="1" si="50"/>
        <v>0.4176875995904572</v>
      </c>
      <c r="C92">
        <v>3</v>
      </c>
      <c r="D92">
        <v>39646</v>
      </c>
      <c r="E92">
        <v>0</v>
      </c>
      <c r="F92">
        <v>0</v>
      </c>
      <c r="G92">
        <v>0</v>
      </c>
      <c r="H92">
        <v>31.25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3.296875</v>
      </c>
      <c r="AO92">
        <v>0.20093749913772557</v>
      </c>
      <c r="AP92">
        <v>4.7446683698141401</v>
      </c>
      <c r="AQ92">
        <v>1.4459873556282303</v>
      </c>
      <c r="AR92">
        <v>0.24831709754047057</v>
      </c>
      <c r="AS92">
        <v>1.7207788316838379</v>
      </c>
      <c r="AT92" t="e">
        <v>#DIV/0!</v>
      </c>
      <c r="AU92" t="e">
        <v>#DIV/0!</v>
      </c>
      <c r="AV92"/>
      <c r="AW92"/>
      <c r="AX92" s="151"/>
      <c r="AY92" s="76">
        <f t="shared" ca="1" si="88"/>
        <v>0.12166621841680403</v>
      </c>
      <c r="AZ92">
        <v>5</v>
      </c>
      <c r="BA92" s="129">
        <f t="shared" si="89"/>
        <v>39646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 s="147"/>
      <c r="CH92" s="176"/>
      <c r="CJ92" s="151"/>
      <c r="CK92" s="76">
        <f t="shared" ca="1" si="90"/>
        <v>0.69490010891017029</v>
      </c>
      <c r="CL92" s="179">
        <f t="shared" si="91"/>
        <v>5</v>
      </c>
      <c r="CM92" s="180">
        <f t="shared" si="92"/>
        <v>39646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W92">
        <v>1</v>
      </c>
      <c r="CX92">
        <v>1</v>
      </c>
      <c r="CY92" s="158"/>
      <c r="CZ92" s="177">
        <f t="shared" si="93"/>
        <v>9.6000000000000002E-2</v>
      </c>
      <c r="DB92" s="151"/>
      <c r="DC92" s="76">
        <f t="shared" ca="1" si="51"/>
        <v>0.33919116989705156</v>
      </c>
      <c r="DD92">
        <f t="shared" si="94"/>
        <v>5</v>
      </c>
      <c r="DE92" s="129">
        <f t="shared" si="52"/>
        <v>39646</v>
      </c>
      <c r="DF92" s="161">
        <f t="shared" si="95"/>
        <v>0</v>
      </c>
      <c r="DG92" s="161">
        <f t="shared" si="96"/>
        <v>0</v>
      </c>
      <c r="DH92" s="161">
        <f t="shared" si="97"/>
        <v>0</v>
      </c>
      <c r="DI92" s="161">
        <f t="shared" si="98"/>
        <v>0</v>
      </c>
      <c r="DJ92" s="161">
        <f t="shared" si="99"/>
        <v>0</v>
      </c>
      <c r="DK92" s="161">
        <f t="shared" si="100"/>
        <v>0</v>
      </c>
      <c r="DL92" s="161">
        <f t="shared" si="101"/>
        <v>0</v>
      </c>
      <c r="DM92" s="161">
        <f t="shared" si="102"/>
        <v>0</v>
      </c>
      <c r="DN92" s="161">
        <f t="shared" si="103"/>
        <v>0</v>
      </c>
      <c r="DO92" s="161">
        <f t="shared" si="104"/>
        <v>0</v>
      </c>
      <c r="DP92" s="161">
        <f t="shared" si="105"/>
        <v>0</v>
      </c>
      <c r="DQ92" s="161">
        <f t="shared" si="106"/>
        <v>0</v>
      </c>
      <c r="DR92" s="161">
        <f t="shared" si="107"/>
        <v>0</v>
      </c>
      <c r="DS92" s="161">
        <f t="shared" si="108"/>
        <v>0</v>
      </c>
      <c r="DT92" s="161">
        <f t="shared" si="109"/>
        <v>0</v>
      </c>
      <c r="DU92" s="161">
        <f t="shared" si="110"/>
        <v>0</v>
      </c>
      <c r="DV92" s="161">
        <f t="shared" si="111"/>
        <v>0</v>
      </c>
      <c r="DW92" s="161">
        <f t="shared" si="112"/>
        <v>0</v>
      </c>
      <c r="DX92" s="161">
        <f t="shared" si="113"/>
        <v>0</v>
      </c>
      <c r="DY92" s="161">
        <f t="shared" si="114"/>
        <v>0</v>
      </c>
      <c r="DZ92" s="161">
        <f t="shared" si="115"/>
        <v>0</v>
      </c>
      <c r="EA92" s="161">
        <f t="shared" si="116"/>
        <v>0</v>
      </c>
      <c r="EB92" s="161">
        <f t="shared" si="117"/>
        <v>0</v>
      </c>
      <c r="EC92" s="161">
        <f t="shared" si="118"/>
        <v>0</v>
      </c>
      <c r="ED92" s="161">
        <f t="shared" si="119"/>
        <v>0</v>
      </c>
      <c r="EE92" s="161">
        <f t="shared" si="120"/>
        <v>0</v>
      </c>
      <c r="EF92" s="161">
        <f t="shared" si="121"/>
        <v>0</v>
      </c>
      <c r="EG92" s="161">
        <f t="shared" si="122"/>
        <v>0</v>
      </c>
      <c r="EH92" s="161">
        <f t="shared" si="123"/>
        <v>0</v>
      </c>
      <c r="EI92" s="161">
        <f t="shared" si="124"/>
        <v>0</v>
      </c>
      <c r="EJ92" s="161">
        <f t="shared" si="125"/>
        <v>0</v>
      </c>
      <c r="EK92" s="147">
        <f t="shared" si="55"/>
        <v>0</v>
      </c>
      <c r="EL92" s="149"/>
      <c r="EN92" s="151"/>
      <c r="EO92" s="151"/>
      <c r="EP92" s="139">
        <f t="shared" si="56"/>
        <v>0</v>
      </c>
      <c r="EQ92" s="139">
        <f t="shared" si="57"/>
        <v>0</v>
      </c>
      <c r="ER92" s="139">
        <f t="shared" si="58"/>
        <v>0</v>
      </c>
      <c r="ES92" s="139">
        <f t="shared" si="59"/>
        <v>0</v>
      </c>
      <c r="ET92" s="139">
        <f t="shared" si="60"/>
        <v>0</v>
      </c>
      <c r="EU92" s="139">
        <f t="shared" si="61"/>
        <v>0</v>
      </c>
      <c r="EV92" s="139">
        <f t="shared" si="62"/>
        <v>0</v>
      </c>
      <c r="EW92" s="139">
        <f t="shared" si="63"/>
        <v>0</v>
      </c>
      <c r="EX92" s="139">
        <f t="shared" si="64"/>
        <v>0</v>
      </c>
      <c r="EY92" s="139">
        <f t="shared" si="65"/>
        <v>0</v>
      </c>
      <c r="EZ92" s="139">
        <f t="shared" si="66"/>
        <v>0</v>
      </c>
      <c r="FA92" s="139">
        <f t="shared" si="67"/>
        <v>0</v>
      </c>
      <c r="FB92" s="139">
        <f t="shared" si="68"/>
        <v>0</v>
      </c>
      <c r="FC92" s="139">
        <f t="shared" si="69"/>
        <v>0</v>
      </c>
      <c r="FD92" s="139">
        <f t="shared" si="70"/>
        <v>0</v>
      </c>
      <c r="FE92" s="139">
        <f t="shared" si="71"/>
        <v>0</v>
      </c>
      <c r="FF92" s="139">
        <f t="shared" si="72"/>
        <v>0</v>
      </c>
      <c r="FG92" s="139">
        <f t="shared" si="73"/>
        <v>0</v>
      </c>
      <c r="FH92" s="139">
        <f t="shared" si="74"/>
        <v>0</v>
      </c>
      <c r="FI92" s="139">
        <f t="shared" si="75"/>
        <v>0</v>
      </c>
      <c r="FJ92" s="139">
        <f t="shared" si="76"/>
        <v>0</v>
      </c>
      <c r="FK92" s="139">
        <f t="shared" si="77"/>
        <v>0</v>
      </c>
      <c r="FL92" s="139">
        <f t="shared" si="78"/>
        <v>0</v>
      </c>
      <c r="FM92" s="139">
        <f t="shared" si="79"/>
        <v>0</v>
      </c>
      <c r="FN92" s="139">
        <f t="shared" si="80"/>
        <v>0</v>
      </c>
      <c r="FO92" s="139">
        <f t="shared" si="81"/>
        <v>0</v>
      </c>
      <c r="FP92" s="139">
        <f t="shared" si="82"/>
        <v>0</v>
      </c>
      <c r="FQ92" s="139">
        <f t="shared" si="83"/>
        <v>0</v>
      </c>
      <c r="FR92" s="139">
        <f t="shared" si="84"/>
        <v>0</v>
      </c>
      <c r="FS92" s="139">
        <f t="shared" si="85"/>
        <v>0</v>
      </c>
      <c r="FT92" s="139">
        <f t="shared" si="86"/>
        <v>0</v>
      </c>
      <c r="FU92" s="148">
        <f t="shared" si="87"/>
        <v>0</v>
      </c>
      <c r="FV92" s="149"/>
      <c r="FY92" s="211">
        <v>87</v>
      </c>
      <c r="FZ92">
        <v>0.72553461788712681</v>
      </c>
      <c r="GA92">
        <v>0.17450094823695328</v>
      </c>
      <c r="GB92">
        <v>6.282592274279708E-2</v>
      </c>
      <c r="GC92">
        <v>3.4819274958961192E-2</v>
      </c>
      <c r="GD92">
        <v>0</v>
      </c>
      <c r="GE92">
        <v>0</v>
      </c>
      <c r="GF92">
        <v>0.33021050058332063</v>
      </c>
      <c r="GG92">
        <v>0.29759236750664797</v>
      </c>
      <c r="GH92">
        <v>0</v>
      </c>
      <c r="GI92">
        <v>0.18703444578447437</v>
      </c>
      <c r="GJ92"/>
      <c r="GK92">
        <v>0.72689720564134097</v>
      </c>
      <c r="GL92">
        <v>0.14748101845849892</v>
      </c>
      <c r="GM92">
        <v>0.10493806523239137</v>
      </c>
      <c r="GN92">
        <v>0.10493806523239137</v>
      </c>
      <c r="GO92">
        <v>0</v>
      </c>
      <c r="GP92">
        <v>0</v>
      </c>
      <c r="GQ92">
        <v>0.45369793096285549</v>
      </c>
      <c r="GR92">
        <v>0.45369793096285549</v>
      </c>
      <c r="GS92">
        <v>0</v>
      </c>
      <c r="GT92">
        <v>0.25710664036731756</v>
      </c>
      <c r="GU92"/>
      <c r="GV92"/>
      <c r="GW92"/>
      <c r="GX92"/>
      <c r="GY92"/>
      <c r="GZ92"/>
      <c r="HA92"/>
      <c r="HB92"/>
      <c r="HC92"/>
    </row>
    <row r="93" spans="1:211" s="7" customFormat="1">
      <c r="A93" s="77"/>
      <c r="B93" s="76">
        <f t="shared" ca="1" si="50"/>
        <v>0.24453113056090103</v>
      </c>
      <c r="C93">
        <v>5</v>
      </c>
      <c r="D93">
        <v>39646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1.65625</v>
      </c>
      <c r="AO93">
        <v>0.17462199239305523</v>
      </c>
      <c r="AP93">
        <v>4.5362766938383734</v>
      </c>
      <c r="AQ93">
        <v>1.1677934077421015</v>
      </c>
      <c r="AR93">
        <v>0.20012798030341719</v>
      </c>
      <c r="AS93">
        <v>1.3972077484343046</v>
      </c>
      <c r="AT93" t="e">
        <v>#DIV/0!</v>
      </c>
      <c r="AU93" t="e">
        <v>#DIV/0!</v>
      </c>
      <c r="AV93"/>
      <c r="AW93"/>
      <c r="AX93" s="151"/>
      <c r="AY93" s="76">
        <f t="shared" ca="1" si="88"/>
        <v>0.59794662083928962</v>
      </c>
      <c r="AZ93">
        <v>6</v>
      </c>
      <c r="BA93" s="129">
        <f t="shared" si="89"/>
        <v>39646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1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 s="147"/>
      <c r="CH93" s="176"/>
      <c r="CJ93" s="151"/>
      <c r="CK93" s="76">
        <f t="shared" ca="1" si="90"/>
        <v>0.42067924279167324</v>
      </c>
      <c r="CL93" s="179">
        <f t="shared" si="91"/>
        <v>6</v>
      </c>
      <c r="CM93" s="180">
        <f t="shared" si="92"/>
        <v>39646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W93">
        <v>1</v>
      </c>
      <c r="CX93">
        <v>2</v>
      </c>
      <c r="CY93" s="159"/>
      <c r="CZ93" s="177">
        <f t="shared" si="93"/>
        <v>9.6000000000000002E-2</v>
      </c>
      <c r="DB93" s="151"/>
      <c r="DC93" s="76">
        <f t="shared" ca="1" si="51"/>
        <v>0.85610560517284306</v>
      </c>
      <c r="DD93">
        <f t="shared" si="94"/>
        <v>6</v>
      </c>
      <c r="DE93" s="129">
        <f t="shared" si="52"/>
        <v>39646</v>
      </c>
      <c r="DF93" s="161">
        <f t="shared" si="95"/>
        <v>0</v>
      </c>
      <c r="DG93" s="161">
        <f t="shared" si="96"/>
        <v>0</v>
      </c>
      <c r="DH93" s="161">
        <f t="shared" si="97"/>
        <v>0</v>
      </c>
      <c r="DI93" s="161">
        <f t="shared" si="98"/>
        <v>0</v>
      </c>
      <c r="DJ93" s="161">
        <f t="shared" si="99"/>
        <v>0</v>
      </c>
      <c r="DK93" s="161">
        <f t="shared" si="100"/>
        <v>0</v>
      </c>
      <c r="DL93" s="161">
        <f t="shared" si="101"/>
        <v>10.416666666666666</v>
      </c>
      <c r="DM93" s="161">
        <f t="shared" si="102"/>
        <v>0</v>
      </c>
      <c r="DN93" s="161">
        <f t="shared" si="103"/>
        <v>0</v>
      </c>
      <c r="DO93" s="161">
        <f t="shared" si="104"/>
        <v>0</v>
      </c>
      <c r="DP93" s="161">
        <f t="shared" si="105"/>
        <v>0</v>
      </c>
      <c r="DQ93" s="161">
        <f t="shared" si="106"/>
        <v>0</v>
      </c>
      <c r="DR93" s="161">
        <f t="shared" si="107"/>
        <v>0</v>
      </c>
      <c r="DS93" s="161">
        <f t="shared" si="108"/>
        <v>0</v>
      </c>
      <c r="DT93" s="161">
        <f t="shared" si="109"/>
        <v>0</v>
      </c>
      <c r="DU93" s="161">
        <f t="shared" si="110"/>
        <v>0</v>
      </c>
      <c r="DV93" s="161">
        <f t="shared" si="111"/>
        <v>0</v>
      </c>
      <c r="DW93" s="161">
        <f t="shared" si="112"/>
        <v>0</v>
      </c>
      <c r="DX93" s="161">
        <f t="shared" si="113"/>
        <v>0</v>
      </c>
      <c r="DY93" s="161">
        <f t="shared" si="114"/>
        <v>0</v>
      </c>
      <c r="DZ93" s="161">
        <f t="shared" si="115"/>
        <v>0</v>
      </c>
      <c r="EA93" s="161">
        <f t="shared" si="116"/>
        <v>0</v>
      </c>
      <c r="EB93" s="161">
        <f t="shared" si="117"/>
        <v>0</v>
      </c>
      <c r="EC93" s="161">
        <f t="shared" si="118"/>
        <v>0</v>
      </c>
      <c r="ED93" s="161">
        <f t="shared" si="119"/>
        <v>0</v>
      </c>
      <c r="EE93" s="161">
        <f t="shared" si="120"/>
        <v>0</v>
      </c>
      <c r="EF93" s="161">
        <f t="shared" si="121"/>
        <v>0</v>
      </c>
      <c r="EG93" s="161">
        <f t="shared" si="122"/>
        <v>0</v>
      </c>
      <c r="EH93" s="161">
        <f t="shared" si="123"/>
        <v>0</v>
      </c>
      <c r="EI93" s="161">
        <f t="shared" si="124"/>
        <v>0</v>
      </c>
      <c r="EJ93" s="161">
        <f t="shared" si="125"/>
        <v>0</v>
      </c>
      <c r="EK93" s="147">
        <f t="shared" si="55"/>
        <v>10.416666666666666</v>
      </c>
      <c r="EL93" s="149"/>
      <c r="EN93" s="151"/>
      <c r="EO93" s="151"/>
      <c r="EP93" s="139">
        <f t="shared" si="56"/>
        <v>0</v>
      </c>
      <c r="EQ93" s="139">
        <f t="shared" si="57"/>
        <v>0</v>
      </c>
      <c r="ER93" s="139">
        <f t="shared" si="58"/>
        <v>0</v>
      </c>
      <c r="ES93" s="139">
        <f t="shared" si="59"/>
        <v>0</v>
      </c>
      <c r="ET93" s="139">
        <f t="shared" si="60"/>
        <v>0</v>
      </c>
      <c r="EU93" s="139">
        <f t="shared" si="61"/>
        <v>0</v>
      </c>
      <c r="EV93" s="139">
        <f t="shared" si="62"/>
        <v>3.7035023950870909</v>
      </c>
      <c r="EW93" s="139">
        <f t="shared" si="63"/>
        <v>0</v>
      </c>
      <c r="EX93" s="139">
        <f t="shared" si="64"/>
        <v>0</v>
      </c>
      <c r="EY93" s="139">
        <f t="shared" si="65"/>
        <v>0</v>
      </c>
      <c r="EZ93" s="139">
        <f t="shared" si="66"/>
        <v>0</v>
      </c>
      <c r="FA93" s="139">
        <f t="shared" si="67"/>
        <v>0</v>
      </c>
      <c r="FB93" s="139">
        <f t="shared" si="68"/>
        <v>0</v>
      </c>
      <c r="FC93" s="139">
        <f t="shared" si="69"/>
        <v>0</v>
      </c>
      <c r="FD93" s="139">
        <f t="shared" si="70"/>
        <v>0</v>
      </c>
      <c r="FE93" s="139">
        <f t="shared" si="71"/>
        <v>0</v>
      </c>
      <c r="FF93" s="139">
        <f t="shared" si="72"/>
        <v>0</v>
      </c>
      <c r="FG93" s="139">
        <f t="shared" si="73"/>
        <v>0</v>
      </c>
      <c r="FH93" s="139">
        <f t="shared" si="74"/>
        <v>0</v>
      </c>
      <c r="FI93" s="139">
        <f t="shared" si="75"/>
        <v>0</v>
      </c>
      <c r="FJ93" s="139">
        <f t="shared" si="76"/>
        <v>0</v>
      </c>
      <c r="FK93" s="139">
        <f t="shared" si="77"/>
        <v>0</v>
      </c>
      <c r="FL93" s="139">
        <f t="shared" si="78"/>
        <v>0</v>
      </c>
      <c r="FM93" s="139">
        <f t="shared" si="79"/>
        <v>0</v>
      </c>
      <c r="FN93" s="139">
        <f t="shared" si="80"/>
        <v>0</v>
      </c>
      <c r="FO93" s="139">
        <f t="shared" si="81"/>
        <v>0</v>
      </c>
      <c r="FP93" s="139">
        <f t="shared" si="82"/>
        <v>0</v>
      </c>
      <c r="FQ93" s="139">
        <f t="shared" si="83"/>
        <v>0</v>
      </c>
      <c r="FR93" s="139">
        <f t="shared" si="84"/>
        <v>0</v>
      </c>
      <c r="FS93" s="139">
        <f t="shared" si="85"/>
        <v>0</v>
      </c>
      <c r="FT93" s="139">
        <f t="shared" si="86"/>
        <v>0</v>
      </c>
      <c r="FU93" s="148">
        <f t="shared" si="87"/>
        <v>3.7035023950870909</v>
      </c>
      <c r="FV93" s="149"/>
      <c r="FY93" s="211">
        <v>88</v>
      </c>
      <c r="FZ93">
        <v>1.5909829507826121</v>
      </c>
      <c r="GA93">
        <v>0.86195082931690026</v>
      </c>
      <c r="GB93">
        <v>0.12565184548559416</v>
      </c>
      <c r="GC93">
        <v>6.9638549917922385E-2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0.26621217804735603</v>
      </c>
      <c r="GJ93"/>
      <c r="GK93">
        <v>1.6088756156564192</v>
      </c>
      <c r="GL93">
        <v>0.7403709403449259</v>
      </c>
      <c r="GM93">
        <v>0.20987613046478273</v>
      </c>
      <c r="GN93">
        <v>0.20987613046478273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0.36375034922424043</v>
      </c>
      <c r="GU93"/>
      <c r="GV93"/>
      <c r="GW93"/>
      <c r="GX93"/>
      <c r="GY93"/>
      <c r="GZ93"/>
      <c r="HA93"/>
      <c r="HB93"/>
      <c r="HC93"/>
    </row>
    <row r="94" spans="1:211" s="7" customFormat="1">
      <c r="A94" s="77"/>
      <c r="B94" s="76">
        <f t="shared" ca="1" si="50"/>
        <v>0.3216542633316577</v>
      </c>
      <c r="C94">
        <v>9</v>
      </c>
      <c r="D94">
        <v>39646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2.6979166666666665</v>
      </c>
      <c r="AO94">
        <v>0.3205667435743263</v>
      </c>
      <c r="AP94">
        <v>13.226570155027147</v>
      </c>
      <c r="AQ94">
        <v>2.2328360597903512</v>
      </c>
      <c r="AR94">
        <v>0.35026323290632777</v>
      </c>
      <c r="AS94">
        <v>2.0641233722122516</v>
      </c>
      <c r="AT94" t="e">
        <v>#DIV/0!</v>
      </c>
      <c r="AU94" t="e">
        <v>#DIV/0!</v>
      </c>
      <c r="AV94"/>
      <c r="AW94"/>
      <c r="AX94" s="151"/>
      <c r="AY94" s="76">
        <f t="shared" ca="1" si="88"/>
        <v>0.89874520699363902</v>
      </c>
      <c r="AZ94">
        <v>7</v>
      </c>
      <c r="BA94" s="129">
        <f t="shared" si="89"/>
        <v>39646</v>
      </c>
      <c r="BB94">
        <v>0</v>
      </c>
      <c r="BC94">
        <v>0</v>
      </c>
      <c r="BD94">
        <v>1</v>
      </c>
      <c r="BE94">
        <v>2</v>
      </c>
      <c r="BF94">
        <v>1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 s="147"/>
      <c r="CH94" s="176"/>
      <c r="CJ94" s="151"/>
      <c r="CK94" s="76">
        <f t="shared" ca="1" si="90"/>
        <v>0.66973591073443139</v>
      </c>
      <c r="CL94" s="179">
        <f t="shared" si="91"/>
        <v>7</v>
      </c>
      <c r="CM94" s="180">
        <f t="shared" si="92"/>
        <v>39646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 s="160"/>
      <c r="CW94">
        <v>1</v>
      </c>
      <c r="CX94">
        <v>2</v>
      </c>
      <c r="CY94" s="164"/>
      <c r="CZ94" s="177">
        <f t="shared" si="93"/>
        <v>9.6000000000000002E-2</v>
      </c>
      <c r="DB94" s="151"/>
      <c r="DC94" s="76">
        <f t="shared" ca="1" si="51"/>
        <v>0.11050029169426612</v>
      </c>
      <c r="DD94">
        <f t="shared" si="94"/>
        <v>7</v>
      </c>
      <c r="DE94" s="129">
        <f t="shared" si="52"/>
        <v>39646</v>
      </c>
      <c r="DF94" s="161">
        <f t="shared" si="95"/>
        <v>0</v>
      </c>
      <c r="DG94" s="161">
        <f t="shared" si="96"/>
        <v>0</v>
      </c>
      <c r="DH94" s="161">
        <f t="shared" si="97"/>
        <v>10.416666666666666</v>
      </c>
      <c r="DI94" s="161">
        <f t="shared" si="98"/>
        <v>20.833333333333332</v>
      </c>
      <c r="DJ94" s="161">
        <f t="shared" si="99"/>
        <v>10.416666666666666</v>
      </c>
      <c r="DK94" s="161">
        <f t="shared" si="100"/>
        <v>0</v>
      </c>
      <c r="DL94" s="161">
        <f t="shared" si="101"/>
        <v>0</v>
      </c>
      <c r="DM94" s="161">
        <f t="shared" si="102"/>
        <v>0</v>
      </c>
      <c r="DN94" s="161">
        <f t="shared" si="103"/>
        <v>0</v>
      </c>
      <c r="DO94" s="161">
        <f t="shared" si="104"/>
        <v>0</v>
      </c>
      <c r="DP94" s="161">
        <f t="shared" si="105"/>
        <v>0</v>
      </c>
      <c r="DQ94" s="161">
        <f t="shared" si="106"/>
        <v>0</v>
      </c>
      <c r="DR94" s="161">
        <f t="shared" si="107"/>
        <v>0</v>
      </c>
      <c r="DS94" s="161">
        <f t="shared" si="108"/>
        <v>0</v>
      </c>
      <c r="DT94" s="161">
        <f t="shared" si="109"/>
        <v>0</v>
      </c>
      <c r="DU94" s="161">
        <f t="shared" si="110"/>
        <v>0</v>
      </c>
      <c r="DV94" s="161">
        <f t="shared" si="111"/>
        <v>0</v>
      </c>
      <c r="DW94" s="161">
        <f t="shared" si="112"/>
        <v>0</v>
      </c>
      <c r="DX94" s="161">
        <f t="shared" si="113"/>
        <v>0</v>
      </c>
      <c r="DY94" s="161">
        <f t="shared" si="114"/>
        <v>0</v>
      </c>
      <c r="DZ94" s="161">
        <f t="shared" si="115"/>
        <v>0</v>
      </c>
      <c r="EA94" s="161">
        <f t="shared" si="116"/>
        <v>0</v>
      </c>
      <c r="EB94" s="161">
        <f t="shared" si="117"/>
        <v>0</v>
      </c>
      <c r="EC94" s="161">
        <f t="shared" si="118"/>
        <v>0</v>
      </c>
      <c r="ED94" s="161">
        <f t="shared" si="119"/>
        <v>0</v>
      </c>
      <c r="EE94" s="161">
        <f t="shared" si="120"/>
        <v>0</v>
      </c>
      <c r="EF94" s="161">
        <f t="shared" si="121"/>
        <v>0</v>
      </c>
      <c r="EG94" s="161">
        <f t="shared" si="122"/>
        <v>0</v>
      </c>
      <c r="EH94" s="161">
        <f t="shared" si="123"/>
        <v>0</v>
      </c>
      <c r="EI94" s="161">
        <f t="shared" si="124"/>
        <v>0</v>
      </c>
      <c r="EJ94" s="161">
        <f t="shared" si="125"/>
        <v>0</v>
      </c>
      <c r="EK94" s="147">
        <f t="shared" si="55"/>
        <v>41.666666666666664</v>
      </c>
      <c r="EL94" s="149"/>
      <c r="EN94" s="151"/>
      <c r="EO94" s="151"/>
      <c r="EP94" s="139">
        <f t="shared" si="56"/>
        <v>0</v>
      </c>
      <c r="EQ94" s="139">
        <f t="shared" si="57"/>
        <v>0</v>
      </c>
      <c r="ER94" s="139">
        <f t="shared" si="58"/>
        <v>0.1208870894568314</v>
      </c>
      <c r="ES94" s="139">
        <f t="shared" si="59"/>
        <v>0.85493714984184221</v>
      </c>
      <c r="ET94" s="139">
        <f t="shared" si="60"/>
        <v>1.0473416096640682</v>
      </c>
      <c r="EU94" s="139">
        <f t="shared" si="61"/>
        <v>0</v>
      </c>
      <c r="EV94" s="139">
        <f t="shared" si="62"/>
        <v>0</v>
      </c>
      <c r="EW94" s="139">
        <f t="shared" si="63"/>
        <v>0</v>
      </c>
      <c r="EX94" s="139">
        <f t="shared" si="64"/>
        <v>0</v>
      </c>
      <c r="EY94" s="139">
        <f t="shared" si="65"/>
        <v>0</v>
      </c>
      <c r="EZ94" s="139">
        <f t="shared" si="66"/>
        <v>0</v>
      </c>
      <c r="FA94" s="139">
        <f t="shared" si="67"/>
        <v>0</v>
      </c>
      <c r="FB94" s="139">
        <f t="shared" si="68"/>
        <v>0</v>
      </c>
      <c r="FC94" s="139">
        <f t="shared" si="69"/>
        <v>0</v>
      </c>
      <c r="FD94" s="139">
        <f t="shared" si="70"/>
        <v>0</v>
      </c>
      <c r="FE94" s="139">
        <f t="shared" si="71"/>
        <v>0</v>
      </c>
      <c r="FF94" s="139">
        <f t="shared" si="72"/>
        <v>0</v>
      </c>
      <c r="FG94" s="139">
        <f t="shared" si="73"/>
        <v>0</v>
      </c>
      <c r="FH94" s="139">
        <f t="shared" si="74"/>
        <v>0</v>
      </c>
      <c r="FI94" s="139">
        <f t="shared" si="75"/>
        <v>0</v>
      </c>
      <c r="FJ94" s="139">
        <f t="shared" si="76"/>
        <v>0</v>
      </c>
      <c r="FK94" s="139">
        <f t="shared" si="77"/>
        <v>0</v>
      </c>
      <c r="FL94" s="139">
        <f t="shared" si="78"/>
        <v>0</v>
      </c>
      <c r="FM94" s="139">
        <f t="shared" si="79"/>
        <v>0</v>
      </c>
      <c r="FN94" s="139">
        <f t="shared" si="80"/>
        <v>0</v>
      </c>
      <c r="FO94" s="139">
        <f t="shared" si="81"/>
        <v>0</v>
      </c>
      <c r="FP94" s="139">
        <f t="shared" si="82"/>
        <v>0</v>
      </c>
      <c r="FQ94" s="139">
        <f t="shared" si="83"/>
        <v>0</v>
      </c>
      <c r="FR94" s="139">
        <f t="shared" si="84"/>
        <v>0</v>
      </c>
      <c r="FS94" s="139">
        <f t="shared" si="85"/>
        <v>0</v>
      </c>
      <c r="FT94" s="139">
        <f t="shared" si="86"/>
        <v>0</v>
      </c>
      <c r="FU94" s="148">
        <f t="shared" si="87"/>
        <v>2.0231658489627415</v>
      </c>
      <c r="FV94" s="149"/>
      <c r="FY94" s="211">
        <v>89</v>
      </c>
      <c r="FZ94">
        <v>1.1572523240997374</v>
      </c>
      <c r="GA94">
        <v>0.9492013034353769</v>
      </c>
      <c r="GB94">
        <v>0.14202990935487192</v>
      </c>
      <c r="GC94">
        <v>0.11377737556984255</v>
      </c>
      <c r="GD94">
        <v>2.6724553773673727E-2</v>
      </c>
      <c r="GE94">
        <v>0</v>
      </c>
      <c r="GF94">
        <v>0.33021050058332063</v>
      </c>
      <c r="GG94">
        <v>0.29759236750664797</v>
      </c>
      <c r="GH94">
        <v>0</v>
      </c>
      <c r="GI94">
        <v>0.28570425469221689</v>
      </c>
      <c r="GJ94"/>
      <c r="GK94">
        <v>1.1648337801376214</v>
      </c>
      <c r="GL94">
        <v>0.81411144957417536</v>
      </c>
      <c r="GM94">
        <v>0.23585576644039991</v>
      </c>
      <c r="GN94">
        <v>0.34079383167279126</v>
      </c>
      <c r="GO94">
        <v>0.10493806523239137</v>
      </c>
      <c r="GP94">
        <v>0</v>
      </c>
      <c r="GQ94">
        <v>0.45369793096285549</v>
      </c>
      <c r="GR94">
        <v>0.45369793096285549</v>
      </c>
      <c r="GS94">
        <v>0</v>
      </c>
      <c r="GT94">
        <v>0.39186510855465362</v>
      </c>
      <c r="GU94"/>
      <c r="GV94"/>
      <c r="GW94"/>
      <c r="GX94"/>
      <c r="GY94"/>
      <c r="GZ94"/>
      <c r="HA94"/>
      <c r="HB94"/>
      <c r="HC94"/>
    </row>
    <row r="95" spans="1:211" s="7" customFormat="1">
      <c r="A95" s="77"/>
      <c r="B95" s="76">
        <f t="shared" ca="1" si="50"/>
        <v>0.78796124089068442</v>
      </c>
      <c r="C95">
        <v>7</v>
      </c>
      <c r="D95">
        <v>39646</v>
      </c>
      <c r="E95">
        <v>0</v>
      </c>
      <c r="F95">
        <v>0</v>
      </c>
      <c r="G95">
        <v>10.416666666666666</v>
      </c>
      <c r="H95">
        <v>20.833333333333332</v>
      </c>
      <c r="I95">
        <v>10.416666666666666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0.74999999999999989</v>
      </c>
      <c r="AO95">
        <v>5.6032927819436563E-2</v>
      </c>
      <c r="AP95">
        <v>0</v>
      </c>
      <c r="AQ95">
        <v>0.53392707496060221</v>
      </c>
      <c r="AR95">
        <v>9.3388213032394279E-2</v>
      </c>
      <c r="AS95">
        <v>0.71484267655761102</v>
      </c>
      <c r="AT95" t="e">
        <v>#DIV/0!</v>
      </c>
      <c r="AU95" t="e">
        <v>#DIV/0!</v>
      </c>
      <c r="AV95"/>
      <c r="AW95"/>
      <c r="AX95" s="151"/>
      <c r="AY95" s="76">
        <f t="shared" ca="1" si="88"/>
        <v>0.40020384066250969</v>
      </c>
      <c r="AZ95">
        <v>8</v>
      </c>
      <c r="BA95" s="129">
        <f t="shared" si="89"/>
        <v>39646</v>
      </c>
      <c r="BB95">
        <v>0</v>
      </c>
      <c r="BC95">
        <v>0</v>
      </c>
      <c r="BD95">
        <v>0</v>
      </c>
      <c r="BE95">
        <v>1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 s="147"/>
      <c r="CH95" s="176"/>
      <c r="CJ95" s="151"/>
      <c r="CK95" s="76">
        <f t="shared" ca="1" si="90"/>
        <v>0.30510831190095722</v>
      </c>
      <c r="CL95" s="179">
        <f t="shared" si="91"/>
        <v>8</v>
      </c>
      <c r="CM95" s="180">
        <f t="shared" si="92"/>
        <v>39646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 s="160"/>
      <c r="CW95">
        <v>1</v>
      </c>
      <c r="CX95">
        <v>2</v>
      </c>
      <c r="CY95" s="164"/>
      <c r="CZ95" s="177">
        <f t="shared" si="93"/>
        <v>9.6000000000000002E-2</v>
      </c>
      <c r="DB95" s="151"/>
      <c r="DC95" s="76">
        <f t="shared" ca="1" si="51"/>
        <v>0.42299272163766677</v>
      </c>
      <c r="DD95">
        <f t="shared" si="94"/>
        <v>8</v>
      </c>
      <c r="DE95" s="129">
        <f t="shared" si="52"/>
        <v>39646</v>
      </c>
      <c r="DF95" s="161">
        <f t="shared" si="95"/>
        <v>0</v>
      </c>
      <c r="DG95" s="161">
        <f t="shared" si="96"/>
        <v>0</v>
      </c>
      <c r="DH95" s="161">
        <f t="shared" si="97"/>
        <v>0</v>
      </c>
      <c r="DI95" s="161">
        <f t="shared" si="98"/>
        <v>10.416666666666666</v>
      </c>
      <c r="DJ95" s="161">
        <f t="shared" si="99"/>
        <v>0</v>
      </c>
      <c r="DK95" s="161">
        <f t="shared" si="100"/>
        <v>0</v>
      </c>
      <c r="DL95" s="161">
        <f t="shared" si="101"/>
        <v>0</v>
      </c>
      <c r="DM95" s="161">
        <f t="shared" si="102"/>
        <v>0</v>
      </c>
      <c r="DN95" s="161">
        <f t="shared" si="103"/>
        <v>0</v>
      </c>
      <c r="DO95" s="161">
        <f t="shared" si="104"/>
        <v>0</v>
      </c>
      <c r="DP95" s="161">
        <f t="shared" si="105"/>
        <v>0</v>
      </c>
      <c r="DQ95" s="161">
        <f t="shared" si="106"/>
        <v>0</v>
      </c>
      <c r="DR95" s="161">
        <f t="shared" si="107"/>
        <v>0</v>
      </c>
      <c r="DS95" s="161">
        <f t="shared" si="108"/>
        <v>0</v>
      </c>
      <c r="DT95" s="161">
        <f t="shared" si="109"/>
        <v>0</v>
      </c>
      <c r="DU95" s="161">
        <f t="shared" si="110"/>
        <v>0</v>
      </c>
      <c r="DV95" s="161">
        <f t="shared" si="111"/>
        <v>0</v>
      </c>
      <c r="DW95" s="161">
        <f t="shared" si="112"/>
        <v>0</v>
      </c>
      <c r="DX95" s="161">
        <f t="shared" si="113"/>
        <v>0</v>
      </c>
      <c r="DY95" s="161">
        <f t="shared" si="114"/>
        <v>0</v>
      </c>
      <c r="DZ95" s="161">
        <f t="shared" si="115"/>
        <v>0</v>
      </c>
      <c r="EA95" s="161">
        <f t="shared" si="116"/>
        <v>0</v>
      </c>
      <c r="EB95" s="161">
        <f t="shared" si="117"/>
        <v>0</v>
      </c>
      <c r="EC95" s="161">
        <f t="shared" si="118"/>
        <v>0</v>
      </c>
      <c r="ED95" s="161">
        <f t="shared" si="119"/>
        <v>0</v>
      </c>
      <c r="EE95" s="161">
        <f t="shared" si="120"/>
        <v>0</v>
      </c>
      <c r="EF95" s="161">
        <f t="shared" si="121"/>
        <v>0</v>
      </c>
      <c r="EG95" s="161">
        <f t="shared" si="122"/>
        <v>0</v>
      </c>
      <c r="EH95" s="161">
        <f t="shared" si="123"/>
        <v>0</v>
      </c>
      <c r="EI95" s="161">
        <f t="shared" si="124"/>
        <v>0</v>
      </c>
      <c r="EJ95" s="161">
        <f t="shared" si="125"/>
        <v>0</v>
      </c>
      <c r="EK95" s="147">
        <f t="shared" si="55"/>
        <v>10.416666666666666</v>
      </c>
      <c r="EL95" s="149"/>
      <c r="EN95" s="151"/>
      <c r="EO95" s="151"/>
      <c r="EP95" s="139">
        <f t="shared" si="56"/>
        <v>0</v>
      </c>
      <c r="EQ95" s="139">
        <f t="shared" si="57"/>
        <v>0</v>
      </c>
      <c r="ER95" s="139">
        <f t="shared" si="58"/>
        <v>0</v>
      </c>
      <c r="ES95" s="139">
        <f t="shared" si="59"/>
        <v>0.42746857492092111</v>
      </c>
      <c r="ET95" s="139">
        <f t="shared" si="60"/>
        <v>0</v>
      </c>
      <c r="EU95" s="139">
        <f t="shared" si="61"/>
        <v>0</v>
      </c>
      <c r="EV95" s="139">
        <f t="shared" si="62"/>
        <v>0</v>
      </c>
      <c r="EW95" s="139">
        <f t="shared" si="63"/>
        <v>0</v>
      </c>
      <c r="EX95" s="139">
        <f t="shared" si="64"/>
        <v>0</v>
      </c>
      <c r="EY95" s="139">
        <f t="shared" si="65"/>
        <v>0</v>
      </c>
      <c r="EZ95" s="139">
        <f t="shared" si="66"/>
        <v>0</v>
      </c>
      <c r="FA95" s="139">
        <f t="shared" si="67"/>
        <v>0</v>
      </c>
      <c r="FB95" s="139">
        <f t="shared" si="68"/>
        <v>0</v>
      </c>
      <c r="FC95" s="139">
        <f t="shared" si="69"/>
        <v>0</v>
      </c>
      <c r="FD95" s="139">
        <f t="shared" si="70"/>
        <v>0</v>
      </c>
      <c r="FE95" s="139">
        <f t="shared" si="71"/>
        <v>0</v>
      </c>
      <c r="FF95" s="139">
        <f t="shared" si="72"/>
        <v>0</v>
      </c>
      <c r="FG95" s="139">
        <f t="shared" si="73"/>
        <v>0</v>
      </c>
      <c r="FH95" s="139">
        <f t="shared" si="74"/>
        <v>0</v>
      </c>
      <c r="FI95" s="139">
        <f t="shared" si="75"/>
        <v>0</v>
      </c>
      <c r="FJ95" s="139">
        <f t="shared" si="76"/>
        <v>0</v>
      </c>
      <c r="FK95" s="139">
        <f t="shared" si="77"/>
        <v>0</v>
      </c>
      <c r="FL95" s="139">
        <f t="shared" si="78"/>
        <v>0</v>
      </c>
      <c r="FM95" s="139">
        <f t="shared" si="79"/>
        <v>0</v>
      </c>
      <c r="FN95" s="139">
        <f t="shared" si="80"/>
        <v>0</v>
      </c>
      <c r="FO95" s="139">
        <f t="shared" si="81"/>
        <v>0</v>
      </c>
      <c r="FP95" s="139">
        <f t="shared" si="82"/>
        <v>0</v>
      </c>
      <c r="FQ95" s="139">
        <f t="shared" si="83"/>
        <v>0</v>
      </c>
      <c r="FR95" s="139">
        <f t="shared" si="84"/>
        <v>0</v>
      </c>
      <c r="FS95" s="139">
        <f t="shared" si="85"/>
        <v>0</v>
      </c>
      <c r="FT95" s="139">
        <f t="shared" si="86"/>
        <v>0</v>
      </c>
      <c r="FU95" s="148">
        <f t="shared" si="87"/>
        <v>0.42746857492092111</v>
      </c>
      <c r="FV95" s="149"/>
      <c r="FY95" s="211">
        <v>90</v>
      </c>
      <c r="FZ95">
        <v>1.4418859895311216</v>
      </c>
      <c r="GA95">
        <v>0.86195082931690026</v>
      </c>
      <c r="GB95">
        <v>6.282592274279708E-2</v>
      </c>
      <c r="GC95">
        <v>3.4819274958961192E-2</v>
      </c>
      <c r="GD95">
        <v>0</v>
      </c>
      <c r="GE95">
        <v>0</v>
      </c>
      <c r="GF95">
        <v>0.99063150174996206</v>
      </c>
      <c r="GG95">
        <v>0.89277710251994391</v>
      </c>
      <c r="GH95">
        <v>0</v>
      </c>
      <c r="GI95">
        <v>0.42110745521228565</v>
      </c>
      <c r="GJ95"/>
      <c r="GK95">
        <v>1.4519390717130622</v>
      </c>
      <c r="GL95">
        <v>0.7403709403449259</v>
      </c>
      <c r="GM95">
        <v>0.10493806523239137</v>
      </c>
      <c r="GN95">
        <v>0.10493806523239137</v>
      </c>
      <c r="GO95">
        <v>0</v>
      </c>
      <c r="GP95">
        <v>0</v>
      </c>
      <c r="GQ95">
        <v>1.3610937928885667</v>
      </c>
      <c r="GR95">
        <v>1.3610937928885667</v>
      </c>
      <c r="GS95">
        <v>0</v>
      </c>
      <c r="GT95">
        <v>0.58359418596680412</v>
      </c>
      <c r="GU95"/>
      <c r="GV95"/>
      <c r="GW95"/>
      <c r="GX95"/>
      <c r="GY95"/>
      <c r="GZ95"/>
      <c r="HA95"/>
      <c r="HB95"/>
      <c r="HC95"/>
    </row>
    <row r="96" spans="1:211" s="7" customFormat="1">
      <c r="A96" s="77"/>
      <c r="B96" s="76">
        <f t="shared" ca="1" si="50"/>
        <v>0.36657996177382834</v>
      </c>
      <c r="C96">
        <v>4</v>
      </c>
      <c r="D96">
        <v>39646</v>
      </c>
      <c r="E96">
        <v>0</v>
      </c>
      <c r="F96">
        <v>0</v>
      </c>
      <c r="G96">
        <v>72.916666666666671</v>
      </c>
      <c r="H96">
        <v>31.25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2.9302083333333333</v>
      </c>
      <c r="AO96">
        <v>0.39131677351036775</v>
      </c>
      <c r="AP96">
        <v>10.760562766050789</v>
      </c>
      <c r="AQ96">
        <v>3.0283174016707997</v>
      </c>
      <c r="AR96">
        <v>0.43444703040809191</v>
      </c>
      <c r="AS96">
        <v>2.3379703551263957</v>
      </c>
      <c r="AT96" t="e">
        <v>#DIV/0!</v>
      </c>
      <c r="AU96" t="e">
        <v>#DIV/0!</v>
      </c>
      <c r="AV96"/>
      <c r="AW96"/>
      <c r="AX96" s="151"/>
      <c r="AY96" s="76">
        <f t="shared" ca="1" si="88"/>
        <v>0.94711121927562836</v>
      </c>
      <c r="AZ96">
        <v>9</v>
      </c>
      <c r="BA96" s="129">
        <f t="shared" si="89"/>
        <v>39646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 s="147"/>
      <c r="CH96" s="176"/>
      <c r="CJ96" s="151"/>
      <c r="CK96" s="76">
        <f t="shared" ca="1" si="90"/>
        <v>0.70476359816475931</v>
      </c>
      <c r="CL96" s="179">
        <f t="shared" si="91"/>
        <v>9</v>
      </c>
      <c r="CM96" s="180">
        <f t="shared" si="92"/>
        <v>39646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 s="160"/>
      <c r="CW96">
        <v>1</v>
      </c>
      <c r="CX96">
        <v>1</v>
      </c>
      <c r="CY96" s="164"/>
      <c r="CZ96" s="177">
        <f t="shared" si="93"/>
        <v>9.6000000000000002E-2</v>
      </c>
      <c r="DB96" s="151"/>
      <c r="DC96" s="76">
        <f t="shared" ca="1" si="51"/>
        <v>0.57869774188065159</v>
      </c>
      <c r="DD96">
        <f t="shared" si="94"/>
        <v>9</v>
      </c>
      <c r="DE96" s="129">
        <f t="shared" si="52"/>
        <v>39646</v>
      </c>
      <c r="DF96" s="161">
        <f t="shared" si="95"/>
        <v>0</v>
      </c>
      <c r="DG96" s="161">
        <f t="shared" si="96"/>
        <v>0</v>
      </c>
      <c r="DH96" s="161">
        <f t="shared" si="97"/>
        <v>0</v>
      </c>
      <c r="DI96" s="161">
        <f t="shared" si="98"/>
        <v>0</v>
      </c>
      <c r="DJ96" s="161">
        <f t="shared" si="99"/>
        <v>0</v>
      </c>
      <c r="DK96" s="161">
        <f t="shared" si="100"/>
        <v>0</v>
      </c>
      <c r="DL96" s="161">
        <f t="shared" si="101"/>
        <v>0</v>
      </c>
      <c r="DM96" s="161">
        <f t="shared" si="102"/>
        <v>0</v>
      </c>
      <c r="DN96" s="161">
        <f t="shared" si="103"/>
        <v>0</v>
      </c>
      <c r="DO96" s="161">
        <f t="shared" si="104"/>
        <v>0</v>
      </c>
      <c r="DP96" s="161">
        <f t="shared" si="105"/>
        <v>0</v>
      </c>
      <c r="DQ96" s="161">
        <f t="shared" si="106"/>
        <v>0</v>
      </c>
      <c r="DR96" s="161">
        <f t="shared" si="107"/>
        <v>0</v>
      </c>
      <c r="DS96" s="161">
        <f t="shared" si="108"/>
        <v>0</v>
      </c>
      <c r="DT96" s="161">
        <f t="shared" si="109"/>
        <v>0</v>
      </c>
      <c r="DU96" s="161">
        <f t="shared" si="110"/>
        <v>0</v>
      </c>
      <c r="DV96" s="161">
        <f t="shared" si="111"/>
        <v>0</v>
      </c>
      <c r="DW96" s="161">
        <f t="shared" si="112"/>
        <v>0</v>
      </c>
      <c r="DX96" s="161">
        <f t="shared" si="113"/>
        <v>0</v>
      </c>
      <c r="DY96" s="161">
        <f t="shared" si="114"/>
        <v>0</v>
      </c>
      <c r="DZ96" s="161">
        <f t="shared" si="115"/>
        <v>0</v>
      </c>
      <c r="EA96" s="161">
        <f t="shared" si="116"/>
        <v>0</v>
      </c>
      <c r="EB96" s="161">
        <f t="shared" si="117"/>
        <v>0</v>
      </c>
      <c r="EC96" s="161">
        <f t="shared" si="118"/>
        <v>0</v>
      </c>
      <c r="ED96" s="161">
        <f t="shared" si="119"/>
        <v>0</v>
      </c>
      <c r="EE96" s="161">
        <f t="shared" si="120"/>
        <v>0</v>
      </c>
      <c r="EF96" s="161">
        <f t="shared" si="121"/>
        <v>0</v>
      </c>
      <c r="EG96" s="161">
        <f t="shared" si="122"/>
        <v>0</v>
      </c>
      <c r="EH96" s="161">
        <f t="shared" si="123"/>
        <v>0</v>
      </c>
      <c r="EI96" s="161">
        <f t="shared" si="124"/>
        <v>0</v>
      </c>
      <c r="EJ96" s="161">
        <f t="shared" si="125"/>
        <v>0</v>
      </c>
      <c r="EK96" s="147">
        <f t="shared" si="55"/>
        <v>0</v>
      </c>
      <c r="EL96" s="149"/>
      <c r="EN96" s="151"/>
      <c r="EO96" s="151"/>
      <c r="EP96" s="139">
        <f t="shared" si="56"/>
        <v>0</v>
      </c>
      <c r="EQ96" s="139">
        <f t="shared" si="57"/>
        <v>0</v>
      </c>
      <c r="ER96" s="139">
        <f t="shared" si="58"/>
        <v>0</v>
      </c>
      <c r="ES96" s="139">
        <f t="shared" si="59"/>
        <v>0</v>
      </c>
      <c r="ET96" s="139">
        <f t="shared" si="60"/>
        <v>0</v>
      </c>
      <c r="EU96" s="139">
        <f t="shared" si="61"/>
        <v>0</v>
      </c>
      <c r="EV96" s="139">
        <f t="shared" si="62"/>
        <v>0</v>
      </c>
      <c r="EW96" s="139">
        <f t="shared" si="63"/>
        <v>0</v>
      </c>
      <c r="EX96" s="139">
        <f t="shared" si="64"/>
        <v>0</v>
      </c>
      <c r="EY96" s="139">
        <f t="shared" si="65"/>
        <v>0</v>
      </c>
      <c r="EZ96" s="139">
        <f t="shared" si="66"/>
        <v>0</v>
      </c>
      <c r="FA96" s="139">
        <f t="shared" si="67"/>
        <v>0</v>
      </c>
      <c r="FB96" s="139">
        <f t="shared" si="68"/>
        <v>0</v>
      </c>
      <c r="FC96" s="139">
        <f t="shared" si="69"/>
        <v>0</v>
      </c>
      <c r="FD96" s="139">
        <f t="shared" si="70"/>
        <v>0</v>
      </c>
      <c r="FE96" s="139">
        <f t="shared" si="71"/>
        <v>0</v>
      </c>
      <c r="FF96" s="139">
        <f t="shared" si="72"/>
        <v>0</v>
      </c>
      <c r="FG96" s="139">
        <f t="shared" si="73"/>
        <v>0</v>
      </c>
      <c r="FH96" s="139">
        <f t="shared" si="74"/>
        <v>0</v>
      </c>
      <c r="FI96" s="139">
        <f t="shared" si="75"/>
        <v>0</v>
      </c>
      <c r="FJ96" s="139">
        <f t="shared" si="76"/>
        <v>0</v>
      </c>
      <c r="FK96" s="139">
        <f t="shared" si="77"/>
        <v>0</v>
      </c>
      <c r="FL96" s="139">
        <f t="shared" si="78"/>
        <v>0</v>
      </c>
      <c r="FM96" s="139">
        <f t="shared" si="79"/>
        <v>0</v>
      </c>
      <c r="FN96" s="139">
        <f t="shared" si="80"/>
        <v>0</v>
      </c>
      <c r="FO96" s="139">
        <f t="shared" si="81"/>
        <v>0</v>
      </c>
      <c r="FP96" s="139">
        <f t="shared" si="82"/>
        <v>0</v>
      </c>
      <c r="FQ96" s="139">
        <f t="shared" si="83"/>
        <v>0</v>
      </c>
      <c r="FR96" s="139">
        <f t="shared" si="84"/>
        <v>0</v>
      </c>
      <c r="FS96" s="139">
        <f t="shared" si="85"/>
        <v>0</v>
      </c>
      <c r="FT96" s="139">
        <f t="shared" si="86"/>
        <v>0</v>
      </c>
      <c r="FU96" s="148">
        <f t="shared" si="87"/>
        <v>0</v>
      </c>
      <c r="FV96" s="149"/>
      <c r="FY96" s="211">
        <v>91</v>
      </c>
      <c r="FZ96">
        <v>1.2860702483720821</v>
      </c>
      <c r="GA96">
        <v>0.77470035519842362</v>
      </c>
      <c r="GB96">
        <v>0.204855832097669</v>
      </c>
      <c r="GC96">
        <v>0.18341592548776492</v>
      </c>
      <c r="GD96">
        <v>5.3449107547347455E-2</v>
      </c>
      <c r="GE96">
        <v>0</v>
      </c>
      <c r="GF96">
        <v>0.66042100116664126</v>
      </c>
      <c r="GG96">
        <v>0.59518473501329594</v>
      </c>
      <c r="GH96">
        <v>0</v>
      </c>
      <c r="GI96">
        <v>0.39979419026833002</v>
      </c>
      <c r="GJ96"/>
      <c r="GK96">
        <v>1.2934098558046458</v>
      </c>
      <c r="GL96">
        <v>0.66663043111567644</v>
      </c>
      <c r="GM96">
        <v>0.34079383167279126</v>
      </c>
      <c r="GN96">
        <v>0.55066996213757402</v>
      </c>
      <c r="GO96">
        <v>0.20987613046478273</v>
      </c>
      <c r="GP96">
        <v>0</v>
      </c>
      <c r="GQ96">
        <v>0.90739586192571098</v>
      </c>
      <c r="GR96">
        <v>0.90739586192571098</v>
      </c>
      <c r="GS96">
        <v>0</v>
      </c>
      <c r="GT96">
        <v>0.55029513597358626</v>
      </c>
      <c r="GU96"/>
      <c r="GV96"/>
      <c r="GW96"/>
      <c r="GX96"/>
      <c r="GY96"/>
      <c r="GZ96"/>
      <c r="HA96"/>
      <c r="HB96"/>
      <c r="HC96"/>
    </row>
    <row r="97" spans="1:211" s="7" customFormat="1">
      <c r="A97" s="77"/>
      <c r="B97" s="76">
        <f t="shared" ca="1" si="50"/>
        <v>0.59396448321989781</v>
      </c>
      <c r="C97">
        <v>1</v>
      </c>
      <c r="D97">
        <v>39646</v>
      </c>
      <c r="E97">
        <v>0</v>
      </c>
      <c r="F97">
        <v>0</v>
      </c>
      <c r="G97">
        <v>10.416666666666666</v>
      </c>
      <c r="H97">
        <v>20.833333333333332</v>
      </c>
      <c r="I97">
        <v>10.416666666666666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3.1614583333333335</v>
      </c>
      <c r="AO97">
        <v>0.5482149784292133</v>
      </c>
      <c r="AP97">
        <v>25.654158868411077</v>
      </c>
      <c r="AQ97">
        <v>3.7799436870473389</v>
      </c>
      <c r="AR97">
        <v>0.55299449092918374</v>
      </c>
      <c r="AS97">
        <v>2.557955656882565</v>
      </c>
      <c r="AT97" t="e">
        <v>#DIV/0!</v>
      </c>
      <c r="AU97" t="e">
        <v>#DIV/0!</v>
      </c>
      <c r="AV97"/>
      <c r="AW97"/>
      <c r="AX97" s="151"/>
      <c r="AY97" s="76">
        <f t="shared" ca="1" si="88"/>
        <v>0.48360408331105997</v>
      </c>
      <c r="AZ97">
        <v>10</v>
      </c>
      <c r="BA97" s="129">
        <f t="shared" si="89"/>
        <v>39646</v>
      </c>
      <c r="BB97">
        <v>0</v>
      </c>
      <c r="BC97">
        <v>0</v>
      </c>
      <c r="BD97">
        <v>0</v>
      </c>
      <c r="BE97">
        <v>0</v>
      </c>
      <c r="BF97">
        <v>1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 s="147"/>
      <c r="CH97" s="176"/>
      <c r="CJ97" s="151"/>
      <c r="CK97" s="76">
        <f t="shared" ca="1" si="90"/>
        <v>0.25959566723673211</v>
      </c>
      <c r="CL97" s="179">
        <f t="shared" si="91"/>
        <v>10</v>
      </c>
      <c r="CM97" s="180">
        <f t="shared" si="92"/>
        <v>39646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 s="160"/>
      <c r="CW97">
        <v>1</v>
      </c>
      <c r="CX97">
        <v>2</v>
      </c>
      <c r="CY97" s="164"/>
      <c r="CZ97" s="177">
        <f t="shared" si="93"/>
        <v>9.6000000000000002E-2</v>
      </c>
      <c r="DB97" s="151"/>
      <c r="DC97" s="76">
        <f t="shared" ca="1" si="51"/>
        <v>0.67485936585783679</v>
      </c>
      <c r="DD97">
        <f t="shared" si="94"/>
        <v>10</v>
      </c>
      <c r="DE97" s="129">
        <f t="shared" si="52"/>
        <v>39646</v>
      </c>
      <c r="DF97" s="161">
        <f t="shared" si="95"/>
        <v>0</v>
      </c>
      <c r="DG97" s="161">
        <f t="shared" si="96"/>
        <v>0</v>
      </c>
      <c r="DH97" s="161">
        <f t="shared" si="97"/>
        <v>0</v>
      </c>
      <c r="DI97" s="161">
        <f t="shared" si="98"/>
        <v>0</v>
      </c>
      <c r="DJ97" s="161">
        <f t="shared" si="99"/>
        <v>10.416666666666666</v>
      </c>
      <c r="DK97" s="161">
        <f t="shared" si="100"/>
        <v>0</v>
      </c>
      <c r="DL97" s="161">
        <f t="shared" si="101"/>
        <v>0</v>
      </c>
      <c r="DM97" s="161">
        <f t="shared" si="102"/>
        <v>0</v>
      </c>
      <c r="DN97" s="161">
        <f t="shared" si="103"/>
        <v>0</v>
      </c>
      <c r="DO97" s="161">
        <f t="shared" si="104"/>
        <v>0</v>
      </c>
      <c r="DP97" s="161">
        <f t="shared" si="105"/>
        <v>0</v>
      </c>
      <c r="DQ97" s="161">
        <f t="shared" si="106"/>
        <v>0</v>
      </c>
      <c r="DR97" s="161">
        <f t="shared" si="107"/>
        <v>0</v>
      </c>
      <c r="DS97" s="161">
        <f t="shared" si="108"/>
        <v>0</v>
      </c>
      <c r="DT97" s="161">
        <f t="shared" si="109"/>
        <v>0</v>
      </c>
      <c r="DU97" s="161">
        <f t="shared" si="110"/>
        <v>0</v>
      </c>
      <c r="DV97" s="161">
        <f t="shared" si="111"/>
        <v>0</v>
      </c>
      <c r="DW97" s="161">
        <f t="shared" si="112"/>
        <v>0</v>
      </c>
      <c r="DX97" s="161">
        <f t="shared" si="113"/>
        <v>0</v>
      </c>
      <c r="DY97" s="161">
        <f t="shared" si="114"/>
        <v>0</v>
      </c>
      <c r="DZ97" s="161">
        <f t="shared" si="115"/>
        <v>0</v>
      </c>
      <c r="EA97" s="161">
        <f t="shared" si="116"/>
        <v>0</v>
      </c>
      <c r="EB97" s="161">
        <f t="shared" si="117"/>
        <v>0</v>
      </c>
      <c r="EC97" s="161">
        <f t="shared" si="118"/>
        <v>0</v>
      </c>
      <c r="ED97" s="161">
        <f t="shared" si="119"/>
        <v>0</v>
      </c>
      <c r="EE97" s="161">
        <f t="shared" si="120"/>
        <v>0</v>
      </c>
      <c r="EF97" s="161">
        <f t="shared" si="121"/>
        <v>0</v>
      </c>
      <c r="EG97" s="161">
        <f t="shared" si="122"/>
        <v>0</v>
      </c>
      <c r="EH97" s="161">
        <f t="shared" si="123"/>
        <v>0</v>
      </c>
      <c r="EI97" s="161">
        <f t="shared" si="124"/>
        <v>0</v>
      </c>
      <c r="EJ97" s="161">
        <f t="shared" si="125"/>
        <v>0</v>
      </c>
      <c r="EK97" s="147">
        <f t="shared" si="55"/>
        <v>10.416666666666666</v>
      </c>
      <c r="EL97" s="149"/>
      <c r="EN97" s="151"/>
      <c r="EO97" s="151"/>
      <c r="EP97" s="139">
        <f t="shared" si="56"/>
        <v>0</v>
      </c>
      <c r="EQ97" s="139">
        <f t="shared" si="57"/>
        <v>0</v>
      </c>
      <c r="ER97" s="139">
        <f t="shared" si="58"/>
        <v>0</v>
      </c>
      <c r="ES97" s="139">
        <f t="shared" si="59"/>
        <v>0</v>
      </c>
      <c r="ET97" s="139">
        <f t="shared" si="60"/>
        <v>1.0473416096640682</v>
      </c>
      <c r="EU97" s="139">
        <f t="shared" si="61"/>
        <v>0</v>
      </c>
      <c r="EV97" s="139">
        <f t="shared" si="62"/>
        <v>0</v>
      </c>
      <c r="EW97" s="139">
        <f t="shared" si="63"/>
        <v>0</v>
      </c>
      <c r="EX97" s="139">
        <f t="shared" si="64"/>
        <v>0</v>
      </c>
      <c r="EY97" s="139">
        <f t="shared" si="65"/>
        <v>0</v>
      </c>
      <c r="EZ97" s="139">
        <f t="shared" si="66"/>
        <v>0</v>
      </c>
      <c r="FA97" s="139">
        <f t="shared" si="67"/>
        <v>0</v>
      </c>
      <c r="FB97" s="139">
        <f t="shared" si="68"/>
        <v>0</v>
      </c>
      <c r="FC97" s="139">
        <f t="shared" si="69"/>
        <v>0</v>
      </c>
      <c r="FD97" s="139">
        <f t="shared" si="70"/>
        <v>0</v>
      </c>
      <c r="FE97" s="139">
        <f t="shared" si="71"/>
        <v>0</v>
      </c>
      <c r="FF97" s="139">
        <f t="shared" si="72"/>
        <v>0</v>
      </c>
      <c r="FG97" s="139">
        <f t="shared" si="73"/>
        <v>0</v>
      </c>
      <c r="FH97" s="139">
        <f t="shared" si="74"/>
        <v>0</v>
      </c>
      <c r="FI97" s="139">
        <f t="shared" si="75"/>
        <v>0</v>
      </c>
      <c r="FJ97" s="139">
        <f t="shared" si="76"/>
        <v>0</v>
      </c>
      <c r="FK97" s="139">
        <f t="shared" si="77"/>
        <v>0</v>
      </c>
      <c r="FL97" s="139">
        <f t="shared" si="78"/>
        <v>0</v>
      </c>
      <c r="FM97" s="139">
        <f t="shared" si="79"/>
        <v>0</v>
      </c>
      <c r="FN97" s="139">
        <f t="shared" si="80"/>
        <v>0</v>
      </c>
      <c r="FO97" s="139">
        <f t="shared" si="81"/>
        <v>0</v>
      </c>
      <c r="FP97" s="139">
        <f t="shared" si="82"/>
        <v>0</v>
      </c>
      <c r="FQ97" s="139">
        <f t="shared" si="83"/>
        <v>0</v>
      </c>
      <c r="FR97" s="139">
        <f t="shared" si="84"/>
        <v>0</v>
      </c>
      <c r="FS97" s="139">
        <f t="shared" si="85"/>
        <v>0</v>
      </c>
      <c r="FT97" s="139">
        <f t="shared" si="86"/>
        <v>0</v>
      </c>
      <c r="FU97" s="148">
        <f t="shared" si="87"/>
        <v>1.0473416096640682</v>
      </c>
      <c r="FV97" s="149"/>
      <c r="FY97" s="211">
        <v>92</v>
      </c>
      <c r="FZ97">
        <v>1.5235827685723178</v>
      </c>
      <c r="GA97">
        <v>1.2493010069161121</v>
      </c>
      <c r="GB97">
        <v>0.22123389596694673</v>
      </c>
      <c r="GC97">
        <v>0.1927354761807239</v>
      </c>
      <c r="GD97">
        <v>5.3449107547347455E-2</v>
      </c>
      <c r="GE97">
        <v>0</v>
      </c>
      <c r="GF97">
        <v>0.33021050058332063</v>
      </c>
      <c r="GG97">
        <v>0.29759236750664797</v>
      </c>
      <c r="GH97">
        <v>0</v>
      </c>
      <c r="GI97">
        <v>0.37473392880004641</v>
      </c>
      <c r="GJ97"/>
      <c r="GK97">
        <v>1.5356233780876596</v>
      </c>
      <c r="GL97">
        <v>1.073686155902764</v>
      </c>
      <c r="GM97">
        <v>0.3667734676484084</v>
      </c>
      <c r="GN97">
        <v>0.57664959811319116</v>
      </c>
      <c r="GO97">
        <v>0.20987613046478273</v>
      </c>
      <c r="GP97">
        <v>0</v>
      </c>
      <c r="GQ97">
        <v>0.45369793096285549</v>
      </c>
      <c r="GR97">
        <v>0.45369793096285549</v>
      </c>
      <c r="GS97">
        <v>0</v>
      </c>
      <c r="GT97">
        <v>0.5131941814327412</v>
      </c>
      <c r="GU97"/>
      <c r="GV97"/>
      <c r="GW97"/>
      <c r="GX97"/>
      <c r="GY97"/>
      <c r="GZ97"/>
      <c r="HA97"/>
      <c r="HB97"/>
      <c r="HC97"/>
    </row>
    <row r="98" spans="1:211" s="7" customFormat="1">
      <c r="A98" s="128"/>
      <c r="B98" s="76">
        <f t="shared" ca="1" si="50"/>
        <v>1.2297005951606321E-2</v>
      </c>
      <c r="C98">
        <v>1</v>
      </c>
      <c r="D98">
        <v>39673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2.5062500000000001</v>
      </c>
      <c r="AO98">
        <v>0.33471117418887564</v>
      </c>
      <c r="AP98">
        <v>8.6444224572335688</v>
      </c>
      <c r="AQ98">
        <v>3.084112334181671</v>
      </c>
      <c r="AR98">
        <v>0.35884047843016259</v>
      </c>
      <c r="AS98">
        <v>1.9672671618848157</v>
      </c>
      <c r="AT98" t="e">
        <v>#DIV/0!</v>
      </c>
      <c r="AU98" t="e">
        <v>#DIV/0!</v>
      </c>
      <c r="AV98"/>
      <c r="AW98"/>
      <c r="AX98" s="128"/>
      <c r="AY98" s="76">
        <f t="shared" ca="1" si="88"/>
        <v>0.84812452891577328</v>
      </c>
      <c r="AZ98">
        <v>1</v>
      </c>
      <c r="BA98" s="129">
        <f>IF(AZ98="", "",$C$5)</f>
        <v>39673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 s="147"/>
      <c r="CH98" s="176"/>
      <c r="CJ98" s="128"/>
      <c r="CK98" s="76">
        <f t="shared" ca="1" si="90"/>
        <v>0.85535104866581979</v>
      </c>
      <c r="CL98" s="179">
        <f t="shared" si="91"/>
        <v>1</v>
      </c>
      <c r="CM98" s="180">
        <f t="shared" si="92"/>
        <v>39673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W98">
        <v>1</v>
      </c>
      <c r="CX98">
        <v>1</v>
      </c>
      <c r="CY98" s="158"/>
      <c r="CZ98" s="177">
        <f t="shared" si="93"/>
        <v>9.6000000000000002E-2</v>
      </c>
      <c r="DB98" s="128"/>
      <c r="DC98" s="76">
        <f t="shared" ca="1" si="51"/>
        <v>0.78342182783596215</v>
      </c>
      <c r="DD98">
        <f t="shared" si="94"/>
        <v>1</v>
      </c>
      <c r="DE98" s="129">
        <f t="shared" ref="DE98:DE107" si="126">IF((DD98)="", "", $C$5)</f>
        <v>39673</v>
      </c>
      <c r="DF98" s="161">
        <f t="shared" si="95"/>
        <v>0</v>
      </c>
      <c r="DG98" s="161">
        <f t="shared" si="96"/>
        <v>0</v>
      </c>
      <c r="DH98" s="161">
        <f t="shared" si="97"/>
        <v>0</v>
      </c>
      <c r="DI98" s="161">
        <f t="shared" si="98"/>
        <v>0</v>
      </c>
      <c r="DJ98" s="161">
        <f t="shared" si="99"/>
        <v>0</v>
      </c>
      <c r="DK98" s="161">
        <f t="shared" si="100"/>
        <v>0</v>
      </c>
      <c r="DL98" s="161">
        <f t="shared" si="101"/>
        <v>0</v>
      </c>
      <c r="DM98" s="161">
        <f t="shared" si="102"/>
        <v>0</v>
      </c>
      <c r="DN98" s="161">
        <f t="shared" si="103"/>
        <v>0</v>
      </c>
      <c r="DO98" s="161">
        <f t="shared" si="104"/>
        <v>0</v>
      </c>
      <c r="DP98" s="161">
        <f t="shared" si="105"/>
        <v>0</v>
      </c>
      <c r="DQ98" s="161">
        <f t="shared" si="106"/>
        <v>0</v>
      </c>
      <c r="DR98" s="161">
        <f t="shared" si="107"/>
        <v>0</v>
      </c>
      <c r="DS98" s="161">
        <f t="shared" si="108"/>
        <v>0</v>
      </c>
      <c r="DT98" s="161">
        <f t="shared" si="109"/>
        <v>0</v>
      </c>
      <c r="DU98" s="161">
        <f t="shared" si="110"/>
        <v>0</v>
      </c>
      <c r="DV98" s="161">
        <f t="shared" si="111"/>
        <v>0</v>
      </c>
      <c r="DW98" s="161">
        <f t="shared" si="112"/>
        <v>0</v>
      </c>
      <c r="DX98" s="161">
        <f t="shared" si="113"/>
        <v>0</v>
      </c>
      <c r="DY98" s="161">
        <f t="shared" si="114"/>
        <v>0</v>
      </c>
      <c r="DZ98" s="161">
        <f t="shared" si="115"/>
        <v>0</v>
      </c>
      <c r="EA98" s="161">
        <f t="shared" si="116"/>
        <v>0</v>
      </c>
      <c r="EB98" s="161">
        <f t="shared" si="117"/>
        <v>0</v>
      </c>
      <c r="EC98" s="161">
        <f t="shared" si="118"/>
        <v>0</v>
      </c>
      <c r="ED98" s="161">
        <f t="shared" si="119"/>
        <v>0</v>
      </c>
      <c r="EE98" s="161">
        <f t="shared" si="120"/>
        <v>0</v>
      </c>
      <c r="EF98" s="161">
        <f t="shared" si="121"/>
        <v>0</v>
      </c>
      <c r="EG98" s="161">
        <f t="shared" si="122"/>
        <v>0</v>
      </c>
      <c r="EH98" s="161">
        <f t="shared" si="123"/>
        <v>0</v>
      </c>
      <c r="EI98" s="161">
        <f t="shared" si="124"/>
        <v>0</v>
      </c>
      <c r="EJ98" s="161">
        <f t="shared" si="125"/>
        <v>0</v>
      </c>
      <c r="EK98" s="147">
        <f t="shared" si="55"/>
        <v>0</v>
      </c>
      <c r="EL98" s="149"/>
      <c r="EN98" s="146"/>
      <c r="EO98" s="146"/>
      <c r="EP98" s="139">
        <f t="shared" si="56"/>
        <v>0</v>
      </c>
      <c r="EQ98" s="139">
        <f t="shared" si="57"/>
        <v>0</v>
      </c>
      <c r="ER98" s="139">
        <f t="shared" si="58"/>
        <v>0</v>
      </c>
      <c r="ES98" s="139">
        <f t="shared" si="59"/>
        <v>0</v>
      </c>
      <c r="ET98" s="139">
        <f t="shared" si="60"/>
        <v>0</v>
      </c>
      <c r="EU98" s="139">
        <f t="shared" si="61"/>
        <v>0</v>
      </c>
      <c r="EV98" s="139">
        <f t="shared" si="62"/>
        <v>0</v>
      </c>
      <c r="EW98" s="139">
        <f t="shared" si="63"/>
        <v>0</v>
      </c>
      <c r="EX98" s="139">
        <f t="shared" si="64"/>
        <v>0</v>
      </c>
      <c r="EY98" s="139">
        <f t="shared" si="65"/>
        <v>0</v>
      </c>
      <c r="EZ98" s="139">
        <f t="shared" si="66"/>
        <v>0</v>
      </c>
      <c r="FA98" s="139">
        <f t="shared" si="67"/>
        <v>0</v>
      </c>
      <c r="FB98" s="139">
        <f t="shared" si="68"/>
        <v>0</v>
      </c>
      <c r="FC98" s="139">
        <f t="shared" si="69"/>
        <v>0</v>
      </c>
      <c r="FD98" s="139">
        <f t="shared" si="70"/>
        <v>0</v>
      </c>
      <c r="FE98" s="139">
        <f t="shared" si="71"/>
        <v>0</v>
      </c>
      <c r="FF98" s="139">
        <f t="shared" si="72"/>
        <v>0</v>
      </c>
      <c r="FG98" s="139">
        <f t="shared" si="73"/>
        <v>0</v>
      </c>
      <c r="FH98" s="139">
        <f t="shared" si="74"/>
        <v>0</v>
      </c>
      <c r="FI98" s="139">
        <f t="shared" si="75"/>
        <v>0</v>
      </c>
      <c r="FJ98" s="139">
        <f t="shared" si="76"/>
        <v>0</v>
      </c>
      <c r="FK98" s="139">
        <f t="shared" si="77"/>
        <v>0</v>
      </c>
      <c r="FL98" s="139">
        <f t="shared" si="78"/>
        <v>0</v>
      </c>
      <c r="FM98" s="139">
        <f t="shared" si="79"/>
        <v>0</v>
      </c>
      <c r="FN98" s="139">
        <f t="shared" si="80"/>
        <v>0</v>
      </c>
      <c r="FO98" s="139">
        <f t="shared" si="81"/>
        <v>0</v>
      </c>
      <c r="FP98" s="139">
        <f t="shared" si="82"/>
        <v>0</v>
      </c>
      <c r="FQ98" s="139">
        <f t="shared" si="83"/>
        <v>0</v>
      </c>
      <c r="FR98" s="139">
        <f t="shared" si="84"/>
        <v>0</v>
      </c>
      <c r="FS98" s="139">
        <f t="shared" si="85"/>
        <v>0</v>
      </c>
      <c r="FT98" s="139">
        <f t="shared" si="86"/>
        <v>0</v>
      </c>
      <c r="FU98" s="148">
        <f t="shared" si="87"/>
        <v>0</v>
      </c>
      <c r="FV98" s="149"/>
      <c r="FY98" s="211">
        <v>93</v>
      </c>
      <c r="FZ98">
        <v>0.81646945034588803</v>
      </c>
      <c r="GA98">
        <v>8.725047411847664E-2</v>
      </c>
      <c r="GB98">
        <v>0</v>
      </c>
      <c r="GC98">
        <v>0</v>
      </c>
      <c r="GD98">
        <v>0</v>
      </c>
      <c r="GE98">
        <v>0</v>
      </c>
      <c r="GF98">
        <v>0.33021050058332063</v>
      </c>
      <c r="GG98">
        <v>0.29759236750664797</v>
      </c>
      <c r="GH98">
        <v>0</v>
      </c>
      <c r="GI98">
        <v>0.18497615240188858</v>
      </c>
      <c r="GJ98"/>
      <c r="GK98">
        <v>0.82053425593866969</v>
      </c>
      <c r="GL98">
        <v>7.3740509229249462E-2</v>
      </c>
      <c r="GM98">
        <v>0</v>
      </c>
      <c r="GN98">
        <v>0</v>
      </c>
      <c r="GO98">
        <v>0</v>
      </c>
      <c r="GP98">
        <v>0</v>
      </c>
      <c r="GQ98">
        <v>0.45369793096285549</v>
      </c>
      <c r="GR98">
        <v>0.45369793096285549</v>
      </c>
      <c r="GS98">
        <v>0</v>
      </c>
      <c r="GT98">
        <v>0.25484643738030505</v>
      </c>
      <c r="GU98"/>
      <c r="GV98"/>
      <c r="GW98"/>
      <c r="GX98"/>
      <c r="GY98"/>
      <c r="GZ98"/>
      <c r="HA98"/>
      <c r="HB98"/>
      <c r="HC98"/>
    </row>
    <row r="99" spans="1:211" s="7" customFormat="1">
      <c r="A99" s="1"/>
      <c r="B99" s="76">
        <f t="shared" ca="1" si="50"/>
        <v>0.81439258388402802</v>
      </c>
      <c r="C99">
        <v>6</v>
      </c>
      <c r="D99">
        <v>39673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3.3989583333333329</v>
      </c>
      <c r="AO99">
        <v>0.23694295896570766</v>
      </c>
      <c r="AP99">
        <v>4.8308456949636778</v>
      </c>
      <c r="AQ99">
        <v>2.105565331412329</v>
      </c>
      <c r="AR99">
        <v>0.28775301640493156</v>
      </c>
      <c r="AS99">
        <v>1.8788442450805714</v>
      </c>
      <c r="AT99" t="e">
        <v>#DIV/0!</v>
      </c>
      <c r="AU99" t="e">
        <v>#DIV/0!</v>
      </c>
      <c r="AV99"/>
      <c r="AW99"/>
      <c r="AX99" s="146"/>
      <c r="AY99" s="76">
        <f t="shared" ca="1" si="88"/>
        <v>0.4348743495329408</v>
      </c>
      <c r="AZ99">
        <v>2</v>
      </c>
      <c r="BA99" s="129">
        <f t="shared" ref="BA99:BA107" si="127">IF(AZ99="", "",$C$5)</f>
        <v>39673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 s="147"/>
      <c r="CH99" s="176"/>
      <c r="CJ99" s="146"/>
      <c r="CK99" s="76">
        <f t="shared" ca="1" si="90"/>
        <v>4.0389132006828365E-3</v>
      </c>
      <c r="CL99" s="179">
        <f t="shared" si="91"/>
        <v>2</v>
      </c>
      <c r="CM99" s="180">
        <f t="shared" si="92"/>
        <v>39673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W99">
        <v>1</v>
      </c>
      <c r="CX99">
        <v>6</v>
      </c>
      <c r="CY99" s="158"/>
      <c r="CZ99" s="177">
        <f t="shared" si="93"/>
        <v>9.6000000000000002E-2</v>
      </c>
      <c r="DB99" s="146"/>
      <c r="DC99" s="76">
        <f t="shared" ca="1" si="51"/>
        <v>0.71366491856741998</v>
      </c>
      <c r="DD99">
        <f t="shared" si="94"/>
        <v>2</v>
      </c>
      <c r="DE99" s="129">
        <f t="shared" si="126"/>
        <v>39673</v>
      </c>
      <c r="DF99" s="161">
        <f t="shared" si="95"/>
        <v>0</v>
      </c>
      <c r="DG99" s="161">
        <f t="shared" si="96"/>
        <v>0</v>
      </c>
      <c r="DH99" s="161">
        <f t="shared" si="97"/>
        <v>0</v>
      </c>
      <c r="DI99" s="161">
        <f t="shared" si="98"/>
        <v>0</v>
      </c>
      <c r="DJ99" s="161">
        <f t="shared" si="99"/>
        <v>0</v>
      </c>
      <c r="DK99" s="161">
        <f t="shared" si="100"/>
        <v>0</v>
      </c>
      <c r="DL99" s="161">
        <f t="shared" si="101"/>
        <v>0</v>
      </c>
      <c r="DM99" s="161">
        <f t="shared" si="102"/>
        <v>0</v>
      </c>
      <c r="DN99" s="161">
        <f t="shared" si="103"/>
        <v>0</v>
      </c>
      <c r="DO99" s="161">
        <f t="shared" si="104"/>
        <v>0</v>
      </c>
      <c r="DP99" s="161">
        <f t="shared" si="105"/>
        <v>0</v>
      </c>
      <c r="DQ99" s="161">
        <f t="shared" si="106"/>
        <v>0</v>
      </c>
      <c r="DR99" s="161">
        <f t="shared" si="107"/>
        <v>0</v>
      </c>
      <c r="DS99" s="161">
        <f t="shared" si="108"/>
        <v>0</v>
      </c>
      <c r="DT99" s="161">
        <f t="shared" si="109"/>
        <v>0</v>
      </c>
      <c r="DU99" s="161">
        <f t="shared" si="110"/>
        <v>0</v>
      </c>
      <c r="DV99" s="161">
        <f t="shared" si="111"/>
        <v>0</v>
      </c>
      <c r="DW99" s="161">
        <f t="shared" si="112"/>
        <v>0</v>
      </c>
      <c r="DX99" s="161">
        <f t="shared" si="113"/>
        <v>0</v>
      </c>
      <c r="DY99" s="161">
        <f t="shared" si="114"/>
        <v>0</v>
      </c>
      <c r="DZ99" s="161">
        <f t="shared" si="115"/>
        <v>0</v>
      </c>
      <c r="EA99" s="161">
        <f t="shared" si="116"/>
        <v>0</v>
      </c>
      <c r="EB99" s="161">
        <f t="shared" si="117"/>
        <v>0</v>
      </c>
      <c r="EC99" s="161">
        <f t="shared" si="118"/>
        <v>0</v>
      </c>
      <c r="ED99" s="161">
        <f t="shared" si="119"/>
        <v>0</v>
      </c>
      <c r="EE99" s="161">
        <f t="shared" si="120"/>
        <v>0</v>
      </c>
      <c r="EF99" s="161">
        <f t="shared" si="121"/>
        <v>0</v>
      </c>
      <c r="EG99" s="161">
        <f t="shared" si="122"/>
        <v>0</v>
      </c>
      <c r="EH99" s="161">
        <f t="shared" si="123"/>
        <v>0</v>
      </c>
      <c r="EI99" s="161">
        <f t="shared" si="124"/>
        <v>0</v>
      </c>
      <c r="EJ99" s="161">
        <f t="shared" si="125"/>
        <v>0</v>
      </c>
      <c r="EK99" s="147">
        <f t="shared" si="55"/>
        <v>0</v>
      </c>
      <c r="EL99" s="149"/>
      <c r="EN99" s="146"/>
      <c r="EO99" s="146"/>
      <c r="EP99" s="139">
        <f t="shared" si="56"/>
        <v>0</v>
      </c>
      <c r="EQ99" s="139">
        <f t="shared" si="57"/>
        <v>0</v>
      </c>
      <c r="ER99" s="139">
        <f t="shared" si="58"/>
        <v>0</v>
      </c>
      <c r="ES99" s="139">
        <f t="shared" si="59"/>
        <v>0</v>
      </c>
      <c r="ET99" s="139">
        <f t="shared" si="60"/>
        <v>0</v>
      </c>
      <c r="EU99" s="139">
        <f t="shared" si="61"/>
        <v>0</v>
      </c>
      <c r="EV99" s="139">
        <f t="shared" si="62"/>
        <v>0</v>
      </c>
      <c r="EW99" s="139">
        <f t="shared" si="63"/>
        <v>0</v>
      </c>
      <c r="EX99" s="139">
        <f t="shared" si="64"/>
        <v>0</v>
      </c>
      <c r="EY99" s="139">
        <f t="shared" si="65"/>
        <v>0</v>
      </c>
      <c r="EZ99" s="139">
        <f t="shared" si="66"/>
        <v>0</v>
      </c>
      <c r="FA99" s="139">
        <f t="shared" si="67"/>
        <v>0</v>
      </c>
      <c r="FB99" s="139">
        <f t="shared" si="68"/>
        <v>0</v>
      </c>
      <c r="FC99" s="139">
        <f t="shared" si="69"/>
        <v>0</v>
      </c>
      <c r="FD99" s="139">
        <f t="shared" si="70"/>
        <v>0</v>
      </c>
      <c r="FE99" s="139">
        <f t="shared" si="71"/>
        <v>0</v>
      </c>
      <c r="FF99" s="139">
        <f t="shared" si="72"/>
        <v>0</v>
      </c>
      <c r="FG99" s="139">
        <f t="shared" si="73"/>
        <v>0</v>
      </c>
      <c r="FH99" s="139">
        <f t="shared" si="74"/>
        <v>0</v>
      </c>
      <c r="FI99" s="139">
        <f t="shared" si="75"/>
        <v>0</v>
      </c>
      <c r="FJ99" s="139">
        <f t="shared" si="76"/>
        <v>0</v>
      </c>
      <c r="FK99" s="139">
        <f t="shared" si="77"/>
        <v>0</v>
      </c>
      <c r="FL99" s="139">
        <f t="shared" si="78"/>
        <v>0</v>
      </c>
      <c r="FM99" s="139">
        <f t="shared" si="79"/>
        <v>0</v>
      </c>
      <c r="FN99" s="139">
        <f t="shared" si="80"/>
        <v>0</v>
      </c>
      <c r="FO99" s="139">
        <f t="shared" si="81"/>
        <v>0</v>
      </c>
      <c r="FP99" s="139">
        <f t="shared" si="82"/>
        <v>0</v>
      </c>
      <c r="FQ99" s="139">
        <f t="shared" si="83"/>
        <v>0</v>
      </c>
      <c r="FR99" s="139">
        <f t="shared" si="84"/>
        <v>0</v>
      </c>
      <c r="FS99" s="139">
        <f t="shared" si="85"/>
        <v>0</v>
      </c>
      <c r="FT99" s="139">
        <f t="shared" si="86"/>
        <v>0</v>
      </c>
      <c r="FU99" s="148">
        <f t="shared" si="87"/>
        <v>0</v>
      </c>
      <c r="FV99" s="149"/>
      <c r="FY99" s="211">
        <v>94</v>
      </c>
      <c r="FZ99">
        <v>0.88887202913902041</v>
      </c>
      <c r="GA99">
        <v>0.47460065171768845</v>
      </c>
      <c r="GB99">
        <v>0.14202990935487192</v>
      </c>
      <c r="GC99">
        <v>0.18341592548776492</v>
      </c>
      <c r="GD99">
        <v>8.0173661321021189E-2</v>
      </c>
      <c r="GE99">
        <v>0</v>
      </c>
      <c r="GF99">
        <v>0</v>
      </c>
      <c r="GG99">
        <v>0</v>
      </c>
      <c r="GH99">
        <v>0</v>
      </c>
      <c r="GI99">
        <v>0.21280913756855696</v>
      </c>
      <c r="GJ99"/>
      <c r="GK99">
        <v>0.89493384251290398</v>
      </c>
      <c r="GL99">
        <v>0.40705572478708768</v>
      </c>
      <c r="GM99">
        <v>0.23585576644039991</v>
      </c>
      <c r="GN99">
        <v>0.55066996213757402</v>
      </c>
      <c r="GO99">
        <v>0.31481419569717417</v>
      </c>
      <c r="GP99">
        <v>0</v>
      </c>
      <c r="GQ99">
        <v>0</v>
      </c>
      <c r="GR99">
        <v>0</v>
      </c>
      <c r="GS99">
        <v>0</v>
      </c>
      <c r="GT99">
        <v>0.28912076093009559</v>
      </c>
      <c r="GU99"/>
      <c r="GV99"/>
      <c r="GW99"/>
      <c r="GX99"/>
      <c r="GY99"/>
      <c r="GZ99"/>
      <c r="HA99"/>
      <c r="HB99"/>
      <c r="HC99"/>
    </row>
    <row r="100" spans="1:211" s="7" customFormat="1">
      <c r="A100" s="1"/>
      <c r="B100" s="76">
        <f t="shared" ca="1" si="50"/>
        <v>0.34271894009552994</v>
      </c>
      <c r="C100">
        <v>9</v>
      </c>
      <c r="D100">
        <v>39673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1.4166666666666665</v>
      </c>
      <c r="AO100">
        <v>0.24278936852457716</v>
      </c>
      <c r="AP100">
        <v>9.2213730020039399</v>
      </c>
      <c r="AQ100">
        <v>1.8054887431801454</v>
      </c>
      <c r="AR100">
        <v>0.27310330710627501</v>
      </c>
      <c r="AS100">
        <v>1.6725350963338517</v>
      </c>
      <c r="AT100" t="e">
        <v>#DIV/0!</v>
      </c>
      <c r="AU100" t="e">
        <v>#DIV/0!</v>
      </c>
      <c r="AV100"/>
      <c r="AW100"/>
      <c r="AX100" s="146"/>
      <c r="AY100" s="76">
        <f t="shared" ca="1" si="88"/>
        <v>0.88374994586373479</v>
      </c>
      <c r="AZ100">
        <v>3</v>
      </c>
      <c r="BA100" s="129">
        <f t="shared" si="127"/>
        <v>39673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 s="147"/>
      <c r="CH100" s="176"/>
      <c r="CJ100" s="146"/>
      <c r="CK100" s="76">
        <f t="shared" ca="1" si="90"/>
        <v>1.7569789484756626E-2</v>
      </c>
      <c r="CL100" s="179">
        <f t="shared" si="91"/>
        <v>3</v>
      </c>
      <c r="CM100" s="180">
        <f t="shared" si="92"/>
        <v>39673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W100">
        <v>1</v>
      </c>
      <c r="CX100">
        <f>350/51</f>
        <v>6.8627450980392153</v>
      </c>
      <c r="CY100" s="158"/>
      <c r="CZ100" s="177">
        <f t="shared" si="93"/>
        <v>9.6000000000000002E-2</v>
      </c>
      <c r="DB100" s="146"/>
      <c r="DC100" s="76">
        <f t="shared" ca="1" si="51"/>
        <v>0.27896137127276965</v>
      </c>
      <c r="DD100">
        <f t="shared" si="94"/>
        <v>3</v>
      </c>
      <c r="DE100" s="129">
        <f t="shared" si="126"/>
        <v>39673</v>
      </c>
      <c r="DF100" s="161">
        <f t="shared" si="95"/>
        <v>0</v>
      </c>
      <c r="DG100" s="161">
        <f t="shared" si="96"/>
        <v>0</v>
      </c>
      <c r="DH100" s="161">
        <f t="shared" si="97"/>
        <v>0</v>
      </c>
      <c r="DI100" s="161">
        <f t="shared" si="98"/>
        <v>0</v>
      </c>
      <c r="DJ100" s="161">
        <f t="shared" si="99"/>
        <v>0</v>
      </c>
      <c r="DK100" s="161">
        <f t="shared" si="100"/>
        <v>0</v>
      </c>
      <c r="DL100" s="161">
        <f t="shared" si="101"/>
        <v>0</v>
      </c>
      <c r="DM100" s="161">
        <f t="shared" si="102"/>
        <v>0</v>
      </c>
      <c r="DN100" s="161">
        <f t="shared" si="103"/>
        <v>0</v>
      </c>
      <c r="DO100" s="161">
        <f t="shared" si="104"/>
        <v>0</v>
      </c>
      <c r="DP100" s="161">
        <f t="shared" si="105"/>
        <v>0</v>
      </c>
      <c r="DQ100" s="161">
        <f t="shared" si="106"/>
        <v>0</v>
      </c>
      <c r="DR100" s="161">
        <f t="shared" si="107"/>
        <v>0</v>
      </c>
      <c r="DS100" s="161">
        <f t="shared" si="108"/>
        <v>0</v>
      </c>
      <c r="DT100" s="161">
        <f t="shared" si="109"/>
        <v>0</v>
      </c>
      <c r="DU100" s="161">
        <f t="shared" si="110"/>
        <v>0</v>
      </c>
      <c r="DV100" s="161">
        <f t="shared" si="111"/>
        <v>0</v>
      </c>
      <c r="DW100" s="161">
        <f t="shared" si="112"/>
        <v>0</v>
      </c>
      <c r="DX100" s="161">
        <f t="shared" si="113"/>
        <v>0</v>
      </c>
      <c r="DY100" s="161">
        <f t="shared" si="114"/>
        <v>0</v>
      </c>
      <c r="DZ100" s="161">
        <f t="shared" si="115"/>
        <v>0</v>
      </c>
      <c r="EA100" s="161">
        <f t="shared" si="116"/>
        <v>0</v>
      </c>
      <c r="EB100" s="161">
        <f t="shared" si="117"/>
        <v>0</v>
      </c>
      <c r="EC100" s="161">
        <f t="shared" si="118"/>
        <v>0</v>
      </c>
      <c r="ED100" s="161">
        <f t="shared" si="119"/>
        <v>0</v>
      </c>
      <c r="EE100" s="161">
        <f t="shared" si="120"/>
        <v>0</v>
      </c>
      <c r="EF100" s="161">
        <f t="shared" si="121"/>
        <v>0</v>
      </c>
      <c r="EG100" s="161">
        <f t="shared" si="122"/>
        <v>0</v>
      </c>
      <c r="EH100" s="161">
        <f t="shared" si="123"/>
        <v>0</v>
      </c>
      <c r="EI100" s="161">
        <f t="shared" si="124"/>
        <v>0</v>
      </c>
      <c r="EJ100" s="161">
        <f t="shared" si="125"/>
        <v>0</v>
      </c>
      <c r="EK100" s="147">
        <f t="shared" si="55"/>
        <v>0</v>
      </c>
      <c r="EL100" s="149"/>
      <c r="EN100" s="146"/>
      <c r="EO100" s="146"/>
      <c r="EP100" s="139">
        <f t="shared" si="56"/>
        <v>0</v>
      </c>
      <c r="EQ100" s="139">
        <f t="shared" si="57"/>
        <v>0</v>
      </c>
      <c r="ER100" s="139">
        <f t="shared" si="58"/>
        <v>0</v>
      </c>
      <c r="ES100" s="139">
        <f t="shared" si="59"/>
        <v>0</v>
      </c>
      <c r="ET100" s="139">
        <f t="shared" si="60"/>
        <v>0</v>
      </c>
      <c r="EU100" s="139">
        <f t="shared" si="61"/>
        <v>0</v>
      </c>
      <c r="EV100" s="139">
        <f t="shared" si="62"/>
        <v>0</v>
      </c>
      <c r="EW100" s="139">
        <f t="shared" si="63"/>
        <v>0</v>
      </c>
      <c r="EX100" s="139">
        <f t="shared" si="64"/>
        <v>0</v>
      </c>
      <c r="EY100" s="139">
        <f t="shared" si="65"/>
        <v>0</v>
      </c>
      <c r="EZ100" s="139">
        <f t="shared" si="66"/>
        <v>0</v>
      </c>
      <c r="FA100" s="139">
        <f t="shared" si="67"/>
        <v>0</v>
      </c>
      <c r="FB100" s="139">
        <f t="shared" si="68"/>
        <v>0</v>
      </c>
      <c r="FC100" s="139">
        <f t="shared" si="69"/>
        <v>0</v>
      </c>
      <c r="FD100" s="139">
        <f t="shared" si="70"/>
        <v>0</v>
      </c>
      <c r="FE100" s="139">
        <f t="shared" si="71"/>
        <v>0</v>
      </c>
      <c r="FF100" s="139">
        <f t="shared" si="72"/>
        <v>0</v>
      </c>
      <c r="FG100" s="139">
        <f t="shared" si="73"/>
        <v>0</v>
      </c>
      <c r="FH100" s="139">
        <f t="shared" si="74"/>
        <v>0</v>
      </c>
      <c r="FI100" s="139">
        <f t="shared" si="75"/>
        <v>0</v>
      </c>
      <c r="FJ100" s="139">
        <f t="shared" si="76"/>
        <v>0</v>
      </c>
      <c r="FK100" s="139">
        <f t="shared" si="77"/>
        <v>0</v>
      </c>
      <c r="FL100" s="139">
        <f t="shared" si="78"/>
        <v>0</v>
      </c>
      <c r="FM100" s="139">
        <f t="shared" si="79"/>
        <v>0</v>
      </c>
      <c r="FN100" s="139">
        <f t="shared" si="80"/>
        <v>0</v>
      </c>
      <c r="FO100" s="139">
        <f t="shared" si="81"/>
        <v>0</v>
      </c>
      <c r="FP100" s="139">
        <f t="shared" si="82"/>
        <v>0</v>
      </c>
      <c r="FQ100" s="139">
        <f t="shared" si="83"/>
        <v>0</v>
      </c>
      <c r="FR100" s="139">
        <f t="shared" si="84"/>
        <v>0</v>
      </c>
      <c r="FS100" s="139">
        <f t="shared" si="85"/>
        <v>0</v>
      </c>
      <c r="FT100" s="139">
        <f t="shared" si="86"/>
        <v>0</v>
      </c>
      <c r="FU100" s="148">
        <f t="shared" si="87"/>
        <v>0</v>
      </c>
      <c r="FV100" s="149"/>
      <c r="FY100" s="211">
        <v>95</v>
      </c>
      <c r="FZ100">
        <v>1.1058322850989102</v>
      </c>
      <c r="GA100">
        <v>0.77470035519842362</v>
      </c>
      <c r="GB100">
        <v>6.282592274279708E-2</v>
      </c>
      <c r="GC100">
        <v>0.10445782487688358</v>
      </c>
      <c r="GD100">
        <v>5.3449107547347455E-2</v>
      </c>
      <c r="GE100">
        <v>0</v>
      </c>
      <c r="GF100">
        <v>0</v>
      </c>
      <c r="GG100">
        <v>0</v>
      </c>
      <c r="GH100">
        <v>0</v>
      </c>
      <c r="GI100">
        <v>0.21005430464054078</v>
      </c>
      <c r="GJ100"/>
      <c r="GK100">
        <v>1.1136749552095684</v>
      </c>
      <c r="GL100">
        <v>0.66663043111567644</v>
      </c>
      <c r="GM100">
        <v>0.10493806523239137</v>
      </c>
      <c r="GN100">
        <v>0.31481419569717412</v>
      </c>
      <c r="GO100">
        <v>0.20987613046478273</v>
      </c>
      <c r="GP100">
        <v>0</v>
      </c>
      <c r="GQ100">
        <v>0</v>
      </c>
      <c r="GR100">
        <v>0</v>
      </c>
      <c r="GS100">
        <v>0</v>
      </c>
      <c r="GT100">
        <v>0.28569783018134853</v>
      </c>
      <c r="GU100"/>
      <c r="GV100"/>
      <c r="GW100"/>
      <c r="GX100"/>
      <c r="GY100"/>
      <c r="GZ100"/>
      <c r="HA100"/>
      <c r="HB100"/>
      <c r="HC100"/>
    </row>
    <row r="101" spans="1:211" s="7" customFormat="1">
      <c r="A101" s="1"/>
      <c r="B101" s="76">
        <f t="shared" ca="1" si="50"/>
        <v>0.59969876398402011</v>
      </c>
      <c r="C101">
        <v>5</v>
      </c>
      <c r="D101">
        <v>39673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2.3677083333333337</v>
      </c>
      <c r="AO101">
        <v>0.42412364497697103</v>
      </c>
      <c r="AP101">
        <v>17.735440190534561</v>
      </c>
      <c r="AQ101">
        <v>3.2643188295531704</v>
      </c>
      <c r="AR101">
        <v>0.43099850523068672</v>
      </c>
      <c r="AS101">
        <v>2.156182469254349</v>
      </c>
      <c r="AT101" t="e">
        <v>#DIV/0!</v>
      </c>
      <c r="AU101" t="e">
        <v>#DIV/0!</v>
      </c>
      <c r="AV101"/>
      <c r="AW101"/>
      <c r="AX101" s="146"/>
      <c r="AY101" s="76">
        <f t="shared" ca="1" si="88"/>
        <v>0.64511898945179746</v>
      </c>
      <c r="AZ101">
        <v>4</v>
      </c>
      <c r="BA101" s="129">
        <f t="shared" si="127"/>
        <v>39673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 s="147"/>
      <c r="CH101" s="176"/>
      <c r="CJ101" s="146"/>
      <c r="CK101" s="76">
        <f t="shared" ca="1" si="90"/>
        <v>0.12886804760100956</v>
      </c>
      <c r="CL101" s="179">
        <f t="shared" si="91"/>
        <v>4</v>
      </c>
      <c r="CM101" s="180">
        <f t="shared" si="92"/>
        <v>39673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W101">
        <v>1</v>
      </c>
      <c r="CX101">
        <f>355/50</f>
        <v>7.1</v>
      </c>
      <c r="CY101" s="158"/>
      <c r="CZ101" s="177">
        <f t="shared" si="93"/>
        <v>9.6000000000000002E-2</v>
      </c>
      <c r="DB101" s="146"/>
      <c r="DC101" s="76">
        <f t="shared" ca="1" si="51"/>
        <v>0.69410292697634057</v>
      </c>
      <c r="DD101">
        <f t="shared" si="94"/>
        <v>4</v>
      </c>
      <c r="DE101" s="129">
        <f t="shared" si="126"/>
        <v>39673</v>
      </c>
      <c r="DF101" s="161">
        <f t="shared" si="95"/>
        <v>0</v>
      </c>
      <c r="DG101" s="161">
        <f t="shared" si="96"/>
        <v>0</v>
      </c>
      <c r="DH101" s="161">
        <f t="shared" si="97"/>
        <v>0</v>
      </c>
      <c r="DI101" s="161">
        <f t="shared" si="98"/>
        <v>0</v>
      </c>
      <c r="DJ101" s="161">
        <f t="shared" si="99"/>
        <v>0</v>
      </c>
      <c r="DK101" s="161">
        <f t="shared" si="100"/>
        <v>0</v>
      </c>
      <c r="DL101" s="161">
        <f t="shared" si="101"/>
        <v>0</v>
      </c>
      <c r="DM101" s="161">
        <f t="shared" si="102"/>
        <v>0</v>
      </c>
      <c r="DN101" s="161">
        <f t="shared" si="103"/>
        <v>0</v>
      </c>
      <c r="DO101" s="161">
        <f t="shared" si="104"/>
        <v>0</v>
      </c>
      <c r="DP101" s="161">
        <f t="shared" si="105"/>
        <v>0</v>
      </c>
      <c r="DQ101" s="161">
        <f t="shared" si="106"/>
        <v>0</v>
      </c>
      <c r="DR101" s="161">
        <f t="shared" si="107"/>
        <v>0</v>
      </c>
      <c r="DS101" s="161">
        <f t="shared" si="108"/>
        <v>0</v>
      </c>
      <c r="DT101" s="161">
        <f t="shared" si="109"/>
        <v>0</v>
      </c>
      <c r="DU101" s="161">
        <f t="shared" si="110"/>
        <v>0</v>
      </c>
      <c r="DV101" s="161">
        <f t="shared" si="111"/>
        <v>0</v>
      </c>
      <c r="DW101" s="161">
        <f t="shared" si="112"/>
        <v>0</v>
      </c>
      <c r="DX101" s="161">
        <f t="shared" si="113"/>
        <v>0</v>
      </c>
      <c r="DY101" s="161">
        <f t="shared" si="114"/>
        <v>0</v>
      </c>
      <c r="DZ101" s="161">
        <f t="shared" si="115"/>
        <v>0</v>
      </c>
      <c r="EA101" s="161">
        <f t="shared" si="116"/>
        <v>0</v>
      </c>
      <c r="EB101" s="161">
        <f t="shared" si="117"/>
        <v>0</v>
      </c>
      <c r="EC101" s="161">
        <f t="shared" si="118"/>
        <v>0</v>
      </c>
      <c r="ED101" s="161">
        <f t="shared" si="119"/>
        <v>0</v>
      </c>
      <c r="EE101" s="161">
        <f t="shared" si="120"/>
        <v>0</v>
      </c>
      <c r="EF101" s="161">
        <f t="shared" si="121"/>
        <v>0</v>
      </c>
      <c r="EG101" s="161">
        <f t="shared" si="122"/>
        <v>0</v>
      </c>
      <c r="EH101" s="161">
        <f t="shared" si="123"/>
        <v>0</v>
      </c>
      <c r="EI101" s="161">
        <f t="shared" si="124"/>
        <v>0</v>
      </c>
      <c r="EJ101" s="161">
        <f t="shared" si="125"/>
        <v>0</v>
      </c>
      <c r="EK101" s="147">
        <f t="shared" si="55"/>
        <v>0</v>
      </c>
      <c r="EL101" s="149"/>
      <c r="EN101" s="146"/>
      <c r="EO101" s="146"/>
      <c r="EP101" s="139">
        <f t="shared" si="56"/>
        <v>0</v>
      </c>
      <c r="EQ101" s="139">
        <f t="shared" si="57"/>
        <v>0</v>
      </c>
      <c r="ER101" s="139">
        <f t="shared" si="58"/>
        <v>0</v>
      </c>
      <c r="ES101" s="139">
        <f t="shared" si="59"/>
        <v>0</v>
      </c>
      <c r="ET101" s="139">
        <f t="shared" si="60"/>
        <v>0</v>
      </c>
      <c r="EU101" s="139">
        <f t="shared" si="61"/>
        <v>0</v>
      </c>
      <c r="EV101" s="139">
        <f t="shared" si="62"/>
        <v>0</v>
      </c>
      <c r="EW101" s="139">
        <f t="shared" si="63"/>
        <v>0</v>
      </c>
      <c r="EX101" s="139">
        <f t="shared" si="64"/>
        <v>0</v>
      </c>
      <c r="EY101" s="139">
        <f t="shared" si="65"/>
        <v>0</v>
      </c>
      <c r="EZ101" s="139">
        <f t="shared" si="66"/>
        <v>0</v>
      </c>
      <c r="FA101" s="139">
        <f t="shared" si="67"/>
        <v>0</v>
      </c>
      <c r="FB101" s="139">
        <f t="shared" si="68"/>
        <v>0</v>
      </c>
      <c r="FC101" s="139">
        <f t="shared" si="69"/>
        <v>0</v>
      </c>
      <c r="FD101" s="139">
        <f t="shared" si="70"/>
        <v>0</v>
      </c>
      <c r="FE101" s="139">
        <f t="shared" si="71"/>
        <v>0</v>
      </c>
      <c r="FF101" s="139">
        <f t="shared" si="72"/>
        <v>0</v>
      </c>
      <c r="FG101" s="139">
        <f t="shared" si="73"/>
        <v>0</v>
      </c>
      <c r="FH101" s="139">
        <f t="shared" si="74"/>
        <v>0</v>
      </c>
      <c r="FI101" s="139">
        <f t="shared" si="75"/>
        <v>0</v>
      </c>
      <c r="FJ101" s="139">
        <f t="shared" si="76"/>
        <v>0</v>
      </c>
      <c r="FK101" s="139">
        <f t="shared" si="77"/>
        <v>0</v>
      </c>
      <c r="FL101" s="139">
        <f t="shared" si="78"/>
        <v>0</v>
      </c>
      <c r="FM101" s="139">
        <f t="shared" si="79"/>
        <v>0</v>
      </c>
      <c r="FN101" s="139">
        <f t="shared" si="80"/>
        <v>0</v>
      </c>
      <c r="FO101" s="139">
        <f t="shared" si="81"/>
        <v>0</v>
      </c>
      <c r="FP101" s="139">
        <f t="shared" si="82"/>
        <v>0</v>
      </c>
      <c r="FQ101" s="139">
        <f t="shared" si="83"/>
        <v>0</v>
      </c>
      <c r="FR101" s="139">
        <f t="shared" si="84"/>
        <v>0</v>
      </c>
      <c r="FS101" s="139">
        <f t="shared" si="85"/>
        <v>0</v>
      </c>
      <c r="FT101" s="139">
        <f t="shared" si="86"/>
        <v>0</v>
      </c>
      <c r="FU101" s="148">
        <f t="shared" si="87"/>
        <v>0</v>
      </c>
      <c r="FV101" s="149"/>
      <c r="FY101" s="211">
        <v>96</v>
      </c>
      <c r="FZ101">
        <v>0.92225628940134796</v>
      </c>
      <c r="GA101">
        <v>0.38735017759921181</v>
      </c>
      <c r="GB101">
        <v>0.12565184548559416</v>
      </c>
      <c r="GC101">
        <v>0.10445782487688358</v>
      </c>
      <c r="GD101">
        <v>2.6724553773673727E-2</v>
      </c>
      <c r="GE101">
        <v>0</v>
      </c>
      <c r="GF101">
        <v>0</v>
      </c>
      <c r="GG101">
        <v>0</v>
      </c>
      <c r="GH101">
        <v>0</v>
      </c>
      <c r="GI101">
        <v>0.18290368482115166</v>
      </c>
      <c r="GJ101"/>
      <c r="GK101">
        <v>0.92806047701388483</v>
      </c>
      <c r="GL101">
        <v>0.33331521555783822</v>
      </c>
      <c r="GM101">
        <v>0.20987613046478273</v>
      </c>
      <c r="GN101">
        <v>0.31481419569717412</v>
      </c>
      <c r="GO101">
        <v>0.10493806523239137</v>
      </c>
      <c r="GP101">
        <v>0</v>
      </c>
      <c r="GQ101">
        <v>0</v>
      </c>
      <c r="GR101">
        <v>0</v>
      </c>
      <c r="GS101">
        <v>0</v>
      </c>
      <c r="GT101">
        <v>0.24857493454221175</v>
      </c>
      <c r="GU101"/>
      <c r="GV101"/>
      <c r="GW101"/>
      <c r="GX101"/>
      <c r="GY101"/>
      <c r="GZ101"/>
      <c r="HA101"/>
      <c r="HB101"/>
      <c r="HC101"/>
    </row>
    <row r="102" spans="1:211" s="7" customFormat="1">
      <c r="A102" s="1"/>
      <c r="B102" s="76">
        <f t="shared" ca="1" si="50"/>
        <v>0.68105317285484457</v>
      </c>
      <c r="C102">
        <v>2</v>
      </c>
      <c r="D102">
        <v>39673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2.4458333333333333</v>
      </c>
      <c r="AO102">
        <v>0.2540743035353592</v>
      </c>
      <c r="AP102">
        <v>7.3975749946715617</v>
      </c>
      <c r="AQ102">
        <v>2.011210857005012</v>
      </c>
      <c r="AR102">
        <v>0.28928604781915895</v>
      </c>
      <c r="AS102">
        <v>1.6907365132412078</v>
      </c>
      <c r="AT102" t="e">
        <v>#DIV/0!</v>
      </c>
      <c r="AU102" t="e">
        <v>#DIV/0!</v>
      </c>
      <c r="AV102"/>
      <c r="AW102"/>
      <c r="AX102" s="146"/>
      <c r="AY102" s="76">
        <f t="shared" ca="1" si="88"/>
        <v>2.58266335919759E-2</v>
      </c>
      <c r="AZ102">
        <v>5</v>
      </c>
      <c r="BA102" s="129">
        <f t="shared" si="127"/>
        <v>39673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 s="147"/>
      <c r="CH102" s="176"/>
      <c r="CJ102" s="146"/>
      <c r="CK102" s="76">
        <f t="shared" ca="1" si="90"/>
        <v>0.80773480504029882</v>
      </c>
      <c r="CL102" s="179">
        <f t="shared" si="91"/>
        <v>5</v>
      </c>
      <c r="CM102" s="180">
        <f t="shared" si="92"/>
        <v>39673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W102">
        <v>1</v>
      </c>
      <c r="CX102">
        <v>1</v>
      </c>
      <c r="CY102" s="164"/>
      <c r="CZ102" s="177">
        <f t="shared" si="93"/>
        <v>9.6000000000000002E-2</v>
      </c>
      <c r="DB102" s="146"/>
      <c r="DC102" s="76">
        <f t="shared" ca="1" si="51"/>
        <v>0.23259622256532353</v>
      </c>
      <c r="DD102">
        <f t="shared" si="94"/>
        <v>5</v>
      </c>
      <c r="DE102" s="129">
        <f t="shared" si="126"/>
        <v>39673</v>
      </c>
      <c r="DF102" s="161">
        <f t="shared" si="95"/>
        <v>0</v>
      </c>
      <c r="DG102" s="161">
        <f t="shared" si="96"/>
        <v>0</v>
      </c>
      <c r="DH102" s="161">
        <f t="shared" si="97"/>
        <v>0</v>
      </c>
      <c r="DI102" s="161">
        <f t="shared" si="98"/>
        <v>0</v>
      </c>
      <c r="DJ102" s="161">
        <f t="shared" si="99"/>
        <v>0</v>
      </c>
      <c r="DK102" s="161">
        <f t="shared" si="100"/>
        <v>0</v>
      </c>
      <c r="DL102" s="161">
        <f t="shared" si="101"/>
        <v>0</v>
      </c>
      <c r="DM102" s="161">
        <f t="shared" si="102"/>
        <v>0</v>
      </c>
      <c r="DN102" s="161">
        <f t="shared" si="103"/>
        <v>0</v>
      </c>
      <c r="DO102" s="161">
        <f t="shared" si="104"/>
        <v>0</v>
      </c>
      <c r="DP102" s="161">
        <f t="shared" si="105"/>
        <v>0</v>
      </c>
      <c r="DQ102" s="161">
        <f t="shared" si="106"/>
        <v>0</v>
      </c>
      <c r="DR102" s="161">
        <f t="shared" si="107"/>
        <v>0</v>
      </c>
      <c r="DS102" s="161">
        <f t="shared" si="108"/>
        <v>0</v>
      </c>
      <c r="DT102" s="161">
        <f t="shared" si="109"/>
        <v>0</v>
      </c>
      <c r="DU102" s="161">
        <f t="shared" si="110"/>
        <v>0</v>
      </c>
      <c r="DV102" s="161">
        <f t="shared" si="111"/>
        <v>0</v>
      </c>
      <c r="DW102" s="161">
        <f t="shared" si="112"/>
        <v>0</v>
      </c>
      <c r="DX102" s="161">
        <f t="shared" si="113"/>
        <v>0</v>
      </c>
      <c r="DY102" s="161">
        <f t="shared" si="114"/>
        <v>0</v>
      </c>
      <c r="DZ102" s="161">
        <f t="shared" si="115"/>
        <v>0</v>
      </c>
      <c r="EA102" s="161">
        <f t="shared" si="116"/>
        <v>0</v>
      </c>
      <c r="EB102" s="161">
        <f t="shared" si="117"/>
        <v>0</v>
      </c>
      <c r="EC102" s="161">
        <f t="shared" si="118"/>
        <v>0</v>
      </c>
      <c r="ED102" s="161">
        <f t="shared" si="119"/>
        <v>0</v>
      </c>
      <c r="EE102" s="161">
        <f t="shared" si="120"/>
        <v>0</v>
      </c>
      <c r="EF102" s="161">
        <f t="shared" si="121"/>
        <v>0</v>
      </c>
      <c r="EG102" s="161">
        <f t="shared" si="122"/>
        <v>0</v>
      </c>
      <c r="EH102" s="161">
        <f t="shared" si="123"/>
        <v>0</v>
      </c>
      <c r="EI102" s="161">
        <f t="shared" si="124"/>
        <v>0</v>
      </c>
      <c r="EJ102" s="161">
        <f t="shared" si="125"/>
        <v>0</v>
      </c>
      <c r="EK102" s="147">
        <f t="shared" si="55"/>
        <v>0</v>
      </c>
      <c r="EL102" s="149"/>
      <c r="EN102" s="146"/>
      <c r="EO102" s="146"/>
      <c r="EP102" s="139">
        <f t="shared" si="56"/>
        <v>0</v>
      </c>
      <c r="EQ102" s="139">
        <f t="shared" si="57"/>
        <v>0</v>
      </c>
      <c r="ER102" s="139">
        <f t="shared" si="58"/>
        <v>0</v>
      </c>
      <c r="ES102" s="139">
        <f t="shared" si="59"/>
        <v>0</v>
      </c>
      <c r="ET102" s="139">
        <f t="shared" si="60"/>
        <v>0</v>
      </c>
      <c r="EU102" s="139">
        <f t="shared" si="61"/>
        <v>0</v>
      </c>
      <c r="EV102" s="139">
        <f t="shared" si="62"/>
        <v>0</v>
      </c>
      <c r="EW102" s="139">
        <f t="shared" si="63"/>
        <v>0</v>
      </c>
      <c r="EX102" s="139">
        <f t="shared" si="64"/>
        <v>0</v>
      </c>
      <c r="EY102" s="139">
        <f t="shared" si="65"/>
        <v>0</v>
      </c>
      <c r="EZ102" s="139">
        <f t="shared" si="66"/>
        <v>0</v>
      </c>
      <c r="FA102" s="139">
        <f t="shared" si="67"/>
        <v>0</v>
      </c>
      <c r="FB102" s="139">
        <f t="shared" si="68"/>
        <v>0</v>
      </c>
      <c r="FC102" s="139">
        <f t="shared" si="69"/>
        <v>0</v>
      </c>
      <c r="FD102" s="139">
        <f t="shared" si="70"/>
        <v>0</v>
      </c>
      <c r="FE102" s="139">
        <f t="shared" si="71"/>
        <v>0</v>
      </c>
      <c r="FF102" s="139">
        <f t="shared" si="72"/>
        <v>0</v>
      </c>
      <c r="FG102" s="139">
        <f t="shared" si="73"/>
        <v>0</v>
      </c>
      <c r="FH102" s="139">
        <f t="shared" si="74"/>
        <v>0</v>
      </c>
      <c r="FI102" s="139">
        <f t="shared" si="75"/>
        <v>0</v>
      </c>
      <c r="FJ102" s="139">
        <f t="shared" si="76"/>
        <v>0</v>
      </c>
      <c r="FK102" s="139">
        <f t="shared" si="77"/>
        <v>0</v>
      </c>
      <c r="FL102" s="139">
        <f t="shared" si="78"/>
        <v>0</v>
      </c>
      <c r="FM102" s="139">
        <f t="shared" si="79"/>
        <v>0</v>
      </c>
      <c r="FN102" s="139">
        <f t="shared" si="80"/>
        <v>0</v>
      </c>
      <c r="FO102" s="139">
        <f t="shared" si="81"/>
        <v>0</v>
      </c>
      <c r="FP102" s="139">
        <f t="shared" si="82"/>
        <v>0</v>
      </c>
      <c r="FQ102" s="139">
        <f t="shared" si="83"/>
        <v>0</v>
      </c>
      <c r="FR102" s="139">
        <f t="shared" si="84"/>
        <v>0</v>
      </c>
      <c r="FS102" s="139">
        <f t="shared" si="85"/>
        <v>0</v>
      </c>
      <c r="FT102" s="139">
        <f t="shared" si="86"/>
        <v>0</v>
      </c>
      <c r="FU102" s="148">
        <f t="shared" si="87"/>
        <v>0</v>
      </c>
      <c r="FV102" s="149"/>
      <c r="FY102" s="211">
        <v>97</v>
      </c>
      <c r="FZ102">
        <v>1.0013662559012921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0.33021050058332063</v>
      </c>
      <c r="GG102">
        <v>0.29759236750664797</v>
      </c>
      <c r="GH102">
        <v>0</v>
      </c>
      <c r="GI102">
        <v>0.21222669730544963</v>
      </c>
      <c r="GJ102"/>
      <c r="GK102">
        <v>1.0107132186701002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0.45369793096285549</v>
      </c>
      <c r="GR102">
        <v>0.45369793096285549</v>
      </c>
      <c r="GS102">
        <v>0</v>
      </c>
      <c r="GT102">
        <v>0.29288222992659113</v>
      </c>
      <c r="GU102"/>
      <c r="GV102"/>
      <c r="GW102"/>
      <c r="GX102"/>
      <c r="GY102"/>
      <c r="GZ102"/>
      <c r="HA102"/>
      <c r="HB102"/>
      <c r="HC102"/>
    </row>
    <row r="103" spans="1:211" s="7" customFormat="1">
      <c r="A103" s="1"/>
      <c r="B103" s="76">
        <f t="shared" ca="1" si="50"/>
        <v>0.96108286284650024</v>
      </c>
      <c r="C103">
        <v>10</v>
      </c>
      <c r="D103">
        <v>39673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18.75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2.1249999999999991</v>
      </c>
      <c r="AO103">
        <v>0.22487568568576513</v>
      </c>
      <c r="AP103">
        <v>7.7639742119012549</v>
      </c>
      <c r="AQ103">
        <v>1.8125180777002812</v>
      </c>
      <c r="AR103">
        <v>0.25710664036731756</v>
      </c>
      <c r="AS103">
        <v>1.4240716997376868</v>
      </c>
      <c r="AT103" t="e">
        <v>#DIV/0!</v>
      </c>
      <c r="AU103" t="e">
        <v>#DIV/0!</v>
      </c>
      <c r="AV103"/>
      <c r="AW103"/>
      <c r="AX103" s="146"/>
      <c r="AY103" s="76">
        <f ca="1">IF(AZ103="", "", RAND())</f>
        <v>0.59629881226919967</v>
      </c>
      <c r="AZ103">
        <v>6</v>
      </c>
      <c r="BA103" s="129">
        <f t="shared" si="127"/>
        <v>39673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 s="147"/>
      <c r="CH103" s="176"/>
      <c r="CJ103" s="146"/>
      <c r="CK103" s="76">
        <f t="shared" ca="1" si="90"/>
        <v>0.26227792112320447</v>
      </c>
      <c r="CL103" s="179">
        <f t="shared" si="91"/>
        <v>6</v>
      </c>
      <c r="CM103" s="180">
        <f t="shared" si="92"/>
        <v>39673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 s="160"/>
      <c r="CW103">
        <v>1</v>
      </c>
      <c r="CX103">
        <v>1</v>
      </c>
      <c r="CY103" s="164"/>
      <c r="CZ103" s="177">
        <f t="shared" si="93"/>
        <v>9.6000000000000002E-2</v>
      </c>
      <c r="DB103" s="146"/>
      <c r="DC103" s="76">
        <f t="shared" ca="1" si="51"/>
        <v>0.34608759735071715</v>
      </c>
      <c r="DD103">
        <f>IF(AZ103="", "", AZ103)</f>
        <v>6</v>
      </c>
      <c r="DE103" s="129">
        <f t="shared" si="126"/>
        <v>39673</v>
      </c>
      <c r="DF103" s="161">
        <f t="shared" si="95"/>
        <v>0</v>
      </c>
      <c r="DG103" s="161">
        <f t="shared" si="96"/>
        <v>0</v>
      </c>
      <c r="DH103" s="161">
        <f t="shared" si="97"/>
        <v>0</v>
      </c>
      <c r="DI103" s="161">
        <f t="shared" si="98"/>
        <v>0</v>
      </c>
      <c r="DJ103" s="161">
        <f t="shared" si="99"/>
        <v>0</v>
      </c>
      <c r="DK103" s="161">
        <f t="shared" si="100"/>
        <v>0</v>
      </c>
      <c r="DL103" s="161">
        <f t="shared" si="101"/>
        <v>0</v>
      </c>
      <c r="DM103" s="161">
        <f t="shared" si="102"/>
        <v>0</v>
      </c>
      <c r="DN103" s="161">
        <f t="shared" si="103"/>
        <v>0</v>
      </c>
      <c r="DO103" s="161">
        <f t="shared" si="104"/>
        <v>0</v>
      </c>
      <c r="DP103" s="161">
        <f t="shared" si="105"/>
        <v>0</v>
      </c>
      <c r="DQ103" s="161">
        <f t="shared" si="106"/>
        <v>0</v>
      </c>
      <c r="DR103" s="161">
        <f t="shared" si="107"/>
        <v>0</v>
      </c>
      <c r="DS103" s="161">
        <f t="shared" si="108"/>
        <v>0</v>
      </c>
      <c r="DT103" s="161">
        <f t="shared" si="109"/>
        <v>0</v>
      </c>
      <c r="DU103" s="161">
        <f t="shared" si="110"/>
        <v>0</v>
      </c>
      <c r="DV103" s="161">
        <f t="shared" si="111"/>
        <v>0</v>
      </c>
      <c r="DW103" s="161">
        <f t="shared" si="112"/>
        <v>0</v>
      </c>
      <c r="DX103" s="161">
        <f t="shared" si="113"/>
        <v>0</v>
      </c>
      <c r="DY103" s="161">
        <f t="shared" si="114"/>
        <v>0</v>
      </c>
      <c r="DZ103" s="161">
        <f t="shared" si="115"/>
        <v>0</v>
      </c>
      <c r="EA103" s="161">
        <f t="shared" si="116"/>
        <v>0</v>
      </c>
      <c r="EB103" s="161">
        <f t="shared" si="117"/>
        <v>0</v>
      </c>
      <c r="EC103" s="161">
        <f t="shared" si="118"/>
        <v>0</v>
      </c>
      <c r="ED103" s="161">
        <f t="shared" si="119"/>
        <v>0</v>
      </c>
      <c r="EE103" s="161">
        <f t="shared" si="120"/>
        <v>0</v>
      </c>
      <c r="EF103" s="161">
        <f t="shared" si="121"/>
        <v>0</v>
      </c>
      <c r="EG103" s="161">
        <f t="shared" si="122"/>
        <v>0</v>
      </c>
      <c r="EH103" s="161">
        <f t="shared" si="123"/>
        <v>0</v>
      </c>
      <c r="EI103" s="161">
        <f t="shared" si="124"/>
        <v>0</v>
      </c>
      <c r="EJ103" s="161">
        <f t="shared" si="125"/>
        <v>0</v>
      </c>
      <c r="EK103" s="147">
        <f t="shared" si="55"/>
        <v>0</v>
      </c>
      <c r="EL103" s="149"/>
      <c r="EN103" s="146"/>
      <c r="EO103" s="146"/>
      <c r="EP103" s="139">
        <f t="shared" si="56"/>
        <v>0</v>
      </c>
      <c r="EQ103" s="139">
        <f t="shared" si="57"/>
        <v>0</v>
      </c>
      <c r="ER103" s="139">
        <f t="shared" si="58"/>
        <v>0</v>
      </c>
      <c r="ES103" s="139">
        <f t="shared" si="59"/>
        <v>0</v>
      </c>
      <c r="ET103" s="139">
        <f t="shared" si="60"/>
        <v>0</v>
      </c>
      <c r="EU103" s="139">
        <f t="shared" si="61"/>
        <v>0</v>
      </c>
      <c r="EV103" s="139">
        <f t="shared" si="62"/>
        <v>0</v>
      </c>
      <c r="EW103" s="139">
        <f t="shared" si="63"/>
        <v>0</v>
      </c>
      <c r="EX103" s="139">
        <f t="shared" si="64"/>
        <v>0</v>
      </c>
      <c r="EY103" s="139">
        <f t="shared" si="65"/>
        <v>0</v>
      </c>
      <c r="EZ103" s="139">
        <f t="shared" si="66"/>
        <v>0</v>
      </c>
      <c r="FA103" s="139">
        <f t="shared" si="67"/>
        <v>0</v>
      </c>
      <c r="FB103" s="139">
        <f t="shared" si="68"/>
        <v>0</v>
      </c>
      <c r="FC103" s="139">
        <f t="shared" si="69"/>
        <v>0</v>
      </c>
      <c r="FD103" s="139">
        <f t="shared" si="70"/>
        <v>0</v>
      </c>
      <c r="FE103" s="139">
        <f t="shared" si="71"/>
        <v>0</v>
      </c>
      <c r="FF103" s="139">
        <f t="shared" si="72"/>
        <v>0</v>
      </c>
      <c r="FG103" s="139">
        <f t="shared" si="73"/>
        <v>0</v>
      </c>
      <c r="FH103" s="139">
        <f t="shared" si="74"/>
        <v>0</v>
      </c>
      <c r="FI103" s="139">
        <f t="shared" si="75"/>
        <v>0</v>
      </c>
      <c r="FJ103" s="139">
        <f t="shared" si="76"/>
        <v>0</v>
      </c>
      <c r="FK103" s="139">
        <f t="shared" si="77"/>
        <v>0</v>
      </c>
      <c r="FL103" s="139">
        <f t="shared" si="78"/>
        <v>0</v>
      </c>
      <c r="FM103" s="139">
        <f t="shared" si="79"/>
        <v>0</v>
      </c>
      <c r="FN103" s="139">
        <f t="shared" si="80"/>
        <v>0</v>
      </c>
      <c r="FO103" s="139">
        <f t="shared" si="81"/>
        <v>0</v>
      </c>
      <c r="FP103" s="139">
        <f t="shared" si="82"/>
        <v>0</v>
      </c>
      <c r="FQ103" s="139">
        <f t="shared" si="83"/>
        <v>0</v>
      </c>
      <c r="FR103" s="139">
        <f t="shared" si="84"/>
        <v>0</v>
      </c>
      <c r="FS103" s="139">
        <f t="shared" si="85"/>
        <v>0</v>
      </c>
      <c r="FT103" s="139">
        <f t="shared" si="86"/>
        <v>0</v>
      </c>
      <c r="FU103" s="148">
        <f t="shared" si="87"/>
        <v>0</v>
      </c>
      <c r="FV103" s="149"/>
      <c r="FY103" s="211">
        <v>98</v>
      </c>
      <c r="FZ103">
        <v>0.65375364823496196</v>
      </c>
      <c r="GA103">
        <v>0.38735017759921181</v>
      </c>
      <c r="GB103">
        <v>0.26768175484046608</v>
      </c>
      <c r="GC103">
        <v>0.18341592548776492</v>
      </c>
      <c r="GD103">
        <v>2.6724553773673727E-2</v>
      </c>
      <c r="GE103">
        <v>0</v>
      </c>
      <c r="GF103">
        <v>0.66042100116664126</v>
      </c>
      <c r="GG103">
        <v>0.59518473501329594</v>
      </c>
      <c r="GH103">
        <v>0</v>
      </c>
      <c r="GI103">
        <v>0.30617739061785165</v>
      </c>
      <c r="GJ103"/>
      <c r="GK103">
        <v>0.65739164227534608</v>
      </c>
      <c r="GL103">
        <v>0.33331521555783822</v>
      </c>
      <c r="GM103">
        <v>0.44573189690518267</v>
      </c>
      <c r="GN103">
        <v>0.55066996213757402</v>
      </c>
      <c r="GO103">
        <v>0.10493806523239137</v>
      </c>
      <c r="GP103">
        <v>0</v>
      </c>
      <c r="GQ103">
        <v>0.90739586192571098</v>
      </c>
      <c r="GR103">
        <v>0.90739586192571098</v>
      </c>
      <c r="GS103">
        <v>0</v>
      </c>
      <c r="GT103">
        <v>0.42309149326772622</v>
      </c>
      <c r="GU103"/>
      <c r="GV103"/>
      <c r="GW103"/>
      <c r="GX103"/>
      <c r="GY103"/>
      <c r="GZ103"/>
      <c r="HA103"/>
      <c r="HB103"/>
      <c r="HC103"/>
    </row>
    <row r="104" spans="1:211" s="7" customFormat="1">
      <c r="A104" s="1"/>
      <c r="B104" s="76">
        <f t="shared" ca="1" si="50"/>
        <v>0.60514899764575603</v>
      </c>
      <c r="C104">
        <v>7</v>
      </c>
      <c r="D104">
        <v>39673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1.8083333333333331</v>
      </c>
      <c r="AO104">
        <v>0.31327491661551515</v>
      </c>
      <c r="AP104">
        <v>3.8916991942356143</v>
      </c>
      <c r="AQ104">
        <v>2.9144363535503848</v>
      </c>
      <c r="AR104">
        <v>0.36375034922424038</v>
      </c>
      <c r="AS104">
        <v>3.0246311076329593</v>
      </c>
      <c r="AT104" t="e">
        <v>#DIV/0!</v>
      </c>
      <c r="AU104" t="e">
        <v>#DIV/0!</v>
      </c>
      <c r="AV104"/>
      <c r="AW104"/>
      <c r="AX104" s="146"/>
      <c r="AY104" s="76">
        <f ca="1">IF(AZ104="", "", RAND())</f>
        <v>0.20484229032155188</v>
      </c>
      <c r="AZ104">
        <v>7</v>
      </c>
      <c r="BA104" s="129">
        <f t="shared" si="127"/>
        <v>39673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 s="147"/>
      <c r="CH104" s="176"/>
      <c r="CJ104" s="146"/>
      <c r="CK104" s="76">
        <f t="shared" ca="1" si="90"/>
        <v>0.85761332824372682</v>
      </c>
      <c r="CL104" s="179">
        <f t="shared" si="91"/>
        <v>7</v>
      </c>
      <c r="CM104" s="180">
        <f t="shared" si="92"/>
        <v>39673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 s="160"/>
      <c r="CW104">
        <v>1</v>
      </c>
      <c r="CX104">
        <v>1</v>
      </c>
      <c r="CY104" s="164"/>
      <c r="CZ104" s="177">
        <f t="shared" si="93"/>
        <v>9.6000000000000002E-2</v>
      </c>
      <c r="DB104" s="146"/>
      <c r="DC104" s="76">
        <f t="shared" ca="1" si="51"/>
        <v>0.51242953421048965</v>
      </c>
      <c r="DD104">
        <f>IF(AZ104="", "", AZ104)</f>
        <v>7</v>
      </c>
      <c r="DE104" s="129">
        <f t="shared" si="126"/>
        <v>39673</v>
      </c>
      <c r="DF104" s="161">
        <f t="shared" si="95"/>
        <v>0</v>
      </c>
      <c r="DG104" s="161">
        <f t="shared" si="96"/>
        <v>0</v>
      </c>
      <c r="DH104" s="161">
        <f t="shared" si="97"/>
        <v>0</v>
      </c>
      <c r="DI104" s="161">
        <f t="shared" si="98"/>
        <v>0</v>
      </c>
      <c r="DJ104" s="161">
        <f t="shared" si="99"/>
        <v>0</v>
      </c>
      <c r="DK104" s="161">
        <f t="shared" si="100"/>
        <v>0</v>
      </c>
      <c r="DL104" s="161">
        <f t="shared" si="101"/>
        <v>0</v>
      </c>
      <c r="DM104" s="161">
        <f t="shared" si="102"/>
        <v>0</v>
      </c>
      <c r="DN104" s="161">
        <f t="shared" si="103"/>
        <v>0</v>
      </c>
      <c r="DO104" s="161">
        <f t="shared" si="104"/>
        <v>0</v>
      </c>
      <c r="DP104" s="161">
        <f t="shared" si="105"/>
        <v>0</v>
      </c>
      <c r="DQ104" s="161">
        <f t="shared" si="106"/>
        <v>0</v>
      </c>
      <c r="DR104" s="161">
        <f t="shared" si="107"/>
        <v>0</v>
      </c>
      <c r="DS104" s="161">
        <f t="shared" si="108"/>
        <v>0</v>
      </c>
      <c r="DT104" s="161">
        <f t="shared" si="109"/>
        <v>0</v>
      </c>
      <c r="DU104" s="161">
        <f t="shared" si="110"/>
        <v>0</v>
      </c>
      <c r="DV104" s="161">
        <f t="shared" si="111"/>
        <v>0</v>
      </c>
      <c r="DW104" s="161">
        <f t="shared" si="112"/>
        <v>0</v>
      </c>
      <c r="DX104" s="161">
        <f t="shared" si="113"/>
        <v>0</v>
      </c>
      <c r="DY104" s="161">
        <f t="shared" si="114"/>
        <v>0</v>
      </c>
      <c r="DZ104" s="161">
        <f t="shared" si="115"/>
        <v>0</v>
      </c>
      <c r="EA104" s="161">
        <f t="shared" si="116"/>
        <v>0</v>
      </c>
      <c r="EB104" s="161">
        <f t="shared" si="117"/>
        <v>0</v>
      </c>
      <c r="EC104" s="161">
        <f t="shared" si="118"/>
        <v>0</v>
      </c>
      <c r="ED104" s="161">
        <f t="shared" si="119"/>
        <v>0</v>
      </c>
      <c r="EE104" s="161">
        <f t="shared" si="120"/>
        <v>0</v>
      </c>
      <c r="EF104" s="161">
        <f t="shared" si="121"/>
        <v>0</v>
      </c>
      <c r="EG104" s="161">
        <f t="shared" si="122"/>
        <v>0</v>
      </c>
      <c r="EH104" s="161">
        <f t="shared" si="123"/>
        <v>0</v>
      </c>
      <c r="EI104" s="161">
        <f t="shared" si="124"/>
        <v>0</v>
      </c>
      <c r="EJ104" s="161">
        <f t="shared" si="125"/>
        <v>0</v>
      </c>
      <c r="EK104" s="147">
        <f t="shared" si="55"/>
        <v>0</v>
      </c>
      <c r="EL104" s="149"/>
      <c r="EN104" s="146"/>
      <c r="EO104" s="146"/>
      <c r="EP104" s="139">
        <f t="shared" si="56"/>
        <v>0</v>
      </c>
      <c r="EQ104" s="139">
        <f t="shared" si="57"/>
        <v>0</v>
      </c>
      <c r="ER104" s="139">
        <f t="shared" si="58"/>
        <v>0</v>
      </c>
      <c r="ES104" s="139">
        <f t="shared" si="59"/>
        <v>0</v>
      </c>
      <c r="ET104" s="139">
        <f t="shared" si="60"/>
        <v>0</v>
      </c>
      <c r="EU104" s="139">
        <f t="shared" si="61"/>
        <v>0</v>
      </c>
      <c r="EV104" s="139">
        <f t="shared" si="62"/>
        <v>0</v>
      </c>
      <c r="EW104" s="139">
        <f t="shared" si="63"/>
        <v>0</v>
      </c>
      <c r="EX104" s="139">
        <f t="shared" si="64"/>
        <v>0</v>
      </c>
      <c r="EY104" s="139">
        <f t="shared" si="65"/>
        <v>0</v>
      </c>
      <c r="EZ104" s="139">
        <f t="shared" si="66"/>
        <v>0</v>
      </c>
      <c r="FA104" s="139">
        <f t="shared" si="67"/>
        <v>0</v>
      </c>
      <c r="FB104" s="139">
        <f t="shared" si="68"/>
        <v>0</v>
      </c>
      <c r="FC104" s="139">
        <f t="shared" si="69"/>
        <v>0</v>
      </c>
      <c r="FD104" s="139">
        <f t="shared" si="70"/>
        <v>0</v>
      </c>
      <c r="FE104" s="139">
        <f t="shared" si="71"/>
        <v>0</v>
      </c>
      <c r="FF104" s="139">
        <f t="shared" si="72"/>
        <v>0</v>
      </c>
      <c r="FG104" s="139">
        <f t="shared" si="73"/>
        <v>0</v>
      </c>
      <c r="FH104" s="139">
        <f t="shared" si="74"/>
        <v>0</v>
      </c>
      <c r="FI104" s="139">
        <f t="shared" si="75"/>
        <v>0</v>
      </c>
      <c r="FJ104" s="139">
        <f t="shared" si="76"/>
        <v>0</v>
      </c>
      <c r="FK104" s="139">
        <f t="shared" si="77"/>
        <v>0</v>
      </c>
      <c r="FL104" s="139">
        <f t="shared" si="78"/>
        <v>0</v>
      </c>
      <c r="FM104" s="139">
        <f t="shared" si="79"/>
        <v>0</v>
      </c>
      <c r="FN104" s="139">
        <f t="shared" si="80"/>
        <v>0</v>
      </c>
      <c r="FO104" s="139">
        <f t="shared" si="81"/>
        <v>0</v>
      </c>
      <c r="FP104" s="139">
        <f t="shared" si="82"/>
        <v>0</v>
      </c>
      <c r="FQ104" s="139">
        <f t="shared" si="83"/>
        <v>0</v>
      </c>
      <c r="FR104" s="139">
        <f t="shared" si="84"/>
        <v>0</v>
      </c>
      <c r="FS104" s="139">
        <f t="shared" si="85"/>
        <v>0</v>
      </c>
      <c r="FT104" s="139">
        <f t="shared" si="86"/>
        <v>0</v>
      </c>
      <c r="FU104" s="148">
        <f t="shared" si="87"/>
        <v>0</v>
      </c>
      <c r="FV104" s="149"/>
      <c r="FY104" s="211">
        <v>99</v>
      </c>
      <c r="FZ104">
        <v>1.7550309549521179</v>
      </c>
      <c r="GA104">
        <v>0.77470035519842362</v>
      </c>
      <c r="GB104">
        <v>7.9203986612074825E-2</v>
      </c>
      <c r="GC104">
        <v>0.11377737556984255</v>
      </c>
      <c r="GD104">
        <v>5.3449107547347455E-2</v>
      </c>
      <c r="GE104">
        <v>0</v>
      </c>
      <c r="GF104">
        <v>0</v>
      </c>
      <c r="GG104">
        <v>0</v>
      </c>
      <c r="GH104">
        <v>0</v>
      </c>
      <c r="GI104">
        <v>0.31002125852652895</v>
      </c>
      <c r="GJ104"/>
      <c r="GK104">
        <v>1.769922230738568</v>
      </c>
      <c r="GL104">
        <v>0.66663043111567644</v>
      </c>
      <c r="GM104">
        <v>0.13091770120800852</v>
      </c>
      <c r="GN104">
        <v>0.34079383167279126</v>
      </c>
      <c r="GO104">
        <v>0.20987613046478273</v>
      </c>
      <c r="GP104">
        <v>0</v>
      </c>
      <c r="GQ104">
        <v>0</v>
      </c>
      <c r="GR104">
        <v>0</v>
      </c>
      <c r="GS104">
        <v>0</v>
      </c>
      <c r="GT104">
        <v>0.42214321248227193</v>
      </c>
      <c r="GU104"/>
      <c r="GV104"/>
      <c r="GW104"/>
      <c r="GX104"/>
      <c r="GY104"/>
      <c r="GZ104"/>
      <c r="HA104"/>
      <c r="HB104"/>
      <c r="HC104"/>
    </row>
    <row r="105" spans="1:211" s="7" customFormat="1">
      <c r="A105" s="1"/>
      <c r="B105" s="76">
        <f t="shared" ca="1" si="50"/>
        <v>0.49598282169396812</v>
      </c>
      <c r="C105">
        <v>8</v>
      </c>
      <c r="D105">
        <v>39673</v>
      </c>
      <c r="E105">
        <v>0</v>
      </c>
      <c r="F105">
        <v>0</v>
      </c>
      <c r="G105">
        <v>0</v>
      </c>
      <c r="H105">
        <v>10.416666666666666</v>
      </c>
      <c r="I105">
        <v>10.416666666666666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3.0635416666666666</v>
      </c>
      <c r="AO105">
        <v>0.39597938635377428</v>
      </c>
      <c r="AP105">
        <v>11.500459225595051</v>
      </c>
      <c r="AQ105">
        <v>3.3024925890156882</v>
      </c>
      <c r="AR105">
        <v>0.39186510855465367</v>
      </c>
      <c r="AS105">
        <v>2.0640834629988549</v>
      </c>
      <c r="AT105" t="e">
        <v>#DIV/0!</v>
      </c>
      <c r="AU105" t="e">
        <v>#DIV/0!</v>
      </c>
      <c r="AV105"/>
      <c r="AW105"/>
      <c r="AX105" s="146"/>
      <c r="AY105" s="76">
        <f ca="1">IF(AZ105="", "", RAND())</f>
        <v>6.9074397183845448E-2</v>
      </c>
      <c r="AZ105">
        <v>8</v>
      </c>
      <c r="BA105" s="129">
        <f t="shared" si="127"/>
        <v>39673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 s="147"/>
      <c r="CH105" s="176"/>
      <c r="CJ105" s="146"/>
      <c r="CK105" s="76">
        <f t="shared" ca="1" si="90"/>
        <v>0.61862804380696557</v>
      </c>
      <c r="CL105" s="179">
        <f t="shared" si="91"/>
        <v>8</v>
      </c>
      <c r="CM105" s="180">
        <f t="shared" si="92"/>
        <v>39673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 s="160"/>
      <c r="CW105">
        <v>1</v>
      </c>
      <c r="CX105">
        <v>2</v>
      </c>
      <c r="CY105" s="164"/>
      <c r="CZ105" s="177">
        <f t="shared" si="93"/>
        <v>9.6000000000000002E-2</v>
      </c>
      <c r="DB105" s="146"/>
      <c r="DC105" s="76">
        <f t="shared" ca="1" si="51"/>
        <v>0.44127879503117762</v>
      </c>
      <c r="DD105">
        <f>IF(AZ105="", "", AZ105)</f>
        <v>8</v>
      </c>
      <c r="DE105" s="129">
        <f t="shared" si="126"/>
        <v>39673</v>
      </c>
      <c r="DF105" s="161">
        <f t="shared" si="95"/>
        <v>0</v>
      </c>
      <c r="DG105" s="161">
        <f t="shared" si="96"/>
        <v>0</v>
      </c>
      <c r="DH105" s="161">
        <f t="shared" si="97"/>
        <v>0</v>
      </c>
      <c r="DI105" s="161">
        <f t="shared" si="98"/>
        <v>10.416666666666666</v>
      </c>
      <c r="DJ105" s="161">
        <f t="shared" si="99"/>
        <v>10.416666666666666</v>
      </c>
      <c r="DK105" s="161">
        <f t="shared" si="100"/>
        <v>0</v>
      </c>
      <c r="DL105" s="161">
        <f t="shared" si="101"/>
        <v>0</v>
      </c>
      <c r="DM105" s="161">
        <f t="shared" si="102"/>
        <v>0</v>
      </c>
      <c r="DN105" s="161">
        <f t="shared" si="103"/>
        <v>0</v>
      </c>
      <c r="DO105" s="161">
        <f t="shared" si="104"/>
        <v>0</v>
      </c>
      <c r="DP105" s="161">
        <f t="shared" si="105"/>
        <v>0</v>
      </c>
      <c r="DQ105" s="161">
        <f t="shared" si="106"/>
        <v>0</v>
      </c>
      <c r="DR105" s="161">
        <f t="shared" si="107"/>
        <v>0</v>
      </c>
      <c r="DS105" s="161">
        <f t="shared" si="108"/>
        <v>0</v>
      </c>
      <c r="DT105" s="161">
        <f t="shared" si="109"/>
        <v>0</v>
      </c>
      <c r="DU105" s="161">
        <f t="shared" si="110"/>
        <v>0</v>
      </c>
      <c r="DV105" s="161">
        <f t="shared" si="111"/>
        <v>0</v>
      </c>
      <c r="DW105" s="161">
        <f t="shared" si="112"/>
        <v>0</v>
      </c>
      <c r="DX105" s="161">
        <f t="shared" si="113"/>
        <v>0</v>
      </c>
      <c r="DY105" s="161">
        <f t="shared" si="114"/>
        <v>0</v>
      </c>
      <c r="DZ105" s="161">
        <f t="shared" si="115"/>
        <v>0</v>
      </c>
      <c r="EA105" s="161">
        <f t="shared" si="116"/>
        <v>0</v>
      </c>
      <c r="EB105" s="161">
        <f t="shared" si="117"/>
        <v>0</v>
      </c>
      <c r="EC105" s="161">
        <f t="shared" si="118"/>
        <v>0</v>
      </c>
      <c r="ED105" s="161">
        <f t="shared" si="119"/>
        <v>0</v>
      </c>
      <c r="EE105" s="161">
        <f t="shared" si="120"/>
        <v>0</v>
      </c>
      <c r="EF105" s="161">
        <f t="shared" si="121"/>
        <v>0</v>
      </c>
      <c r="EG105" s="161">
        <f t="shared" si="122"/>
        <v>0</v>
      </c>
      <c r="EH105" s="161">
        <f t="shared" si="123"/>
        <v>0</v>
      </c>
      <c r="EI105" s="161">
        <f t="shared" si="124"/>
        <v>0</v>
      </c>
      <c r="EJ105" s="161">
        <f t="shared" si="125"/>
        <v>0</v>
      </c>
      <c r="EK105" s="147">
        <f t="shared" si="55"/>
        <v>20.833333333333332</v>
      </c>
      <c r="EL105" s="149"/>
      <c r="EN105" s="146"/>
      <c r="EO105" s="146"/>
      <c r="EP105" s="139">
        <f t="shared" si="56"/>
        <v>0</v>
      </c>
      <c r="EQ105" s="139">
        <f t="shared" si="57"/>
        <v>0</v>
      </c>
      <c r="ER105" s="139">
        <f t="shared" si="58"/>
        <v>0</v>
      </c>
      <c r="ES105" s="139">
        <f t="shared" si="59"/>
        <v>0.42746857492092111</v>
      </c>
      <c r="ET105" s="139">
        <f t="shared" si="60"/>
        <v>1.0473416096640682</v>
      </c>
      <c r="EU105" s="139">
        <f t="shared" si="61"/>
        <v>0</v>
      </c>
      <c r="EV105" s="139">
        <f t="shared" si="62"/>
        <v>0</v>
      </c>
      <c r="EW105" s="139">
        <f t="shared" si="63"/>
        <v>0</v>
      </c>
      <c r="EX105" s="139">
        <f t="shared" si="64"/>
        <v>0</v>
      </c>
      <c r="EY105" s="139">
        <f t="shared" si="65"/>
        <v>0</v>
      </c>
      <c r="EZ105" s="139">
        <f t="shared" si="66"/>
        <v>0</v>
      </c>
      <c r="FA105" s="139">
        <f t="shared" si="67"/>
        <v>0</v>
      </c>
      <c r="FB105" s="139">
        <f t="shared" si="68"/>
        <v>0</v>
      </c>
      <c r="FC105" s="139">
        <f t="shared" si="69"/>
        <v>0</v>
      </c>
      <c r="FD105" s="139">
        <f t="shared" si="70"/>
        <v>0</v>
      </c>
      <c r="FE105" s="139">
        <f t="shared" si="71"/>
        <v>0</v>
      </c>
      <c r="FF105" s="139">
        <f t="shared" si="72"/>
        <v>0</v>
      </c>
      <c r="FG105" s="139">
        <f t="shared" si="73"/>
        <v>0</v>
      </c>
      <c r="FH105" s="139">
        <f t="shared" si="74"/>
        <v>0</v>
      </c>
      <c r="FI105" s="139">
        <f t="shared" si="75"/>
        <v>0</v>
      </c>
      <c r="FJ105" s="139">
        <f t="shared" si="76"/>
        <v>0</v>
      </c>
      <c r="FK105" s="139">
        <f t="shared" si="77"/>
        <v>0</v>
      </c>
      <c r="FL105" s="139">
        <f t="shared" si="78"/>
        <v>0</v>
      </c>
      <c r="FM105" s="139">
        <f t="shared" si="79"/>
        <v>0</v>
      </c>
      <c r="FN105" s="139">
        <f t="shared" si="80"/>
        <v>0</v>
      </c>
      <c r="FO105" s="139">
        <f t="shared" si="81"/>
        <v>0</v>
      </c>
      <c r="FP105" s="139">
        <f t="shared" si="82"/>
        <v>0</v>
      </c>
      <c r="FQ105" s="139">
        <f t="shared" si="83"/>
        <v>0</v>
      </c>
      <c r="FR105" s="139">
        <f t="shared" si="84"/>
        <v>0</v>
      </c>
      <c r="FS105" s="139">
        <f t="shared" si="85"/>
        <v>0</v>
      </c>
      <c r="FT105" s="139">
        <f t="shared" si="86"/>
        <v>0</v>
      </c>
      <c r="FU105" s="148">
        <f t="shared" si="87"/>
        <v>1.4748101845849892</v>
      </c>
      <c r="FV105" s="149"/>
      <c r="FY105" s="211">
        <v>100</v>
      </c>
      <c r="FZ105">
        <v>1.2292289294371952</v>
      </c>
      <c r="GA105">
        <v>0.47460065171768845</v>
      </c>
      <c r="GB105">
        <v>7.9203986612074825E-2</v>
      </c>
      <c r="GC105">
        <v>4.4138825651920163E-2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0.20144767877483122</v>
      </c>
      <c r="GJ105"/>
      <c r="GK105">
        <v>1.2346748466943647</v>
      </c>
      <c r="GL105">
        <v>0.40705572478708768</v>
      </c>
      <c r="GM105">
        <v>0.13091770120800852</v>
      </c>
      <c r="GN105">
        <v>0.13091770120800852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0.27311850958047462</v>
      </c>
      <c r="GU105"/>
      <c r="GV105"/>
      <c r="GW105"/>
      <c r="GX105"/>
      <c r="GY105"/>
      <c r="GZ105"/>
      <c r="HA105"/>
      <c r="HB105"/>
      <c r="HC105"/>
    </row>
    <row r="106" spans="1:211" s="7" customFormat="1">
      <c r="A106" s="1"/>
      <c r="B106" s="76">
        <f t="shared" ca="1" si="50"/>
        <v>0.48369278480744615</v>
      </c>
      <c r="C106">
        <v>3</v>
      </c>
      <c r="D106">
        <v>39673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2.7874999999999996</v>
      </c>
      <c r="AO106">
        <v>0.57079679142667084</v>
      </c>
      <c r="AP106">
        <v>22.23964806617375</v>
      </c>
      <c r="AQ106">
        <v>4.705998076031972</v>
      </c>
      <c r="AR106">
        <v>0.58359418596680412</v>
      </c>
      <c r="AS106">
        <v>2.6843583182992252</v>
      </c>
      <c r="AT106" t="e">
        <v>#DIV/0!</v>
      </c>
      <c r="AU106" t="e">
        <v>#DIV/0!</v>
      </c>
      <c r="AV106"/>
      <c r="AW106"/>
      <c r="AX106" s="146"/>
      <c r="AY106" s="76">
        <f t="shared" ca="1" si="88"/>
        <v>3.4088597723288316E-2</v>
      </c>
      <c r="AZ106">
        <v>9</v>
      </c>
      <c r="BA106" s="129">
        <f t="shared" si="127"/>
        <v>39673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 s="147"/>
      <c r="CH106" s="176"/>
      <c r="CJ106" s="146"/>
      <c r="CK106" s="76">
        <f t="shared" ca="1" si="90"/>
        <v>0.43666855517962966</v>
      </c>
      <c r="CL106" s="179">
        <f t="shared" si="91"/>
        <v>9</v>
      </c>
      <c r="CM106" s="180">
        <f t="shared" si="92"/>
        <v>39673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 s="160"/>
      <c r="CW106">
        <v>1</v>
      </c>
      <c r="CX106">
        <v>1</v>
      </c>
      <c r="CY106" s="164"/>
      <c r="CZ106" s="177">
        <f t="shared" si="93"/>
        <v>9.6000000000000002E-2</v>
      </c>
      <c r="DB106" s="146"/>
      <c r="DC106" s="76">
        <f t="shared" ca="1" si="51"/>
        <v>0.7769662618112092</v>
      </c>
      <c r="DD106">
        <f t="shared" si="94"/>
        <v>9</v>
      </c>
      <c r="DE106" s="129">
        <f t="shared" si="126"/>
        <v>39673</v>
      </c>
      <c r="DF106" s="161">
        <f t="shared" si="95"/>
        <v>0</v>
      </c>
      <c r="DG106" s="161">
        <f t="shared" si="96"/>
        <v>0</v>
      </c>
      <c r="DH106" s="161">
        <f t="shared" si="97"/>
        <v>0</v>
      </c>
      <c r="DI106" s="161">
        <f t="shared" si="98"/>
        <v>0</v>
      </c>
      <c r="DJ106" s="161">
        <f t="shared" si="99"/>
        <v>0</v>
      </c>
      <c r="DK106" s="161">
        <f t="shared" si="100"/>
        <v>0</v>
      </c>
      <c r="DL106" s="161">
        <f t="shared" si="101"/>
        <v>0</v>
      </c>
      <c r="DM106" s="161">
        <f t="shared" si="102"/>
        <v>0</v>
      </c>
      <c r="DN106" s="161">
        <f t="shared" si="103"/>
        <v>0</v>
      </c>
      <c r="DO106" s="161">
        <f t="shared" si="104"/>
        <v>0</v>
      </c>
      <c r="DP106" s="161">
        <f t="shared" si="105"/>
        <v>0</v>
      </c>
      <c r="DQ106" s="161">
        <f t="shared" si="106"/>
        <v>0</v>
      </c>
      <c r="DR106" s="161">
        <f t="shared" si="107"/>
        <v>0</v>
      </c>
      <c r="DS106" s="161">
        <f t="shared" si="108"/>
        <v>0</v>
      </c>
      <c r="DT106" s="161">
        <f t="shared" si="109"/>
        <v>0</v>
      </c>
      <c r="DU106" s="161">
        <f t="shared" si="110"/>
        <v>0</v>
      </c>
      <c r="DV106" s="161">
        <f t="shared" si="111"/>
        <v>0</v>
      </c>
      <c r="DW106" s="161">
        <f t="shared" si="112"/>
        <v>0</v>
      </c>
      <c r="DX106" s="161">
        <f t="shared" si="113"/>
        <v>0</v>
      </c>
      <c r="DY106" s="161">
        <f t="shared" si="114"/>
        <v>0</v>
      </c>
      <c r="DZ106" s="161">
        <f t="shared" si="115"/>
        <v>0</v>
      </c>
      <c r="EA106" s="161">
        <f t="shared" si="116"/>
        <v>0</v>
      </c>
      <c r="EB106" s="161">
        <f t="shared" si="117"/>
        <v>0</v>
      </c>
      <c r="EC106" s="161">
        <f t="shared" si="118"/>
        <v>0</v>
      </c>
      <c r="ED106" s="161">
        <f t="shared" si="119"/>
        <v>0</v>
      </c>
      <c r="EE106" s="161">
        <f t="shared" si="120"/>
        <v>0</v>
      </c>
      <c r="EF106" s="161">
        <f t="shared" si="121"/>
        <v>0</v>
      </c>
      <c r="EG106" s="161">
        <f t="shared" si="122"/>
        <v>0</v>
      </c>
      <c r="EH106" s="161">
        <f t="shared" si="123"/>
        <v>0</v>
      </c>
      <c r="EI106" s="161">
        <f t="shared" si="124"/>
        <v>0</v>
      </c>
      <c r="EJ106" s="161">
        <f t="shared" si="125"/>
        <v>0</v>
      </c>
      <c r="EK106" s="147">
        <f t="shared" si="55"/>
        <v>0</v>
      </c>
      <c r="EL106" s="149"/>
      <c r="EN106" s="146"/>
      <c r="EO106" s="146"/>
      <c r="EP106" s="139">
        <f t="shared" si="56"/>
        <v>0</v>
      </c>
      <c r="EQ106" s="139">
        <f t="shared" si="57"/>
        <v>0</v>
      </c>
      <c r="ER106" s="139">
        <f t="shared" si="58"/>
        <v>0</v>
      </c>
      <c r="ES106" s="139">
        <f t="shared" si="59"/>
        <v>0</v>
      </c>
      <c r="ET106" s="139">
        <f t="shared" si="60"/>
        <v>0</v>
      </c>
      <c r="EU106" s="139">
        <f t="shared" si="61"/>
        <v>0</v>
      </c>
      <c r="EV106" s="139">
        <f t="shared" si="62"/>
        <v>0</v>
      </c>
      <c r="EW106" s="139">
        <f t="shared" si="63"/>
        <v>0</v>
      </c>
      <c r="EX106" s="139">
        <f t="shared" si="64"/>
        <v>0</v>
      </c>
      <c r="EY106" s="139">
        <f t="shared" si="65"/>
        <v>0</v>
      </c>
      <c r="EZ106" s="139">
        <f t="shared" si="66"/>
        <v>0</v>
      </c>
      <c r="FA106" s="139">
        <f t="shared" si="67"/>
        <v>0</v>
      </c>
      <c r="FB106" s="139">
        <f t="shared" si="68"/>
        <v>0</v>
      </c>
      <c r="FC106" s="139">
        <f t="shared" si="69"/>
        <v>0</v>
      </c>
      <c r="FD106" s="139">
        <f t="shared" si="70"/>
        <v>0</v>
      </c>
      <c r="FE106" s="139">
        <f t="shared" si="71"/>
        <v>0</v>
      </c>
      <c r="FF106" s="139">
        <f t="shared" si="72"/>
        <v>0</v>
      </c>
      <c r="FG106" s="139">
        <f t="shared" si="73"/>
        <v>0</v>
      </c>
      <c r="FH106" s="139">
        <f t="shared" si="74"/>
        <v>0</v>
      </c>
      <c r="FI106" s="139">
        <f t="shared" si="75"/>
        <v>0</v>
      </c>
      <c r="FJ106" s="139">
        <f t="shared" si="76"/>
        <v>0</v>
      </c>
      <c r="FK106" s="139">
        <f t="shared" si="77"/>
        <v>0</v>
      </c>
      <c r="FL106" s="139">
        <f t="shared" si="78"/>
        <v>0</v>
      </c>
      <c r="FM106" s="139">
        <f t="shared" si="79"/>
        <v>0</v>
      </c>
      <c r="FN106" s="139">
        <f t="shared" si="80"/>
        <v>0</v>
      </c>
      <c r="FO106" s="139">
        <f t="shared" si="81"/>
        <v>0</v>
      </c>
      <c r="FP106" s="139">
        <f t="shared" si="82"/>
        <v>0</v>
      </c>
      <c r="FQ106" s="139">
        <f t="shared" si="83"/>
        <v>0</v>
      </c>
      <c r="FR106" s="139">
        <f t="shared" si="84"/>
        <v>0</v>
      </c>
      <c r="FS106" s="139">
        <f t="shared" si="85"/>
        <v>0</v>
      </c>
      <c r="FT106" s="139">
        <f t="shared" si="86"/>
        <v>0</v>
      </c>
      <c r="FU106" s="148">
        <f t="shared" si="87"/>
        <v>0</v>
      </c>
      <c r="FV106" s="149"/>
      <c r="FY106" s="211">
        <v>101</v>
      </c>
      <c r="FZ106">
        <v>1.3234426850496295</v>
      </c>
      <c r="GA106">
        <v>0.77470035519842362</v>
      </c>
      <c r="GB106">
        <v>7.9203986612074825E-2</v>
      </c>
      <c r="GC106">
        <v>7.8958100610881349E-2</v>
      </c>
      <c r="GD106">
        <v>2.6724553773673727E-2</v>
      </c>
      <c r="GE106">
        <v>0</v>
      </c>
      <c r="GF106">
        <v>0</v>
      </c>
      <c r="GG106">
        <v>0</v>
      </c>
      <c r="GH106">
        <v>0</v>
      </c>
      <c r="GI106">
        <v>0.23081110475775118</v>
      </c>
      <c r="GJ106"/>
      <c r="GK106">
        <v>1.330884238196846</v>
      </c>
      <c r="GL106">
        <v>0.66663043111567644</v>
      </c>
      <c r="GM106">
        <v>0.13091770120800852</v>
      </c>
      <c r="GN106">
        <v>0.23585576644039991</v>
      </c>
      <c r="GO106">
        <v>0.10493806523239137</v>
      </c>
      <c r="GP106">
        <v>0</v>
      </c>
      <c r="GQ106">
        <v>0</v>
      </c>
      <c r="GR106">
        <v>0</v>
      </c>
      <c r="GS106">
        <v>0</v>
      </c>
      <c r="GT106">
        <v>0.31334800092744919</v>
      </c>
      <c r="GU106"/>
      <c r="GV106"/>
      <c r="GW106"/>
      <c r="GX106"/>
      <c r="GY106"/>
      <c r="GZ106"/>
      <c r="HA106"/>
      <c r="HB106"/>
      <c r="HC106"/>
    </row>
    <row r="107" spans="1:211" s="7" customFormat="1">
      <c r="A107" s="1"/>
      <c r="B107" s="76">
        <f t="shared" ca="1" si="50"/>
        <v>0.76409139103772628</v>
      </c>
      <c r="C107">
        <v>4</v>
      </c>
      <c r="D107">
        <v>39673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3.5739583333333336</v>
      </c>
      <c r="AO107">
        <v>0.54264670710204788</v>
      </c>
      <c r="AP107">
        <v>19.663118877681772</v>
      </c>
      <c r="AQ107">
        <v>4.1578913951515544</v>
      </c>
      <c r="AR107">
        <v>0.55029513597358626</v>
      </c>
      <c r="AS107">
        <v>2.8727402423661506</v>
      </c>
      <c r="AT107" t="e">
        <v>#DIV/0!</v>
      </c>
      <c r="AU107" t="e">
        <v>#DIV/0!</v>
      </c>
      <c r="AV107"/>
      <c r="AW107"/>
      <c r="AX107" s="146"/>
      <c r="AY107" s="76">
        <f t="shared" ca="1" si="88"/>
        <v>0.55644202020364109</v>
      </c>
      <c r="AZ107">
        <v>10</v>
      </c>
      <c r="BA107" s="129">
        <f t="shared" si="127"/>
        <v>39673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1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 s="147"/>
      <c r="CH107" s="176"/>
      <c r="CJ107" s="146"/>
      <c r="CK107" s="76">
        <f t="shared" ca="1" si="90"/>
        <v>0.3609110805208422</v>
      </c>
      <c r="CL107" s="179">
        <f t="shared" si="91"/>
        <v>10</v>
      </c>
      <c r="CM107" s="180">
        <f t="shared" si="92"/>
        <v>39673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 s="160"/>
      <c r="CW107">
        <f>18/10</f>
        <v>1.8</v>
      </c>
      <c r="CX107">
        <f>100/7</f>
        <v>14.285714285714286</v>
      </c>
      <c r="CY107" s="164"/>
      <c r="CZ107" s="177">
        <f t="shared" si="93"/>
        <v>9.6000000000000002E-2</v>
      </c>
      <c r="DB107" s="146"/>
      <c r="DC107" s="76">
        <f t="shared" ca="1" si="51"/>
        <v>9.5348433326118531E-2</v>
      </c>
      <c r="DD107">
        <f t="shared" si="94"/>
        <v>10</v>
      </c>
      <c r="DE107" s="129">
        <f t="shared" si="126"/>
        <v>39673</v>
      </c>
      <c r="DF107" s="161">
        <f t="shared" si="95"/>
        <v>0</v>
      </c>
      <c r="DG107" s="161">
        <f t="shared" si="96"/>
        <v>0</v>
      </c>
      <c r="DH107" s="161">
        <f t="shared" si="97"/>
        <v>0</v>
      </c>
      <c r="DI107" s="161">
        <f t="shared" si="98"/>
        <v>0</v>
      </c>
      <c r="DJ107" s="161">
        <f t="shared" si="99"/>
        <v>0</v>
      </c>
      <c r="DK107" s="161">
        <f t="shared" si="100"/>
        <v>0</v>
      </c>
      <c r="DL107" s="161">
        <f t="shared" si="101"/>
        <v>18.75</v>
      </c>
      <c r="DM107" s="161">
        <f t="shared" si="102"/>
        <v>0</v>
      </c>
      <c r="DN107" s="161">
        <f t="shared" si="103"/>
        <v>0</v>
      </c>
      <c r="DO107" s="161">
        <f t="shared" si="104"/>
        <v>0</v>
      </c>
      <c r="DP107" s="161">
        <f t="shared" si="105"/>
        <v>0</v>
      </c>
      <c r="DQ107" s="161">
        <f t="shared" si="106"/>
        <v>0</v>
      </c>
      <c r="DR107" s="161">
        <f t="shared" si="107"/>
        <v>0</v>
      </c>
      <c r="DS107" s="161">
        <f t="shared" si="108"/>
        <v>0</v>
      </c>
      <c r="DT107" s="161">
        <f t="shared" si="109"/>
        <v>0</v>
      </c>
      <c r="DU107" s="161">
        <f t="shared" si="110"/>
        <v>0</v>
      </c>
      <c r="DV107" s="161">
        <f t="shared" si="111"/>
        <v>0</v>
      </c>
      <c r="DW107" s="161">
        <f t="shared" si="112"/>
        <v>0</v>
      </c>
      <c r="DX107" s="161">
        <f t="shared" si="113"/>
        <v>0</v>
      </c>
      <c r="DY107" s="161">
        <f t="shared" si="114"/>
        <v>0</v>
      </c>
      <c r="DZ107" s="161">
        <f t="shared" si="115"/>
        <v>0</v>
      </c>
      <c r="EA107" s="161">
        <f t="shared" si="116"/>
        <v>0</v>
      </c>
      <c r="EB107" s="161">
        <f t="shared" si="117"/>
        <v>0</v>
      </c>
      <c r="EC107" s="161">
        <f t="shared" si="118"/>
        <v>0</v>
      </c>
      <c r="ED107" s="161">
        <f t="shared" si="119"/>
        <v>0</v>
      </c>
      <c r="EE107" s="161">
        <f t="shared" si="120"/>
        <v>0</v>
      </c>
      <c r="EF107" s="161">
        <f t="shared" si="121"/>
        <v>0</v>
      </c>
      <c r="EG107" s="161">
        <f t="shared" si="122"/>
        <v>0</v>
      </c>
      <c r="EH107" s="161">
        <f t="shared" si="123"/>
        <v>0</v>
      </c>
      <c r="EI107" s="161">
        <f t="shared" si="124"/>
        <v>0</v>
      </c>
      <c r="EJ107" s="161">
        <f t="shared" si="125"/>
        <v>0</v>
      </c>
      <c r="EK107" s="147">
        <f t="shared" si="55"/>
        <v>18.75</v>
      </c>
      <c r="EL107" s="149"/>
      <c r="EN107" s="146"/>
      <c r="EO107" s="146"/>
      <c r="EP107" s="139">
        <f t="shared" si="56"/>
        <v>0</v>
      </c>
      <c r="EQ107" s="139">
        <f t="shared" si="57"/>
        <v>0</v>
      </c>
      <c r="ER107" s="139">
        <f t="shared" si="58"/>
        <v>0</v>
      </c>
      <c r="ES107" s="139">
        <f t="shared" si="59"/>
        <v>0</v>
      </c>
      <c r="ET107" s="139">
        <f t="shared" si="60"/>
        <v>0</v>
      </c>
      <c r="EU107" s="139">
        <f t="shared" si="61"/>
        <v>0</v>
      </c>
      <c r="EV107" s="139">
        <f t="shared" si="62"/>
        <v>6.6663043111567646</v>
      </c>
      <c r="EW107" s="139">
        <f t="shared" si="63"/>
        <v>0</v>
      </c>
      <c r="EX107" s="139">
        <f t="shared" si="64"/>
        <v>0</v>
      </c>
      <c r="EY107" s="139">
        <f t="shared" si="65"/>
        <v>0</v>
      </c>
      <c r="EZ107" s="139">
        <f t="shared" si="66"/>
        <v>0</v>
      </c>
      <c r="FA107" s="139">
        <f t="shared" si="67"/>
        <v>0</v>
      </c>
      <c r="FB107" s="139">
        <f t="shared" si="68"/>
        <v>0</v>
      </c>
      <c r="FC107" s="139">
        <f t="shared" si="69"/>
        <v>0</v>
      </c>
      <c r="FD107" s="139">
        <f t="shared" si="70"/>
        <v>0</v>
      </c>
      <c r="FE107" s="139">
        <f t="shared" si="71"/>
        <v>0</v>
      </c>
      <c r="FF107" s="139">
        <f t="shared" si="72"/>
        <v>0</v>
      </c>
      <c r="FG107" s="139">
        <f t="shared" si="73"/>
        <v>0</v>
      </c>
      <c r="FH107" s="139">
        <f t="shared" si="74"/>
        <v>0</v>
      </c>
      <c r="FI107" s="139">
        <f t="shared" si="75"/>
        <v>0</v>
      </c>
      <c r="FJ107" s="139">
        <f t="shared" si="76"/>
        <v>0</v>
      </c>
      <c r="FK107" s="139">
        <f t="shared" si="77"/>
        <v>0</v>
      </c>
      <c r="FL107" s="139">
        <f t="shared" si="78"/>
        <v>0</v>
      </c>
      <c r="FM107" s="139">
        <f t="shared" si="79"/>
        <v>0</v>
      </c>
      <c r="FN107" s="139">
        <f t="shared" si="80"/>
        <v>0</v>
      </c>
      <c r="FO107" s="139">
        <f t="shared" si="81"/>
        <v>0</v>
      </c>
      <c r="FP107" s="139">
        <f t="shared" si="82"/>
        <v>0</v>
      </c>
      <c r="FQ107" s="139">
        <f t="shared" si="83"/>
        <v>0</v>
      </c>
      <c r="FR107" s="139">
        <f t="shared" si="84"/>
        <v>0</v>
      </c>
      <c r="FS107" s="139">
        <f t="shared" si="85"/>
        <v>0</v>
      </c>
      <c r="FT107" s="139">
        <f t="shared" si="86"/>
        <v>0</v>
      </c>
      <c r="FU107" s="148">
        <f t="shared" si="87"/>
        <v>6.6663043111567646</v>
      </c>
      <c r="FV107" s="149"/>
      <c r="FY107" s="211">
        <v>102</v>
      </c>
      <c r="FZ107">
        <v>1.0465968268678456</v>
      </c>
      <c r="GA107">
        <v>0</v>
      </c>
      <c r="GB107">
        <v>0</v>
      </c>
      <c r="GC107">
        <v>3.4819274958961192E-2</v>
      </c>
      <c r="GD107">
        <v>2.6724553773673727E-2</v>
      </c>
      <c r="GE107">
        <v>0</v>
      </c>
      <c r="GF107">
        <v>0</v>
      </c>
      <c r="GG107">
        <v>0</v>
      </c>
      <c r="GH107">
        <v>0</v>
      </c>
      <c r="GI107">
        <v>0.17048246838059686</v>
      </c>
      <c r="GJ107"/>
      <c r="GK107">
        <v>1.0502686240538315</v>
      </c>
      <c r="GL107">
        <v>0</v>
      </c>
      <c r="GM107">
        <v>0</v>
      </c>
      <c r="GN107">
        <v>0.10493806523239137</v>
      </c>
      <c r="GO107">
        <v>0.10493806523239137</v>
      </c>
      <c r="GP107">
        <v>0</v>
      </c>
      <c r="GQ107">
        <v>0</v>
      </c>
      <c r="GR107">
        <v>0</v>
      </c>
      <c r="GS107">
        <v>0</v>
      </c>
      <c r="GT107">
        <v>0.23104133785724459</v>
      </c>
      <c r="GU107"/>
      <c r="GV107"/>
      <c r="GW107"/>
      <c r="GX107"/>
      <c r="GY107"/>
      <c r="GZ107"/>
      <c r="HA107"/>
      <c r="HB107"/>
      <c r="HC107"/>
    </row>
    <row r="108" spans="1:211" s="7" customFormat="1">
      <c r="A108" s="128"/>
      <c r="B108" s="76">
        <f t="shared" ca="1" si="50"/>
        <v>0.94961816307532132</v>
      </c>
      <c r="C108">
        <v>9</v>
      </c>
      <c r="D108">
        <v>39714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3.3166666666666664</v>
      </c>
      <c r="AO108">
        <v>0.51831987735752583</v>
      </c>
      <c r="AP108">
        <v>13.835043000775855</v>
      </c>
      <c r="AQ108">
        <v>4.2428390520734638</v>
      </c>
      <c r="AR108">
        <v>0.5131941814327412</v>
      </c>
      <c r="AS108">
        <v>2.7190015189502761</v>
      </c>
      <c r="AT108" t="e">
        <v>#DIV/0!</v>
      </c>
      <c r="AU108" t="e">
        <v>#DIV/0!</v>
      </c>
      <c r="AV108"/>
      <c r="AW108"/>
      <c r="AX108" s="128"/>
      <c r="AY108" s="76">
        <f t="shared" ca="1" si="88"/>
        <v>0.71724219938687317</v>
      </c>
      <c r="AZ108">
        <v>1</v>
      </c>
      <c r="BA108" s="129">
        <f>IF(AZ108="", "",$C$6)</f>
        <v>39714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 s="147"/>
      <c r="CH108" s="176"/>
      <c r="CJ108" s="128"/>
      <c r="CK108" s="76">
        <f t="shared" ca="1" si="90"/>
        <v>0.97618870163011806</v>
      </c>
      <c r="CL108" s="179">
        <f t="shared" si="91"/>
        <v>1</v>
      </c>
      <c r="CM108" s="180">
        <f t="shared" si="92"/>
        <v>39714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W108">
        <v>1</v>
      </c>
      <c r="CX108">
        <f>300/48</f>
        <v>6.25</v>
      </c>
      <c r="CY108" s="158"/>
      <c r="CZ108" s="177">
        <f t="shared" si="93"/>
        <v>9.6000000000000002E-2</v>
      </c>
      <c r="DB108" s="128"/>
      <c r="DC108" s="76">
        <f t="shared" ca="1" si="51"/>
        <v>0.95747834353394001</v>
      </c>
      <c r="DD108">
        <f t="shared" si="94"/>
        <v>1</v>
      </c>
      <c r="DE108" s="129">
        <f t="shared" ref="DE108:DE117" si="128">IF((DD108)="", "", $C$6)</f>
        <v>39714</v>
      </c>
      <c r="DF108" s="161">
        <f t="shared" si="95"/>
        <v>0</v>
      </c>
      <c r="DG108" s="161">
        <f t="shared" si="96"/>
        <v>0</v>
      </c>
      <c r="DH108" s="161">
        <f t="shared" si="97"/>
        <v>0</v>
      </c>
      <c r="DI108" s="161">
        <f t="shared" si="98"/>
        <v>0</v>
      </c>
      <c r="DJ108" s="161">
        <f t="shared" si="99"/>
        <v>0</v>
      </c>
      <c r="DK108" s="161">
        <f t="shared" si="100"/>
        <v>0</v>
      </c>
      <c r="DL108" s="161">
        <f t="shared" si="101"/>
        <v>0</v>
      </c>
      <c r="DM108" s="161">
        <f t="shared" si="102"/>
        <v>0</v>
      </c>
      <c r="DN108" s="161">
        <f t="shared" si="103"/>
        <v>0</v>
      </c>
      <c r="DO108" s="161">
        <f t="shared" si="104"/>
        <v>0</v>
      </c>
      <c r="DP108" s="161">
        <f t="shared" si="105"/>
        <v>0</v>
      </c>
      <c r="DQ108" s="161">
        <f t="shared" si="106"/>
        <v>0</v>
      </c>
      <c r="DR108" s="161">
        <f t="shared" si="107"/>
        <v>0</v>
      </c>
      <c r="DS108" s="161">
        <f t="shared" si="108"/>
        <v>0</v>
      </c>
      <c r="DT108" s="161">
        <f t="shared" si="109"/>
        <v>0</v>
      </c>
      <c r="DU108" s="161">
        <f t="shared" si="110"/>
        <v>0</v>
      </c>
      <c r="DV108" s="161">
        <f t="shared" si="111"/>
        <v>0</v>
      </c>
      <c r="DW108" s="161">
        <f t="shared" si="112"/>
        <v>0</v>
      </c>
      <c r="DX108" s="161">
        <f t="shared" si="113"/>
        <v>0</v>
      </c>
      <c r="DY108" s="161">
        <f t="shared" si="114"/>
        <v>0</v>
      </c>
      <c r="DZ108" s="161">
        <f t="shared" si="115"/>
        <v>0</v>
      </c>
      <c r="EA108" s="161">
        <f t="shared" si="116"/>
        <v>0</v>
      </c>
      <c r="EB108" s="161">
        <f t="shared" si="117"/>
        <v>0</v>
      </c>
      <c r="EC108" s="161">
        <f t="shared" si="118"/>
        <v>0</v>
      </c>
      <c r="ED108" s="161">
        <f t="shared" si="119"/>
        <v>0</v>
      </c>
      <c r="EE108" s="161">
        <f t="shared" si="120"/>
        <v>0</v>
      </c>
      <c r="EF108" s="161">
        <f t="shared" si="121"/>
        <v>0</v>
      </c>
      <c r="EG108" s="161">
        <f t="shared" si="122"/>
        <v>0</v>
      </c>
      <c r="EH108" s="161">
        <f t="shared" si="123"/>
        <v>0</v>
      </c>
      <c r="EI108" s="161">
        <f t="shared" si="124"/>
        <v>0</v>
      </c>
      <c r="EJ108" s="161">
        <f t="shared" si="125"/>
        <v>0</v>
      </c>
      <c r="EK108" s="147">
        <f t="shared" si="55"/>
        <v>0</v>
      </c>
      <c r="EL108" s="149"/>
      <c r="EN108" s="146"/>
      <c r="EO108" s="146"/>
      <c r="EP108" s="139">
        <f t="shared" si="56"/>
        <v>0</v>
      </c>
      <c r="EQ108" s="139">
        <f t="shared" si="57"/>
        <v>0</v>
      </c>
      <c r="ER108" s="139">
        <f t="shared" si="58"/>
        <v>0</v>
      </c>
      <c r="ES108" s="139">
        <f t="shared" si="59"/>
        <v>0</v>
      </c>
      <c r="ET108" s="139">
        <f t="shared" si="60"/>
        <v>0</v>
      </c>
      <c r="EU108" s="139">
        <f t="shared" si="61"/>
        <v>0</v>
      </c>
      <c r="EV108" s="139">
        <f t="shared" si="62"/>
        <v>0</v>
      </c>
      <c r="EW108" s="139">
        <f t="shared" si="63"/>
        <v>0</v>
      </c>
      <c r="EX108" s="139">
        <f t="shared" si="64"/>
        <v>0</v>
      </c>
      <c r="EY108" s="139">
        <f t="shared" si="65"/>
        <v>0</v>
      </c>
      <c r="EZ108" s="139">
        <f t="shared" si="66"/>
        <v>0</v>
      </c>
      <c r="FA108" s="139">
        <f t="shared" si="67"/>
        <v>0</v>
      </c>
      <c r="FB108" s="139">
        <f t="shared" si="68"/>
        <v>0</v>
      </c>
      <c r="FC108" s="139">
        <f t="shared" si="69"/>
        <v>0</v>
      </c>
      <c r="FD108" s="139">
        <f t="shared" si="70"/>
        <v>0</v>
      </c>
      <c r="FE108" s="139">
        <f t="shared" si="71"/>
        <v>0</v>
      </c>
      <c r="FF108" s="139">
        <f t="shared" si="72"/>
        <v>0</v>
      </c>
      <c r="FG108" s="139">
        <f t="shared" si="73"/>
        <v>0</v>
      </c>
      <c r="FH108" s="139">
        <f t="shared" si="74"/>
        <v>0</v>
      </c>
      <c r="FI108" s="139">
        <f t="shared" si="75"/>
        <v>0</v>
      </c>
      <c r="FJ108" s="139">
        <f t="shared" si="76"/>
        <v>0</v>
      </c>
      <c r="FK108" s="139">
        <f t="shared" si="77"/>
        <v>0</v>
      </c>
      <c r="FL108" s="139">
        <f t="shared" si="78"/>
        <v>0</v>
      </c>
      <c r="FM108" s="139">
        <f t="shared" si="79"/>
        <v>0</v>
      </c>
      <c r="FN108" s="139">
        <f t="shared" si="80"/>
        <v>0</v>
      </c>
      <c r="FO108" s="139">
        <f t="shared" si="81"/>
        <v>0</v>
      </c>
      <c r="FP108" s="139">
        <f t="shared" si="82"/>
        <v>0</v>
      </c>
      <c r="FQ108" s="139">
        <f t="shared" si="83"/>
        <v>0</v>
      </c>
      <c r="FR108" s="139">
        <f t="shared" si="84"/>
        <v>0</v>
      </c>
      <c r="FS108" s="139">
        <f t="shared" si="85"/>
        <v>0</v>
      </c>
      <c r="FT108" s="139">
        <f t="shared" si="86"/>
        <v>0</v>
      </c>
      <c r="FU108" s="148">
        <f t="shared" si="87"/>
        <v>0</v>
      </c>
      <c r="FV108" s="149"/>
      <c r="FY108" s="211">
        <v>103</v>
      </c>
      <c r="FZ108">
        <v>0.79984625325004499</v>
      </c>
      <c r="GA108">
        <v>0</v>
      </c>
      <c r="GB108">
        <v>0.22123389596694673</v>
      </c>
      <c r="GC108">
        <v>0.1579162012217627</v>
      </c>
      <c r="GD108">
        <v>2.6724553773673727E-2</v>
      </c>
      <c r="GE108">
        <v>0</v>
      </c>
      <c r="GF108">
        <v>0.33021050058332063</v>
      </c>
      <c r="GG108">
        <v>0.29759236750664797</v>
      </c>
      <c r="GH108">
        <v>0</v>
      </c>
      <c r="GI108">
        <v>0.25240681217259664</v>
      </c>
      <c r="GJ108"/>
      <c r="GK108">
        <v>0.79810235784808636</v>
      </c>
      <c r="GL108">
        <v>0</v>
      </c>
      <c r="GM108">
        <v>0.3667734676484084</v>
      </c>
      <c r="GN108">
        <v>0.47171153288079981</v>
      </c>
      <c r="GO108">
        <v>0.10493806523239137</v>
      </c>
      <c r="GP108">
        <v>0</v>
      </c>
      <c r="GQ108">
        <v>0.45369793096285549</v>
      </c>
      <c r="GR108">
        <v>0.45369793096285549</v>
      </c>
      <c r="GS108">
        <v>0</v>
      </c>
      <c r="GT108">
        <v>0.34470236433834839</v>
      </c>
      <c r="GU108"/>
      <c r="GV108"/>
      <c r="GW108"/>
      <c r="GX108"/>
      <c r="GY108"/>
      <c r="GZ108"/>
      <c r="HA108"/>
      <c r="HB108"/>
      <c r="HC108"/>
    </row>
    <row r="109" spans="1:211" s="7" customFormat="1">
      <c r="A109" s="1"/>
      <c r="B109" s="76">
        <f t="shared" ca="1" si="50"/>
        <v>0.26490259804613636</v>
      </c>
      <c r="C109">
        <v>10</v>
      </c>
      <c r="D109">
        <v>39714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1.65625</v>
      </c>
      <c r="AO109">
        <v>0.20565170644739356</v>
      </c>
      <c r="AP109">
        <v>6.2351118281180042</v>
      </c>
      <c r="AQ109">
        <v>1.7164989449562218</v>
      </c>
      <c r="AR109">
        <v>0.25484643738030505</v>
      </c>
      <c r="AS109">
        <v>1.3868356172298759</v>
      </c>
      <c r="AT109" t="e">
        <v>#DIV/0!</v>
      </c>
      <c r="AU109" t="e">
        <v>#DIV/0!</v>
      </c>
      <c r="AV109"/>
      <c r="AW109"/>
      <c r="AX109" s="146"/>
      <c r="AY109" s="76">
        <f t="shared" ca="1" si="88"/>
        <v>0.62422710415375349</v>
      </c>
      <c r="AZ109">
        <v>2</v>
      </c>
      <c r="BA109" s="129">
        <f t="shared" ref="BA109:BA117" si="129">IF(AZ109="", "",$C$6)</f>
        <v>39714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 s="147"/>
      <c r="CH109" s="176"/>
      <c r="CJ109" s="146"/>
      <c r="CK109" s="76">
        <f t="shared" ca="1" si="90"/>
        <v>0.35870843349059989</v>
      </c>
      <c r="CL109" s="179">
        <f t="shared" si="91"/>
        <v>2</v>
      </c>
      <c r="CM109" s="180">
        <f t="shared" si="92"/>
        <v>39714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W109">
        <v>1</v>
      </c>
      <c r="CX109">
        <v>1</v>
      </c>
      <c r="CY109" s="158"/>
      <c r="CZ109" s="177">
        <f t="shared" si="93"/>
        <v>9.6000000000000002E-2</v>
      </c>
      <c r="DB109" s="146"/>
      <c r="DC109" s="76">
        <f t="shared" ca="1" si="51"/>
        <v>0.32420569282741574</v>
      </c>
      <c r="DD109">
        <f t="shared" si="94"/>
        <v>2</v>
      </c>
      <c r="DE109" s="129">
        <f t="shared" si="128"/>
        <v>39714</v>
      </c>
      <c r="DF109" s="161">
        <f t="shared" si="95"/>
        <v>0</v>
      </c>
      <c r="DG109" s="161">
        <f t="shared" si="96"/>
        <v>0</v>
      </c>
      <c r="DH109" s="161">
        <f t="shared" si="97"/>
        <v>0</v>
      </c>
      <c r="DI109" s="161">
        <f t="shared" si="98"/>
        <v>0</v>
      </c>
      <c r="DJ109" s="161">
        <f t="shared" si="99"/>
        <v>0</v>
      </c>
      <c r="DK109" s="161">
        <f t="shared" si="100"/>
        <v>0</v>
      </c>
      <c r="DL109" s="161">
        <f t="shared" si="101"/>
        <v>0</v>
      </c>
      <c r="DM109" s="161">
        <f t="shared" si="102"/>
        <v>0</v>
      </c>
      <c r="DN109" s="161">
        <f t="shared" si="103"/>
        <v>0</v>
      </c>
      <c r="DO109" s="161">
        <f t="shared" si="104"/>
        <v>0</v>
      </c>
      <c r="DP109" s="161">
        <f t="shared" si="105"/>
        <v>0</v>
      </c>
      <c r="DQ109" s="161">
        <f t="shared" si="106"/>
        <v>0</v>
      </c>
      <c r="DR109" s="161">
        <f t="shared" si="107"/>
        <v>0</v>
      </c>
      <c r="DS109" s="161">
        <f t="shared" si="108"/>
        <v>0</v>
      </c>
      <c r="DT109" s="161">
        <f t="shared" si="109"/>
        <v>0</v>
      </c>
      <c r="DU109" s="161">
        <f t="shared" si="110"/>
        <v>0</v>
      </c>
      <c r="DV109" s="161">
        <f t="shared" si="111"/>
        <v>0</v>
      </c>
      <c r="DW109" s="161">
        <f t="shared" si="112"/>
        <v>0</v>
      </c>
      <c r="DX109" s="161">
        <f t="shared" si="113"/>
        <v>0</v>
      </c>
      <c r="DY109" s="161">
        <f t="shared" si="114"/>
        <v>0</v>
      </c>
      <c r="DZ109" s="161">
        <f t="shared" si="115"/>
        <v>0</v>
      </c>
      <c r="EA109" s="161">
        <f t="shared" si="116"/>
        <v>0</v>
      </c>
      <c r="EB109" s="161">
        <f t="shared" si="117"/>
        <v>0</v>
      </c>
      <c r="EC109" s="161">
        <f t="shared" si="118"/>
        <v>0</v>
      </c>
      <c r="ED109" s="161">
        <f t="shared" si="119"/>
        <v>0</v>
      </c>
      <c r="EE109" s="161">
        <f t="shared" si="120"/>
        <v>0</v>
      </c>
      <c r="EF109" s="161">
        <f t="shared" si="121"/>
        <v>0</v>
      </c>
      <c r="EG109" s="161">
        <f t="shared" si="122"/>
        <v>0</v>
      </c>
      <c r="EH109" s="161">
        <f t="shared" si="123"/>
        <v>0</v>
      </c>
      <c r="EI109" s="161">
        <f t="shared" si="124"/>
        <v>0</v>
      </c>
      <c r="EJ109" s="161">
        <f t="shared" si="125"/>
        <v>0</v>
      </c>
      <c r="EK109" s="147">
        <f t="shared" si="55"/>
        <v>0</v>
      </c>
      <c r="EL109" s="149"/>
      <c r="EN109" s="146"/>
      <c r="EO109" s="146"/>
      <c r="EP109" s="139">
        <f t="shared" si="56"/>
        <v>0</v>
      </c>
      <c r="EQ109" s="139">
        <f t="shared" si="57"/>
        <v>0</v>
      </c>
      <c r="ER109" s="139">
        <f t="shared" si="58"/>
        <v>0</v>
      </c>
      <c r="ES109" s="139">
        <f t="shared" si="59"/>
        <v>0</v>
      </c>
      <c r="ET109" s="139">
        <f t="shared" si="60"/>
        <v>0</v>
      </c>
      <c r="EU109" s="139">
        <f t="shared" si="61"/>
        <v>0</v>
      </c>
      <c r="EV109" s="139">
        <f t="shared" si="62"/>
        <v>0</v>
      </c>
      <c r="EW109" s="139">
        <f t="shared" si="63"/>
        <v>0</v>
      </c>
      <c r="EX109" s="139">
        <f t="shared" si="64"/>
        <v>0</v>
      </c>
      <c r="EY109" s="139">
        <f t="shared" si="65"/>
        <v>0</v>
      </c>
      <c r="EZ109" s="139">
        <f t="shared" si="66"/>
        <v>0</v>
      </c>
      <c r="FA109" s="139">
        <f t="shared" si="67"/>
        <v>0</v>
      </c>
      <c r="FB109" s="139">
        <f t="shared" si="68"/>
        <v>0</v>
      </c>
      <c r="FC109" s="139">
        <f t="shared" si="69"/>
        <v>0</v>
      </c>
      <c r="FD109" s="139">
        <f t="shared" si="70"/>
        <v>0</v>
      </c>
      <c r="FE109" s="139">
        <f t="shared" si="71"/>
        <v>0</v>
      </c>
      <c r="FF109" s="139">
        <f t="shared" si="72"/>
        <v>0</v>
      </c>
      <c r="FG109" s="139">
        <f t="shared" si="73"/>
        <v>0</v>
      </c>
      <c r="FH109" s="139">
        <f t="shared" si="74"/>
        <v>0</v>
      </c>
      <c r="FI109" s="139">
        <f t="shared" si="75"/>
        <v>0</v>
      </c>
      <c r="FJ109" s="139">
        <f t="shared" si="76"/>
        <v>0</v>
      </c>
      <c r="FK109" s="139">
        <f t="shared" si="77"/>
        <v>0</v>
      </c>
      <c r="FL109" s="139">
        <f t="shared" si="78"/>
        <v>0</v>
      </c>
      <c r="FM109" s="139">
        <f t="shared" si="79"/>
        <v>0</v>
      </c>
      <c r="FN109" s="139">
        <f t="shared" si="80"/>
        <v>0</v>
      </c>
      <c r="FO109" s="139">
        <f t="shared" si="81"/>
        <v>0</v>
      </c>
      <c r="FP109" s="139">
        <f t="shared" si="82"/>
        <v>0</v>
      </c>
      <c r="FQ109" s="139">
        <f t="shared" si="83"/>
        <v>0</v>
      </c>
      <c r="FR109" s="139">
        <f t="shared" si="84"/>
        <v>0</v>
      </c>
      <c r="FS109" s="139">
        <f t="shared" si="85"/>
        <v>0</v>
      </c>
      <c r="FT109" s="139">
        <f t="shared" si="86"/>
        <v>0</v>
      </c>
      <c r="FU109" s="148">
        <f t="shared" si="87"/>
        <v>0</v>
      </c>
      <c r="FV109" s="149"/>
      <c r="FY109" s="211">
        <v>104</v>
      </c>
      <c r="FZ109">
        <v>1.1536597211513868</v>
      </c>
      <c r="GA109">
        <v>0.56185112583616514</v>
      </c>
      <c r="GB109">
        <v>0.25130369097118832</v>
      </c>
      <c r="GC109">
        <v>0.13927709983584477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0.23275277431313066</v>
      </c>
      <c r="GJ109"/>
      <c r="GK109">
        <v>1.1563668706702404</v>
      </c>
      <c r="GL109">
        <v>0.48079623401633714</v>
      </c>
      <c r="GM109">
        <v>0.41975226092956547</v>
      </c>
      <c r="GN109">
        <v>0.41975226092956547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0.31522382631996115</v>
      </c>
      <c r="GU109"/>
      <c r="GV109"/>
      <c r="GW109"/>
      <c r="GX109"/>
      <c r="GY109"/>
      <c r="GZ109"/>
      <c r="HA109"/>
      <c r="HB109"/>
      <c r="HC109"/>
    </row>
    <row r="110" spans="1:211" s="7" customFormat="1">
      <c r="A110" s="1"/>
      <c r="B110" s="76">
        <f t="shared" ca="1" si="50"/>
        <v>0.86032845834426741</v>
      </c>
      <c r="C110">
        <v>5</v>
      </c>
      <c r="D110">
        <v>39714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2.3052083333333329</v>
      </c>
      <c r="AO110">
        <v>0.26924502525052352</v>
      </c>
      <c r="AP110">
        <v>4.2499155000513964</v>
      </c>
      <c r="AQ110">
        <v>1.9819013145889239</v>
      </c>
      <c r="AR110">
        <v>0.28912076093009559</v>
      </c>
      <c r="AS110">
        <v>1.6416285577238885</v>
      </c>
      <c r="AT110" t="e">
        <v>#DIV/0!</v>
      </c>
      <c r="AU110" t="e">
        <v>#DIV/0!</v>
      </c>
      <c r="AV110"/>
      <c r="AW110"/>
      <c r="AX110" s="146"/>
      <c r="AY110" s="76">
        <f t="shared" ca="1" si="88"/>
        <v>0.89108468328703605</v>
      </c>
      <c r="AZ110">
        <v>3</v>
      </c>
      <c r="BA110" s="129">
        <f t="shared" si="129"/>
        <v>39714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 s="147"/>
      <c r="CH110" s="176"/>
      <c r="CJ110" s="146"/>
      <c r="CK110" s="76">
        <f t="shared" ca="1" si="90"/>
        <v>0.78503323127253211</v>
      </c>
      <c r="CL110" s="179">
        <f t="shared" si="91"/>
        <v>3</v>
      </c>
      <c r="CM110" s="180">
        <f t="shared" si="92"/>
        <v>39714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W110">
        <v>1</v>
      </c>
      <c r="CX110">
        <f>300/32</f>
        <v>9.375</v>
      </c>
      <c r="CY110" s="158"/>
      <c r="CZ110" s="177">
        <f t="shared" si="93"/>
        <v>9.6000000000000002E-2</v>
      </c>
      <c r="DB110" s="146"/>
      <c r="DC110" s="76">
        <f t="shared" ca="1" si="51"/>
        <v>0.95952405370450045</v>
      </c>
      <c r="DD110">
        <f t="shared" si="94"/>
        <v>3</v>
      </c>
      <c r="DE110" s="129">
        <f t="shared" si="128"/>
        <v>39714</v>
      </c>
      <c r="DF110" s="161">
        <f t="shared" si="95"/>
        <v>0</v>
      </c>
      <c r="DG110" s="161">
        <f t="shared" si="96"/>
        <v>0</v>
      </c>
      <c r="DH110" s="161">
        <f t="shared" si="97"/>
        <v>0</v>
      </c>
      <c r="DI110" s="161">
        <f t="shared" si="98"/>
        <v>0</v>
      </c>
      <c r="DJ110" s="161">
        <f t="shared" si="99"/>
        <v>0</v>
      </c>
      <c r="DK110" s="161">
        <f t="shared" si="100"/>
        <v>0</v>
      </c>
      <c r="DL110" s="161">
        <f t="shared" si="101"/>
        <v>0</v>
      </c>
      <c r="DM110" s="161">
        <f t="shared" si="102"/>
        <v>0</v>
      </c>
      <c r="DN110" s="161">
        <f t="shared" si="103"/>
        <v>0</v>
      </c>
      <c r="DO110" s="161">
        <f t="shared" si="104"/>
        <v>0</v>
      </c>
      <c r="DP110" s="161">
        <f t="shared" si="105"/>
        <v>0</v>
      </c>
      <c r="DQ110" s="161">
        <f t="shared" si="106"/>
        <v>0</v>
      </c>
      <c r="DR110" s="161">
        <f t="shared" si="107"/>
        <v>0</v>
      </c>
      <c r="DS110" s="161">
        <f t="shared" si="108"/>
        <v>0</v>
      </c>
      <c r="DT110" s="161">
        <f t="shared" si="109"/>
        <v>0</v>
      </c>
      <c r="DU110" s="161">
        <f t="shared" si="110"/>
        <v>0</v>
      </c>
      <c r="DV110" s="161">
        <f t="shared" si="111"/>
        <v>0</v>
      </c>
      <c r="DW110" s="161">
        <f t="shared" si="112"/>
        <v>0</v>
      </c>
      <c r="DX110" s="161">
        <f t="shared" si="113"/>
        <v>0</v>
      </c>
      <c r="DY110" s="161">
        <f t="shared" si="114"/>
        <v>0</v>
      </c>
      <c r="DZ110" s="161">
        <f t="shared" si="115"/>
        <v>0</v>
      </c>
      <c r="EA110" s="161">
        <f t="shared" si="116"/>
        <v>0</v>
      </c>
      <c r="EB110" s="161">
        <f t="shared" si="117"/>
        <v>0</v>
      </c>
      <c r="EC110" s="161">
        <f t="shared" si="118"/>
        <v>0</v>
      </c>
      <c r="ED110" s="161">
        <f t="shared" si="119"/>
        <v>0</v>
      </c>
      <c r="EE110" s="161">
        <f t="shared" si="120"/>
        <v>0</v>
      </c>
      <c r="EF110" s="161">
        <f t="shared" si="121"/>
        <v>0</v>
      </c>
      <c r="EG110" s="161">
        <f t="shared" si="122"/>
        <v>0</v>
      </c>
      <c r="EH110" s="161">
        <f t="shared" si="123"/>
        <v>0</v>
      </c>
      <c r="EI110" s="161">
        <f t="shared" si="124"/>
        <v>0</v>
      </c>
      <c r="EJ110" s="161">
        <f t="shared" si="125"/>
        <v>0</v>
      </c>
      <c r="EK110" s="147">
        <f t="shared" si="55"/>
        <v>0</v>
      </c>
      <c r="EL110" s="149"/>
      <c r="EN110" s="146"/>
      <c r="EO110" s="146"/>
      <c r="EP110" s="139">
        <f t="shared" si="56"/>
        <v>0</v>
      </c>
      <c r="EQ110" s="139">
        <f t="shared" si="57"/>
        <v>0</v>
      </c>
      <c r="ER110" s="139">
        <f t="shared" si="58"/>
        <v>0</v>
      </c>
      <c r="ES110" s="139">
        <f t="shared" si="59"/>
        <v>0</v>
      </c>
      <c r="ET110" s="139">
        <f t="shared" si="60"/>
        <v>0</v>
      </c>
      <c r="EU110" s="139">
        <f t="shared" si="61"/>
        <v>0</v>
      </c>
      <c r="EV110" s="139">
        <f t="shared" si="62"/>
        <v>0</v>
      </c>
      <c r="EW110" s="139">
        <f t="shared" si="63"/>
        <v>0</v>
      </c>
      <c r="EX110" s="139">
        <f t="shared" si="64"/>
        <v>0</v>
      </c>
      <c r="EY110" s="139">
        <f t="shared" si="65"/>
        <v>0</v>
      </c>
      <c r="EZ110" s="139">
        <f t="shared" si="66"/>
        <v>0</v>
      </c>
      <c r="FA110" s="139">
        <f t="shared" si="67"/>
        <v>0</v>
      </c>
      <c r="FB110" s="139">
        <f t="shared" si="68"/>
        <v>0</v>
      </c>
      <c r="FC110" s="139">
        <f t="shared" si="69"/>
        <v>0</v>
      </c>
      <c r="FD110" s="139">
        <f t="shared" si="70"/>
        <v>0</v>
      </c>
      <c r="FE110" s="139">
        <f t="shared" si="71"/>
        <v>0</v>
      </c>
      <c r="FF110" s="139">
        <f t="shared" si="72"/>
        <v>0</v>
      </c>
      <c r="FG110" s="139">
        <f t="shared" si="73"/>
        <v>0</v>
      </c>
      <c r="FH110" s="139">
        <f t="shared" si="74"/>
        <v>0</v>
      </c>
      <c r="FI110" s="139">
        <f t="shared" si="75"/>
        <v>0</v>
      </c>
      <c r="FJ110" s="139">
        <f t="shared" si="76"/>
        <v>0</v>
      </c>
      <c r="FK110" s="139">
        <f t="shared" si="77"/>
        <v>0</v>
      </c>
      <c r="FL110" s="139">
        <f t="shared" si="78"/>
        <v>0</v>
      </c>
      <c r="FM110" s="139">
        <f t="shared" si="79"/>
        <v>0</v>
      </c>
      <c r="FN110" s="139">
        <f t="shared" si="80"/>
        <v>0</v>
      </c>
      <c r="FO110" s="139">
        <f t="shared" si="81"/>
        <v>0</v>
      </c>
      <c r="FP110" s="139">
        <f t="shared" si="82"/>
        <v>0</v>
      </c>
      <c r="FQ110" s="139">
        <f t="shared" si="83"/>
        <v>0</v>
      </c>
      <c r="FR110" s="139">
        <f t="shared" si="84"/>
        <v>0</v>
      </c>
      <c r="FS110" s="139">
        <f t="shared" si="85"/>
        <v>0</v>
      </c>
      <c r="FT110" s="139">
        <f t="shared" si="86"/>
        <v>0</v>
      </c>
      <c r="FU110" s="148">
        <f t="shared" si="87"/>
        <v>0</v>
      </c>
      <c r="FV110" s="149"/>
      <c r="FY110" s="211">
        <v>105</v>
      </c>
      <c r="FZ110">
        <v>0.56541568086212413</v>
      </c>
      <c r="GA110">
        <v>0</v>
      </c>
      <c r="GB110">
        <v>7.9203986612074825E-2</v>
      </c>
      <c r="GC110">
        <v>7.8958100610881349E-2</v>
      </c>
      <c r="GD110">
        <v>2.6724553773673727E-2</v>
      </c>
      <c r="GE110">
        <v>0</v>
      </c>
      <c r="GF110">
        <v>0.66042100116664126</v>
      </c>
      <c r="GG110">
        <v>0.59518473501329594</v>
      </c>
      <c r="GH110">
        <v>0</v>
      </c>
      <c r="GI110">
        <v>0.24677503113668373</v>
      </c>
      <c r="GJ110"/>
      <c r="GK110">
        <v>0.56689110205495785</v>
      </c>
      <c r="GL110">
        <v>0</v>
      </c>
      <c r="GM110">
        <v>0.13091770120800852</v>
      </c>
      <c r="GN110">
        <v>0.23585576644039991</v>
      </c>
      <c r="GO110">
        <v>0.10493806523239137</v>
      </c>
      <c r="GP110">
        <v>0</v>
      </c>
      <c r="GQ110">
        <v>0.90739586192571098</v>
      </c>
      <c r="GR110">
        <v>0.90739586192571098</v>
      </c>
      <c r="GS110">
        <v>0</v>
      </c>
      <c r="GT110">
        <v>0.34202854608421374</v>
      </c>
      <c r="GU110"/>
      <c r="GV110"/>
      <c r="GW110"/>
      <c r="GX110"/>
      <c r="GY110"/>
      <c r="GZ110"/>
      <c r="HA110"/>
      <c r="HB110"/>
      <c r="HC110"/>
    </row>
    <row r="111" spans="1:211" s="7" customFormat="1">
      <c r="A111" s="1"/>
      <c r="B111" s="76">
        <f t="shared" ca="1" si="50"/>
        <v>0.94512029642890028</v>
      </c>
      <c r="C111">
        <v>8</v>
      </c>
      <c r="D111">
        <v>39714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1.8812500000000001</v>
      </c>
      <c r="AO111">
        <v>0.26956316079009418</v>
      </c>
      <c r="AP111">
        <v>3.519046178352121</v>
      </c>
      <c r="AQ111">
        <v>2.3113198001049029</v>
      </c>
      <c r="AR111">
        <v>0.28569783018134853</v>
      </c>
      <c r="AS111">
        <v>1.755316202464452</v>
      </c>
      <c r="AT111" t="e">
        <v>#DIV/0!</v>
      </c>
      <c r="AU111" t="e">
        <v>#DIV/0!</v>
      </c>
      <c r="AV111"/>
      <c r="AW111"/>
      <c r="AX111" s="146"/>
      <c r="AY111" s="76">
        <f t="shared" ca="1" si="88"/>
        <v>0.60184295515759079</v>
      </c>
      <c r="AZ111">
        <v>4</v>
      </c>
      <c r="BA111" s="129">
        <f t="shared" si="129"/>
        <v>39714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 s="147"/>
      <c r="CH111" s="176"/>
      <c r="CJ111" s="146"/>
      <c r="CK111" s="76">
        <f t="shared" ca="1" si="90"/>
        <v>0.93567494162764842</v>
      </c>
      <c r="CL111" s="179">
        <f t="shared" si="91"/>
        <v>4</v>
      </c>
      <c r="CM111" s="180">
        <f t="shared" si="92"/>
        <v>39714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W111">
        <v>1</v>
      </c>
      <c r="CX111">
        <v>1</v>
      </c>
      <c r="CY111" s="158"/>
      <c r="CZ111" s="177">
        <f t="shared" si="93"/>
        <v>9.6000000000000002E-2</v>
      </c>
      <c r="DB111" s="146"/>
      <c r="DC111" s="76">
        <f t="shared" ca="1" si="51"/>
        <v>0.74248403806185048</v>
      </c>
      <c r="DD111">
        <f t="shared" si="94"/>
        <v>4</v>
      </c>
      <c r="DE111" s="129">
        <f t="shared" si="128"/>
        <v>39714</v>
      </c>
      <c r="DF111" s="161">
        <f t="shared" si="95"/>
        <v>0</v>
      </c>
      <c r="DG111" s="161">
        <f t="shared" si="96"/>
        <v>0</v>
      </c>
      <c r="DH111" s="161">
        <f t="shared" si="97"/>
        <v>0</v>
      </c>
      <c r="DI111" s="161">
        <f t="shared" si="98"/>
        <v>0</v>
      </c>
      <c r="DJ111" s="161">
        <f t="shared" si="99"/>
        <v>0</v>
      </c>
      <c r="DK111" s="161">
        <f t="shared" si="100"/>
        <v>0</v>
      </c>
      <c r="DL111" s="161">
        <f t="shared" si="101"/>
        <v>0</v>
      </c>
      <c r="DM111" s="161">
        <f t="shared" si="102"/>
        <v>0</v>
      </c>
      <c r="DN111" s="161">
        <f t="shared" si="103"/>
        <v>0</v>
      </c>
      <c r="DO111" s="161">
        <f t="shared" si="104"/>
        <v>0</v>
      </c>
      <c r="DP111" s="161">
        <f t="shared" si="105"/>
        <v>0</v>
      </c>
      <c r="DQ111" s="161">
        <f t="shared" si="106"/>
        <v>0</v>
      </c>
      <c r="DR111" s="161">
        <f t="shared" si="107"/>
        <v>0</v>
      </c>
      <c r="DS111" s="161">
        <f t="shared" si="108"/>
        <v>0</v>
      </c>
      <c r="DT111" s="161">
        <f t="shared" si="109"/>
        <v>0</v>
      </c>
      <c r="DU111" s="161">
        <f t="shared" si="110"/>
        <v>0</v>
      </c>
      <c r="DV111" s="161">
        <f t="shared" si="111"/>
        <v>0</v>
      </c>
      <c r="DW111" s="161">
        <f t="shared" si="112"/>
        <v>0</v>
      </c>
      <c r="DX111" s="161">
        <f t="shared" si="113"/>
        <v>0</v>
      </c>
      <c r="DY111" s="161">
        <f t="shared" si="114"/>
        <v>0</v>
      </c>
      <c r="DZ111" s="161">
        <f t="shared" si="115"/>
        <v>0</v>
      </c>
      <c r="EA111" s="161">
        <f t="shared" si="116"/>
        <v>0</v>
      </c>
      <c r="EB111" s="161">
        <f t="shared" si="117"/>
        <v>0</v>
      </c>
      <c r="EC111" s="161">
        <f t="shared" si="118"/>
        <v>0</v>
      </c>
      <c r="ED111" s="161">
        <f t="shared" si="119"/>
        <v>0</v>
      </c>
      <c r="EE111" s="161">
        <f t="shared" si="120"/>
        <v>0</v>
      </c>
      <c r="EF111" s="161">
        <f t="shared" si="121"/>
        <v>0</v>
      </c>
      <c r="EG111" s="161">
        <f t="shared" si="122"/>
        <v>0</v>
      </c>
      <c r="EH111" s="161">
        <f t="shared" si="123"/>
        <v>0</v>
      </c>
      <c r="EI111" s="161">
        <f t="shared" si="124"/>
        <v>0</v>
      </c>
      <c r="EJ111" s="161">
        <f t="shared" si="125"/>
        <v>0</v>
      </c>
      <c r="EK111" s="147">
        <f t="shared" si="55"/>
        <v>0</v>
      </c>
      <c r="EL111" s="149"/>
      <c r="EN111" s="146"/>
      <c r="EO111" s="146"/>
      <c r="EP111" s="139">
        <f t="shared" si="56"/>
        <v>0</v>
      </c>
      <c r="EQ111" s="139">
        <f t="shared" si="57"/>
        <v>0</v>
      </c>
      <c r="ER111" s="139">
        <f t="shared" si="58"/>
        <v>0</v>
      </c>
      <c r="ES111" s="139">
        <f t="shared" si="59"/>
        <v>0</v>
      </c>
      <c r="ET111" s="139">
        <f t="shared" si="60"/>
        <v>0</v>
      </c>
      <c r="EU111" s="139">
        <f t="shared" si="61"/>
        <v>0</v>
      </c>
      <c r="EV111" s="139">
        <f t="shared" si="62"/>
        <v>0</v>
      </c>
      <c r="EW111" s="139">
        <f t="shared" si="63"/>
        <v>0</v>
      </c>
      <c r="EX111" s="139">
        <f t="shared" si="64"/>
        <v>0</v>
      </c>
      <c r="EY111" s="139">
        <f t="shared" si="65"/>
        <v>0</v>
      </c>
      <c r="EZ111" s="139">
        <f t="shared" si="66"/>
        <v>0</v>
      </c>
      <c r="FA111" s="139">
        <f t="shared" si="67"/>
        <v>0</v>
      </c>
      <c r="FB111" s="139">
        <f t="shared" si="68"/>
        <v>0</v>
      </c>
      <c r="FC111" s="139">
        <f t="shared" si="69"/>
        <v>0</v>
      </c>
      <c r="FD111" s="139">
        <f t="shared" si="70"/>
        <v>0</v>
      </c>
      <c r="FE111" s="139">
        <f t="shared" si="71"/>
        <v>0</v>
      </c>
      <c r="FF111" s="139">
        <f t="shared" si="72"/>
        <v>0</v>
      </c>
      <c r="FG111" s="139">
        <f t="shared" si="73"/>
        <v>0</v>
      </c>
      <c r="FH111" s="139">
        <f t="shared" si="74"/>
        <v>0</v>
      </c>
      <c r="FI111" s="139">
        <f t="shared" si="75"/>
        <v>0</v>
      </c>
      <c r="FJ111" s="139">
        <f t="shared" si="76"/>
        <v>0</v>
      </c>
      <c r="FK111" s="139">
        <f t="shared" si="77"/>
        <v>0</v>
      </c>
      <c r="FL111" s="139">
        <f t="shared" si="78"/>
        <v>0</v>
      </c>
      <c r="FM111" s="139">
        <f t="shared" si="79"/>
        <v>0</v>
      </c>
      <c r="FN111" s="139">
        <f t="shared" si="80"/>
        <v>0</v>
      </c>
      <c r="FO111" s="139">
        <f t="shared" si="81"/>
        <v>0</v>
      </c>
      <c r="FP111" s="139">
        <f t="shared" si="82"/>
        <v>0</v>
      </c>
      <c r="FQ111" s="139">
        <f t="shared" si="83"/>
        <v>0</v>
      </c>
      <c r="FR111" s="139">
        <f t="shared" si="84"/>
        <v>0</v>
      </c>
      <c r="FS111" s="139">
        <f t="shared" si="85"/>
        <v>0</v>
      </c>
      <c r="FT111" s="139">
        <f t="shared" si="86"/>
        <v>0</v>
      </c>
      <c r="FU111" s="148">
        <f t="shared" si="87"/>
        <v>0</v>
      </c>
      <c r="FV111" s="149"/>
      <c r="FY111" s="211">
        <v>106</v>
      </c>
      <c r="FZ111">
        <v>1.2916310171609353</v>
      </c>
      <c r="GA111">
        <v>0.86195082931690026</v>
      </c>
      <c r="GB111">
        <v>0.14202990935487192</v>
      </c>
      <c r="GC111">
        <v>0.11377737556984255</v>
      </c>
      <c r="GD111">
        <v>2.6724553773673727E-2</v>
      </c>
      <c r="GE111">
        <v>0</v>
      </c>
      <c r="GF111">
        <v>0</v>
      </c>
      <c r="GG111">
        <v>0</v>
      </c>
      <c r="GH111">
        <v>0</v>
      </c>
      <c r="GI111">
        <v>0.24146697416592244</v>
      </c>
      <c r="GJ111"/>
      <c r="GK111">
        <v>1.3019895672999915</v>
      </c>
      <c r="GL111">
        <v>0.7403709403449259</v>
      </c>
      <c r="GM111">
        <v>0.23585576644039991</v>
      </c>
      <c r="GN111">
        <v>0.34079383167279126</v>
      </c>
      <c r="GO111">
        <v>0.10493806523239137</v>
      </c>
      <c r="GP111">
        <v>0</v>
      </c>
      <c r="GQ111">
        <v>0</v>
      </c>
      <c r="GR111">
        <v>0</v>
      </c>
      <c r="GS111">
        <v>0</v>
      </c>
      <c r="GT111">
        <v>0.32855667979455655</v>
      </c>
      <c r="GU111"/>
      <c r="GV111"/>
      <c r="GW111"/>
      <c r="GX111"/>
      <c r="GY111"/>
      <c r="GZ111"/>
      <c r="HA111"/>
      <c r="HB111"/>
      <c r="HC111"/>
    </row>
    <row r="112" spans="1:211" s="7" customFormat="1">
      <c r="A112" s="1"/>
      <c r="B112" s="76">
        <f t="shared" ca="1" si="50"/>
        <v>0.42155050925995474</v>
      </c>
      <c r="C112">
        <v>1</v>
      </c>
      <c r="D112">
        <v>39714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1.9874999999999996</v>
      </c>
      <c r="AO112">
        <v>0.21395790185082833</v>
      </c>
      <c r="AP112">
        <v>4.3903501178297315</v>
      </c>
      <c r="AQ112">
        <v>1.7493443759578629</v>
      </c>
      <c r="AR112">
        <v>0.2485749345422118</v>
      </c>
      <c r="AS112">
        <v>1.5173402761916595</v>
      </c>
      <c r="AT112" t="e">
        <v>#DIV/0!</v>
      </c>
      <c r="AU112" t="e">
        <v>#DIV/0!</v>
      </c>
      <c r="AV112"/>
      <c r="AW112"/>
      <c r="AX112" s="146"/>
      <c r="AY112" s="76">
        <f t="shared" ca="1" si="88"/>
        <v>1.3362753291474627E-2</v>
      </c>
      <c r="AZ112">
        <v>5</v>
      </c>
      <c r="BA112" s="129">
        <f t="shared" si="129"/>
        <v>39714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 s="147"/>
      <c r="CH112" s="176"/>
      <c r="CJ112" s="146"/>
      <c r="CK112" s="76">
        <f t="shared" ca="1" si="90"/>
        <v>0.66609363076798678</v>
      </c>
      <c r="CL112" s="179">
        <f t="shared" si="91"/>
        <v>5</v>
      </c>
      <c r="CM112" s="180">
        <f t="shared" si="92"/>
        <v>39714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W112">
        <v>1</v>
      </c>
      <c r="CX112">
        <v>1</v>
      </c>
      <c r="CY112" s="158"/>
      <c r="CZ112" s="177">
        <f t="shared" si="93"/>
        <v>9.6000000000000002E-2</v>
      </c>
      <c r="DB112" s="146"/>
      <c r="DC112" s="76">
        <f t="shared" ca="1" si="51"/>
        <v>0.60938095511452817</v>
      </c>
      <c r="DD112">
        <f t="shared" si="94"/>
        <v>5</v>
      </c>
      <c r="DE112" s="129">
        <f t="shared" si="128"/>
        <v>39714</v>
      </c>
      <c r="DF112" s="161">
        <f t="shared" si="95"/>
        <v>0</v>
      </c>
      <c r="DG112" s="161">
        <f t="shared" si="96"/>
        <v>0</v>
      </c>
      <c r="DH112" s="161">
        <f t="shared" si="97"/>
        <v>0</v>
      </c>
      <c r="DI112" s="161">
        <f t="shared" si="98"/>
        <v>0</v>
      </c>
      <c r="DJ112" s="161">
        <f t="shared" si="99"/>
        <v>0</v>
      </c>
      <c r="DK112" s="161">
        <f t="shared" si="100"/>
        <v>0</v>
      </c>
      <c r="DL112" s="161">
        <f t="shared" si="101"/>
        <v>0</v>
      </c>
      <c r="DM112" s="161">
        <f t="shared" si="102"/>
        <v>0</v>
      </c>
      <c r="DN112" s="161">
        <f t="shared" si="103"/>
        <v>0</v>
      </c>
      <c r="DO112" s="161">
        <f t="shared" si="104"/>
        <v>0</v>
      </c>
      <c r="DP112" s="161">
        <f t="shared" si="105"/>
        <v>0</v>
      </c>
      <c r="DQ112" s="161">
        <f t="shared" si="106"/>
        <v>0</v>
      </c>
      <c r="DR112" s="161">
        <f t="shared" si="107"/>
        <v>0</v>
      </c>
      <c r="DS112" s="161">
        <f t="shared" si="108"/>
        <v>0</v>
      </c>
      <c r="DT112" s="161">
        <f t="shared" si="109"/>
        <v>0</v>
      </c>
      <c r="DU112" s="161">
        <f t="shared" si="110"/>
        <v>0</v>
      </c>
      <c r="DV112" s="161">
        <f t="shared" si="111"/>
        <v>0</v>
      </c>
      <c r="DW112" s="161">
        <f t="shared" si="112"/>
        <v>0</v>
      </c>
      <c r="DX112" s="161">
        <f t="shared" si="113"/>
        <v>0</v>
      </c>
      <c r="DY112" s="161">
        <f t="shared" si="114"/>
        <v>0</v>
      </c>
      <c r="DZ112" s="161">
        <f t="shared" si="115"/>
        <v>0</v>
      </c>
      <c r="EA112" s="161">
        <f t="shared" si="116"/>
        <v>0</v>
      </c>
      <c r="EB112" s="161">
        <f t="shared" si="117"/>
        <v>0</v>
      </c>
      <c r="EC112" s="161">
        <f t="shared" si="118"/>
        <v>0</v>
      </c>
      <c r="ED112" s="161">
        <f t="shared" si="119"/>
        <v>0</v>
      </c>
      <c r="EE112" s="161">
        <f t="shared" si="120"/>
        <v>0</v>
      </c>
      <c r="EF112" s="161">
        <f t="shared" si="121"/>
        <v>0</v>
      </c>
      <c r="EG112" s="161">
        <f t="shared" si="122"/>
        <v>0</v>
      </c>
      <c r="EH112" s="161">
        <f t="shared" si="123"/>
        <v>0</v>
      </c>
      <c r="EI112" s="161">
        <f t="shared" si="124"/>
        <v>0</v>
      </c>
      <c r="EJ112" s="161">
        <f t="shared" si="125"/>
        <v>0</v>
      </c>
      <c r="EK112" s="147">
        <f t="shared" si="55"/>
        <v>0</v>
      </c>
      <c r="EL112" s="149"/>
      <c r="EN112" s="146"/>
      <c r="EO112" s="146"/>
      <c r="EP112" s="139">
        <f t="shared" si="56"/>
        <v>0</v>
      </c>
      <c r="EQ112" s="139">
        <f t="shared" si="57"/>
        <v>0</v>
      </c>
      <c r="ER112" s="139">
        <f t="shared" si="58"/>
        <v>0</v>
      </c>
      <c r="ES112" s="139">
        <f t="shared" si="59"/>
        <v>0</v>
      </c>
      <c r="ET112" s="139">
        <f t="shared" si="60"/>
        <v>0</v>
      </c>
      <c r="EU112" s="139">
        <f t="shared" si="61"/>
        <v>0</v>
      </c>
      <c r="EV112" s="139">
        <f t="shared" si="62"/>
        <v>0</v>
      </c>
      <c r="EW112" s="139">
        <f t="shared" si="63"/>
        <v>0</v>
      </c>
      <c r="EX112" s="139">
        <f t="shared" si="64"/>
        <v>0</v>
      </c>
      <c r="EY112" s="139">
        <f t="shared" si="65"/>
        <v>0</v>
      </c>
      <c r="EZ112" s="139">
        <f t="shared" si="66"/>
        <v>0</v>
      </c>
      <c r="FA112" s="139">
        <f t="shared" si="67"/>
        <v>0</v>
      </c>
      <c r="FB112" s="139">
        <f t="shared" si="68"/>
        <v>0</v>
      </c>
      <c r="FC112" s="139">
        <f t="shared" si="69"/>
        <v>0</v>
      </c>
      <c r="FD112" s="139">
        <f t="shared" si="70"/>
        <v>0</v>
      </c>
      <c r="FE112" s="139">
        <f t="shared" si="71"/>
        <v>0</v>
      </c>
      <c r="FF112" s="139">
        <f t="shared" si="72"/>
        <v>0</v>
      </c>
      <c r="FG112" s="139">
        <f t="shared" si="73"/>
        <v>0</v>
      </c>
      <c r="FH112" s="139">
        <f t="shared" si="74"/>
        <v>0</v>
      </c>
      <c r="FI112" s="139">
        <f t="shared" si="75"/>
        <v>0</v>
      </c>
      <c r="FJ112" s="139">
        <f t="shared" si="76"/>
        <v>0</v>
      </c>
      <c r="FK112" s="139">
        <f t="shared" si="77"/>
        <v>0</v>
      </c>
      <c r="FL112" s="139">
        <f t="shared" si="78"/>
        <v>0</v>
      </c>
      <c r="FM112" s="139">
        <f t="shared" si="79"/>
        <v>0</v>
      </c>
      <c r="FN112" s="139">
        <f t="shared" si="80"/>
        <v>0</v>
      </c>
      <c r="FO112" s="139">
        <f t="shared" si="81"/>
        <v>0</v>
      </c>
      <c r="FP112" s="139">
        <f t="shared" si="82"/>
        <v>0</v>
      </c>
      <c r="FQ112" s="139">
        <f t="shared" si="83"/>
        <v>0</v>
      </c>
      <c r="FR112" s="139">
        <f t="shared" si="84"/>
        <v>0</v>
      </c>
      <c r="FS112" s="139">
        <f t="shared" si="85"/>
        <v>0</v>
      </c>
      <c r="FT112" s="139">
        <f t="shared" si="86"/>
        <v>0</v>
      </c>
      <c r="FU112" s="148">
        <f t="shared" si="87"/>
        <v>0</v>
      </c>
      <c r="FV112" s="149"/>
      <c r="FY112" s="211">
        <v>107</v>
      </c>
      <c r="FZ112">
        <v>0.55227000504546508</v>
      </c>
      <c r="GA112">
        <v>0.17450094823695328</v>
      </c>
      <c r="GB112">
        <v>7.9203986612074825E-2</v>
      </c>
      <c r="GC112">
        <v>4.4138825651920163E-2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0.1012926564412272</v>
      </c>
      <c r="GJ112"/>
      <c r="GK112">
        <v>0.55134230887809776</v>
      </c>
      <c r="GL112">
        <v>0.14748101845849892</v>
      </c>
      <c r="GM112">
        <v>0.13091770120800852</v>
      </c>
      <c r="GN112">
        <v>0.13091770120800852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0.13645200201722124</v>
      </c>
      <c r="GU112"/>
      <c r="GV112"/>
      <c r="GW112"/>
      <c r="GX112"/>
      <c r="GY112"/>
      <c r="GZ112"/>
      <c r="HA112"/>
      <c r="HB112"/>
      <c r="HC112"/>
    </row>
    <row r="113" spans="1:211" s="7" customFormat="1">
      <c r="A113" s="1"/>
      <c r="B113" s="76">
        <f t="shared" ca="1" si="50"/>
        <v>9.5379839340652417E-3</v>
      </c>
      <c r="C113">
        <v>6</v>
      </c>
      <c r="D113">
        <v>39714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0.92708333333333326</v>
      </c>
      <c r="AO113">
        <v>0.22109913105224024</v>
      </c>
      <c r="AP113">
        <v>6.2054589365501212</v>
      </c>
      <c r="AQ113">
        <v>1.8413958212967105</v>
      </c>
      <c r="AR113">
        <v>0.29288222992659113</v>
      </c>
      <c r="AS113">
        <v>1.2945760378633699</v>
      </c>
      <c r="AT113" t="e">
        <v>#DIV/0!</v>
      </c>
      <c r="AU113" t="e">
        <v>#DIV/0!</v>
      </c>
      <c r="AV113"/>
      <c r="AW113"/>
      <c r="AX113" s="146"/>
      <c r="AY113" s="76">
        <f t="shared" ca="1" si="88"/>
        <v>0.17850385228379739</v>
      </c>
      <c r="AZ113">
        <v>6</v>
      </c>
      <c r="BA113" s="129">
        <f t="shared" si="129"/>
        <v>39714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 s="147"/>
      <c r="CH113" s="176"/>
      <c r="CJ113" s="146"/>
      <c r="CK113" s="76">
        <f t="shared" ca="1" si="90"/>
        <v>0.73292466268706336</v>
      </c>
      <c r="CL113" s="179">
        <f t="shared" si="91"/>
        <v>6</v>
      </c>
      <c r="CM113" s="180">
        <f t="shared" si="92"/>
        <v>39714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 s="160"/>
      <c r="CW113">
        <v>1</v>
      </c>
      <c r="CX113">
        <v>1</v>
      </c>
      <c r="CY113" s="164"/>
      <c r="CZ113" s="177">
        <f t="shared" si="93"/>
        <v>9.6000000000000002E-2</v>
      </c>
      <c r="DB113" s="146"/>
      <c r="DC113" s="76">
        <f t="shared" ca="1" si="51"/>
        <v>0.58260884853817707</v>
      </c>
      <c r="DD113">
        <f t="shared" si="94"/>
        <v>6</v>
      </c>
      <c r="DE113" s="129">
        <f t="shared" si="128"/>
        <v>39714</v>
      </c>
      <c r="DF113" s="161">
        <f t="shared" si="95"/>
        <v>0</v>
      </c>
      <c r="DG113" s="161">
        <f t="shared" si="96"/>
        <v>0</v>
      </c>
      <c r="DH113" s="161">
        <f t="shared" si="97"/>
        <v>0</v>
      </c>
      <c r="DI113" s="161">
        <f t="shared" si="98"/>
        <v>0</v>
      </c>
      <c r="DJ113" s="161">
        <f t="shared" si="99"/>
        <v>0</v>
      </c>
      <c r="DK113" s="161">
        <f t="shared" si="100"/>
        <v>0</v>
      </c>
      <c r="DL113" s="161">
        <f t="shared" si="101"/>
        <v>0</v>
      </c>
      <c r="DM113" s="161">
        <f t="shared" si="102"/>
        <v>0</v>
      </c>
      <c r="DN113" s="161">
        <f t="shared" si="103"/>
        <v>0</v>
      </c>
      <c r="DO113" s="161">
        <f t="shared" si="104"/>
        <v>0</v>
      </c>
      <c r="DP113" s="161">
        <f t="shared" si="105"/>
        <v>0</v>
      </c>
      <c r="DQ113" s="161">
        <f t="shared" si="106"/>
        <v>0</v>
      </c>
      <c r="DR113" s="161">
        <f t="shared" si="107"/>
        <v>0</v>
      </c>
      <c r="DS113" s="161">
        <f t="shared" si="108"/>
        <v>0</v>
      </c>
      <c r="DT113" s="161">
        <f t="shared" si="109"/>
        <v>0</v>
      </c>
      <c r="DU113" s="161">
        <f t="shared" si="110"/>
        <v>0</v>
      </c>
      <c r="DV113" s="161">
        <f t="shared" si="111"/>
        <v>0</v>
      </c>
      <c r="DW113" s="161">
        <f t="shared" si="112"/>
        <v>0</v>
      </c>
      <c r="DX113" s="161">
        <f t="shared" si="113"/>
        <v>0</v>
      </c>
      <c r="DY113" s="161">
        <f t="shared" si="114"/>
        <v>0</v>
      </c>
      <c r="DZ113" s="161">
        <f t="shared" si="115"/>
        <v>0</v>
      </c>
      <c r="EA113" s="161">
        <f t="shared" si="116"/>
        <v>0</v>
      </c>
      <c r="EB113" s="161">
        <f t="shared" si="117"/>
        <v>0</v>
      </c>
      <c r="EC113" s="161">
        <f t="shared" si="118"/>
        <v>0</v>
      </c>
      <c r="ED113" s="161">
        <f t="shared" si="119"/>
        <v>0</v>
      </c>
      <c r="EE113" s="161">
        <f t="shared" si="120"/>
        <v>0</v>
      </c>
      <c r="EF113" s="161">
        <f t="shared" si="121"/>
        <v>0</v>
      </c>
      <c r="EG113" s="161">
        <f t="shared" si="122"/>
        <v>0</v>
      </c>
      <c r="EH113" s="161">
        <f t="shared" si="123"/>
        <v>0</v>
      </c>
      <c r="EI113" s="161">
        <f t="shared" si="124"/>
        <v>0</v>
      </c>
      <c r="EJ113" s="161">
        <f t="shared" si="125"/>
        <v>0</v>
      </c>
      <c r="EK113" s="147">
        <f t="shared" si="55"/>
        <v>0</v>
      </c>
      <c r="EL113" s="149"/>
      <c r="EN113" s="146"/>
      <c r="EO113" s="146"/>
      <c r="EP113" s="139">
        <f t="shared" si="56"/>
        <v>0</v>
      </c>
      <c r="EQ113" s="139">
        <f t="shared" si="57"/>
        <v>0</v>
      </c>
      <c r="ER113" s="139">
        <f t="shared" si="58"/>
        <v>0</v>
      </c>
      <c r="ES113" s="139">
        <f t="shared" si="59"/>
        <v>0</v>
      </c>
      <c r="ET113" s="139">
        <f t="shared" si="60"/>
        <v>0</v>
      </c>
      <c r="EU113" s="139">
        <f t="shared" si="61"/>
        <v>0</v>
      </c>
      <c r="EV113" s="139">
        <f t="shared" si="62"/>
        <v>0</v>
      </c>
      <c r="EW113" s="139">
        <f t="shared" si="63"/>
        <v>0</v>
      </c>
      <c r="EX113" s="139">
        <f t="shared" si="64"/>
        <v>0</v>
      </c>
      <c r="EY113" s="139">
        <f t="shared" si="65"/>
        <v>0</v>
      </c>
      <c r="EZ113" s="139">
        <f t="shared" si="66"/>
        <v>0</v>
      </c>
      <c r="FA113" s="139">
        <f t="shared" si="67"/>
        <v>0</v>
      </c>
      <c r="FB113" s="139">
        <f t="shared" si="68"/>
        <v>0</v>
      </c>
      <c r="FC113" s="139">
        <f t="shared" si="69"/>
        <v>0</v>
      </c>
      <c r="FD113" s="139">
        <f t="shared" si="70"/>
        <v>0</v>
      </c>
      <c r="FE113" s="139">
        <f t="shared" si="71"/>
        <v>0</v>
      </c>
      <c r="FF113" s="139">
        <f t="shared" si="72"/>
        <v>0</v>
      </c>
      <c r="FG113" s="139">
        <f t="shared" si="73"/>
        <v>0</v>
      </c>
      <c r="FH113" s="139">
        <f t="shared" si="74"/>
        <v>0</v>
      </c>
      <c r="FI113" s="139">
        <f t="shared" si="75"/>
        <v>0</v>
      </c>
      <c r="FJ113" s="139">
        <f t="shared" si="76"/>
        <v>0</v>
      </c>
      <c r="FK113" s="139">
        <f t="shared" si="77"/>
        <v>0</v>
      </c>
      <c r="FL113" s="139">
        <f t="shared" si="78"/>
        <v>0</v>
      </c>
      <c r="FM113" s="139">
        <f t="shared" si="79"/>
        <v>0</v>
      </c>
      <c r="FN113" s="139">
        <f t="shared" si="80"/>
        <v>0</v>
      </c>
      <c r="FO113" s="139">
        <f t="shared" si="81"/>
        <v>0</v>
      </c>
      <c r="FP113" s="139">
        <f t="shared" si="82"/>
        <v>0</v>
      </c>
      <c r="FQ113" s="139">
        <f t="shared" si="83"/>
        <v>0</v>
      </c>
      <c r="FR113" s="139">
        <f t="shared" si="84"/>
        <v>0</v>
      </c>
      <c r="FS113" s="139">
        <f t="shared" si="85"/>
        <v>0</v>
      </c>
      <c r="FT113" s="139">
        <f t="shared" si="86"/>
        <v>0</v>
      </c>
      <c r="FU113" s="148">
        <f t="shared" si="87"/>
        <v>0</v>
      </c>
      <c r="FV113" s="149"/>
      <c r="FY113" s="211">
        <v>108</v>
      </c>
      <c r="FZ113">
        <v>0.92410210903618173</v>
      </c>
      <c r="GA113">
        <v>0.47460065171768845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0.13687899604379919</v>
      </c>
      <c r="GJ113"/>
      <c r="GK113">
        <v>0.92740438192802799</v>
      </c>
      <c r="GL113">
        <v>0.40705572478708768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0.18548087638560562</v>
      </c>
      <c r="GU113"/>
      <c r="GV113"/>
      <c r="GW113"/>
      <c r="GX113"/>
      <c r="GY113"/>
      <c r="GZ113"/>
      <c r="HA113"/>
      <c r="HB113"/>
      <c r="HC113"/>
    </row>
    <row r="114" spans="1:211" s="7" customFormat="1">
      <c r="A114" s="1"/>
      <c r="B114" s="76">
        <f t="shared" ca="1" si="50"/>
        <v>0.1298971275030949</v>
      </c>
      <c r="C114">
        <v>4</v>
      </c>
      <c r="D114">
        <v>39714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2.3052083333333337</v>
      </c>
      <c r="AO114">
        <v>0.43299299992274803</v>
      </c>
      <c r="AP114">
        <v>19.414137526744312</v>
      </c>
      <c r="AQ114">
        <v>3.0807091867338672</v>
      </c>
      <c r="AR114">
        <v>0.42309149326772622</v>
      </c>
      <c r="AS114">
        <v>1.9108210712284628</v>
      </c>
      <c r="AT114" t="e">
        <v>#DIV/0!</v>
      </c>
      <c r="AU114" t="e">
        <v>#DIV/0!</v>
      </c>
      <c r="AV114"/>
      <c r="AW114"/>
      <c r="AX114" s="146"/>
      <c r="AY114" s="76">
        <f t="shared" ca="1" si="88"/>
        <v>0.61758077478515627</v>
      </c>
      <c r="AZ114">
        <v>7</v>
      </c>
      <c r="BA114" s="129">
        <f t="shared" si="129"/>
        <v>39714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 s="147"/>
      <c r="CH114" s="176"/>
      <c r="CJ114" s="146"/>
      <c r="CK114" s="76">
        <f t="shared" ca="1" si="90"/>
        <v>0.74844264613591349</v>
      </c>
      <c r="CL114" s="179">
        <f t="shared" si="91"/>
        <v>7</v>
      </c>
      <c r="CM114" s="180">
        <f t="shared" si="92"/>
        <v>39714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 s="160"/>
      <c r="CW114">
        <v>1</v>
      </c>
      <c r="CX114">
        <v>1</v>
      </c>
      <c r="CY114" s="164"/>
      <c r="CZ114" s="177">
        <f t="shared" si="93"/>
        <v>9.6000000000000002E-2</v>
      </c>
      <c r="DB114" s="146"/>
      <c r="DC114" s="76">
        <f t="shared" ca="1" si="51"/>
        <v>0.16537950948571267</v>
      </c>
      <c r="DD114">
        <f t="shared" si="94"/>
        <v>7</v>
      </c>
      <c r="DE114" s="129">
        <f t="shared" si="128"/>
        <v>39714</v>
      </c>
      <c r="DF114" s="161">
        <f t="shared" si="95"/>
        <v>0</v>
      </c>
      <c r="DG114" s="161">
        <f t="shared" si="96"/>
        <v>0</v>
      </c>
      <c r="DH114" s="161">
        <f t="shared" si="97"/>
        <v>0</v>
      </c>
      <c r="DI114" s="161">
        <f t="shared" si="98"/>
        <v>0</v>
      </c>
      <c r="DJ114" s="161">
        <f t="shared" si="99"/>
        <v>0</v>
      </c>
      <c r="DK114" s="161">
        <f t="shared" si="100"/>
        <v>0</v>
      </c>
      <c r="DL114" s="161">
        <f t="shared" si="101"/>
        <v>0</v>
      </c>
      <c r="DM114" s="161">
        <f t="shared" si="102"/>
        <v>0</v>
      </c>
      <c r="DN114" s="161">
        <f t="shared" si="103"/>
        <v>0</v>
      </c>
      <c r="DO114" s="161">
        <f t="shared" si="104"/>
        <v>0</v>
      </c>
      <c r="DP114" s="161">
        <f t="shared" si="105"/>
        <v>0</v>
      </c>
      <c r="DQ114" s="161">
        <f t="shared" si="106"/>
        <v>0</v>
      </c>
      <c r="DR114" s="161">
        <f t="shared" si="107"/>
        <v>0</v>
      </c>
      <c r="DS114" s="161">
        <f t="shared" si="108"/>
        <v>0</v>
      </c>
      <c r="DT114" s="161">
        <f t="shared" si="109"/>
        <v>0</v>
      </c>
      <c r="DU114" s="161">
        <f t="shared" si="110"/>
        <v>0</v>
      </c>
      <c r="DV114" s="161">
        <f t="shared" si="111"/>
        <v>0</v>
      </c>
      <c r="DW114" s="161">
        <f t="shared" si="112"/>
        <v>0</v>
      </c>
      <c r="DX114" s="161">
        <f t="shared" si="113"/>
        <v>0</v>
      </c>
      <c r="DY114" s="161">
        <f t="shared" si="114"/>
        <v>0</v>
      </c>
      <c r="DZ114" s="161">
        <f t="shared" si="115"/>
        <v>0</v>
      </c>
      <c r="EA114" s="161">
        <f t="shared" si="116"/>
        <v>0</v>
      </c>
      <c r="EB114" s="161">
        <f t="shared" si="117"/>
        <v>0</v>
      </c>
      <c r="EC114" s="161">
        <f t="shared" si="118"/>
        <v>0</v>
      </c>
      <c r="ED114" s="161">
        <f t="shared" si="119"/>
        <v>0</v>
      </c>
      <c r="EE114" s="161">
        <f t="shared" si="120"/>
        <v>0</v>
      </c>
      <c r="EF114" s="161">
        <f t="shared" si="121"/>
        <v>0</v>
      </c>
      <c r="EG114" s="161">
        <f t="shared" si="122"/>
        <v>0</v>
      </c>
      <c r="EH114" s="161">
        <f t="shared" si="123"/>
        <v>0</v>
      </c>
      <c r="EI114" s="161">
        <f t="shared" si="124"/>
        <v>0</v>
      </c>
      <c r="EJ114" s="161">
        <f t="shared" si="125"/>
        <v>0</v>
      </c>
      <c r="EK114" s="147">
        <f t="shared" si="55"/>
        <v>0</v>
      </c>
      <c r="EL114" s="149"/>
      <c r="EN114" s="146"/>
      <c r="EO114" s="146"/>
      <c r="EP114" s="139">
        <f t="shared" si="56"/>
        <v>0</v>
      </c>
      <c r="EQ114" s="139">
        <f t="shared" si="57"/>
        <v>0</v>
      </c>
      <c r="ER114" s="139">
        <f t="shared" si="58"/>
        <v>0</v>
      </c>
      <c r="ES114" s="139">
        <f t="shared" si="59"/>
        <v>0</v>
      </c>
      <c r="ET114" s="139">
        <f t="shared" si="60"/>
        <v>0</v>
      </c>
      <c r="EU114" s="139">
        <f t="shared" si="61"/>
        <v>0</v>
      </c>
      <c r="EV114" s="139">
        <f t="shared" si="62"/>
        <v>0</v>
      </c>
      <c r="EW114" s="139">
        <f t="shared" si="63"/>
        <v>0</v>
      </c>
      <c r="EX114" s="139">
        <f t="shared" si="64"/>
        <v>0</v>
      </c>
      <c r="EY114" s="139">
        <f t="shared" si="65"/>
        <v>0</v>
      </c>
      <c r="EZ114" s="139">
        <f t="shared" si="66"/>
        <v>0</v>
      </c>
      <c r="FA114" s="139">
        <f t="shared" si="67"/>
        <v>0</v>
      </c>
      <c r="FB114" s="139">
        <f t="shared" si="68"/>
        <v>0</v>
      </c>
      <c r="FC114" s="139">
        <f t="shared" si="69"/>
        <v>0</v>
      </c>
      <c r="FD114" s="139">
        <f t="shared" si="70"/>
        <v>0</v>
      </c>
      <c r="FE114" s="139">
        <f t="shared" si="71"/>
        <v>0</v>
      </c>
      <c r="FF114" s="139">
        <f t="shared" si="72"/>
        <v>0</v>
      </c>
      <c r="FG114" s="139">
        <f t="shared" si="73"/>
        <v>0</v>
      </c>
      <c r="FH114" s="139">
        <f t="shared" si="74"/>
        <v>0</v>
      </c>
      <c r="FI114" s="139">
        <f t="shared" si="75"/>
        <v>0</v>
      </c>
      <c r="FJ114" s="139">
        <f t="shared" si="76"/>
        <v>0</v>
      </c>
      <c r="FK114" s="139">
        <f t="shared" si="77"/>
        <v>0</v>
      </c>
      <c r="FL114" s="139">
        <f t="shared" si="78"/>
        <v>0</v>
      </c>
      <c r="FM114" s="139">
        <f t="shared" si="79"/>
        <v>0</v>
      </c>
      <c r="FN114" s="139">
        <f t="shared" si="80"/>
        <v>0</v>
      </c>
      <c r="FO114" s="139">
        <f t="shared" si="81"/>
        <v>0</v>
      </c>
      <c r="FP114" s="139">
        <f t="shared" si="82"/>
        <v>0</v>
      </c>
      <c r="FQ114" s="139">
        <f t="shared" si="83"/>
        <v>0</v>
      </c>
      <c r="FR114" s="139">
        <f t="shared" si="84"/>
        <v>0</v>
      </c>
      <c r="FS114" s="139">
        <f t="shared" si="85"/>
        <v>0</v>
      </c>
      <c r="FT114" s="139">
        <f t="shared" si="86"/>
        <v>0</v>
      </c>
      <c r="FU114" s="148">
        <f t="shared" si="87"/>
        <v>0</v>
      </c>
      <c r="FV114" s="149"/>
      <c r="FY114" s="211">
        <v>109</v>
      </c>
      <c r="FZ114">
        <v>0.46347752936709008</v>
      </c>
      <c r="GA114">
        <v>0</v>
      </c>
      <c r="GB114">
        <v>0.23761195983622446</v>
      </c>
      <c r="GC114">
        <v>0.20205502687368287</v>
      </c>
      <c r="GD114">
        <v>5.3449107547347455E-2</v>
      </c>
      <c r="GE114">
        <v>0</v>
      </c>
      <c r="GF114">
        <v>0.33021050058332063</v>
      </c>
      <c r="GG114">
        <v>0.29759236750664797</v>
      </c>
      <c r="GH114">
        <v>0</v>
      </c>
      <c r="GI114">
        <v>0.22192326504444868</v>
      </c>
      <c r="GJ114"/>
      <c r="GK114">
        <v>0.46270910155784489</v>
      </c>
      <c r="GL114">
        <v>0</v>
      </c>
      <c r="GM114">
        <v>0.39275310362402555</v>
      </c>
      <c r="GN114">
        <v>0.60262923408880831</v>
      </c>
      <c r="GO114">
        <v>0.20987613046478273</v>
      </c>
      <c r="GP114">
        <v>0</v>
      </c>
      <c r="GQ114">
        <v>0.45369793096285549</v>
      </c>
      <c r="GR114">
        <v>0.45369793096285549</v>
      </c>
      <c r="GS114">
        <v>0</v>
      </c>
      <c r="GT114">
        <v>0.30380725332190173</v>
      </c>
      <c r="GU114"/>
      <c r="GV114"/>
      <c r="GW114"/>
      <c r="GX114"/>
      <c r="GY114"/>
      <c r="GZ114"/>
      <c r="HA114"/>
      <c r="HB114"/>
      <c r="HC114"/>
    </row>
    <row r="115" spans="1:211" s="7" customFormat="1">
      <c r="A115" s="1"/>
      <c r="B115" s="76">
        <f t="shared" ca="1" si="50"/>
        <v>0.66898168273236824</v>
      </c>
      <c r="C115">
        <v>2</v>
      </c>
      <c r="D115">
        <v>39714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2.8031250000000001</v>
      </c>
      <c r="AO115">
        <v>0.35402835376820996</v>
      </c>
      <c r="AP115">
        <v>4.6058235406068118</v>
      </c>
      <c r="AQ115">
        <v>3.0861830384063356</v>
      </c>
      <c r="AR115">
        <v>0.42214321248227193</v>
      </c>
      <c r="AS115">
        <v>2.2350625822540131</v>
      </c>
      <c r="AT115" t="e">
        <v>#DIV/0!</v>
      </c>
      <c r="AU115" t="e">
        <v>#DIV/0!</v>
      </c>
      <c r="AV115"/>
      <c r="AW115"/>
      <c r="AX115" s="146"/>
      <c r="AY115" s="76">
        <f t="shared" ca="1" si="88"/>
        <v>0.8510149698286833</v>
      </c>
      <c r="AZ115">
        <v>8</v>
      </c>
      <c r="BA115" s="129">
        <f t="shared" si="129"/>
        <v>39714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 s="147"/>
      <c r="CH115" s="176"/>
      <c r="CJ115" s="146"/>
      <c r="CK115" s="76">
        <f t="shared" ca="1" si="90"/>
        <v>0.27456175854940801</v>
      </c>
      <c r="CL115" s="179">
        <f t="shared" si="91"/>
        <v>8</v>
      </c>
      <c r="CM115" s="180">
        <f t="shared" si="92"/>
        <v>39714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 s="160"/>
      <c r="CW115">
        <v>1</v>
      </c>
      <c r="CX115">
        <v>1</v>
      </c>
      <c r="CY115" s="164"/>
      <c r="CZ115" s="177">
        <f t="shared" si="93"/>
        <v>9.6000000000000002E-2</v>
      </c>
      <c r="DB115" s="146"/>
      <c r="DC115" s="76">
        <f t="shared" ca="1" si="51"/>
        <v>0.3520586202606264</v>
      </c>
      <c r="DD115">
        <f t="shared" si="94"/>
        <v>8</v>
      </c>
      <c r="DE115" s="129">
        <f t="shared" si="128"/>
        <v>39714</v>
      </c>
      <c r="DF115" s="161">
        <f t="shared" si="95"/>
        <v>0</v>
      </c>
      <c r="DG115" s="161">
        <f t="shared" si="96"/>
        <v>0</v>
      </c>
      <c r="DH115" s="161">
        <f t="shared" si="97"/>
        <v>0</v>
      </c>
      <c r="DI115" s="161">
        <f t="shared" si="98"/>
        <v>0</v>
      </c>
      <c r="DJ115" s="161">
        <f t="shared" si="99"/>
        <v>0</v>
      </c>
      <c r="DK115" s="161">
        <f t="shared" si="100"/>
        <v>0</v>
      </c>
      <c r="DL115" s="161">
        <f t="shared" si="101"/>
        <v>0</v>
      </c>
      <c r="DM115" s="161">
        <f t="shared" si="102"/>
        <v>0</v>
      </c>
      <c r="DN115" s="161">
        <f t="shared" si="103"/>
        <v>0</v>
      </c>
      <c r="DO115" s="161">
        <f t="shared" si="104"/>
        <v>0</v>
      </c>
      <c r="DP115" s="161">
        <f t="shared" si="105"/>
        <v>0</v>
      </c>
      <c r="DQ115" s="161">
        <f t="shared" si="106"/>
        <v>0</v>
      </c>
      <c r="DR115" s="161">
        <f t="shared" si="107"/>
        <v>0</v>
      </c>
      <c r="DS115" s="161">
        <f t="shared" si="108"/>
        <v>0</v>
      </c>
      <c r="DT115" s="161">
        <f t="shared" si="109"/>
        <v>0</v>
      </c>
      <c r="DU115" s="161">
        <f t="shared" si="110"/>
        <v>0</v>
      </c>
      <c r="DV115" s="161">
        <f t="shared" si="111"/>
        <v>0</v>
      </c>
      <c r="DW115" s="161">
        <f t="shared" si="112"/>
        <v>0</v>
      </c>
      <c r="DX115" s="161">
        <f t="shared" si="113"/>
        <v>0</v>
      </c>
      <c r="DY115" s="161">
        <f t="shared" si="114"/>
        <v>0</v>
      </c>
      <c r="DZ115" s="161">
        <f t="shared" si="115"/>
        <v>0</v>
      </c>
      <c r="EA115" s="161">
        <f t="shared" si="116"/>
        <v>0</v>
      </c>
      <c r="EB115" s="161">
        <f t="shared" si="117"/>
        <v>0</v>
      </c>
      <c r="EC115" s="161">
        <f t="shared" si="118"/>
        <v>0</v>
      </c>
      <c r="ED115" s="161">
        <f t="shared" si="119"/>
        <v>0</v>
      </c>
      <c r="EE115" s="161">
        <f t="shared" si="120"/>
        <v>0</v>
      </c>
      <c r="EF115" s="161">
        <f t="shared" si="121"/>
        <v>0</v>
      </c>
      <c r="EG115" s="161">
        <f t="shared" si="122"/>
        <v>0</v>
      </c>
      <c r="EH115" s="161">
        <f t="shared" si="123"/>
        <v>0</v>
      </c>
      <c r="EI115" s="161">
        <f t="shared" si="124"/>
        <v>0</v>
      </c>
      <c r="EJ115" s="161">
        <f t="shared" si="125"/>
        <v>0</v>
      </c>
      <c r="EK115" s="147">
        <f t="shared" si="55"/>
        <v>0</v>
      </c>
      <c r="EL115" s="149"/>
      <c r="EN115" s="146"/>
      <c r="EO115" s="146"/>
      <c r="EP115" s="139">
        <f t="shared" si="56"/>
        <v>0</v>
      </c>
      <c r="EQ115" s="139">
        <f t="shared" si="57"/>
        <v>0</v>
      </c>
      <c r="ER115" s="139">
        <f t="shared" si="58"/>
        <v>0</v>
      </c>
      <c r="ES115" s="139">
        <f t="shared" si="59"/>
        <v>0</v>
      </c>
      <c r="ET115" s="139">
        <f t="shared" si="60"/>
        <v>0</v>
      </c>
      <c r="EU115" s="139">
        <f t="shared" si="61"/>
        <v>0</v>
      </c>
      <c r="EV115" s="139">
        <f t="shared" si="62"/>
        <v>0</v>
      </c>
      <c r="EW115" s="139">
        <f t="shared" si="63"/>
        <v>0</v>
      </c>
      <c r="EX115" s="139">
        <f t="shared" si="64"/>
        <v>0</v>
      </c>
      <c r="EY115" s="139">
        <f t="shared" si="65"/>
        <v>0</v>
      </c>
      <c r="EZ115" s="139">
        <f t="shared" si="66"/>
        <v>0</v>
      </c>
      <c r="FA115" s="139">
        <f t="shared" si="67"/>
        <v>0</v>
      </c>
      <c r="FB115" s="139">
        <f t="shared" si="68"/>
        <v>0</v>
      </c>
      <c r="FC115" s="139">
        <f t="shared" si="69"/>
        <v>0</v>
      </c>
      <c r="FD115" s="139">
        <f t="shared" si="70"/>
        <v>0</v>
      </c>
      <c r="FE115" s="139">
        <f t="shared" si="71"/>
        <v>0</v>
      </c>
      <c r="FF115" s="139">
        <f t="shared" si="72"/>
        <v>0</v>
      </c>
      <c r="FG115" s="139">
        <f t="shared" si="73"/>
        <v>0</v>
      </c>
      <c r="FH115" s="139">
        <f t="shared" si="74"/>
        <v>0</v>
      </c>
      <c r="FI115" s="139">
        <f t="shared" si="75"/>
        <v>0</v>
      </c>
      <c r="FJ115" s="139">
        <f t="shared" si="76"/>
        <v>0</v>
      </c>
      <c r="FK115" s="139">
        <f t="shared" si="77"/>
        <v>0</v>
      </c>
      <c r="FL115" s="139">
        <f t="shared" si="78"/>
        <v>0</v>
      </c>
      <c r="FM115" s="139">
        <f t="shared" si="79"/>
        <v>0</v>
      </c>
      <c r="FN115" s="139">
        <f t="shared" si="80"/>
        <v>0</v>
      </c>
      <c r="FO115" s="139">
        <f t="shared" si="81"/>
        <v>0</v>
      </c>
      <c r="FP115" s="139">
        <f t="shared" si="82"/>
        <v>0</v>
      </c>
      <c r="FQ115" s="139">
        <f t="shared" si="83"/>
        <v>0</v>
      </c>
      <c r="FR115" s="139">
        <f t="shared" si="84"/>
        <v>0</v>
      </c>
      <c r="FS115" s="139">
        <f t="shared" si="85"/>
        <v>0</v>
      </c>
      <c r="FT115" s="139">
        <f t="shared" si="86"/>
        <v>0</v>
      </c>
      <c r="FU115" s="148">
        <f t="shared" si="87"/>
        <v>0</v>
      </c>
      <c r="FV115" s="149"/>
      <c r="FY115" s="211">
        <v>110</v>
      </c>
      <c r="FZ115">
        <v>1.0367114174676204</v>
      </c>
      <c r="GA115">
        <v>0.38735017759921181</v>
      </c>
      <c r="GB115">
        <v>6.282592274279708E-2</v>
      </c>
      <c r="GC115">
        <v>3.4819274958961192E-2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0.1688876247029848</v>
      </c>
      <c r="GJ115"/>
      <c r="GK115">
        <v>1.0447675626388819</v>
      </c>
      <c r="GL115">
        <v>0.33331521555783822</v>
      </c>
      <c r="GM115">
        <v>0.10493806523239137</v>
      </c>
      <c r="GN115">
        <v>0.10493806523239137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0.2299411255742547</v>
      </c>
      <c r="GU115"/>
      <c r="GV115"/>
      <c r="GW115"/>
      <c r="GX115"/>
      <c r="GY115"/>
      <c r="GZ115"/>
      <c r="HA115"/>
      <c r="HB115"/>
      <c r="HC115"/>
    </row>
    <row r="116" spans="1:211" s="7" customFormat="1">
      <c r="A116" s="1"/>
      <c r="B116" s="76">
        <f t="shared" ca="1" si="50"/>
        <v>0.30559343214962298</v>
      </c>
      <c r="C116">
        <v>7</v>
      </c>
      <c r="D116">
        <v>39714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2.9718749999999998</v>
      </c>
      <c r="AO116">
        <v>0.21766844834779436</v>
      </c>
      <c r="AP116">
        <v>3.408016566857369</v>
      </c>
      <c r="AQ116">
        <v>2.0286200721937098</v>
      </c>
      <c r="AR116">
        <v>0.27311850958047462</v>
      </c>
      <c r="AS116">
        <v>1.6750156927096271</v>
      </c>
      <c r="AT116" t="e">
        <v>#DIV/0!</v>
      </c>
      <c r="AU116" t="e">
        <v>#DIV/0!</v>
      </c>
      <c r="AV116"/>
      <c r="AW116"/>
      <c r="AX116" s="146"/>
      <c r="AY116" s="76">
        <f t="shared" ca="1" si="88"/>
        <v>0.71799258769445284</v>
      </c>
      <c r="AZ116">
        <v>9</v>
      </c>
      <c r="BA116" s="129">
        <f t="shared" si="129"/>
        <v>39714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 s="147"/>
      <c r="CH116" s="176"/>
      <c r="CJ116" s="146"/>
      <c r="CK116" s="76">
        <f t="shared" ca="1" si="90"/>
        <v>0.99509059421620494</v>
      </c>
      <c r="CL116" s="179">
        <f t="shared" si="91"/>
        <v>9</v>
      </c>
      <c r="CM116" s="180">
        <f t="shared" si="92"/>
        <v>39714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 s="160"/>
      <c r="CW116">
        <v>1</v>
      </c>
      <c r="CX116">
        <f>300/31</f>
        <v>9.67741935483871</v>
      </c>
      <c r="CY116" s="164"/>
      <c r="CZ116" s="177">
        <f t="shared" si="93"/>
        <v>9.6000000000000002E-2</v>
      </c>
      <c r="DB116" s="146"/>
      <c r="DC116" s="76">
        <f t="shared" ca="1" si="51"/>
        <v>0.41057393615744275</v>
      </c>
      <c r="DD116">
        <f t="shared" si="94"/>
        <v>9</v>
      </c>
      <c r="DE116" s="129">
        <f t="shared" si="128"/>
        <v>39714</v>
      </c>
      <c r="DF116" s="161">
        <f t="shared" si="95"/>
        <v>0</v>
      </c>
      <c r="DG116" s="161">
        <f t="shared" si="96"/>
        <v>0</v>
      </c>
      <c r="DH116" s="161">
        <f t="shared" si="97"/>
        <v>0</v>
      </c>
      <c r="DI116" s="161">
        <f t="shared" si="98"/>
        <v>0</v>
      </c>
      <c r="DJ116" s="161">
        <f t="shared" si="99"/>
        <v>0</v>
      </c>
      <c r="DK116" s="161">
        <f t="shared" si="100"/>
        <v>0</v>
      </c>
      <c r="DL116" s="161">
        <f t="shared" si="101"/>
        <v>0</v>
      </c>
      <c r="DM116" s="161">
        <f t="shared" si="102"/>
        <v>0</v>
      </c>
      <c r="DN116" s="161">
        <f t="shared" si="103"/>
        <v>0</v>
      </c>
      <c r="DO116" s="161">
        <f t="shared" si="104"/>
        <v>0</v>
      </c>
      <c r="DP116" s="161">
        <f t="shared" si="105"/>
        <v>0</v>
      </c>
      <c r="DQ116" s="161">
        <f t="shared" si="106"/>
        <v>0</v>
      </c>
      <c r="DR116" s="161">
        <f t="shared" si="107"/>
        <v>0</v>
      </c>
      <c r="DS116" s="161">
        <f t="shared" si="108"/>
        <v>0</v>
      </c>
      <c r="DT116" s="161">
        <f t="shared" si="109"/>
        <v>0</v>
      </c>
      <c r="DU116" s="161">
        <f t="shared" si="110"/>
        <v>0</v>
      </c>
      <c r="DV116" s="161">
        <f t="shared" si="111"/>
        <v>0</v>
      </c>
      <c r="DW116" s="161">
        <f t="shared" si="112"/>
        <v>0</v>
      </c>
      <c r="DX116" s="161">
        <f t="shared" si="113"/>
        <v>0</v>
      </c>
      <c r="DY116" s="161">
        <f t="shared" si="114"/>
        <v>0</v>
      </c>
      <c r="DZ116" s="161">
        <f t="shared" si="115"/>
        <v>0</v>
      </c>
      <c r="EA116" s="161">
        <f t="shared" si="116"/>
        <v>0</v>
      </c>
      <c r="EB116" s="161">
        <f t="shared" si="117"/>
        <v>0</v>
      </c>
      <c r="EC116" s="161">
        <f t="shared" si="118"/>
        <v>0</v>
      </c>
      <c r="ED116" s="161">
        <f t="shared" si="119"/>
        <v>0</v>
      </c>
      <c r="EE116" s="161">
        <f t="shared" si="120"/>
        <v>0</v>
      </c>
      <c r="EF116" s="161">
        <f t="shared" si="121"/>
        <v>0</v>
      </c>
      <c r="EG116" s="161">
        <f t="shared" si="122"/>
        <v>0</v>
      </c>
      <c r="EH116" s="161">
        <f t="shared" si="123"/>
        <v>0</v>
      </c>
      <c r="EI116" s="161">
        <f t="shared" si="124"/>
        <v>0</v>
      </c>
      <c r="EJ116" s="161">
        <f t="shared" si="125"/>
        <v>0</v>
      </c>
      <c r="EK116" s="147">
        <f t="shared" si="55"/>
        <v>0</v>
      </c>
      <c r="EL116" s="149"/>
      <c r="EN116" s="146"/>
      <c r="EO116" s="146"/>
      <c r="EP116" s="139">
        <f t="shared" si="56"/>
        <v>0</v>
      </c>
      <c r="EQ116" s="139">
        <f t="shared" si="57"/>
        <v>0</v>
      </c>
      <c r="ER116" s="139">
        <f t="shared" si="58"/>
        <v>0</v>
      </c>
      <c r="ES116" s="139">
        <f t="shared" si="59"/>
        <v>0</v>
      </c>
      <c r="ET116" s="139">
        <f t="shared" si="60"/>
        <v>0</v>
      </c>
      <c r="EU116" s="139">
        <f t="shared" si="61"/>
        <v>0</v>
      </c>
      <c r="EV116" s="139">
        <f t="shared" si="62"/>
        <v>0</v>
      </c>
      <c r="EW116" s="139">
        <f t="shared" si="63"/>
        <v>0</v>
      </c>
      <c r="EX116" s="139">
        <f t="shared" si="64"/>
        <v>0</v>
      </c>
      <c r="EY116" s="139">
        <f t="shared" si="65"/>
        <v>0</v>
      </c>
      <c r="EZ116" s="139">
        <f t="shared" si="66"/>
        <v>0</v>
      </c>
      <c r="FA116" s="139">
        <f t="shared" si="67"/>
        <v>0</v>
      </c>
      <c r="FB116" s="139">
        <f t="shared" si="68"/>
        <v>0</v>
      </c>
      <c r="FC116" s="139">
        <f t="shared" si="69"/>
        <v>0</v>
      </c>
      <c r="FD116" s="139">
        <f t="shared" si="70"/>
        <v>0</v>
      </c>
      <c r="FE116" s="139">
        <f t="shared" si="71"/>
        <v>0</v>
      </c>
      <c r="FF116" s="139">
        <f t="shared" si="72"/>
        <v>0</v>
      </c>
      <c r="FG116" s="139">
        <f t="shared" si="73"/>
        <v>0</v>
      </c>
      <c r="FH116" s="139">
        <f t="shared" si="74"/>
        <v>0</v>
      </c>
      <c r="FI116" s="139">
        <f t="shared" si="75"/>
        <v>0</v>
      </c>
      <c r="FJ116" s="139">
        <f t="shared" si="76"/>
        <v>0</v>
      </c>
      <c r="FK116" s="139">
        <f t="shared" si="77"/>
        <v>0</v>
      </c>
      <c r="FL116" s="139">
        <f t="shared" si="78"/>
        <v>0</v>
      </c>
      <c r="FM116" s="139">
        <f t="shared" si="79"/>
        <v>0</v>
      </c>
      <c r="FN116" s="139">
        <f t="shared" si="80"/>
        <v>0</v>
      </c>
      <c r="FO116" s="139">
        <f t="shared" si="81"/>
        <v>0</v>
      </c>
      <c r="FP116" s="139">
        <f t="shared" si="82"/>
        <v>0</v>
      </c>
      <c r="FQ116" s="139">
        <f t="shared" si="83"/>
        <v>0</v>
      </c>
      <c r="FR116" s="139">
        <f t="shared" si="84"/>
        <v>0</v>
      </c>
      <c r="FS116" s="139">
        <f t="shared" si="85"/>
        <v>0</v>
      </c>
      <c r="FT116" s="139">
        <f t="shared" si="86"/>
        <v>0</v>
      </c>
      <c r="FU116" s="148">
        <f t="shared" si="87"/>
        <v>0</v>
      </c>
      <c r="FV116" s="149"/>
      <c r="FY116" s="211">
        <v>111</v>
      </c>
      <c r="FZ116">
        <v>1.0659506274560184</v>
      </c>
      <c r="GA116">
        <v>8.725047411847664E-2</v>
      </c>
      <c r="GB116">
        <v>6.282592274279708E-2</v>
      </c>
      <c r="GC116">
        <v>6.9638549917922385E-2</v>
      </c>
      <c r="GD116">
        <v>2.6724553773673727E-2</v>
      </c>
      <c r="GE116">
        <v>0</v>
      </c>
      <c r="GF116">
        <v>0.33021050058332063</v>
      </c>
      <c r="GG116">
        <v>0.29759236750664797</v>
      </c>
      <c r="GH116">
        <v>0</v>
      </c>
      <c r="GI116">
        <v>0.25287280085941455</v>
      </c>
      <c r="GJ116"/>
      <c r="GK116">
        <v>1.0699454462182552</v>
      </c>
      <c r="GL116">
        <v>7.3740509229249462E-2</v>
      </c>
      <c r="GM116">
        <v>0.10493806523239137</v>
      </c>
      <c r="GN116">
        <v>0.20987613046478273</v>
      </c>
      <c r="GO116">
        <v>0.10493806523239137</v>
      </c>
      <c r="GP116">
        <v>0</v>
      </c>
      <c r="GQ116">
        <v>0.45369793096285549</v>
      </c>
      <c r="GR116">
        <v>0.45369793096285549</v>
      </c>
      <c r="GS116">
        <v>0</v>
      </c>
      <c r="GT116">
        <v>0.34670390152917874</v>
      </c>
      <c r="GU116"/>
      <c r="GV116"/>
      <c r="GW116"/>
      <c r="GX116"/>
      <c r="GY116"/>
      <c r="GZ116"/>
      <c r="HA116"/>
      <c r="HB116"/>
      <c r="HC116"/>
    </row>
    <row r="117" spans="1:211" s="7" customFormat="1">
      <c r="A117" s="1"/>
      <c r="B117" s="76">
        <f t="shared" ca="1" si="50"/>
        <v>0.58159145981914184</v>
      </c>
      <c r="C117">
        <v>3</v>
      </c>
      <c r="D117">
        <v>39714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2.7510416666666666</v>
      </c>
      <c r="AO117">
        <v>0.27825742031207717</v>
      </c>
      <c r="AP117">
        <v>4.5421165600653683</v>
      </c>
      <c r="AQ117">
        <v>2.5138407860024343</v>
      </c>
      <c r="AR117">
        <v>0.31334800092744919</v>
      </c>
      <c r="AS117">
        <v>1.9655800074962622</v>
      </c>
      <c r="AT117" t="e">
        <v>#DIV/0!</v>
      </c>
      <c r="AU117" t="e">
        <v>#DIV/0!</v>
      </c>
      <c r="AV117"/>
      <c r="AW117"/>
      <c r="AX117" s="146"/>
      <c r="AY117" s="76">
        <f t="shared" ca="1" si="88"/>
        <v>0.47862026258348411</v>
      </c>
      <c r="AZ117">
        <v>10</v>
      </c>
      <c r="BA117" s="129">
        <f t="shared" si="129"/>
        <v>39714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 s="147"/>
      <c r="CH117" s="176"/>
      <c r="CJ117" s="146"/>
      <c r="CK117" s="76">
        <f t="shared" ca="1" si="90"/>
        <v>0.31846461158979178</v>
      </c>
      <c r="CL117" s="179">
        <f t="shared" si="91"/>
        <v>10</v>
      </c>
      <c r="CM117" s="180">
        <f t="shared" si="92"/>
        <v>39714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 s="160"/>
      <c r="CW117">
        <v>1</v>
      </c>
      <c r="CX117">
        <f>300/35</f>
        <v>8.5714285714285712</v>
      </c>
      <c r="CY117" s="164"/>
      <c r="CZ117" s="177">
        <f t="shared" si="93"/>
        <v>9.6000000000000002E-2</v>
      </c>
      <c r="DB117" s="146"/>
      <c r="DC117" s="76">
        <f t="shared" ca="1" si="51"/>
        <v>0.79563697445067127</v>
      </c>
      <c r="DD117">
        <f t="shared" si="94"/>
        <v>10</v>
      </c>
      <c r="DE117" s="129">
        <f t="shared" si="128"/>
        <v>39714</v>
      </c>
      <c r="DF117" s="161">
        <f t="shared" si="95"/>
        <v>0</v>
      </c>
      <c r="DG117" s="161">
        <f t="shared" si="96"/>
        <v>0</v>
      </c>
      <c r="DH117" s="161">
        <f t="shared" si="97"/>
        <v>0</v>
      </c>
      <c r="DI117" s="161">
        <f t="shared" si="98"/>
        <v>0</v>
      </c>
      <c r="DJ117" s="161">
        <f t="shared" si="99"/>
        <v>0</v>
      </c>
      <c r="DK117" s="161">
        <f t="shared" si="100"/>
        <v>0</v>
      </c>
      <c r="DL117" s="161">
        <f t="shared" si="101"/>
        <v>0</v>
      </c>
      <c r="DM117" s="161">
        <f t="shared" si="102"/>
        <v>0</v>
      </c>
      <c r="DN117" s="161">
        <f t="shared" si="103"/>
        <v>0</v>
      </c>
      <c r="DO117" s="161">
        <f t="shared" si="104"/>
        <v>0</v>
      </c>
      <c r="DP117" s="161">
        <f t="shared" si="105"/>
        <v>0</v>
      </c>
      <c r="DQ117" s="161">
        <f t="shared" si="106"/>
        <v>0</v>
      </c>
      <c r="DR117" s="161">
        <f t="shared" si="107"/>
        <v>0</v>
      </c>
      <c r="DS117" s="161">
        <f t="shared" si="108"/>
        <v>0</v>
      </c>
      <c r="DT117" s="161">
        <f t="shared" si="109"/>
        <v>0</v>
      </c>
      <c r="DU117" s="161">
        <f t="shared" si="110"/>
        <v>0</v>
      </c>
      <c r="DV117" s="161">
        <f t="shared" si="111"/>
        <v>0</v>
      </c>
      <c r="DW117" s="161">
        <f t="shared" si="112"/>
        <v>0</v>
      </c>
      <c r="DX117" s="161">
        <f t="shared" si="113"/>
        <v>0</v>
      </c>
      <c r="DY117" s="161">
        <f t="shared" si="114"/>
        <v>0</v>
      </c>
      <c r="DZ117" s="161">
        <f t="shared" si="115"/>
        <v>0</v>
      </c>
      <c r="EA117" s="161">
        <f t="shared" si="116"/>
        <v>0</v>
      </c>
      <c r="EB117" s="161">
        <f t="shared" si="117"/>
        <v>0</v>
      </c>
      <c r="EC117" s="161">
        <f t="shared" si="118"/>
        <v>0</v>
      </c>
      <c r="ED117" s="161">
        <f t="shared" si="119"/>
        <v>0</v>
      </c>
      <c r="EE117" s="161">
        <f t="shared" si="120"/>
        <v>0</v>
      </c>
      <c r="EF117" s="161">
        <f t="shared" si="121"/>
        <v>0</v>
      </c>
      <c r="EG117" s="161">
        <f t="shared" si="122"/>
        <v>0</v>
      </c>
      <c r="EH117" s="161">
        <f t="shared" si="123"/>
        <v>0</v>
      </c>
      <c r="EI117" s="161">
        <f t="shared" si="124"/>
        <v>0</v>
      </c>
      <c r="EJ117" s="161">
        <f t="shared" si="125"/>
        <v>0</v>
      </c>
      <c r="EK117" s="147">
        <f t="shared" si="55"/>
        <v>0</v>
      </c>
      <c r="EL117" s="149"/>
      <c r="EN117" s="146"/>
      <c r="EO117" s="146"/>
      <c r="EP117" s="139">
        <f t="shared" si="56"/>
        <v>0</v>
      </c>
      <c r="EQ117" s="139">
        <f t="shared" si="57"/>
        <v>0</v>
      </c>
      <c r="ER117" s="139">
        <f t="shared" si="58"/>
        <v>0</v>
      </c>
      <c r="ES117" s="139">
        <f t="shared" si="59"/>
        <v>0</v>
      </c>
      <c r="ET117" s="139">
        <f t="shared" si="60"/>
        <v>0</v>
      </c>
      <c r="EU117" s="139">
        <f t="shared" si="61"/>
        <v>0</v>
      </c>
      <c r="EV117" s="139">
        <f t="shared" si="62"/>
        <v>0</v>
      </c>
      <c r="EW117" s="139">
        <f t="shared" si="63"/>
        <v>0</v>
      </c>
      <c r="EX117" s="139">
        <f t="shared" si="64"/>
        <v>0</v>
      </c>
      <c r="EY117" s="139">
        <f t="shared" si="65"/>
        <v>0</v>
      </c>
      <c r="EZ117" s="139">
        <f t="shared" si="66"/>
        <v>0</v>
      </c>
      <c r="FA117" s="139">
        <f t="shared" si="67"/>
        <v>0</v>
      </c>
      <c r="FB117" s="139">
        <f t="shared" si="68"/>
        <v>0</v>
      </c>
      <c r="FC117" s="139">
        <f t="shared" si="69"/>
        <v>0</v>
      </c>
      <c r="FD117" s="139">
        <f t="shared" si="70"/>
        <v>0</v>
      </c>
      <c r="FE117" s="139">
        <f t="shared" si="71"/>
        <v>0</v>
      </c>
      <c r="FF117" s="139">
        <f t="shared" si="72"/>
        <v>0</v>
      </c>
      <c r="FG117" s="139">
        <f t="shared" si="73"/>
        <v>0</v>
      </c>
      <c r="FH117" s="139">
        <f t="shared" si="74"/>
        <v>0</v>
      </c>
      <c r="FI117" s="139">
        <f t="shared" si="75"/>
        <v>0</v>
      </c>
      <c r="FJ117" s="139">
        <f t="shared" si="76"/>
        <v>0</v>
      </c>
      <c r="FK117" s="139">
        <f t="shared" si="77"/>
        <v>0</v>
      </c>
      <c r="FL117" s="139">
        <f t="shared" si="78"/>
        <v>0</v>
      </c>
      <c r="FM117" s="139">
        <f t="shared" si="79"/>
        <v>0</v>
      </c>
      <c r="FN117" s="139">
        <f t="shared" si="80"/>
        <v>0</v>
      </c>
      <c r="FO117" s="139">
        <f t="shared" si="81"/>
        <v>0</v>
      </c>
      <c r="FP117" s="139">
        <f t="shared" si="82"/>
        <v>0</v>
      </c>
      <c r="FQ117" s="139">
        <f t="shared" si="83"/>
        <v>0</v>
      </c>
      <c r="FR117" s="139">
        <f t="shared" si="84"/>
        <v>0</v>
      </c>
      <c r="FS117" s="139">
        <f t="shared" si="85"/>
        <v>0</v>
      </c>
      <c r="FT117" s="139">
        <f t="shared" si="86"/>
        <v>0</v>
      </c>
      <c r="FU117" s="148">
        <f t="shared" si="87"/>
        <v>0</v>
      </c>
      <c r="FV117" s="149"/>
      <c r="FY117" s="211">
        <v>112</v>
      </c>
      <c r="FZ117">
        <v>1.3088281063277662</v>
      </c>
      <c r="GA117">
        <v>0.38735017759921181</v>
      </c>
      <c r="GB117">
        <v>0.14202990935487192</v>
      </c>
      <c r="GC117">
        <v>0.11377737556984255</v>
      </c>
      <c r="GD117">
        <v>2.6724553773673727E-2</v>
      </c>
      <c r="GE117">
        <v>0</v>
      </c>
      <c r="GF117">
        <v>0.66042100116664126</v>
      </c>
      <c r="GG117">
        <v>0.59518473501329594</v>
      </c>
      <c r="GH117">
        <v>0</v>
      </c>
      <c r="GI117">
        <v>0.37215872249352205</v>
      </c>
      <c r="GJ117"/>
      <c r="GK117">
        <v>1.3193477690864388</v>
      </c>
      <c r="GL117">
        <v>0.33331521555783822</v>
      </c>
      <c r="GM117">
        <v>0.23585576644039991</v>
      </c>
      <c r="GN117">
        <v>0.34079383167279126</v>
      </c>
      <c r="GO117">
        <v>0.10493806523239137</v>
      </c>
      <c r="GP117">
        <v>0</v>
      </c>
      <c r="GQ117">
        <v>0.90739586192571098</v>
      </c>
      <c r="GR117">
        <v>0.90739586192571098</v>
      </c>
      <c r="GS117">
        <v>0</v>
      </c>
      <c r="GT117">
        <v>0.51350749253698824</v>
      </c>
      <c r="GU117"/>
      <c r="GV117"/>
      <c r="GW117"/>
      <c r="GX117"/>
      <c r="GY117"/>
      <c r="GZ117"/>
      <c r="HA117"/>
      <c r="HB117"/>
      <c r="HC117"/>
    </row>
    <row r="118" spans="1:211" s="7" customFormat="1">
      <c r="A118" s="128"/>
      <c r="B118" s="76">
        <f t="shared" ca="1" si="50"/>
        <v>0.95872516465415303</v>
      </c>
      <c r="C118">
        <v>6</v>
      </c>
      <c r="D118">
        <v>39747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2.177083333333333</v>
      </c>
      <c r="AO118">
        <v>0.14911860923758591</v>
      </c>
      <c r="AP118">
        <v>1.2816558953166293</v>
      </c>
      <c r="AQ118">
        <v>1.2786231239810772</v>
      </c>
      <c r="AR118">
        <v>0.23104133785724459</v>
      </c>
      <c r="AS118">
        <v>1.4726793638183118</v>
      </c>
      <c r="AT118" t="e">
        <v>#DIV/0!</v>
      </c>
      <c r="AU118" t="e">
        <v>#DIV/0!</v>
      </c>
      <c r="AV118"/>
      <c r="AW118"/>
      <c r="AX118" s="128"/>
      <c r="AY118" s="76">
        <f t="shared" ca="1" si="88"/>
        <v>0.48302390084211311</v>
      </c>
      <c r="AZ118">
        <v>1</v>
      </c>
      <c r="BA118" s="129">
        <f>IF(AZ118="", "",$C$7)</f>
        <v>39747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 s="147"/>
      <c r="CH118" s="176"/>
      <c r="CJ118" s="128"/>
      <c r="CK118" s="76">
        <f t="shared" ca="1" si="90"/>
        <v>0.72517252190679971</v>
      </c>
      <c r="CL118" s="179">
        <f t="shared" si="91"/>
        <v>1</v>
      </c>
      <c r="CM118" s="180">
        <f t="shared" si="92"/>
        <v>39747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 s="160"/>
      <c r="CW118">
        <v>1</v>
      </c>
      <c r="CX118">
        <f>350/42</f>
        <v>8.3333333333333339</v>
      </c>
      <c r="CY118" s="160"/>
      <c r="CZ118" s="177">
        <f t="shared" si="93"/>
        <v>9.6000000000000002E-2</v>
      </c>
      <c r="DB118" s="128"/>
      <c r="DC118" s="76">
        <f t="shared" ca="1" si="51"/>
        <v>6.6460539234987293E-2</v>
      </c>
      <c r="DD118">
        <f t="shared" si="94"/>
        <v>1</v>
      </c>
      <c r="DE118" s="129">
        <f t="shared" ref="DE118:DE127" si="130">IF((DD118)="", "", $C$7)</f>
        <v>39747</v>
      </c>
      <c r="DF118" s="161">
        <f t="shared" si="95"/>
        <v>0</v>
      </c>
      <c r="DG118" s="161">
        <f t="shared" si="96"/>
        <v>0</v>
      </c>
      <c r="DH118" s="161">
        <f t="shared" si="97"/>
        <v>0</v>
      </c>
      <c r="DI118" s="161">
        <f t="shared" si="98"/>
        <v>0</v>
      </c>
      <c r="DJ118" s="161">
        <f t="shared" si="99"/>
        <v>0</v>
      </c>
      <c r="DK118" s="161">
        <f t="shared" si="100"/>
        <v>0</v>
      </c>
      <c r="DL118" s="161">
        <f t="shared" si="101"/>
        <v>0</v>
      </c>
      <c r="DM118" s="161">
        <f t="shared" si="102"/>
        <v>0</v>
      </c>
      <c r="DN118" s="161">
        <f t="shared" si="103"/>
        <v>0</v>
      </c>
      <c r="DO118" s="161">
        <f t="shared" si="104"/>
        <v>0</v>
      </c>
      <c r="DP118" s="161">
        <f t="shared" si="105"/>
        <v>0</v>
      </c>
      <c r="DQ118" s="161">
        <f t="shared" si="106"/>
        <v>0</v>
      </c>
      <c r="DR118" s="161">
        <f t="shared" si="107"/>
        <v>0</v>
      </c>
      <c r="DS118" s="161">
        <f t="shared" si="108"/>
        <v>0</v>
      </c>
      <c r="DT118" s="161">
        <f t="shared" si="109"/>
        <v>0</v>
      </c>
      <c r="DU118" s="161">
        <f t="shared" si="110"/>
        <v>0</v>
      </c>
      <c r="DV118" s="161">
        <f t="shared" si="111"/>
        <v>0</v>
      </c>
      <c r="DW118" s="161">
        <f t="shared" si="112"/>
        <v>0</v>
      </c>
      <c r="DX118" s="161">
        <f t="shared" si="113"/>
        <v>0</v>
      </c>
      <c r="DY118" s="161">
        <f t="shared" si="114"/>
        <v>0</v>
      </c>
      <c r="DZ118" s="161">
        <f t="shared" si="115"/>
        <v>0</v>
      </c>
      <c r="EA118" s="161">
        <f t="shared" si="116"/>
        <v>0</v>
      </c>
      <c r="EB118" s="161">
        <f t="shared" si="117"/>
        <v>0</v>
      </c>
      <c r="EC118" s="161">
        <f t="shared" si="118"/>
        <v>0</v>
      </c>
      <c r="ED118" s="161">
        <f t="shared" si="119"/>
        <v>0</v>
      </c>
      <c r="EE118" s="161">
        <f t="shared" si="120"/>
        <v>0</v>
      </c>
      <c r="EF118" s="161">
        <f t="shared" si="121"/>
        <v>0</v>
      </c>
      <c r="EG118" s="161">
        <f t="shared" si="122"/>
        <v>0</v>
      </c>
      <c r="EH118" s="161">
        <f t="shared" si="123"/>
        <v>0</v>
      </c>
      <c r="EI118" s="161">
        <f t="shared" si="124"/>
        <v>0</v>
      </c>
      <c r="EJ118" s="161">
        <f t="shared" si="125"/>
        <v>0</v>
      </c>
      <c r="EK118" s="147">
        <f t="shared" si="55"/>
        <v>0</v>
      </c>
      <c r="EL118" s="149"/>
      <c r="EN118" s="146"/>
      <c r="EO118" s="146"/>
      <c r="EP118" s="139">
        <f t="shared" si="56"/>
        <v>0</v>
      </c>
      <c r="EQ118" s="139">
        <f t="shared" si="57"/>
        <v>0</v>
      </c>
      <c r="ER118" s="139">
        <f t="shared" si="58"/>
        <v>0</v>
      </c>
      <c r="ES118" s="139">
        <f t="shared" si="59"/>
        <v>0</v>
      </c>
      <c r="ET118" s="139">
        <f t="shared" si="60"/>
        <v>0</v>
      </c>
      <c r="EU118" s="139">
        <f t="shared" si="61"/>
        <v>0</v>
      </c>
      <c r="EV118" s="139">
        <f t="shared" si="62"/>
        <v>0</v>
      </c>
      <c r="EW118" s="139">
        <f t="shared" si="63"/>
        <v>0</v>
      </c>
      <c r="EX118" s="139">
        <f t="shared" si="64"/>
        <v>0</v>
      </c>
      <c r="EY118" s="139">
        <f t="shared" si="65"/>
        <v>0</v>
      </c>
      <c r="EZ118" s="139">
        <f t="shared" si="66"/>
        <v>0</v>
      </c>
      <c r="FA118" s="139">
        <f t="shared" si="67"/>
        <v>0</v>
      </c>
      <c r="FB118" s="139">
        <f t="shared" si="68"/>
        <v>0</v>
      </c>
      <c r="FC118" s="139">
        <f t="shared" si="69"/>
        <v>0</v>
      </c>
      <c r="FD118" s="139">
        <f t="shared" si="70"/>
        <v>0</v>
      </c>
      <c r="FE118" s="139">
        <f t="shared" si="71"/>
        <v>0</v>
      </c>
      <c r="FF118" s="139">
        <f t="shared" si="72"/>
        <v>0</v>
      </c>
      <c r="FG118" s="139">
        <f t="shared" si="73"/>
        <v>0</v>
      </c>
      <c r="FH118" s="139">
        <f t="shared" si="74"/>
        <v>0</v>
      </c>
      <c r="FI118" s="139">
        <f t="shared" si="75"/>
        <v>0</v>
      </c>
      <c r="FJ118" s="139">
        <f t="shared" si="76"/>
        <v>0</v>
      </c>
      <c r="FK118" s="139">
        <f t="shared" si="77"/>
        <v>0</v>
      </c>
      <c r="FL118" s="139">
        <f t="shared" si="78"/>
        <v>0</v>
      </c>
      <c r="FM118" s="139">
        <f t="shared" si="79"/>
        <v>0</v>
      </c>
      <c r="FN118" s="139">
        <f t="shared" si="80"/>
        <v>0</v>
      </c>
      <c r="FO118" s="139">
        <f t="shared" si="81"/>
        <v>0</v>
      </c>
      <c r="FP118" s="139">
        <f t="shared" si="82"/>
        <v>0</v>
      </c>
      <c r="FQ118" s="139">
        <f t="shared" si="83"/>
        <v>0</v>
      </c>
      <c r="FR118" s="139">
        <f t="shared" si="84"/>
        <v>0</v>
      </c>
      <c r="FS118" s="139">
        <f t="shared" si="85"/>
        <v>0</v>
      </c>
      <c r="FT118" s="139">
        <f t="shared" si="86"/>
        <v>0</v>
      </c>
      <c r="FU118" s="148">
        <f t="shared" si="87"/>
        <v>0</v>
      </c>
      <c r="FV118" s="149"/>
      <c r="FY118" s="211">
        <v>113</v>
      </c>
      <c r="FZ118">
        <v>1.5046245414510142</v>
      </c>
      <c r="GA118">
        <v>0.86195082931690026</v>
      </c>
      <c r="GB118">
        <v>6.282592274279708E-2</v>
      </c>
      <c r="GC118">
        <v>6.9638549917922385E-2</v>
      </c>
      <c r="GD118">
        <v>2.6724553773673727E-2</v>
      </c>
      <c r="GE118">
        <v>0</v>
      </c>
      <c r="GF118">
        <v>0.33021050058332063</v>
      </c>
      <c r="GG118">
        <v>0.29759236750664797</v>
      </c>
      <c r="GH118">
        <v>0</v>
      </c>
      <c r="GI118">
        <v>0.31780117505364758</v>
      </c>
      <c r="GJ118"/>
      <c r="GK118">
        <v>1.5118273943470744</v>
      </c>
      <c r="GL118">
        <v>0.7403709403449259</v>
      </c>
      <c r="GM118">
        <v>0.10493806523239137</v>
      </c>
      <c r="GN118">
        <v>0.20987613046478273</v>
      </c>
      <c r="GO118">
        <v>0.10493806523239137</v>
      </c>
      <c r="GP118">
        <v>0</v>
      </c>
      <c r="GQ118">
        <v>0.45369793096285549</v>
      </c>
      <c r="GR118">
        <v>0.45369793096285549</v>
      </c>
      <c r="GS118">
        <v>0</v>
      </c>
      <c r="GT118">
        <v>0.43508029115494251</v>
      </c>
      <c r="GU118"/>
      <c r="GV118"/>
      <c r="GW118"/>
      <c r="GX118"/>
      <c r="GY118"/>
      <c r="GZ118"/>
      <c r="HA118"/>
      <c r="HB118"/>
      <c r="HC118"/>
    </row>
    <row r="119" spans="1:211" s="7" customFormat="1">
      <c r="A119" s="1"/>
      <c r="B119" s="76">
        <f t="shared" ca="1" si="50"/>
        <v>0.19149456232544981</v>
      </c>
      <c r="C119">
        <v>7</v>
      </c>
      <c r="D119">
        <v>39747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3.6041666666666656</v>
      </c>
      <c r="AO119">
        <v>0.29936236498737451</v>
      </c>
      <c r="AP119">
        <v>10.741735630388494</v>
      </c>
      <c r="AQ119">
        <v>2.0859305844749931</v>
      </c>
      <c r="AR119">
        <v>0.34470236433834839</v>
      </c>
      <c r="AS119">
        <v>2.2049217914712651</v>
      </c>
      <c r="AT119" t="e">
        <v>#DIV/0!</v>
      </c>
      <c r="AU119" t="e">
        <v>#DIV/0!</v>
      </c>
      <c r="AV119"/>
      <c r="AW119"/>
      <c r="AX119" s="146"/>
      <c r="AY119" s="76">
        <f t="shared" ca="1" si="88"/>
        <v>0.17356060651996641</v>
      </c>
      <c r="AZ119">
        <v>2</v>
      </c>
      <c r="BA119" s="129">
        <f t="shared" ref="BA119:BA127" si="131">IF(AZ119="", "",$C$7)</f>
        <v>39747</v>
      </c>
      <c r="BB119">
        <v>0</v>
      </c>
      <c r="BC119">
        <v>0</v>
      </c>
      <c r="BD119">
        <v>0</v>
      </c>
      <c r="BE119">
        <v>0</v>
      </c>
      <c r="BF119">
        <v>1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 s="147"/>
      <c r="CH119" s="176"/>
      <c r="CJ119" s="146"/>
      <c r="CK119" s="76">
        <f t="shared" ca="1" si="90"/>
        <v>0.18291546211651455</v>
      </c>
      <c r="CL119" s="179">
        <f t="shared" si="91"/>
        <v>2</v>
      </c>
      <c r="CM119" s="180">
        <f t="shared" si="92"/>
        <v>39747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 s="160"/>
      <c r="CW119">
        <f>20/8</f>
        <v>2.5</v>
      </c>
      <c r="CX119">
        <f>350/40</f>
        <v>8.75</v>
      </c>
      <c r="CY119" s="160"/>
      <c r="CZ119" s="177">
        <f t="shared" si="93"/>
        <v>9.6000000000000002E-2</v>
      </c>
      <c r="DB119" s="146"/>
      <c r="DC119" s="76">
        <f t="shared" ca="1" si="51"/>
        <v>0.38145119666732796</v>
      </c>
      <c r="DD119">
        <f t="shared" si="94"/>
        <v>2</v>
      </c>
      <c r="DE119" s="129">
        <f t="shared" si="130"/>
        <v>39747</v>
      </c>
      <c r="DF119" s="161">
        <f t="shared" si="95"/>
        <v>0</v>
      </c>
      <c r="DG119" s="161">
        <f t="shared" si="96"/>
        <v>0</v>
      </c>
      <c r="DH119" s="161">
        <f t="shared" si="97"/>
        <v>0</v>
      </c>
      <c r="DI119" s="161">
        <f t="shared" si="98"/>
        <v>0</v>
      </c>
      <c r="DJ119" s="161">
        <f t="shared" si="99"/>
        <v>26.041666666666668</v>
      </c>
      <c r="DK119" s="161">
        <f t="shared" si="100"/>
        <v>0</v>
      </c>
      <c r="DL119" s="161">
        <f t="shared" si="101"/>
        <v>0</v>
      </c>
      <c r="DM119" s="161">
        <f t="shared" si="102"/>
        <v>0</v>
      </c>
      <c r="DN119" s="161">
        <f t="shared" si="103"/>
        <v>0</v>
      </c>
      <c r="DO119" s="161">
        <f t="shared" si="104"/>
        <v>0</v>
      </c>
      <c r="DP119" s="161">
        <f t="shared" si="105"/>
        <v>0</v>
      </c>
      <c r="DQ119" s="161">
        <f t="shared" si="106"/>
        <v>0</v>
      </c>
      <c r="DR119" s="161">
        <f t="shared" si="107"/>
        <v>0</v>
      </c>
      <c r="DS119" s="161">
        <f t="shared" si="108"/>
        <v>0</v>
      </c>
      <c r="DT119" s="161">
        <f t="shared" si="109"/>
        <v>0</v>
      </c>
      <c r="DU119" s="161">
        <f t="shared" si="110"/>
        <v>0</v>
      </c>
      <c r="DV119" s="161">
        <f t="shared" si="111"/>
        <v>0</v>
      </c>
      <c r="DW119" s="161">
        <f t="shared" si="112"/>
        <v>0</v>
      </c>
      <c r="DX119" s="161">
        <f t="shared" si="113"/>
        <v>0</v>
      </c>
      <c r="DY119" s="161">
        <f t="shared" si="114"/>
        <v>0</v>
      </c>
      <c r="DZ119" s="161">
        <f t="shared" si="115"/>
        <v>0</v>
      </c>
      <c r="EA119" s="161">
        <f t="shared" si="116"/>
        <v>0</v>
      </c>
      <c r="EB119" s="161">
        <f t="shared" si="117"/>
        <v>0</v>
      </c>
      <c r="EC119" s="161">
        <f t="shared" si="118"/>
        <v>0</v>
      </c>
      <c r="ED119" s="161">
        <f t="shared" si="119"/>
        <v>0</v>
      </c>
      <c r="EE119" s="161">
        <f t="shared" si="120"/>
        <v>0</v>
      </c>
      <c r="EF119" s="161">
        <f t="shared" si="121"/>
        <v>0</v>
      </c>
      <c r="EG119" s="161">
        <f t="shared" si="122"/>
        <v>0</v>
      </c>
      <c r="EH119" s="161">
        <f t="shared" si="123"/>
        <v>0</v>
      </c>
      <c r="EI119" s="161">
        <f t="shared" si="124"/>
        <v>0</v>
      </c>
      <c r="EJ119" s="161">
        <f t="shared" si="125"/>
        <v>0</v>
      </c>
      <c r="EK119" s="147">
        <f t="shared" si="55"/>
        <v>26.041666666666668</v>
      </c>
      <c r="EL119" s="149"/>
      <c r="EN119" s="146"/>
      <c r="EO119" s="146"/>
      <c r="EP119" s="139">
        <f t="shared" si="56"/>
        <v>0</v>
      </c>
      <c r="EQ119" s="139">
        <f t="shared" si="57"/>
        <v>0</v>
      </c>
      <c r="ER119" s="139">
        <f t="shared" si="58"/>
        <v>0</v>
      </c>
      <c r="ES119" s="139">
        <f t="shared" si="59"/>
        <v>0</v>
      </c>
      <c r="ET119" s="139">
        <f t="shared" si="60"/>
        <v>2.6183540241601704</v>
      </c>
      <c r="EU119" s="139">
        <f t="shared" si="61"/>
        <v>0</v>
      </c>
      <c r="EV119" s="139">
        <f t="shared" si="62"/>
        <v>0</v>
      </c>
      <c r="EW119" s="139">
        <f t="shared" si="63"/>
        <v>0</v>
      </c>
      <c r="EX119" s="139">
        <f t="shared" si="64"/>
        <v>0</v>
      </c>
      <c r="EY119" s="139">
        <f t="shared" si="65"/>
        <v>0</v>
      </c>
      <c r="EZ119" s="139">
        <f t="shared" si="66"/>
        <v>0</v>
      </c>
      <c r="FA119" s="139">
        <f t="shared" si="67"/>
        <v>0</v>
      </c>
      <c r="FB119" s="139">
        <f t="shared" si="68"/>
        <v>0</v>
      </c>
      <c r="FC119" s="139">
        <f t="shared" si="69"/>
        <v>0</v>
      </c>
      <c r="FD119" s="139">
        <f t="shared" si="70"/>
        <v>0</v>
      </c>
      <c r="FE119" s="139">
        <f t="shared" si="71"/>
        <v>0</v>
      </c>
      <c r="FF119" s="139">
        <f t="shared" si="72"/>
        <v>0</v>
      </c>
      <c r="FG119" s="139">
        <f t="shared" si="73"/>
        <v>0</v>
      </c>
      <c r="FH119" s="139">
        <f t="shared" si="74"/>
        <v>0</v>
      </c>
      <c r="FI119" s="139">
        <f t="shared" si="75"/>
        <v>0</v>
      </c>
      <c r="FJ119" s="139">
        <f t="shared" si="76"/>
        <v>0</v>
      </c>
      <c r="FK119" s="139">
        <f t="shared" si="77"/>
        <v>0</v>
      </c>
      <c r="FL119" s="139">
        <f t="shared" si="78"/>
        <v>0</v>
      </c>
      <c r="FM119" s="139">
        <f t="shared" si="79"/>
        <v>0</v>
      </c>
      <c r="FN119" s="139">
        <f t="shared" si="80"/>
        <v>0</v>
      </c>
      <c r="FO119" s="139">
        <f t="shared" si="81"/>
        <v>0</v>
      </c>
      <c r="FP119" s="139">
        <f t="shared" si="82"/>
        <v>0</v>
      </c>
      <c r="FQ119" s="139">
        <f t="shared" si="83"/>
        <v>0</v>
      </c>
      <c r="FR119" s="139">
        <f t="shared" si="84"/>
        <v>0</v>
      </c>
      <c r="FS119" s="139">
        <f t="shared" si="85"/>
        <v>0</v>
      </c>
      <c r="FT119" s="139">
        <f t="shared" si="86"/>
        <v>0</v>
      </c>
      <c r="FU119" s="148">
        <f t="shared" si="87"/>
        <v>2.6183540241601704</v>
      </c>
      <c r="FV119" s="149"/>
      <c r="FY119" s="211">
        <v>114</v>
      </c>
      <c r="FZ119">
        <v>1.1883015543366047</v>
      </c>
      <c r="GA119">
        <v>0.56185112583616514</v>
      </c>
      <c r="GB119">
        <v>0.22123389596694673</v>
      </c>
      <c r="GC119">
        <v>0.12309692626280153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0.23015846694434799</v>
      </c>
      <c r="GJ119"/>
      <c r="GK119">
        <v>1.1965963289886001</v>
      </c>
      <c r="GL119">
        <v>0.48079623401633714</v>
      </c>
      <c r="GM119">
        <v>0.3667734676484084</v>
      </c>
      <c r="GN119">
        <v>0.3667734676484084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0.31267395932740172</v>
      </c>
      <c r="GU119"/>
      <c r="GV119"/>
      <c r="GW119"/>
      <c r="GX119"/>
      <c r="GY119"/>
      <c r="GZ119"/>
      <c r="HA119"/>
      <c r="HB119"/>
      <c r="HC119"/>
    </row>
    <row r="120" spans="1:211" s="7" customFormat="1">
      <c r="A120" s="1"/>
      <c r="B120" s="76">
        <f t="shared" ref="B120:B151" ca="1" si="132">IF(C120="", "", RAND())</f>
        <v>0.44896637001546136</v>
      </c>
      <c r="C120">
        <v>1</v>
      </c>
      <c r="D120">
        <v>39747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3.4979166666666663</v>
      </c>
      <c r="AO120">
        <v>0.27918914528656702</v>
      </c>
      <c r="AP120">
        <v>6.9069822868783604</v>
      </c>
      <c r="AQ120">
        <v>2.3388444121077154</v>
      </c>
      <c r="AR120">
        <v>0.31522382631996115</v>
      </c>
      <c r="AS120">
        <v>2.0174968619694154</v>
      </c>
      <c r="AT120" t="e">
        <v>#DIV/0!</v>
      </c>
      <c r="AU120" t="e">
        <v>#DIV/0!</v>
      </c>
      <c r="AV120"/>
      <c r="AW120"/>
      <c r="AX120" s="146"/>
      <c r="AY120" s="76">
        <f t="shared" ca="1" si="88"/>
        <v>0.68914155374471964</v>
      </c>
      <c r="AZ120">
        <v>3</v>
      </c>
      <c r="BA120" s="129">
        <f t="shared" si="131"/>
        <v>39747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 s="147"/>
      <c r="CH120" s="176"/>
      <c r="CJ120" s="146"/>
      <c r="CK120" s="76">
        <f t="shared" ca="1" si="90"/>
        <v>0.10094696432092065</v>
      </c>
      <c r="CL120" s="179">
        <f t="shared" si="91"/>
        <v>3</v>
      </c>
      <c r="CM120" s="180">
        <f t="shared" si="92"/>
        <v>39747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 s="160"/>
      <c r="CW120">
        <v>1</v>
      </c>
      <c r="CX120">
        <v>1</v>
      </c>
      <c r="CY120" s="160"/>
      <c r="CZ120" s="177">
        <f t="shared" si="93"/>
        <v>9.6000000000000002E-2</v>
      </c>
      <c r="DB120" s="146"/>
      <c r="DC120" s="76">
        <f t="shared" ca="1" si="51"/>
        <v>0.6984790989288312</v>
      </c>
      <c r="DD120">
        <f t="shared" si="94"/>
        <v>3</v>
      </c>
      <c r="DE120" s="129">
        <f t="shared" si="130"/>
        <v>39747</v>
      </c>
      <c r="DF120" s="161">
        <f t="shared" si="95"/>
        <v>0</v>
      </c>
      <c r="DG120" s="161">
        <f t="shared" si="96"/>
        <v>0</v>
      </c>
      <c r="DH120" s="161">
        <f t="shared" si="97"/>
        <v>0</v>
      </c>
      <c r="DI120" s="161">
        <f t="shared" si="98"/>
        <v>0</v>
      </c>
      <c r="DJ120" s="161">
        <f t="shared" si="99"/>
        <v>0</v>
      </c>
      <c r="DK120" s="161">
        <f t="shared" si="100"/>
        <v>0</v>
      </c>
      <c r="DL120" s="161">
        <f t="shared" si="101"/>
        <v>0</v>
      </c>
      <c r="DM120" s="161">
        <f t="shared" si="102"/>
        <v>0</v>
      </c>
      <c r="DN120" s="161">
        <f t="shared" si="103"/>
        <v>0</v>
      </c>
      <c r="DO120" s="161">
        <f t="shared" si="104"/>
        <v>0</v>
      </c>
      <c r="DP120" s="161">
        <f t="shared" si="105"/>
        <v>0</v>
      </c>
      <c r="DQ120" s="161">
        <f t="shared" si="106"/>
        <v>0</v>
      </c>
      <c r="DR120" s="161">
        <f t="shared" si="107"/>
        <v>0</v>
      </c>
      <c r="DS120" s="161">
        <f t="shared" si="108"/>
        <v>0</v>
      </c>
      <c r="DT120" s="161">
        <f t="shared" si="109"/>
        <v>0</v>
      </c>
      <c r="DU120" s="161">
        <f t="shared" si="110"/>
        <v>0</v>
      </c>
      <c r="DV120" s="161">
        <f t="shared" si="111"/>
        <v>0</v>
      </c>
      <c r="DW120" s="161">
        <f t="shared" si="112"/>
        <v>0</v>
      </c>
      <c r="DX120" s="161">
        <f t="shared" si="113"/>
        <v>0</v>
      </c>
      <c r="DY120" s="161">
        <f t="shared" si="114"/>
        <v>0</v>
      </c>
      <c r="DZ120" s="161">
        <f t="shared" si="115"/>
        <v>0</v>
      </c>
      <c r="EA120" s="161">
        <f t="shared" si="116"/>
        <v>0</v>
      </c>
      <c r="EB120" s="161">
        <f t="shared" si="117"/>
        <v>0</v>
      </c>
      <c r="EC120" s="161">
        <f t="shared" si="118"/>
        <v>0</v>
      </c>
      <c r="ED120" s="161">
        <f t="shared" si="119"/>
        <v>0</v>
      </c>
      <c r="EE120" s="161">
        <f t="shared" si="120"/>
        <v>0</v>
      </c>
      <c r="EF120" s="161">
        <f t="shared" si="121"/>
        <v>0</v>
      </c>
      <c r="EG120" s="161">
        <f t="shared" si="122"/>
        <v>0</v>
      </c>
      <c r="EH120" s="161">
        <f t="shared" si="123"/>
        <v>0</v>
      </c>
      <c r="EI120" s="161">
        <f t="shared" si="124"/>
        <v>0</v>
      </c>
      <c r="EJ120" s="161">
        <f t="shared" si="125"/>
        <v>0</v>
      </c>
      <c r="EK120" s="147">
        <f t="shared" ref="EK120:EK151" si="133">IF(DF120="", "", SUM(DF120:EJ120))</f>
        <v>0</v>
      </c>
      <c r="EL120" s="149"/>
      <c r="EN120" s="146"/>
      <c r="EO120" s="146"/>
      <c r="EP120" s="139">
        <f t="shared" ref="EP120:EP151" si="134">IF(DF120="", "", DF120*G$36)</f>
        <v>0</v>
      </c>
      <c r="EQ120" s="139">
        <f t="shared" ref="EQ120:EQ151" si="135">IF(DG120="", "", DG120*H$36)</f>
        <v>0</v>
      </c>
      <c r="ER120" s="139">
        <f t="shared" ref="ER120:ER151" si="136">IF(DH120="", "", DH120*I$36)</f>
        <v>0</v>
      </c>
      <c r="ES120" s="139">
        <f t="shared" ref="ES120:ES151" si="137">IF(DI120="", "", DI120*J$36)</f>
        <v>0</v>
      </c>
      <c r="ET120" s="139">
        <f t="shared" ref="ET120:ET151" si="138">IF(DJ120="", "", DJ120*K$36)</f>
        <v>0</v>
      </c>
      <c r="EU120" s="139">
        <f t="shared" ref="EU120:EU151" si="139">IF(DK120="", "", DK120*L$36)</f>
        <v>0</v>
      </c>
      <c r="EV120" s="139">
        <f t="shared" ref="EV120:EV151" si="140">IF(DL120="", "", DL120*M$36)</f>
        <v>0</v>
      </c>
      <c r="EW120" s="139">
        <f t="shared" ref="EW120:EW151" si="141">IF(DM120="", "", DM120*N$36)</f>
        <v>0</v>
      </c>
      <c r="EX120" s="139">
        <f t="shared" ref="EX120:EX151" si="142">IF(DN120="", "", DN120*O$36)</f>
        <v>0</v>
      </c>
      <c r="EY120" s="139">
        <f t="shared" ref="EY120:EY151" si="143">IF(DO120="", "", DO120*P$36)</f>
        <v>0</v>
      </c>
      <c r="EZ120" s="139">
        <f t="shared" ref="EZ120:EZ151" si="144">IF(DP120="", "", DP120*Q$36)</f>
        <v>0</v>
      </c>
      <c r="FA120" s="139">
        <f t="shared" ref="FA120:FA151" si="145">IF(DQ120="", "", DQ120*R$36)</f>
        <v>0</v>
      </c>
      <c r="FB120" s="139">
        <f t="shared" ref="FB120:FB151" si="146">IF(DR120="", "", DR120*S$36)</f>
        <v>0</v>
      </c>
      <c r="FC120" s="139">
        <f t="shared" ref="FC120:FC151" si="147">IF(DS120="", "", DS120*T$36)</f>
        <v>0</v>
      </c>
      <c r="FD120" s="139">
        <f t="shared" ref="FD120:FD151" si="148">IF(DT120="", "", DT120*U$36)</f>
        <v>0</v>
      </c>
      <c r="FE120" s="139">
        <f t="shared" ref="FE120:FE151" si="149">IF(DU120="", "", DU120*V$36)</f>
        <v>0</v>
      </c>
      <c r="FF120" s="139">
        <f t="shared" ref="FF120:FF151" si="150">IF(DV120="", "", DV120*W$36)</f>
        <v>0</v>
      </c>
      <c r="FG120" s="139">
        <f t="shared" ref="FG120:FG151" si="151">IF(DW120="", "", DW120*X$36)</f>
        <v>0</v>
      </c>
      <c r="FH120" s="139">
        <f t="shared" ref="FH120:FH151" si="152">IF(DX120="", "", DX120*Y$36)</f>
        <v>0</v>
      </c>
      <c r="FI120" s="139">
        <f t="shared" ref="FI120:FI151" si="153">IF(DY120="", "", DY120*Z$36)</f>
        <v>0</v>
      </c>
      <c r="FJ120" s="139">
        <f t="shared" ref="FJ120:FJ151" si="154">IF(DZ120="", "", DZ120*AA$36)</f>
        <v>0</v>
      </c>
      <c r="FK120" s="139">
        <f t="shared" ref="FK120:FK151" si="155">IF(EA120="", "", EA120*AB$36)</f>
        <v>0</v>
      </c>
      <c r="FL120" s="139">
        <f t="shared" ref="FL120:FL151" si="156">IF(EB120="", "", EB120*AC$36)</f>
        <v>0</v>
      </c>
      <c r="FM120" s="139">
        <f t="shared" ref="FM120:FM151" si="157">IF(EC120="", "", EC120*AD$36)</f>
        <v>0</v>
      </c>
      <c r="FN120" s="139">
        <f t="shared" ref="FN120:FN151" si="158">IF(ED120="", "", ED120*AE$36)</f>
        <v>0</v>
      </c>
      <c r="FO120" s="139">
        <f t="shared" ref="FO120:FO151" si="159">IF(EE120="", "", EE120*AF$36)</f>
        <v>0</v>
      </c>
      <c r="FP120" s="139">
        <f t="shared" ref="FP120:FP151" si="160">IF(EF120="", "", EF120*AG$36)</f>
        <v>0</v>
      </c>
      <c r="FQ120" s="139">
        <f t="shared" ref="FQ120:FQ151" si="161">IF(EG120="", "", EG120*AH$36)</f>
        <v>0</v>
      </c>
      <c r="FR120" s="139">
        <f t="shared" ref="FR120:FR151" si="162">IF(EH120="", "", EH120*AI$36)</f>
        <v>0</v>
      </c>
      <c r="FS120" s="139">
        <f t="shared" ref="FS120:FS151" si="163">IF(EI120="", "", EI120*AJ$36)</f>
        <v>0</v>
      </c>
      <c r="FT120" s="139">
        <f t="shared" ref="FT120:FT151" si="164">IF(EJ120="", "", EJ120*AK$36)</f>
        <v>0</v>
      </c>
      <c r="FU120" s="148">
        <f t="shared" ref="FU120:FU151" si="165">IF(EP120="","",SUM(EP120:FT120))</f>
        <v>0</v>
      </c>
      <c r="FV120" s="149"/>
      <c r="FY120" s="211">
        <v>115</v>
      </c>
      <c r="FZ120">
        <v>0.68696371755740615</v>
      </c>
      <c r="GA120">
        <v>8.725047411847664E-2</v>
      </c>
      <c r="GB120">
        <v>7.9203986612074825E-2</v>
      </c>
      <c r="GC120">
        <v>4.4138825651920163E-2</v>
      </c>
      <c r="GD120">
        <v>0</v>
      </c>
      <c r="GE120">
        <v>0</v>
      </c>
      <c r="GF120">
        <v>0.33021050058332063</v>
      </c>
      <c r="GG120">
        <v>0.29759236750664797</v>
      </c>
      <c r="GH120">
        <v>0</v>
      </c>
      <c r="GI120">
        <v>0.18534365851909235</v>
      </c>
      <c r="GJ120"/>
      <c r="GK120">
        <v>0.68562723582721563</v>
      </c>
      <c r="GL120">
        <v>7.3740509229249462E-2</v>
      </c>
      <c r="GM120">
        <v>0.13091770120800852</v>
      </c>
      <c r="GN120">
        <v>0.13091770120800852</v>
      </c>
      <c r="GO120">
        <v>0</v>
      </c>
      <c r="GP120">
        <v>0</v>
      </c>
      <c r="GQ120">
        <v>0.45369793096285549</v>
      </c>
      <c r="GR120">
        <v>0.45369793096285549</v>
      </c>
      <c r="GS120">
        <v>0</v>
      </c>
      <c r="GT120">
        <v>0.25404857359961597</v>
      </c>
      <c r="GU120"/>
      <c r="GV120"/>
      <c r="GW120"/>
      <c r="GX120"/>
      <c r="GY120"/>
      <c r="GZ120"/>
      <c r="HA120"/>
      <c r="HB120"/>
      <c r="HC120"/>
    </row>
    <row r="121" spans="1:211" s="7" customFormat="1">
      <c r="A121" s="1"/>
      <c r="B121" s="76">
        <f t="shared" ca="1" si="132"/>
        <v>0.8441573822285422</v>
      </c>
      <c r="C121">
        <v>4</v>
      </c>
      <c r="D121">
        <v>39747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2.2552083333333335</v>
      </c>
      <c r="AO121">
        <v>0.31954229048713934</v>
      </c>
      <c r="AP121">
        <v>14.082816400523456</v>
      </c>
      <c r="AQ121">
        <v>2.2526830891753749</v>
      </c>
      <c r="AR121">
        <v>0.34202854608421374</v>
      </c>
      <c r="AS121">
        <v>1.6091647780858545</v>
      </c>
      <c r="AT121" t="e">
        <v>#DIV/0!</v>
      </c>
      <c r="AU121" t="e">
        <v>#DIV/0!</v>
      </c>
      <c r="AV121"/>
      <c r="AW121"/>
      <c r="AX121" s="146"/>
      <c r="AY121" s="76">
        <f t="shared" ca="1" si="88"/>
        <v>5.7630298496218479E-2</v>
      </c>
      <c r="AZ121">
        <v>4</v>
      </c>
      <c r="BA121" s="129">
        <f t="shared" si="131"/>
        <v>39747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 s="147"/>
      <c r="CH121" s="176"/>
      <c r="CJ121" s="146"/>
      <c r="CK121" s="76">
        <f t="shared" ca="1" si="90"/>
        <v>0.97783114556477013</v>
      </c>
      <c r="CL121" s="179">
        <f t="shared" si="91"/>
        <v>4</v>
      </c>
      <c r="CM121" s="180">
        <f t="shared" si="92"/>
        <v>39747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3"/>
        <v>9.6000000000000002E-2</v>
      </c>
      <c r="DB121" s="146"/>
      <c r="DC121" s="76">
        <f t="shared" ca="1" si="51"/>
        <v>0.13489005063023907</v>
      </c>
      <c r="DD121">
        <f t="shared" si="94"/>
        <v>4</v>
      </c>
      <c r="DE121" s="129">
        <f t="shared" si="130"/>
        <v>39747</v>
      </c>
      <c r="DF121" s="161">
        <f t="shared" si="95"/>
        <v>0</v>
      </c>
      <c r="DG121" s="161">
        <f t="shared" si="96"/>
        <v>0</v>
      </c>
      <c r="DH121" s="161">
        <f t="shared" si="97"/>
        <v>0</v>
      </c>
      <c r="DI121" s="161">
        <f t="shared" si="98"/>
        <v>0</v>
      </c>
      <c r="DJ121" s="161">
        <f t="shared" si="99"/>
        <v>0</v>
      </c>
      <c r="DK121" s="161">
        <f t="shared" si="100"/>
        <v>0</v>
      </c>
      <c r="DL121" s="161">
        <f t="shared" si="101"/>
        <v>0</v>
      </c>
      <c r="DM121" s="161">
        <f t="shared" si="102"/>
        <v>0</v>
      </c>
      <c r="DN121" s="161">
        <f t="shared" si="103"/>
        <v>0</v>
      </c>
      <c r="DO121" s="161">
        <f t="shared" si="104"/>
        <v>0</v>
      </c>
      <c r="DP121" s="161">
        <f t="shared" si="105"/>
        <v>0</v>
      </c>
      <c r="DQ121" s="161">
        <f t="shared" si="106"/>
        <v>0</v>
      </c>
      <c r="DR121" s="161">
        <f t="shared" si="107"/>
        <v>0</v>
      </c>
      <c r="DS121" s="161">
        <f t="shared" si="108"/>
        <v>0</v>
      </c>
      <c r="DT121" s="161">
        <f t="shared" si="109"/>
        <v>0</v>
      </c>
      <c r="DU121" s="161">
        <f t="shared" si="110"/>
        <v>0</v>
      </c>
      <c r="DV121" s="161">
        <f t="shared" si="111"/>
        <v>0</v>
      </c>
      <c r="DW121" s="161">
        <f t="shared" si="112"/>
        <v>0</v>
      </c>
      <c r="DX121" s="161">
        <f t="shared" si="113"/>
        <v>0</v>
      </c>
      <c r="DY121" s="161">
        <f t="shared" si="114"/>
        <v>0</v>
      </c>
      <c r="DZ121" s="161">
        <f t="shared" si="115"/>
        <v>0</v>
      </c>
      <c r="EA121" s="161">
        <f t="shared" si="116"/>
        <v>0</v>
      </c>
      <c r="EB121" s="161">
        <f t="shared" si="117"/>
        <v>0</v>
      </c>
      <c r="EC121" s="161">
        <f t="shared" si="118"/>
        <v>0</v>
      </c>
      <c r="ED121" s="161">
        <f t="shared" si="119"/>
        <v>0</v>
      </c>
      <c r="EE121" s="161">
        <f t="shared" si="120"/>
        <v>0</v>
      </c>
      <c r="EF121" s="161">
        <f t="shared" si="121"/>
        <v>0</v>
      </c>
      <c r="EG121" s="161">
        <f t="shared" si="122"/>
        <v>0</v>
      </c>
      <c r="EH121" s="161">
        <f t="shared" si="123"/>
        <v>0</v>
      </c>
      <c r="EI121" s="161">
        <f t="shared" si="124"/>
        <v>0</v>
      </c>
      <c r="EJ121" s="161">
        <f t="shared" si="125"/>
        <v>0</v>
      </c>
      <c r="EK121" s="147">
        <f t="shared" si="133"/>
        <v>0</v>
      </c>
      <c r="EL121" s="149"/>
      <c r="EN121" s="146"/>
      <c r="EO121" s="146"/>
      <c r="EP121" s="139">
        <f t="shared" si="134"/>
        <v>0</v>
      </c>
      <c r="EQ121" s="139">
        <f t="shared" si="135"/>
        <v>0</v>
      </c>
      <c r="ER121" s="139">
        <f t="shared" si="136"/>
        <v>0</v>
      </c>
      <c r="ES121" s="139">
        <f t="shared" si="137"/>
        <v>0</v>
      </c>
      <c r="ET121" s="139">
        <f t="shared" si="138"/>
        <v>0</v>
      </c>
      <c r="EU121" s="139">
        <f t="shared" si="139"/>
        <v>0</v>
      </c>
      <c r="EV121" s="139">
        <f t="shared" si="140"/>
        <v>0</v>
      </c>
      <c r="EW121" s="139">
        <f t="shared" si="141"/>
        <v>0</v>
      </c>
      <c r="EX121" s="139">
        <f t="shared" si="142"/>
        <v>0</v>
      </c>
      <c r="EY121" s="139">
        <f t="shared" si="143"/>
        <v>0</v>
      </c>
      <c r="EZ121" s="139">
        <f t="shared" si="144"/>
        <v>0</v>
      </c>
      <c r="FA121" s="139">
        <f t="shared" si="145"/>
        <v>0</v>
      </c>
      <c r="FB121" s="139">
        <f t="shared" si="146"/>
        <v>0</v>
      </c>
      <c r="FC121" s="139">
        <f t="shared" si="147"/>
        <v>0</v>
      </c>
      <c r="FD121" s="139">
        <f t="shared" si="148"/>
        <v>0</v>
      </c>
      <c r="FE121" s="139">
        <f t="shared" si="149"/>
        <v>0</v>
      </c>
      <c r="FF121" s="139">
        <f t="shared" si="150"/>
        <v>0</v>
      </c>
      <c r="FG121" s="139">
        <f t="shared" si="151"/>
        <v>0</v>
      </c>
      <c r="FH121" s="139">
        <f t="shared" si="152"/>
        <v>0</v>
      </c>
      <c r="FI121" s="139">
        <f t="shared" si="153"/>
        <v>0</v>
      </c>
      <c r="FJ121" s="139">
        <f t="shared" si="154"/>
        <v>0</v>
      </c>
      <c r="FK121" s="139">
        <f t="shared" si="155"/>
        <v>0</v>
      </c>
      <c r="FL121" s="139">
        <f t="shared" si="156"/>
        <v>0</v>
      </c>
      <c r="FM121" s="139">
        <f t="shared" si="157"/>
        <v>0</v>
      </c>
      <c r="FN121" s="139">
        <f t="shared" si="158"/>
        <v>0</v>
      </c>
      <c r="FO121" s="139">
        <f t="shared" si="159"/>
        <v>0</v>
      </c>
      <c r="FP121" s="139">
        <f t="shared" si="160"/>
        <v>0</v>
      </c>
      <c r="FQ121" s="139">
        <f t="shared" si="161"/>
        <v>0</v>
      </c>
      <c r="FR121" s="139">
        <f t="shared" si="162"/>
        <v>0</v>
      </c>
      <c r="FS121" s="139">
        <f t="shared" si="163"/>
        <v>0</v>
      </c>
      <c r="FT121" s="139">
        <f t="shared" si="164"/>
        <v>0</v>
      </c>
      <c r="FU121" s="148">
        <f t="shared" si="165"/>
        <v>0</v>
      </c>
      <c r="FV121" s="149"/>
      <c r="FY121" s="211">
        <v>116</v>
      </c>
      <c r="FZ121">
        <v>0.6070913134056346</v>
      </c>
      <c r="GA121">
        <v>0.17450094823695328</v>
      </c>
      <c r="GB121">
        <v>0.204855832097669</v>
      </c>
      <c r="GC121">
        <v>0.11377737556984255</v>
      </c>
      <c r="GD121">
        <v>0</v>
      </c>
      <c r="GE121">
        <v>0</v>
      </c>
      <c r="GF121">
        <v>0.99063150174996206</v>
      </c>
      <c r="GG121">
        <v>0.89277710251994391</v>
      </c>
      <c r="GH121">
        <v>0</v>
      </c>
      <c r="GI121">
        <v>0.33256410808184522</v>
      </c>
      <c r="GJ121"/>
      <c r="GK121">
        <v>0.6058423721251246</v>
      </c>
      <c r="GL121">
        <v>0.14748101845849892</v>
      </c>
      <c r="GM121">
        <v>0.34079383167279126</v>
      </c>
      <c r="GN121">
        <v>0.34079383167279126</v>
      </c>
      <c r="GO121">
        <v>0</v>
      </c>
      <c r="GP121">
        <v>0</v>
      </c>
      <c r="GQ121">
        <v>1.3610937928885667</v>
      </c>
      <c r="GR121">
        <v>1.3610937928885667</v>
      </c>
      <c r="GS121">
        <v>0</v>
      </c>
      <c r="GT121">
        <v>0.46154599933729651</v>
      </c>
      <c r="GU121"/>
      <c r="GV121"/>
      <c r="GW121"/>
      <c r="GX121"/>
      <c r="GY121"/>
      <c r="GZ121"/>
      <c r="HA121"/>
      <c r="HB121"/>
      <c r="HC121"/>
    </row>
    <row r="122" spans="1:211" s="7" customFormat="1">
      <c r="A122" s="1"/>
      <c r="B122" s="76">
        <f t="shared" ca="1" si="132"/>
        <v>0.14394593430194913</v>
      </c>
      <c r="C122">
        <v>5</v>
      </c>
      <c r="D122">
        <v>39747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10.416666666666666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2.4072916666666666</v>
      </c>
      <c r="AO122">
        <v>0.30525048507850566</v>
      </c>
      <c r="AP122">
        <v>4.9442558197732218</v>
      </c>
      <c r="AQ122">
        <v>2.6775806593421461</v>
      </c>
      <c r="AR122">
        <v>0.32855667979455655</v>
      </c>
      <c r="AS122">
        <v>1.8517178283333375</v>
      </c>
      <c r="AT122" t="e">
        <v>#DIV/0!</v>
      </c>
      <c r="AU122" t="e">
        <v>#DIV/0!</v>
      </c>
      <c r="AV122"/>
      <c r="AW122"/>
      <c r="AX122" s="146"/>
      <c r="AY122" s="76">
        <f t="shared" ca="1" si="88"/>
        <v>0.87797410047081748</v>
      </c>
      <c r="AZ122">
        <v>5</v>
      </c>
      <c r="BA122" s="129">
        <f t="shared" si="131"/>
        <v>39747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 s="147"/>
      <c r="CH122" s="176"/>
      <c r="CJ122" s="146"/>
      <c r="CK122" s="76">
        <f t="shared" ca="1" si="90"/>
        <v>0.35174543616996257</v>
      </c>
      <c r="CL122" s="179">
        <f t="shared" si="91"/>
        <v>5</v>
      </c>
      <c r="CM122" s="180">
        <f t="shared" si="92"/>
        <v>39747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 s="160"/>
      <c r="CW122" s="178">
        <v>1</v>
      </c>
      <c r="CX122">
        <f>350/33</f>
        <v>10.606060606060606</v>
      </c>
      <c r="CY122" s="160"/>
      <c r="CZ122" s="177">
        <f t="shared" si="93"/>
        <v>9.6000000000000002E-2</v>
      </c>
      <c r="DB122" s="146"/>
      <c r="DC122" s="76">
        <f t="shared" ca="1" si="51"/>
        <v>0.70472911323479304</v>
      </c>
      <c r="DD122">
        <f t="shared" si="94"/>
        <v>5</v>
      </c>
      <c r="DE122" s="129">
        <f t="shared" si="130"/>
        <v>39747</v>
      </c>
      <c r="DF122" s="161">
        <f t="shared" si="95"/>
        <v>0</v>
      </c>
      <c r="DG122" s="161">
        <f t="shared" si="96"/>
        <v>0</v>
      </c>
      <c r="DH122" s="161">
        <f t="shared" si="97"/>
        <v>0</v>
      </c>
      <c r="DI122" s="161">
        <f t="shared" si="98"/>
        <v>0</v>
      </c>
      <c r="DJ122" s="161">
        <f t="shared" si="99"/>
        <v>0</v>
      </c>
      <c r="DK122" s="161">
        <f t="shared" si="100"/>
        <v>10.416666666666666</v>
      </c>
      <c r="DL122" s="161">
        <f t="shared" si="101"/>
        <v>0</v>
      </c>
      <c r="DM122" s="161">
        <f t="shared" si="102"/>
        <v>0</v>
      </c>
      <c r="DN122" s="161">
        <f t="shared" si="103"/>
        <v>0</v>
      </c>
      <c r="DO122" s="161">
        <f t="shared" si="104"/>
        <v>0</v>
      </c>
      <c r="DP122" s="161">
        <f t="shared" si="105"/>
        <v>0</v>
      </c>
      <c r="DQ122" s="161">
        <f t="shared" si="106"/>
        <v>0</v>
      </c>
      <c r="DR122" s="161">
        <f t="shared" si="107"/>
        <v>0</v>
      </c>
      <c r="DS122" s="161">
        <f t="shared" si="108"/>
        <v>0</v>
      </c>
      <c r="DT122" s="161">
        <f t="shared" si="109"/>
        <v>0</v>
      </c>
      <c r="DU122" s="161">
        <f t="shared" si="110"/>
        <v>0</v>
      </c>
      <c r="DV122" s="161">
        <f t="shared" si="111"/>
        <v>0</v>
      </c>
      <c r="DW122" s="161">
        <f t="shared" si="112"/>
        <v>0</v>
      </c>
      <c r="DX122" s="161">
        <f t="shared" si="113"/>
        <v>0</v>
      </c>
      <c r="DY122" s="161">
        <f t="shared" si="114"/>
        <v>0</v>
      </c>
      <c r="DZ122" s="161">
        <f t="shared" si="115"/>
        <v>0</v>
      </c>
      <c r="EA122" s="161">
        <f t="shared" si="116"/>
        <v>0</v>
      </c>
      <c r="EB122" s="161">
        <f t="shared" si="117"/>
        <v>0</v>
      </c>
      <c r="EC122" s="161">
        <f t="shared" si="118"/>
        <v>0</v>
      </c>
      <c r="ED122" s="161">
        <f t="shared" si="119"/>
        <v>0</v>
      </c>
      <c r="EE122" s="161">
        <f t="shared" si="120"/>
        <v>0</v>
      </c>
      <c r="EF122" s="161">
        <f t="shared" si="121"/>
        <v>0</v>
      </c>
      <c r="EG122" s="161">
        <f t="shared" si="122"/>
        <v>0</v>
      </c>
      <c r="EH122" s="161">
        <f t="shared" si="123"/>
        <v>0</v>
      </c>
      <c r="EI122" s="161">
        <f t="shared" si="124"/>
        <v>0</v>
      </c>
      <c r="EJ122" s="161">
        <f t="shared" si="125"/>
        <v>0</v>
      </c>
      <c r="EK122" s="147">
        <f t="shared" si="133"/>
        <v>10.416666666666666</v>
      </c>
      <c r="EL122" s="149"/>
      <c r="EN122" s="146"/>
      <c r="EO122" s="146"/>
      <c r="EP122" s="139">
        <f t="shared" si="134"/>
        <v>0</v>
      </c>
      <c r="EQ122" s="139">
        <f t="shared" si="135"/>
        <v>0</v>
      </c>
      <c r="ER122" s="139">
        <f t="shared" si="136"/>
        <v>0</v>
      </c>
      <c r="ES122" s="139">
        <f t="shared" si="137"/>
        <v>0</v>
      </c>
      <c r="ET122" s="139">
        <f t="shared" si="138"/>
        <v>0</v>
      </c>
      <c r="EU122" s="139">
        <f t="shared" si="139"/>
        <v>2.0987613046478275</v>
      </c>
      <c r="EV122" s="139">
        <f t="shared" si="140"/>
        <v>0</v>
      </c>
      <c r="EW122" s="139">
        <f t="shared" si="141"/>
        <v>0</v>
      </c>
      <c r="EX122" s="139">
        <f t="shared" si="142"/>
        <v>0</v>
      </c>
      <c r="EY122" s="139">
        <f t="shared" si="143"/>
        <v>0</v>
      </c>
      <c r="EZ122" s="139">
        <f t="shared" si="144"/>
        <v>0</v>
      </c>
      <c r="FA122" s="139">
        <f t="shared" si="145"/>
        <v>0</v>
      </c>
      <c r="FB122" s="139">
        <f t="shared" si="146"/>
        <v>0</v>
      </c>
      <c r="FC122" s="139">
        <f t="shared" si="147"/>
        <v>0</v>
      </c>
      <c r="FD122" s="139">
        <f t="shared" si="148"/>
        <v>0</v>
      </c>
      <c r="FE122" s="139">
        <f t="shared" si="149"/>
        <v>0</v>
      </c>
      <c r="FF122" s="139">
        <f t="shared" si="150"/>
        <v>0</v>
      </c>
      <c r="FG122" s="139">
        <f t="shared" si="151"/>
        <v>0</v>
      </c>
      <c r="FH122" s="139">
        <f t="shared" si="152"/>
        <v>0</v>
      </c>
      <c r="FI122" s="139">
        <f t="shared" si="153"/>
        <v>0</v>
      </c>
      <c r="FJ122" s="139">
        <f t="shared" si="154"/>
        <v>0</v>
      </c>
      <c r="FK122" s="139">
        <f t="shared" si="155"/>
        <v>0</v>
      </c>
      <c r="FL122" s="139">
        <f t="shared" si="156"/>
        <v>0</v>
      </c>
      <c r="FM122" s="139">
        <f t="shared" si="157"/>
        <v>0</v>
      </c>
      <c r="FN122" s="139">
        <f t="shared" si="158"/>
        <v>0</v>
      </c>
      <c r="FO122" s="139">
        <f t="shared" si="159"/>
        <v>0</v>
      </c>
      <c r="FP122" s="139">
        <f t="shared" si="160"/>
        <v>0</v>
      </c>
      <c r="FQ122" s="139">
        <f t="shared" si="161"/>
        <v>0</v>
      </c>
      <c r="FR122" s="139">
        <f t="shared" si="162"/>
        <v>0</v>
      </c>
      <c r="FS122" s="139">
        <f t="shared" si="163"/>
        <v>0</v>
      </c>
      <c r="FT122" s="139">
        <f t="shared" si="164"/>
        <v>0</v>
      </c>
      <c r="FU122" s="148">
        <f t="shared" si="165"/>
        <v>2.0987613046478275</v>
      </c>
      <c r="FV122" s="149"/>
      <c r="FY122" s="211">
        <v>117</v>
      </c>
      <c r="FZ122">
        <v>0.72889392062487712</v>
      </c>
      <c r="GA122">
        <v>0.17450094823695328</v>
      </c>
      <c r="GB122">
        <v>0.15840797322414965</v>
      </c>
      <c r="GC122">
        <v>0.1579162012217627</v>
      </c>
      <c r="GD122">
        <v>5.3449107547347455E-2</v>
      </c>
      <c r="GE122">
        <v>0</v>
      </c>
      <c r="GF122">
        <v>0.33021050058332063</v>
      </c>
      <c r="GG122">
        <v>0.29759236750664797</v>
      </c>
      <c r="GH122">
        <v>0</v>
      </c>
      <c r="GI122">
        <v>0.24188931663274288</v>
      </c>
      <c r="GJ122"/>
      <c r="GK122">
        <v>0.72716583776415711</v>
      </c>
      <c r="GL122">
        <v>0.14748101845849892</v>
      </c>
      <c r="GM122">
        <v>0.26183540241601705</v>
      </c>
      <c r="GN122">
        <v>0.47171153288079981</v>
      </c>
      <c r="GO122">
        <v>0.20987613046478273</v>
      </c>
      <c r="GP122">
        <v>0</v>
      </c>
      <c r="GQ122">
        <v>0.45369793096285549</v>
      </c>
      <c r="GR122">
        <v>0.45369793096285549</v>
      </c>
      <c r="GS122">
        <v>0</v>
      </c>
      <c r="GT122">
        <v>0.33051506032156253</v>
      </c>
      <c r="GU122"/>
      <c r="GV122"/>
      <c r="GW122"/>
      <c r="GX122"/>
      <c r="GY122"/>
      <c r="GZ122"/>
      <c r="HA122"/>
      <c r="HB122"/>
      <c r="HC122"/>
    </row>
    <row r="123" spans="1:211" s="7" customFormat="1">
      <c r="A123" s="1"/>
      <c r="B123" s="76">
        <f t="shared" ca="1" si="132"/>
        <v>0.65213581908478102</v>
      </c>
      <c r="C123">
        <v>2</v>
      </c>
      <c r="D123">
        <v>39747</v>
      </c>
      <c r="E123">
        <v>0</v>
      </c>
      <c r="F123">
        <v>0</v>
      </c>
      <c r="G123">
        <v>0</v>
      </c>
      <c r="H123">
        <v>0</v>
      </c>
      <c r="I123">
        <v>26.041666666666668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2.0572916666666665</v>
      </c>
      <c r="AO123">
        <v>0.1097110731769835</v>
      </c>
      <c r="AP123">
        <v>1.8668015250912862</v>
      </c>
      <c r="AQ123">
        <v>0.95140642198764058</v>
      </c>
      <c r="AR123">
        <v>0.13645200201722124</v>
      </c>
      <c r="AS123">
        <v>1.023171344646433</v>
      </c>
      <c r="AT123" t="e">
        <v>#DIV/0!</v>
      </c>
      <c r="AU123" t="e">
        <v>#DIV/0!</v>
      </c>
      <c r="AV123"/>
      <c r="AW123"/>
      <c r="AX123" s="146"/>
      <c r="AY123" s="76">
        <f t="shared" ca="1" si="88"/>
        <v>0.11940961615026691</v>
      </c>
      <c r="AZ123">
        <v>6</v>
      </c>
      <c r="BA123" s="129">
        <f t="shared" si="131"/>
        <v>39747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 s="147"/>
      <c r="CH123" s="176"/>
      <c r="CJ123" s="146"/>
      <c r="CK123" s="76">
        <f t="shared" ca="1" si="90"/>
        <v>0.12481954739727641</v>
      </c>
      <c r="CL123" s="179">
        <f t="shared" si="91"/>
        <v>6</v>
      </c>
      <c r="CM123" s="180">
        <f t="shared" si="92"/>
        <v>39747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 s="160"/>
      <c r="CW123" s="178">
        <v>1</v>
      </c>
      <c r="CX123">
        <f>375/60</f>
        <v>6.25</v>
      </c>
      <c r="CY123" s="160"/>
      <c r="CZ123" s="177">
        <f t="shared" si="93"/>
        <v>9.6000000000000002E-2</v>
      </c>
      <c r="DB123" s="146"/>
      <c r="DC123" s="76">
        <f t="shared" ca="1" si="51"/>
        <v>0.36030618856486041</v>
      </c>
      <c r="DD123">
        <f t="shared" si="94"/>
        <v>6</v>
      </c>
      <c r="DE123" s="129">
        <f t="shared" si="130"/>
        <v>39747</v>
      </c>
      <c r="DF123" s="161">
        <f t="shared" si="95"/>
        <v>0</v>
      </c>
      <c r="DG123" s="161">
        <f t="shared" si="96"/>
        <v>0</v>
      </c>
      <c r="DH123" s="161">
        <f t="shared" si="97"/>
        <v>0</v>
      </c>
      <c r="DI123" s="161">
        <f t="shared" si="98"/>
        <v>0</v>
      </c>
      <c r="DJ123" s="161">
        <f t="shared" si="99"/>
        <v>0</v>
      </c>
      <c r="DK123" s="161">
        <f t="shared" si="100"/>
        <v>0</v>
      </c>
      <c r="DL123" s="161">
        <f t="shared" si="101"/>
        <v>0</v>
      </c>
      <c r="DM123" s="161">
        <f t="shared" si="102"/>
        <v>0</v>
      </c>
      <c r="DN123" s="161">
        <f t="shared" si="103"/>
        <v>0</v>
      </c>
      <c r="DO123" s="161">
        <f t="shared" si="104"/>
        <v>0</v>
      </c>
      <c r="DP123" s="161">
        <f t="shared" si="105"/>
        <v>0</v>
      </c>
      <c r="DQ123" s="161">
        <f t="shared" si="106"/>
        <v>0</v>
      </c>
      <c r="DR123" s="161">
        <f t="shared" si="107"/>
        <v>0</v>
      </c>
      <c r="DS123" s="161">
        <f t="shared" si="108"/>
        <v>0</v>
      </c>
      <c r="DT123" s="161">
        <f t="shared" si="109"/>
        <v>0</v>
      </c>
      <c r="DU123" s="161">
        <f t="shared" si="110"/>
        <v>0</v>
      </c>
      <c r="DV123" s="161">
        <f t="shared" si="111"/>
        <v>0</v>
      </c>
      <c r="DW123" s="161">
        <f t="shared" si="112"/>
        <v>0</v>
      </c>
      <c r="DX123" s="161">
        <f t="shared" si="113"/>
        <v>0</v>
      </c>
      <c r="DY123" s="161">
        <f t="shared" si="114"/>
        <v>0</v>
      </c>
      <c r="DZ123" s="161">
        <f t="shared" si="115"/>
        <v>0</v>
      </c>
      <c r="EA123" s="161">
        <f t="shared" si="116"/>
        <v>0</v>
      </c>
      <c r="EB123" s="161">
        <f t="shared" si="117"/>
        <v>0</v>
      </c>
      <c r="EC123" s="161">
        <f t="shared" si="118"/>
        <v>0</v>
      </c>
      <c r="ED123" s="161">
        <f t="shared" si="119"/>
        <v>0</v>
      </c>
      <c r="EE123" s="161">
        <f t="shared" si="120"/>
        <v>0</v>
      </c>
      <c r="EF123" s="161">
        <f t="shared" si="121"/>
        <v>0</v>
      </c>
      <c r="EG123" s="161">
        <f t="shared" si="122"/>
        <v>0</v>
      </c>
      <c r="EH123" s="161">
        <f t="shared" si="123"/>
        <v>0</v>
      </c>
      <c r="EI123" s="161">
        <f t="shared" si="124"/>
        <v>0</v>
      </c>
      <c r="EJ123" s="161">
        <f t="shared" si="125"/>
        <v>0</v>
      </c>
      <c r="EK123" s="147">
        <f t="shared" si="133"/>
        <v>0</v>
      </c>
      <c r="EL123" s="149"/>
      <c r="EN123" s="146"/>
      <c r="EO123" s="146"/>
      <c r="EP123" s="139">
        <f t="shared" si="134"/>
        <v>0</v>
      </c>
      <c r="EQ123" s="139">
        <f t="shared" si="135"/>
        <v>0</v>
      </c>
      <c r="ER123" s="139">
        <f t="shared" si="136"/>
        <v>0</v>
      </c>
      <c r="ES123" s="139">
        <f t="shared" si="137"/>
        <v>0</v>
      </c>
      <c r="ET123" s="139">
        <f t="shared" si="138"/>
        <v>0</v>
      </c>
      <c r="EU123" s="139">
        <f t="shared" si="139"/>
        <v>0</v>
      </c>
      <c r="EV123" s="139">
        <f t="shared" si="140"/>
        <v>0</v>
      </c>
      <c r="EW123" s="139">
        <f t="shared" si="141"/>
        <v>0</v>
      </c>
      <c r="EX123" s="139">
        <f t="shared" si="142"/>
        <v>0</v>
      </c>
      <c r="EY123" s="139">
        <f t="shared" si="143"/>
        <v>0</v>
      </c>
      <c r="EZ123" s="139">
        <f t="shared" si="144"/>
        <v>0</v>
      </c>
      <c r="FA123" s="139">
        <f t="shared" si="145"/>
        <v>0</v>
      </c>
      <c r="FB123" s="139">
        <f t="shared" si="146"/>
        <v>0</v>
      </c>
      <c r="FC123" s="139">
        <f t="shared" si="147"/>
        <v>0</v>
      </c>
      <c r="FD123" s="139">
        <f t="shared" si="148"/>
        <v>0</v>
      </c>
      <c r="FE123" s="139">
        <f t="shared" si="149"/>
        <v>0</v>
      </c>
      <c r="FF123" s="139">
        <f t="shared" si="150"/>
        <v>0</v>
      </c>
      <c r="FG123" s="139">
        <f t="shared" si="151"/>
        <v>0</v>
      </c>
      <c r="FH123" s="139">
        <f t="shared" si="152"/>
        <v>0</v>
      </c>
      <c r="FI123" s="139">
        <f t="shared" si="153"/>
        <v>0</v>
      </c>
      <c r="FJ123" s="139">
        <f t="shared" si="154"/>
        <v>0</v>
      </c>
      <c r="FK123" s="139">
        <f t="shared" si="155"/>
        <v>0</v>
      </c>
      <c r="FL123" s="139">
        <f t="shared" si="156"/>
        <v>0</v>
      </c>
      <c r="FM123" s="139">
        <f t="shared" si="157"/>
        <v>0</v>
      </c>
      <c r="FN123" s="139">
        <f t="shared" si="158"/>
        <v>0</v>
      </c>
      <c r="FO123" s="139">
        <f t="shared" si="159"/>
        <v>0</v>
      </c>
      <c r="FP123" s="139">
        <f t="shared" si="160"/>
        <v>0</v>
      </c>
      <c r="FQ123" s="139">
        <f t="shared" si="161"/>
        <v>0</v>
      </c>
      <c r="FR123" s="139">
        <f t="shared" si="162"/>
        <v>0</v>
      </c>
      <c r="FS123" s="139">
        <f t="shared" si="163"/>
        <v>0</v>
      </c>
      <c r="FT123" s="139">
        <f t="shared" si="164"/>
        <v>0</v>
      </c>
      <c r="FU123" s="148">
        <f t="shared" si="165"/>
        <v>0</v>
      </c>
      <c r="FV123" s="149"/>
      <c r="FY123" s="211">
        <v>118</v>
      </c>
      <c r="FZ123">
        <v>1.4197049860866437</v>
      </c>
      <c r="GA123">
        <v>0.64910159995464167</v>
      </c>
      <c r="GB123">
        <v>6.282592274279708E-2</v>
      </c>
      <c r="GC123">
        <v>0.10445782487688358</v>
      </c>
      <c r="GD123">
        <v>5.3449107547347455E-2</v>
      </c>
      <c r="GE123">
        <v>0</v>
      </c>
      <c r="GF123">
        <v>0.33021050058332063</v>
      </c>
      <c r="GG123">
        <v>0.29759236750664797</v>
      </c>
      <c r="GH123">
        <v>0</v>
      </c>
      <c r="GI123">
        <v>0.32073049283283722</v>
      </c>
      <c r="GJ123"/>
      <c r="GK123">
        <v>1.4249027226449558</v>
      </c>
      <c r="GL123">
        <v>0.55453674324558655</v>
      </c>
      <c r="GM123">
        <v>0.10493806523239137</v>
      </c>
      <c r="GN123">
        <v>0.31481419569717412</v>
      </c>
      <c r="GO123">
        <v>0.20987613046478273</v>
      </c>
      <c r="GP123">
        <v>0</v>
      </c>
      <c r="GQ123">
        <v>0.45369793096285549</v>
      </c>
      <c r="GR123">
        <v>0.45369793096285549</v>
      </c>
      <c r="GS123">
        <v>0</v>
      </c>
      <c r="GT123">
        <v>0.43868296986099703</v>
      </c>
      <c r="GU123"/>
      <c r="GV123"/>
      <c r="GW123"/>
      <c r="GX123"/>
      <c r="GY123"/>
      <c r="GZ123"/>
      <c r="HA123"/>
      <c r="HB123"/>
      <c r="HC123"/>
    </row>
    <row r="124" spans="1:211" s="7" customFormat="1">
      <c r="A124" s="1"/>
      <c r="B124" s="76">
        <f t="shared" ca="1" si="132"/>
        <v>0.52627367968536998</v>
      </c>
      <c r="C124">
        <v>3</v>
      </c>
      <c r="D124">
        <v>39747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1.9979166666666663</v>
      </c>
      <c r="AO124">
        <v>0.15199409831007213</v>
      </c>
      <c r="AP124">
        <v>1.5193904969632843</v>
      </c>
      <c r="AQ124">
        <v>1.5355817567976695</v>
      </c>
      <c r="AR124">
        <v>0.18548087638560562</v>
      </c>
      <c r="AS124">
        <v>1.272812384449395</v>
      </c>
      <c r="AT124" t="e">
        <v>#DIV/0!</v>
      </c>
      <c r="AU124" t="e">
        <v>#DIV/0!</v>
      </c>
      <c r="AV124"/>
      <c r="AW124"/>
      <c r="AX124" s="146"/>
      <c r="AY124" s="76">
        <f t="shared" ca="1" si="88"/>
        <v>0.65071633730937783</v>
      </c>
      <c r="AZ124">
        <v>7</v>
      </c>
      <c r="BA124" s="129">
        <f t="shared" si="131"/>
        <v>39747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 s="147"/>
      <c r="CH124" s="176"/>
      <c r="CJ124" s="146"/>
      <c r="CK124" s="76">
        <f t="shared" ca="1" si="90"/>
        <v>0.91710892607552674</v>
      </c>
      <c r="CL124" s="179">
        <f t="shared" si="91"/>
        <v>7</v>
      </c>
      <c r="CM124" s="180">
        <f t="shared" si="92"/>
        <v>39747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 s="160"/>
      <c r="CW124" s="178">
        <v>1</v>
      </c>
      <c r="CX124">
        <f>350/49</f>
        <v>7.1428571428571432</v>
      </c>
      <c r="CY124" s="164"/>
      <c r="CZ124" s="177">
        <f t="shared" si="93"/>
        <v>9.6000000000000002E-2</v>
      </c>
      <c r="DB124" s="146"/>
      <c r="DC124" s="76">
        <f t="shared" ca="1" si="51"/>
        <v>0.42419847910820274</v>
      </c>
      <c r="DD124">
        <f t="shared" si="94"/>
        <v>7</v>
      </c>
      <c r="DE124" s="129">
        <f t="shared" si="130"/>
        <v>39747</v>
      </c>
      <c r="DF124" s="161">
        <f t="shared" si="95"/>
        <v>0</v>
      </c>
      <c r="DG124" s="161">
        <f t="shared" si="96"/>
        <v>0</v>
      </c>
      <c r="DH124" s="161">
        <f t="shared" si="97"/>
        <v>0</v>
      </c>
      <c r="DI124" s="161">
        <f t="shared" si="98"/>
        <v>0</v>
      </c>
      <c r="DJ124" s="161">
        <f t="shared" si="99"/>
        <v>0</v>
      </c>
      <c r="DK124" s="161">
        <f t="shared" si="100"/>
        <v>0</v>
      </c>
      <c r="DL124" s="161">
        <f t="shared" si="101"/>
        <v>0</v>
      </c>
      <c r="DM124" s="161">
        <f t="shared" si="102"/>
        <v>0</v>
      </c>
      <c r="DN124" s="161">
        <f t="shared" si="103"/>
        <v>0</v>
      </c>
      <c r="DO124" s="161">
        <f t="shared" si="104"/>
        <v>0</v>
      </c>
      <c r="DP124" s="161">
        <f t="shared" si="105"/>
        <v>0</v>
      </c>
      <c r="DQ124" s="161">
        <f t="shared" si="106"/>
        <v>0</v>
      </c>
      <c r="DR124" s="161">
        <f t="shared" si="107"/>
        <v>0</v>
      </c>
      <c r="DS124" s="161">
        <f t="shared" si="108"/>
        <v>0</v>
      </c>
      <c r="DT124" s="161">
        <f t="shared" si="109"/>
        <v>0</v>
      </c>
      <c r="DU124" s="161">
        <f t="shared" si="110"/>
        <v>0</v>
      </c>
      <c r="DV124" s="161">
        <f t="shared" si="111"/>
        <v>0</v>
      </c>
      <c r="DW124" s="161">
        <f t="shared" si="112"/>
        <v>0</v>
      </c>
      <c r="DX124" s="161">
        <f t="shared" si="113"/>
        <v>0</v>
      </c>
      <c r="DY124" s="161">
        <f t="shared" si="114"/>
        <v>0</v>
      </c>
      <c r="DZ124" s="161">
        <f t="shared" si="115"/>
        <v>0</v>
      </c>
      <c r="EA124" s="161">
        <f t="shared" si="116"/>
        <v>0</v>
      </c>
      <c r="EB124" s="161">
        <f t="shared" si="117"/>
        <v>0</v>
      </c>
      <c r="EC124" s="161">
        <f t="shared" si="118"/>
        <v>0</v>
      </c>
      <c r="ED124" s="161">
        <f t="shared" si="119"/>
        <v>0</v>
      </c>
      <c r="EE124" s="161">
        <f t="shared" si="120"/>
        <v>0</v>
      </c>
      <c r="EF124" s="161">
        <f t="shared" si="121"/>
        <v>0</v>
      </c>
      <c r="EG124" s="161">
        <f t="shared" si="122"/>
        <v>0</v>
      </c>
      <c r="EH124" s="161">
        <f t="shared" si="123"/>
        <v>0</v>
      </c>
      <c r="EI124" s="161">
        <f t="shared" si="124"/>
        <v>0</v>
      </c>
      <c r="EJ124" s="161">
        <f t="shared" si="125"/>
        <v>0</v>
      </c>
      <c r="EK124" s="147">
        <f t="shared" si="133"/>
        <v>0</v>
      </c>
      <c r="EL124" s="149"/>
      <c r="EN124" s="146"/>
      <c r="EO124" s="146"/>
      <c r="EP124" s="139">
        <f t="shared" si="134"/>
        <v>0</v>
      </c>
      <c r="EQ124" s="139">
        <f t="shared" si="135"/>
        <v>0</v>
      </c>
      <c r="ER124" s="139">
        <f t="shared" si="136"/>
        <v>0</v>
      </c>
      <c r="ES124" s="139">
        <f t="shared" si="137"/>
        <v>0</v>
      </c>
      <c r="ET124" s="139">
        <f t="shared" si="138"/>
        <v>0</v>
      </c>
      <c r="EU124" s="139">
        <f t="shared" si="139"/>
        <v>0</v>
      </c>
      <c r="EV124" s="139">
        <f t="shared" si="140"/>
        <v>0</v>
      </c>
      <c r="EW124" s="139">
        <f t="shared" si="141"/>
        <v>0</v>
      </c>
      <c r="EX124" s="139">
        <f t="shared" si="142"/>
        <v>0</v>
      </c>
      <c r="EY124" s="139">
        <f t="shared" si="143"/>
        <v>0</v>
      </c>
      <c r="EZ124" s="139">
        <f t="shared" si="144"/>
        <v>0</v>
      </c>
      <c r="FA124" s="139">
        <f t="shared" si="145"/>
        <v>0</v>
      </c>
      <c r="FB124" s="139">
        <f t="shared" si="146"/>
        <v>0</v>
      </c>
      <c r="FC124" s="139">
        <f t="shared" si="147"/>
        <v>0</v>
      </c>
      <c r="FD124" s="139">
        <f t="shared" si="148"/>
        <v>0</v>
      </c>
      <c r="FE124" s="139">
        <f t="shared" si="149"/>
        <v>0</v>
      </c>
      <c r="FF124" s="139">
        <f t="shared" si="150"/>
        <v>0</v>
      </c>
      <c r="FG124" s="139">
        <f t="shared" si="151"/>
        <v>0</v>
      </c>
      <c r="FH124" s="139">
        <f t="shared" si="152"/>
        <v>0</v>
      </c>
      <c r="FI124" s="139">
        <f t="shared" si="153"/>
        <v>0</v>
      </c>
      <c r="FJ124" s="139">
        <f t="shared" si="154"/>
        <v>0</v>
      </c>
      <c r="FK124" s="139">
        <f t="shared" si="155"/>
        <v>0</v>
      </c>
      <c r="FL124" s="139">
        <f t="shared" si="156"/>
        <v>0</v>
      </c>
      <c r="FM124" s="139">
        <f t="shared" si="157"/>
        <v>0</v>
      </c>
      <c r="FN124" s="139">
        <f t="shared" si="158"/>
        <v>0</v>
      </c>
      <c r="FO124" s="139">
        <f t="shared" si="159"/>
        <v>0</v>
      </c>
      <c r="FP124" s="139">
        <f t="shared" si="160"/>
        <v>0</v>
      </c>
      <c r="FQ124" s="139">
        <f t="shared" si="161"/>
        <v>0</v>
      </c>
      <c r="FR124" s="139">
        <f t="shared" si="162"/>
        <v>0</v>
      </c>
      <c r="FS124" s="139">
        <f t="shared" si="163"/>
        <v>0</v>
      </c>
      <c r="FT124" s="139">
        <f t="shared" si="164"/>
        <v>0</v>
      </c>
      <c r="FU124" s="148">
        <f t="shared" si="165"/>
        <v>0</v>
      </c>
      <c r="FV124" s="149"/>
      <c r="FY124" s="211">
        <v>119</v>
      </c>
      <c r="FZ124">
        <v>1.211821849944116</v>
      </c>
      <c r="GA124">
        <v>0.47460065171768845</v>
      </c>
      <c r="GB124">
        <v>6.282592274279708E-2</v>
      </c>
      <c r="GC124">
        <v>3.4819274958961192E-2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0.19484991557651796</v>
      </c>
      <c r="GJ124"/>
      <c r="GK124">
        <v>1.2196663643162684</v>
      </c>
      <c r="GL124">
        <v>0.40705572478708768</v>
      </c>
      <c r="GM124">
        <v>0.10493806523239137</v>
      </c>
      <c r="GN124">
        <v>0.10493806523239137</v>
      </c>
      <c r="GO124">
        <v>0</v>
      </c>
      <c r="GP124">
        <v>0</v>
      </c>
      <c r="GQ124">
        <v>0</v>
      </c>
      <c r="GR124">
        <v>0</v>
      </c>
      <c r="GS124">
        <v>0</v>
      </c>
      <c r="GT124">
        <v>0.26492088590973195</v>
      </c>
      <c r="GU124"/>
      <c r="GV124"/>
      <c r="GW124"/>
      <c r="GX124"/>
      <c r="GY124"/>
      <c r="GZ124"/>
      <c r="HA124"/>
      <c r="HB124"/>
      <c r="HC124"/>
    </row>
    <row r="125" spans="1:211" s="7" customFormat="1">
      <c r="A125" s="1"/>
      <c r="B125" s="76">
        <f t="shared" ca="1" si="132"/>
        <v>0.78842450887650628</v>
      </c>
      <c r="C125">
        <v>8</v>
      </c>
      <c r="D125">
        <v>39747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2.3281249999999996</v>
      </c>
      <c r="AO125">
        <v>0.28791706849830734</v>
      </c>
      <c r="AP125">
        <v>11.148212892145207</v>
      </c>
      <c r="AQ125">
        <v>1.8063197567587623</v>
      </c>
      <c r="AR125">
        <v>0.30380725332190178</v>
      </c>
      <c r="AS125">
        <v>1.8490360578196632</v>
      </c>
      <c r="AT125" t="e">
        <v>#DIV/0!</v>
      </c>
      <c r="AU125" t="e">
        <v>#DIV/0!</v>
      </c>
      <c r="AV125"/>
      <c r="AW125"/>
      <c r="AX125" s="146"/>
      <c r="AY125" s="76">
        <f t="shared" ca="1" si="88"/>
        <v>1.4920475174521997E-2</v>
      </c>
      <c r="AZ125">
        <v>8</v>
      </c>
      <c r="BA125" s="129">
        <f t="shared" si="131"/>
        <v>39747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 s="147"/>
      <c r="CH125" s="176"/>
      <c r="CJ125" s="146"/>
      <c r="CK125" s="76">
        <f t="shared" ca="1" si="90"/>
        <v>0.76248644389923892</v>
      </c>
      <c r="CL125" s="179">
        <f t="shared" si="91"/>
        <v>8</v>
      </c>
      <c r="CM125" s="180">
        <f t="shared" si="92"/>
        <v>39747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 s="160"/>
      <c r="CW125" s="178">
        <v>1</v>
      </c>
      <c r="CX125">
        <f>350/52</f>
        <v>6.7307692307692308</v>
      </c>
      <c r="CY125" s="164"/>
      <c r="CZ125" s="177">
        <f t="shared" si="93"/>
        <v>9.6000000000000002E-2</v>
      </c>
      <c r="DB125" s="146"/>
      <c r="DC125" s="76">
        <f t="shared" ca="1" si="51"/>
        <v>0.16324667037073959</v>
      </c>
      <c r="DD125">
        <f t="shared" si="94"/>
        <v>8</v>
      </c>
      <c r="DE125" s="129">
        <f t="shared" si="130"/>
        <v>39747</v>
      </c>
      <c r="DF125" s="161">
        <f t="shared" si="95"/>
        <v>0</v>
      </c>
      <c r="DG125" s="161">
        <f t="shared" si="96"/>
        <v>0</v>
      </c>
      <c r="DH125" s="161">
        <f t="shared" si="97"/>
        <v>0</v>
      </c>
      <c r="DI125" s="161">
        <f t="shared" si="98"/>
        <v>0</v>
      </c>
      <c r="DJ125" s="161">
        <f t="shared" si="99"/>
        <v>0</v>
      </c>
      <c r="DK125" s="161">
        <f t="shared" si="100"/>
        <v>0</v>
      </c>
      <c r="DL125" s="161">
        <f t="shared" si="101"/>
        <v>0</v>
      </c>
      <c r="DM125" s="161">
        <f t="shared" si="102"/>
        <v>0</v>
      </c>
      <c r="DN125" s="161">
        <f t="shared" si="103"/>
        <v>0</v>
      </c>
      <c r="DO125" s="161">
        <f t="shared" si="104"/>
        <v>0</v>
      </c>
      <c r="DP125" s="161">
        <f t="shared" si="105"/>
        <v>0</v>
      </c>
      <c r="DQ125" s="161">
        <f t="shared" si="106"/>
        <v>0</v>
      </c>
      <c r="DR125" s="161">
        <f t="shared" si="107"/>
        <v>0</v>
      </c>
      <c r="DS125" s="161">
        <f t="shared" si="108"/>
        <v>0</v>
      </c>
      <c r="DT125" s="161">
        <f t="shared" si="109"/>
        <v>0</v>
      </c>
      <c r="DU125" s="161">
        <f t="shared" si="110"/>
        <v>0</v>
      </c>
      <c r="DV125" s="161">
        <f t="shared" si="111"/>
        <v>0</v>
      </c>
      <c r="DW125" s="161">
        <f t="shared" si="112"/>
        <v>0</v>
      </c>
      <c r="DX125" s="161">
        <f t="shared" si="113"/>
        <v>0</v>
      </c>
      <c r="DY125" s="161">
        <f t="shared" si="114"/>
        <v>0</v>
      </c>
      <c r="DZ125" s="161">
        <f t="shared" si="115"/>
        <v>0</v>
      </c>
      <c r="EA125" s="161">
        <f t="shared" si="116"/>
        <v>0</v>
      </c>
      <c r="EB125" s="161">
        <f t="shared" si="117"/>
        <v>0</v>
      </c>
      <c r="EC125" s="161">
        <f t="shared" si="118"/>
        <v>0</v>
      </c>
      <c r="ED125" s="161">
        <f t="shared" si="119"/>
        <v>0</v>
      </c>
      <c r="EE125" s="161">
        <f t="shared" si="120"/>
        <v>0</v>
      </c>
      <c r="EF125" s="161">
        <f t="shared" si="121"/>
        <v>0</v>
      </c>
      <c r="EG125" s="161">
        <f t="shared" si="122"/>
        <v>0</v>
      </c>
      <c r="EH125" s="161">
        <f t="shared" si="123"/>
        <v>0</v>
      </c>
      <c r="EI125" s="161">
        <f t="shared" si="124"/>
        <v>0</v>
      </c>
      <c r="EJ125" s="161">
        <f t="shared" si="125"/>
        <v>0</v>
      </c>
      <c r="EK125" s="147">
        <f t="shared" si="133"/>
        <v>0</v>
      </c>
      <c r="EL125" s="149"/>
      <c r="EN125" s="146"/>
      <c r="EO125" s="146"/>
      <c r="EP125" s="139">
        <f t="shared" si="134"/>
        <v>0</v>
      </c>
      <c r="EQ125" s="139">
        <f t="shared" si="135"/>
        <v>0</v>
      </c>
      <c r="ER125" s="139">
        <f t="shared" si="136"/>
        <v>0</v>
      </c>
      <c r="ES125" s="139">
        <f t="shared" si="137"/>
        <v>0</v>
      </c>
      <c r="ET125" s="139">
        <f t="shared" si="138"/>
        <v>0</v>
      </c>
      <c r="EU125" s="139">
        <f t="shared" si="139"/>
        <v>0</v>
      </c>
      <c r="EV125" s="139">
        <f t="shared" si="140"/>
        <v>0</v>
      </c>
      <c r="EW125" s="139">
        <f t="shared" si="141"/>
        <v>0</v>
      </c>
      <c r="EX125" s="139">
        <f t="shared" si="142"/>
        <v>0</v>
      </c>
      <c r="EY125" s="139">
        <f t="shared" si="143"/>
        <v>0</v>
      </c>
      <c r="EZ125" s="139">
        <f t="shared" si="144"/>
        <v>0</v>
      </c>
      <c r="FA125" s="139">
        <f t="shared" si="145"/>
        <v>0</v>
      </c>
      <c r="FB125" s="139">
        <f t="shared" si="146"/>
        <v>0</v>
      </c>
      <c r="FC125" s="139">
        <f t="shared" si="147"/>
        <v>0</v>
      </c>
      <c r="FD125" s="139">
        <f t="shared" si="148"/>
        <v>0</v>
      </c>
      <c r="FE125" s="139">
        <f t="shared" si="149"/>
        <v>0</v>
      </c>
      <c r="FF125" s="139">
        <f t="shared" si="150"/>
        <v>0</v>
      </c>
      <c r="FG125" s="139">
        <f t="shared" si="151"/>
        <v>0</v>
      </c>
      <c r="FH125" s="139">
        <f t="shared" si="152"/>
        <v>0</v>
      </c>
      <c r="FI125" s="139">
        <f t="shared" si="153"/>
        <v>0</v>
      </c>
      <c r="FJ125" s="139">
        <f t="shared" si="154"/>
        <v>0</v>
      </c>
      <c r="FK125" s="139">
        <f t="shared" si="155"/>
        <v>0</v>
      </c>
      <c r="FL125" s="139">
        <f t="shared" si="156"/>
        <v>0</v>
      </c>
      <c r="FM125" s="139">
        <f t="shared" si="157"/>
        <v>0</v>
      </c>
      <c r="FN125" s="139">
        <f t="shared" si="158"/>
        <v>0</v>
      </c>
      <c r="FO125" s="139">
        <f t="shared" si="159"/>
        <v>0</v>
      </c>
      <c r="FP125" s="139">
        <f t="shared" si="160"/>
        <v>0</v>
      </c>
      <c r="FQ125" s="139">
        <f t="shared" si="161"/>
        <v>0</v>
      </c>
      <c r="FR125" s="139">
        <f t="shared" si="162"/>
        <v>0</v>
      </c>
      <c r="FS125" s="139">
        <f t="shared" si="163"/>
        <v>0</v>
      </c>
      <c r="FT125" s="139">
        <f t="shared" si="164"/>
        <v>0</v>
      </c>
      <c r="FU125" s="148">
        <f t="shared" si="165"/>
        <v>0</v>
      </c>
      <c r="FV125" s="149"/>
      <c r="FY125" s="211">
        <v>120</v>
      </c>
      <c r="FZ125">
        <v>0.90709060300997169</v>
      </c>
      <c r="GA125">
        <v>8.725047411847664E-2</v>
      </c>
      <c r="GB125">
        <v>7.9203986612074825E-2</v>
      </c>
      <c r="GC125">
        <v>4.4138825651920163E-2</v>
      </c>
      <c r="GD125">
        <v>0</v>
      </c>
      <c r="GE125">
        <v>0</v>
      </c>
      <c r="GF125">
        <v>0.33021050058332063</v>
      </c>
      <c r="GG125">
        <v>0.29759236750664797</v>
      </c>
      <c r="GH125">
        <v>0</v>
      </c>
      <c r="GI125">
        <v>0.21789778845051189</v>
      </c>
      <c r="GJ125"/>
      <c r="GK125">
        <v>0.9082767379737704</v>
      </c>
      <c r="GL125">
        <v>7.3740509229249462E-2</v>
      </c>
      <c r="GM125">
        <v>0.13091770120800852</v>
      </c>
      <c r="GN125">
        <v>0.13091770120800852</v>
      </c>
      <c r="GO125">
        <v>0</v>
      </c>
      <c r="GP125">
        <v>0</v>
      </c>
      <c r="GQ125">
        <v>0.45369793096285549</v>
      </c>
      <c r="GR125">
        <v>0.45369793096285549</v>
      </c>
      <c r="GS125">
        <v>0</v>
      </c>
      <c r="GT125">
        <v>0.2985784740289269</v>
      </c>
      <c r="GU125"/>
      <c r="GV125"/>
      <c r="GW125"/>
      <c r="GX125"/>
      <c r="GY125"/>
      <c r="GZ125"/>
      <c r="HA125"/>
      <c r="HB125"/>
      <c r="HC125"/>
    </row>
    <row r="126" spans="1:211" s="7" customFormat="1">
      <c r="A126" s="1"/>
      <c r="B126" s="76">
        <f t="shared" ca="1" si="132"/>
        <v>0.96755147312844492</v>
      </c>
      <c r="C126">
        <v>10</v>
      </c>
      <c r="D126">
        <v>39747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2.0708333333333337</v>
      </c>
      <c r="AO126">
        <v>0.18179000342357579</v>
      </c>
      <c r="AP126">
        <v>3.3567711813074093</v>
      </c>
      <c r="AQ126">
        <v>1.690594417471575</v>
      </c>
      <c r="AR126">
        <v>0.22994112557425467</v>
      </c>
      <c r="AS126">
        <v>2.0701738799549916</v>
      </c>
      <c r="AT126" t="e">
        <v>#DIV/0!</v>
      </c>
      <c r="AU126" t="e">
        <v>#DIV/0!</v>
      </c>
      <c r="AV126"/>
      <c r="AW126"/>
      <c r="AX126" s="146"/>
      <c r="AY126" s="76">
        <f t="shared" ca="1" si="88"/>
        <v>0.16923851290896241</v>
      </c>
      <c r="AZ126">
        <v>9</v>
      </c>
      <c r="BA126" s="129">
        <f t="shared" si="131"/>
        <v>39747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 s="147"/>
      <c r="CH126" s="176"/>
      <c r="CJ126" s="146"/>
      <c r="CK126" s="76">
        <f t="shared" ca="1" si="90"/>
        <v>0.24559254632870431</v>
      </c>
      <c r="CL126" s="179">
        <f t="shared" si="91"/>
        <v>9</v>
      </c>
      <c r="CM126" s="180">
        <f t="shared" si="92"/>
        <v>39747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 s="160"/>
      <c r="CW126" s="178">
        <v>1</v>
      </c>
      <c r="CX126">
        <f>350/41</f>
        <v>8.536585365853659</v>
      </c>
      <c r="CY126" s="164"/>
      <c r="CZ126" s="177">
        <f t="shared" si="93"/>
        <v>9.6000000000000002E-2</v>
      </c>
      <c r="DB126" s="146"/>
      <c r="DC126" s="76">
        <f t="shared" ca="1" si="51"/>
        <v>0.1345774246605993</v>
      </c>
      <c r="DD126">
        <f t="shared" si="94"/>
        <v>9</v>
      </c>
      <c r="DE126" s="129">
        <f t="shared" si="130"/>
        <v>39747</v>
      </c>
      <c r="DF126" s="161">
        <f t="shared" si="95"/>
        <v>0</v>
      </c>
      <c r="DG126" s="161">
        <f t="shared" si="96"/>
        <v>0</v>
      </c>
      <c r="DH126" s="161">
        <f t="shared" si="97"/>
        <v>0</v>
      </c>
      <c r="DI126" s="161">
        <f t="shared" si="98"/>
        <v>0</v>
      </c>
      <c r="DJ126" s="161">
        <f t="shared" si="99"/>
        <v>0</v>
      </c>
      <c r="DK126" s="161">
        <f t="shared" si="100"/>
        <v>0</v>
      </c>
      <c r="DL126" s="161">
        <f t="shared" si="101"/>
        <v>0</v>
      </c>
      <c r="DM126" s="161">
        <f t="shared" si="102"/>
        <v>0</v>
      </c>
      <c r="DN126" s="161">
        <f t="shared" si="103"/>
        <v>0</v>
      </c>
      <c r="DO126" s="161">
        <f t="shared" si="104"/>
        <v>0</v>
      </c>
      <c r="DP126" s="161">
        <f t="shared" si="105"/>
        <v>0</v>
      </c>
      <c r="DQ126" s="161">
        <f t="shared" si="106"/>
        <v>0</v>
      </c>
      <c r="DR126" s="161">
        <f t="shared" si="107"/>
        <v>0</v>
      </c>
      <c r="DS126" s="161">
        <f t="shared" si="108"/>
        <v>0</v>
      </c>
      <c r="DT126" s="161">
        <f t="shared" si="109"/>
        <v>0</v>
      </c>
      <c r="DU126" s="161">
        <f t="shared" si="110"/>
        <v>0</v>
      </c>
      <c r="DV126" s="161">
        <f t="shared" si="111"/>
        <v>0</v>
      </c>
      <c r="DW126" s="161">
        <f t="shared" si="112"/>
        <v>0</v>
      </c>
      <c r="DX126" s="161">
        <f t="shared" si="113"/>
        <v>0</v>
      </c>
      <c r="DY126" s="161">
        <f t="shared" si="114"/>
        <v>0</v>
      </c>
      <c r="DZ126" s="161">
        <f t="shared" si="115"/>
        <v>0</v>
      </c>
      <c r="EA126" s="161">
        <f t="shared" si="116"/>
        <v>0</v>
      </c>
      <c r="EB126" s="161">
        <f t="shared" si="117"/>
        <v>0</v>
      </c>
      <c r="EC126" s="161">
        <f t="shared" si="118"/>
        <v>0</v>
      </c>
      <c r="ED126" s="161">
        <f t="shared" si="119"/>
        <v>0</v>
      </c>
      <c r="EE126" s="161">
        <f t="shared" si="120"/>
        <v>0</v>
      </c>
      <c r="EF126" s="161">
        <f t="shared" si="121"/>
        <v>0</v>
      </c>
      <c r="EG126" s="161">
        <f t="shared" si="122"/>
        <v>0</v>
      </c>
      <c r="EH126" s="161">
        <f t="shared" si="123"/>
        <v>0</v>
      </c>
      <c r="EI126" s="161">
        <f t="shared" si="124"/>
        <v>0</v>
      </c>
      <c r="EJ126" s="161">
        <f t="shared" si="125"/>
        <v>0</v>
      </c>
      <c r="EK126" s="147">
        <f t="shared" si="133"/>
        <v>0</v>
      </c>
      <c r="EL126" s="149"/>
      <c r="EN126" s="146"/>
      <c r="EO126" s="146"/>
      <c r="EP126" s="139">
        <f t="shared" si="134"/>
        <v>0</v>
      </c>
      <c r="EQ126" s="139">
        <f t="shared" si="135"/>
        <v>0</v>
      </c>
      <c r="ER126" s="139">
        <f t="shared" si="136"/>
        <v>0</v>
      </c>
      <c r="ES126" s="139">
        <f t="shared" si="137"/>
        <v>0</v>
      </c>
      <c r="ET126" s="139">
        <f t="shared" si="138"/>
        <v>0</v>
      </c>
      <c r="EU126" s="139">
        <f t="shared" si="139"/>
        <v>0</v>
      </c>
      <c r="EV126" s="139">
        <f t="shared" si="140"/>
        <v>0</v>
      </c>
      <c r="EW126" s="139">
        <f t="shared" si="141"/>
        <v>0</v>
      </c>
      <c r="EX126" s="139">
        <f t="shared" si="142"/>
        <v>0</v>
      </c>
      <c r="EY126" s="139">
        <f t="shared" si="143"/>
        <v>0</v>
      </c>
      <c r="EZ126" s="139">
        <f t="shared" si="144"/>
        <v>0</v>
      </c>
      <c r="FA126" s="139">
        <f t="shared" si="145"/>
        <v>0</v>
      </c>
      <c r="FB126" s="139">
        <f t="shared" si="146"/>
        <v>0</v>
      </c>
      <c r="FC126" s="139">
        <f t="shared" si="147"/>
        <v>0</v>
      </c>
      <c r="FD126" s="139">
        <f t="shared" si="148"/>
        <v>0</v>
      </c>
      <c r="FE126" s="139">
        <f t="shared" si="149"/>
        <v>0</v>
      </c>
      <c r="FF126" s="139">
        <f t="shared" si="150"/>
        <v>0</v>
      </c>
      <c r="FG126" s="139">
        <f t="shared" si="151"/>
        <v>0</v>
      </c>
      <c r="FH126" s="139">
        <f t="shared" si="152"/>
        <v>0</v>
      </c>
      <c r="FI126" s="139">
        <f t="shared" si="153"/>
        <v>0</v>
      </c>
      <c r="FJ126" s="139">
        <f t="shared" si="154"/>
        <v>0</v>
      </c>
      <c r="FK126" s="139">
        <f t="shared" si="155"/>
        <v>0</v>
      </c>
      <c r="FL126" s="139">
        <f t="shared" si="156"/>
        <v>0</v>
      </c>
      <c r="FM126" s="139">
        <f t="shared" si="157"/>
        <v>0</v>
      </c>
      <c r="FN126" s="139">
        <f t="shared" si="158"/>
        <v>0</v>
      </c>
      <c r="FO126" s="139">
        <f t="shared" si="159"/>
        <v>0</v>
      </c>
      <c r="FP126" s="139">
        <f t="shared" si="160"/>
        <v>0</v>
      </c>
      <c r="FQ126" s="139">
        <f t="shared" si="161"/>
        <v>0</v>
      </c>
      <c r="FR126" s="139">
        <f t="shared" si="162"/>
        <v>0</v>
      </c>
      <c r="FS126" s="139">
        <f t="shared" si="163"/>
        <v>0</v>
      </c>
      <c r="FT126" s="139">
        <f t="shared" si="164"/>
        <v>0</v>
      </c>
      <c r="FU126" s="148">
        <f t="shared" si="165"/>
        <v>0</v>
      </c>
      <c r="FV126" s="149"/>
      <c r="FY126" s="211">
        <v>121</v>
      </c>
      <c r="FZ126">
        <v>1.459645753000252</v>
      </c>
      <c r="GA126">
        <v>1.2493010069161121</v>
      </c>
      <c r="GB126">
        <v>0.22123389596694673</v>
      </c>
      <c r="GC126">
        <v>0.1579162012217627</v>
      </c>
      <c r="GD126">
        <v>2.6724553773673727E-2</v>
      </c>
      <c r="GE126">
        <v>0</v>
      </c>
      <c r="GF126">
        <v>0</v>
      </c>
      <c r="GG126">
        <v>0</v>
      </c>
      <c r="GH126">
        <v>0</v>
      </c>
      <c r="GI126">
        <v>0.28571814946622254</v>
      </c>
      <c r="GJ126"/>
      <c r="GK126">
        <v>1.4719394680317226</v>
      </c>
      <c r="GL126">
        <v>1.073686155902764</v>
      </c>
      <c r="GM126">
        <v>0.3667734676484084</v>
      </c>
      <c r="GN126">
        <v>0.47171153288079981</v>
      </c>
      <c r="GO126">
        <v>0.10493806523239137</v>
      </c>
      <c r="GP126">
        <v>0</v>
      </c>
      <c r="GQ126">
        <v>0</v>
      </c>
      <c r="GR126">
        <v>0</v>
      </c>
      <c r="GS126">
        <v>0</v>
      </c>
      <c r="GT126">
        <v>0.38873020018250448</v>
      </c>
      <c r="GU126"/>
      <c r="GV126"/>
      <c r="GW126"/>
      <c r="GX126"/>
      <c r="GY126"/>
      <c r="GZ126"/>
      <c r="HA126"/>
      <c r="HB126"/>
      <c r="HC126"/>
    </row>
    <row r="127" spans="1:211" s="7" customFormat="1">
      <c r="A127" s="1"/>
      <c r="B127" s="76">
        <f t="shared" ca="1" si="132"/>
        <v>0.95978880090922836</v>
      </c>
      <c r="C127">
        <v>9</v>
      </c>
      <c r="D127">
        <v>39747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2.0729166666666661</v>
      </c>
      <c r="AO127">
        <v>0.281753797983196</v>
      </c>
      <c r="AP127">
        <v>7.4871148318667506</v>
      </c>
      <c r="AQ127">
        <v>2.1930657969582716</v>
      </c>
      <c r="AR127">
        <v>0.34670390152917874</v>
      </c>
      <c r="AS127">
        <v>2.0243517397722282</v>
      </c>
      <c r="AT127" t="e">
        <v>#DIV/0!</v>
      </c>
      <c r="AU127" t="e">
        <v>#DIV/0!</v>
      </c>
      <c r="AV127"/>
      <c r="AW127"/>
      <c r="AX127" s="146"/>
      <c r="AY127" s="76">
        <f t="shared" ca="1" si="88"/>
        <v>7.7635443254669312E-2</v>
      </c>
      <c r="AZ127">
        <v>10</v>
      </c>
      <c r="BA127" s="129">
        <f t="shared" si="131"/>
        <v>39747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 s="147"/>
      <c r="CH127" s="176"/>
      <c r="CJ127" s="146"/>
      <c r="CK127" s="76">
        <f t="shared" ca="1" si="90"/>
        <v>9.4480516682246218E-2</v>
      </c>
      <c r="CL127" s="179">
        <f t="shared" si="91"/>
        <v>10</v>
      </c>
      <c r="CM127" s="180">
        <f t="shared" si="92"/>
        <v>39747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 s="160"/>
      <c r="CW127" s="178">
        <v>1</v>
      </c>
      <c r="CX127">
        <f>350/56</f>
        <v>6.25</v>
      </c>
      <c r="CY127" s="164"/>
      <c r="CZ127" s="177">
        <f t="shared" si="93"/>
        <v>9.6000000000000002E-2</v>
      </c>
      <c r="DB127" s="146"/>
      <c r="DC127" s="76">
        <f t="shared" ca="1" si="51"/>
        <v>0.24235177974969346</v>
      </c>
      <c r="DD127">
        <f t="shared" si="94"/>
        <v>10</v>
      </c>
      <c r="DE127" s="129">
        <f t="shared" si="130"/>
        <v>39747</v>
      </c>
      <c r="DF127" s="161">
        <f t="shared" si="95"/>
        <v>0</v>
      </c>
      <c r="DG127" s="161">
        <f t="shared" si="96"/>
        <v>0</v>
      </c>
      <c r="DH127" s="161">
        <f t="shared" si="97"/>
        <v>0</v>
      </c>
      <c r="DI127" s="161">
        <f t="shared" si="98"/>
        <v>0</v>
      </c>
      <c r="DJ127" s="161">
        <f t="shared" si="99"/>
        <v>0</v>
      </c>
      <c r="DK127" s="161">
        <f t="shared" si="100"/>
        <v>0</v>
      </c>
      <c r="DL127" s="161">
        <f t="shared" si="101"/>
        <v>0</v>
      </c>
      <c r="DM127" s="161">
        <f t="shared" si="102"/>
        <v>0</v>
      </c>
      <c r="DN127" s="161">
        <f t="shared" si="103"/>
        <v>0</v>
      </c>
      <c r="DO127" s="161">
        <f t="shared" si="104"/>
        <v>0</v>
      </c>
      <c r="DP127" s="161">
        <f t="shared" si="105"/>
        <v>0</v>
      </c>
      <c r="DQ127" s="161">
        <f t="shared" si="106"/>
        <v>0</v>
      </c>
      <c r="DR127" s="161">
        <f t="shared" si="107"/>
        <v>0</v>
      </c>
      <c r="DS127" s="161">
        <f t="shared" si="108"/>
        <v>0</v>
      </c>
      <c r="DT127" s="161">
        <f t="shared" si="109"/>
        <v>0</v>
      </c>
      <c r="DU127" s="161">
        <f t="shared" si="110"/>
        <v>0</v>
      </c>
      <c r="DV127" s="161">
        <f t="shared" si="111"/>
        <v>0</v>
      </c>
      <c r="DW127" s="161">
        <f t="shared" si="112"/>
        <v>0</v>
      </c>
      <c r="DX127" s="161">
        <f t="shared" si="113"/>
        <v>0</v>
      </c>
      <c r="DY127" s="161">
        <f t="shared" si="114"/>
        <v>0</v>
      </c>
      <c r="DZ127" s="161">
        <f t="shared" si="115"/>
        <v>0</v>
      </c>
      <c r="EA127" s="161">
        <f t="shared" si="116"/>
        <v>0</v>
      </c>
      <c r="EB127" s="161">
        <f t="shared" si="117"/>
        <v>0</v>
      </c>
      <c r="EC127" s="161">
        <f t="shared" si="118"/>
        <v>0</v>
      </c>
      <c r="ED127" s="161">
        <f t="shared" si="119"/>
        <v>0</v>
      </c>
      <c r="EE127" s="161">
        <f t="shared" si="120"/>
        <v>0</v>
      </c>
      <c r="EF127" s="161">
        <f t="shared" si="121"/>
        <v>0</v>
      </c>
      <c r="EG127" s="161">
        <f t="shared" si="122"/>
        <v>0</v>
      </c>
      <c r="EH127" s="161">
        <f t="shared" si="123"/>
        <v>0</v>
      </c>
      <c r="EI127" s="161">
        <f t="shared" si="124"/>
        <v>0</v>
      </c>
      <c r="EJ127" s="161">
        <f t="shared" si="125"/>
        <v>0</v>
      </c>
      <c r="EK127" s="147">
        <f t="shared" si="133"/>
        <v>0</v>
      </c>
      <c r="EL127" s="149"/>
      <c r="EN127" s="146"/>
      <c r="EO127" s="146"/>
      <c r="EP127" s="139">
        <f t="shared" si="134"/>
        <v>0</v>
      </c>
      <c r="EQ127" s="139">
        <f t="shared" si="135"/>
        <v>0</v>
      </c>
      <c r="ER127" s="139">
        <f t="shared" si="136"/>
        <v>0</v>
      </c>
      <c r="ES127" s="139">
        <f t="shared" si="137"/>
        <v>0</v>
      </c>
      <c r="ET127" s="139">
        <f t="shared" si="138"/>
        <v>0</v>
      </c>
      <c r="EU127" s="139">
        <f t="shared" si="139"/>
        <v>0</v>
      </c>
      <c r="EV127" s="139">
        <f t="shared" si="140"/>
        <v>0</v>
      </c>
      <c r="EW127" s="139">
        <f t="shared" si="141"/>
        <v>0</v>
      </c>
      <c r="EX127" s="139">
        <f t="shared" si="142"/>
        <v>0</v>
      </c>
      <c r="EY127" s="139">
        <f t="shared" si="143"/>
        <v>0</v>
      </c>
      <c r="EZ127" s="139">
        <f t="shared" si="144"/>
        <v>0</v>
      </c>
      <c r="FA127" s="139">
        <f t="shared" si="145"/>
        <v>0</v>
      </c>
      <c r="FB127" s="139">
        <f t="shared" si="146"/>
        <v>0</v>
      </c>
      <c r="FC127" s="139">
        <f t="shared" si="147"/>
        <v>0</v>
      </c>
      <c r="FD127" s="139">
        <f t="shared" si="148"/>
        <v>0</v>
      </c>
      <c r="FE127" s="139">
        <f t="shared" si="149"/>
        <v>0</v>
      </c>
      <c r="FF127" s="139">
        <f t="shared" si="150"/>
        <v>0</v>
      </c>
      <c r="FG127" s="139">
        <f t="shared" si="151"/>
        <v>0</v>
      </c>
      <c r="FH127" s="139">
        <f t="shared" si="152"/>
        <v>0</v>
      </c>
      <c r="FI127" s="139">
        <f t="shared" si="153"/>
        <v>0</v>
      </c>
      <c r="FJ127" s="139">
        <f t="shared" si="154"/>
        <v>0</v>
      </c>
      <c r="FK127" s="139">
        <f t="shared" si="155"/>
        <v>0</v>
      </c>
      <c r="FL127" s="139">
        <f t="shared" si="156"/>
        <v>0</v>
      </c>
      <c r="FM127" s="139">
        <f t="shared" si="157"/>
        <v>0</v>
      </c>
      <c r="FN127" s="139">
        <f t="shared" si="158"/>
        <v>0</v>
      </c>
      <c r="FO127" s="139">
        <f t="shared" si="159"/>
        <v>0</v>
      </c>
      <c r="FP127" s="139">
        <f t="shared" si="160"/>
        <v>0</v>
      </c>
      <c r="FQ127" s="139">
        <f t="shared" si="161"/>
        <v>0</v>
      </c>
      <c r="FR127" s="139">
        <f t="shared" si="162"/>
        <v>0</v>
      </c>
      <c r="FS127" s="139">
        <f t="shared" si="163"/>
        <v>0</v>
      </c>
      <c r="FT127" s="139">
        <f t="shared" si="164"/>
        <v>0</v>
      </c>
      <c r="FU127" s="148">
        <f t="shared" si="165"/>
        <v>0</v>
      </c>
      <c r="FV127" s="149"/>
      <c r="FY127" s="211">
        <v>122</v>
      </c>
      <c r="FZ127">
        <v>1.0425454135176739</v>
      </c>
      <c r="GA127">
        <v>0.47460065171768845</v>
      </c>
      <c r="GB127">
        <v>0</v>
      </c>
      <c r="GC127">
        <v>3.4819274958961192E-2</v>
      </c>
      <c r="GD127">
        <v>2.6724553773673727E-2</v>
      </c>
      <c r="GE127">
        <v>0</v>
      </c>
      <c r="GF127">
        <v>0.33021050058332063</v>
      </c>
      <c r="GG127">
        <v>0.29759236750664797</v>
      </c>
      <c r="GH127">
        <v>0</v>
      </c>
      <c r="GI127">
        <v>0.23388940816910367</v>
      </c>
      <c r="GJ127"/>
      <c r="GK127">
        <v>1.0484592154442445</v>
      </c>
      <c r="GL127">
        <v>0.40705572478708768</v>
      </c>
      <c r="GM127">
        <v>0</v>
      </c>
      <c r="GN127">
        <v>0.10493806523239137</v>
      </c>
      <c r="GO127">
        <v>0.10493806523239137</v>
      </c>
      <c r="GP127">
        <v>0</v>
      </c>
      <c r="GQ127">
        <v>0.45369793096285549</v>
      </c>
      <c r="GR127">
        <v>0.45369793096285549</v>
      </c>
      <c r="GS127">
        <v>0</v>
      </c>
      <c r="GT127">
        <v>0.32141904232789825</v>
      </c>
      <c r="GU127"/>
      <c r="GV127"/>
      <c r="GW127"/>
      <c r="GX127"/>
      <c r="GY127"/>
      <c r="GZ127"/>
      <c r="HA127"/>
      <c r="HB127"/>
      <c r="HC127"/>
    </row>
    <row r="128" spans="1:211" s="7" customFormat="1">
      <c r="A128" s="128"/>
      <c r="B128" s="76">
        <f t="shared" ca="1" si="132"/>
        <v>0.75784108167446029</v>
      </c>
      <c r="C128">
        <v>6</v>
      </c>
      <c r="D128">
        <v>39775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2.8885416666666668</v>
      </c>
      <c r="AO128">
        <v>0.46625498643782687</v>
      </c>
      <c r="AP128">
        <v>17.662171857808552</v>
      </c>
      <c r="AQ128">
        <v>3.6064745812988259</v>
      </c>
      <c r="AR128">
        <v>0.51350749253698824</v>
      </c>
      <c r="AS128">
        <v>2.4554209968834879</v>
      </c>
      <c r="AT128" t="e">
        <v>#DIV/0!</v>
      </c>
      <c r="AU128" t="e">
        <v>#DIV/0!</v>
      </c>
      <c r="AV128"/>
      <c r="AW128"/>
      <c r="AX128" s="128"/>
      <c r="AY128" s="76">
        <f t="shared" ca="1" si="88"/>
        <v>0.79655412256071578</v>
      </c>
      <c r="AZ128">
        <v>1</v>
      </c>
      <c r="BA128" s="129">
        <f>IF(AZ128="", "",$C$8)</f>
        <v>39775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 s="147"/>
      <c r="CH128" s="176"/>
      <c r="CJ128" s="128"/>
      <c r="CK128" s="76">
        <f t="shared" ca="1" si="90"/>
        <v>0.55174564463432163</v>
      </c>
      <c r="CL128" s="179">
        <f t="shared" si="91"/>
        <v>1</v>
      </c>
      <c r="CM128" s="180">
        <f t="shared" si="92"/>
        <v>39775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 s="160"/>
      <c r="CW128">
        <f>40/13</f>
        <v>3.0769230769230771</v>
      </c>
      <c r="CX128">
        <f>21/10</f>
        <v>2.1</v>
      </c>
      <c r="CY128" s="160"/>
      <c r="CZ128" s="177">
        <f t="shared" si="93"/>
        <v>9.6000000000000002E-2</v>
      </c>
      <c r="DB128" s="128"/>
      <c r="DC128" s="76">
        <f t="shared" ca="1" si="51"/>
        <v>0.88243218628100717</v>
      </c>
      <c r="DD128">
        <f t="shared" si="94"/>
        <v>1</v>
      </c>
      <c r="DE128" s="129">
        <f t="shared" ref="DE128:DE137" si="166">IF((DD128)="", "", $C$8)</f>
        <v>39775</v>
      </c>
      <c r="DF128" s="161">
        <f t="shared" si="95"/>
        <v>0</v>
      </c>
      <c r="DG128" s="161">
        <f t="shared" si="96"/>
        <v>0</v>
      </c>
      <c r="DH128" s="161">
        <f t="shared" si="97"/>
        <v>0</v>
      </c>
      <c r="DI128" s="161">
        <f t="shared" si="98"/>
        <v>0</v>
      </c>
      <c r="DJ128" s="161">
        <f t="shared" si="99"/>
        <v>0</v>
      </c>
      <c r="DK128" s="161">
        <f t="shared" si="100"/>
        <v>0</v>
      </c>
      <c r="DL128" s="161">
        <f t="shared" si="101"/>
        <v>0</v>
      </c>
      <c r="DM128" s="161">
        <f t="shared" si="102"/>
        <v>0</v>
      </c>
      <c r="DN128" s="161">
        <f t="shared" si="103"/>
        <v>0</v>
      </c>
      <c r="DO128" s="161">
        <f t="shared" si="104"/>
        <v>0</v>
      </c>
      <c r="DP128" s="161">
        <f t="shared" si="105"/>
        <v>0</v>
      </c>
      <c r="DQ128" s="161">
        <f t="shared" si="106"/>
        <v>0</v>
      </c>
      <c r="DR128" s="161">
        <f t="shared" si="107"/>
        <v>0</v>
      </c>
      <c r="DS128" s="161">
        <f t="shared" si="108"/>
        <v>0</v>
      </c>
      <c r="DT128" s="161">
        <f t="shared" si="109"/>
        <v>0</v>
      </c>
      <c r="DU128" s="161">
        <f t="shared" si="110"/>
        <v>0</v>
      </c>
      <c r="DV128" s="161">
        <f t="shared" si="111"/>
        <v>0</v>
      </c>
      <c r="DW128" s="161">
        <f t="shared" si="112"/>
        <v>0</v>
      </c>
      <c r="DX128" s="161">
        <f t="shared" si="113"/>
        <v>0</v>
      </c>
      <c r="DY128" s="161">
        <f t="shared" si="114"/>
        <v>0</v>
      </c>
      <c r="DZ128" s="161">
        <f t="shared" si="115"/>
        <v>0</v>
      </c>
      <c r="EA128" s="161">
        <f t="shared" si="116"/>
        <v>0</v>
      </c>
      <c r="EB128" s="161">
        <f t="shared" si="117"/>
        <v>0</v>
      </c>
      <c r="EC128" s="161">
        <f t="shared" si="118"/>
        <v>0</v>
      </c>
      <c r="ED128" s="161">
        <f t="shared" si="119"/>
        <v>0</v>
      </c>
      <c r="EE128" s="161">
        <f t="shared" si="120"/>
        <v>0</v>
      </c>
      <c r="EF128" s="161">
        <f t="shared" si="121"/>
        <v>0</v>
      </c>
      <c r="EG128" s="161">
        <f t="shared" si="122"/>
        <v>0</v>
      </c>
      <c r="EH128" s="161">
        <f t="shared" si="123"/>
        <v>0</v>
      </c>
      <c r="EI128" s="161">
        <f t="shared" si="124"/>
        <v>0</v>
      </c>
      <c r="EJ128" s="161">
        <f t="shared" si="125"/>
        <v>0</v>
      </c>
      <c r="EK128" s="147">
        <f t="shared" si="133"/>
        <v>0</v>
      </c>
      <c r="EL128" s="149"/>
      <c r="EN128" s="146"/>
      <c r="EO128" s="146"/>
      <c r="EP128" s="139">
        <f t="shared" si="134"/>
        <v>0</v>
      </c>
      <c r="EQ128" s="139">
        <f t="shared" si="135"/>
        <v>0</v>
      </c>
      <c r="ER128" s="139">
        <f t="shared" si="136"/>
        <v>0</v>
      </c>
      <c r="ES128" s="139">
        <f t="shared" si="137"/>
        <v>0</v>
      </c>
      <c r="ET128" s="139">
        <f t="shared" si="138"/>
        <v>0</v>
      </c>
      <c r="EU128" s="139">
        <f t="shared" si="139"/>
        <v>0</v>
      </c>
      <c r="EV128" s="139">
        <f t="shared" si="140"/>
        <v>0</v>
      </c>
      <c r="EW128" s="139">
        <f t="shared" si="141"/>
        <v>0</v>
      </c>
      <c r="EX128" s="139">
        <f t="shared" si="142"/>
        <v>0</v>
      </c>
      <c r="EY128" s="139">
        <f t="shared" si="143"/>
        <v>0</v>
      </c>
      <c r="EZ128" s="139">
        <f t="shared" si="144"/>
        <v>0</v>
      </c>
      <c r="FA128" s="139">
        <f t="shared" si="145"/>
        <v>0</v>
      </c>
      <c r="FB128" s="139">
        <f t="shared" si="146"/>
        <v>0</v>
      </c>
      <c r="FC128" s="139">
        <f t="shared" si="147"/>
        <v>0</v>
      </c>
      <c r="FD128" s="139">
        <f t="shared" si="148"/>
        <v>0</v>
      </c>
      <c r="FE128" s="139">
        <f t="shared" si="149"/>
        <v>0</v>
      </c>
      <c r="FF128" s="139">
        <f t="shared" si="150"/>
        <v>0</v>
      </c>
      <c r="FG128" s="139">
        <f t="shared" si="151"/>
        <v>0</v>
      </c>
      <c r="FH128" s="139">
        <f t="shared" si="152"/>
        <v>0</v>
      </c>
      <c r="FI128" s="139">
        <f t="shared" si="153"/>
        <v>0</v>
      </c>
      <c r="FJ128" s="139">
        <f t="shared" si="154"/>
        <v>0</v>
      </c>
      <c r="FK128" s="139">
        <f t="shared" si="155"/>
        <v>0</v>
      </c>
      <c r="FL128" s="139">
        <f t="shared" si="156"/>
        <v>0</v>
      </c>
      <c r="FM128" s="139">
        <f t="shared" si="157"/>
        <v>0</v>
      </c>
      <c r="FN128" s="139">
        <f t="shared" si="158"/>
        <v>0</v>
      </c>
      <c r="FO128" s="139">
        <f t="shared" si="159"/>
        <v>0</v>
      </c>
      <c r="FP128" s="139">
        <f t="shared" si="160"/>
        <v>0</v>
      </c>
      <c r="FQ128" s="139">
        <f t="shared" si="161"/>
        <v>0</v>
      </c>
      <c r="FR128" s="139">
        <f t="shared" si="162"/>
        <v>0</v>
      </c>
      <c r="FS128" s="139">
        <f t="shared" si="163"/>
        <v>0</v>
      </c>
      <c r="FT128" s="139">
        <f t="shared" si="164"/>
        <v>0</v>
      </c>
      <c r="FU128" s="148">
        <f t="shared" si="165"/>
        <v>0</v>
      </c>
      <c r="FV128" s="149"/>
      <c r="FY128" s="211">
        <v>123</v>
      </c>
      <c r="FZ128">
        <v>0.50792421793640752</v>
      </c>
      <c r="GA128">
        <v>0</v>
      </c>
      <c r="GB128">
        <v>7.9203986612074825E-2</v>
      </c>
      <c r="GC128">
        <v>4.4138825651920163E-2</v>
      </c>
      <c r="GD128">
        <v>0</v>
      </c>
      <c r="GE128">
        <v>0</v>
      </c>
      <c r="GF128">
        <v>0.66042100116664126</v>
      </c>
      <c r="GG128">
        <v>0.59518473501329594</v>
      </c>
      <c r="GH128">
        <v>0</v>
      </c>
      <c r="GI128">
        <v>0.22278733611205354</v>
      </c>
      <c r="GJ128"/>
      <c r="GK128">
        <v>0.50968792265406349</v>
      </c>
      <c r="GL128">
        <v>0</v>
      </c>
      <c r="GM128">
        <v>0.13091770120800852</v>
      </c>
      <c r="GN128">
        <v>0.13091770120800852</v>
      </c>
      <c r="GO128">
        <v>0</v>
      </c>
      <c r="GP128">
        <v>0</v>
      </c>
      <c r="GQ128">
        <v>0.90739586192571098</v>
      </c>
      <c r="GR128">
        <v>0.90739586192571098</v>
      </c>
      <c r="GS128">
        <v>0</v>
      </c>
      <c r="GT128">
        <v>0.3096002971575566</v>
      </c>
      <c r="GU128"/>
      <c r="GV128"/>
      <c r="GW128"/>
      <c r="GX128"/>
      <c r="GY128"/>
      <c r="GZ128"/>
      <c r="HA128"/>
      <c r="HB128"/>
      <c r="HC128"/>
    </row>
    <row r="129" spans="1:211" s="7" customFormat="1">
      <c r="A129" s="1"/>
      <c r="B129" s="76">
        <f t="shared" ca="1" si="132"/>
        <v>0.30074724498314076</v>
      </c>
      <c r="C129">
        <v>8</v>
      </c>
      <c r="D129">
        <v>39775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3.2354166666666666</v>
      </c>
      <c r="AO129">
        <v>0.40144267487022189</v>
      </c>
      <c r="AP129">
        <v>10.23807140361755</v>
      </c>
      <c r="AQ129">
        <v>3.4713684403459233</v>
      </c>
      <c r="AR129">
        <v>0.43508029115494251</v>
      </c>
      <c r="AS129">
        <v>2.4732089279798539</v>
      </c>
      <c r="AT129" t="e">
        <v>#DIV/0!</v>
      </c>
      <c r="AU129" t="e">
        <v>#DIV/0!</v>
      </c>
      <c r="AV129"/>
      <c r="AW129"/>
      <c r="AX129" s="146"/>
      <c r="AY129" s="76">
        <f t="shared" ca="1" si="88"/>
        <v>0.88379592365459358</v>
      </c>
      <c r="AZ129">
        <v>2</v>
      </c>
      <c r="BA129" s="129">
        <f t="shared" ref="BA129:BA137" si="167">IF(AZ129="", "",$C$8)</f>
        <v>39775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 s="147"/>
      <c r="CH129" s="176"/>
      <c r="CJ129" s="146"/>
      <c r="CK129" s="76">
        <f t="shared" ca="1" si="90"/>
        <v>0.56195186802823738</v>
      </c>
      <c r="CL129" s="179">
        <f t="shared" si="91"/>
        <v>2</v>
      </c>
      <c r="CM129" s="180">
        <f t="shared" si="92"/>
        <v>39775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 s="160"/>
      <c r="CW129">
        <v>1</v>
      </c>
      <c r="CX129">
        <f>20/11</f>
        <v>1.8181818181818181</v>
      </c>
      <c r="CY129" s="160"/>
      <c r="CZ129" s="177">
        <f t="shared" si="93"/>
        <v>9.6000000000000002E-2</v>
      </c>
      <c r="DB129" s="146"/>
      <c r="DC129" s="76">
        <f t="shared" ca="1" si="51"/>
        <v>0.26654117186240089</v>
      </c>
      <c r="DD129">
        <f t="shared" si="94"/>
        <v>2</v>
      </c>
      <c r="DE129" s="129">
        <f t="shared" si="166"/>
        <v>39775</v>
      </c>
      <c r="DF129" s="161">
        <f t="shared" si="95"/>
        <v>0</v>
      </c>
      <c r="DG129" s="161">
        <f t="shared" si="96"/>
        <v>0</v>
      </c>
      <c r="DH129" s="161">
        <f t="shared" si="97"/>
        <v>0</v>
      </c>
      <c r="DI129" s="161">
        <f t="shared" si="98"/>
        <v>0</v>
      </c>
      <c r="DJ129" s="161">
        <f t="shared" si="99"/>
        <v>0</v>
      </c>
      <c r="DK129" s="161">
        <f t="shared" si="100"/>
        <v>0</v>
      </c>
      <c r="DL129" s="161">
        <f t="shared" si="101"/>
        <v>0</v>
      </c>
      <c r="DM129" s="161">
        <f t="shared" si="102"/>
        <v>0</v>
      </c>
      <c r="DN129" s="161">
        <f t="shared" si="103"/>
        <v>0</v>
      </c>
      <c r="DO129" s="161">
        <f t="shared" si="104"/>
        <v>0</v>
      </c>
      <c r="DP129" s="161">
        <f t="shared" si="105"/>
        <v>0</v>
      </c>
      <c r="DQ129" s="161">
        <f t="shared" si="106"/>
        <v>0</v>
      </c>
      <c r="DR129" s="161">
        <f t="shared" si="107"/>
        <v>0</v>
      </c>
      <c r="DS129" s="161">
        <f t="shared" si="108"/>
        <v>0</v>
      </c>
      <c r="DT129" s="161">
        <f t="shared" si="109"/>
        <v>0</v>
      </c>
      <c r="DU129" s="161">
        <f t="shared" si="110"/>
        <v>0</v>
      </c>
      <c r="DV129" s="161">
        <f t="shared" si="111"/>
        <v>0</v>
      </c>
      <c r="DW129" s="161">
        <f t="shared" si="112"/>
        <v>0</v>
      </c>
      <c r="DX129" s="161">
        <f t="shared" si="113"/>
        <v>0</v>
      </c>
      <c r="DY129" s="161">
        <f t="shared" si="114"/>
        <v>0</v>
      </c>
      <c r="DZ129" s="161">
        <f t="shared" si="115"/>
        <v>0</v>
      </c>
      <c r="EA129" s="161">
        <f t="shared" si="116"/>
        <v>0</v>
      </c>
      <c r="EB129" s="161">
        <f t="shared" si="117"/>
        <v>0</v>
      </c>
      <c r="EC129" s="161">
        <f t="shared" si="118"/>
        <v>0</v>
      </c>
      <c r="ED129" s="161">
        <f t="shared" si="119"/>
        <v>0</v>
      </c>
      <c r="EE129" s="161">
        <f t="shared" si="120"/>
        <v>0</v>
      </c>
      <c r="EF129" s="161">
        <f t="shared" si="121"/>
        <v>0</v>
      </c>
      <c r="EG129" s="161">
        <f t="shared" si="122"/>
        <v>0</v>
      </c>
      <c r="EH129" s="161">
        <f t="shared" si="123"/>
        <v>0</v>
      </c>
      <c r="EI129" s="161">
        <f t="shared" si="124"/>
        <v>0</v>
      </c>
      <c r="EJ129" s="161">
        <f t="shared" si="125"/>
        <v>0</v>
      </c>
      <c r="EK129" s="147">
        <f t="shared" si="133"/>
        <v>0</v>
      </c>
      <c r="EL129" s="149"/>
      <c r="EN129" s="146"/>
      <c r="EO129" s="146"/>
      <c r="EP129" s="139">
        <f t="shared" si="134"/>
        <v>0</v>
      </c>
      <c r="EQ129" s="139">
        <f t="shared" si="135"/>
        <v>0</v>
      </c>
      <c r="ER129" s="139">
        <f t="shared" si="136"/>
        <v>0</v>
      </c>
      <c r="ES129" s="139">
        <f t="shared" si="137"/>
        <v>0</v>
      </c>
      <c r="ET129" s="139">
        <f t="shared" si="138"/>
        <v>0</v>
      </c>
      <c r="EU129" s="139">
        <f t="shared" si="139"/>
        <v>0</v>
      </c>
      <c r="EV129" s="139">
        <f t="shared" si="140"/>
        <v>0</v>
      </c>
      <c r="EW129" s="139">
        <f t="shared" si="141"/>
        <v>0</v>
      </c>
      <c r="EX129" s="139">
        <f t="shared" si="142"/>
        <v>0</v>
      </c>
      <c r="EY129" s="139">
        <f t="shared" si="143"/>
        <v>0</v>
      </c>
      <c r="EZ129" s="139">
        <f t="shared" si="144"/>
        <v>0</v>
      </c>
      <c r="FA129" s="139">
        <f t="shared" si="145"/>
        <v>0</v>
      </c>
      <c r="FB129" s="139">
        <f t="shared" si="146"/>
        <v>0</v>
      </c>
      <c r="FC129" s="139">
        <f t="shared" si="147"/>
        <v>0</v>
      </c>
      <c r="FD129" s="139">
        <f t="shared" si="148"/>
        <v>0</v>
      </c>
      <c r="FE129" s="139">
        <f t="shared" si="149"/>
        <v>0</v>
      </c>
      <c r="FF129" s="139">
        <f t="shared" si="150"/>
        <v>0</v>
      </c>
      <c r="FG129" s="139">
        <f t="shared" si="151"/>
        <v>0</v>
      </c>
      <c r="FH129" s="139">
        <f t="shared" si="152"/>
        <v>0</v>
      </c>
      <c r="FI129" s="139">
        <f t="shared" si="153"/>
        <v>0</v>
      </c>
      <c r="FJ129" s="139">
        <f t="shared" si="154"/>
        <v>0</v>
      </c>
      <c r="FK129" s="139">
        <f t="shared" si="155"/>
        <v>0</v>
      </c>
      <c r="FL129" s="139">
        <f t="shared" si="156"/>
        <v>0</v>
      </c>
      <c r="FM129" s="139">
        <f t="shared" si="157"/>
        <v>0</v>
      </c>
      <c r="FN129" s="139">
        <f t="shared" si="158"/>
        <v>0</v>
      </c>
      <c r="FO129" s="139">
        <f t="shared" si="159"/>
        <v>0</v>
      </c>
      <c r="FP129" s="139">
        <f t="shared" si="160"/>
        <v>0</v>
      </c>
      <c r="FQ129" s="139">
        <f t="shared" si="161"/>
        <v>0</v>
      </c>
      <c r="FR129" s="139">
        <f t="shared" si="162"/>
        <v>0</v>
      </c>
      <c r="FS129" s="139">
        <f t="shared" si="163"/>
        <v>0</v>
      </c>
      <c r="FT129" s="139">
        <f t="shared" si="164"/>
        <v>0</v>
      </c>
      <c r="FU129" s="148">
        <f t="shared" si="165"/>
        <v>0</v>
      </c>
      <c r="FV129" s="149"/>
      <c r="FY129" s="211">
        <v>124</v>
      </c>
      <c r="FZ129">
        <v>1.2297772490985388</v>
      </c>
      <c r="GA129">
        <v>0.86195082931690026</v>
      </c>
      <c r="GB129">
        <v>0.18847776822839127</v>
      </c>
      <c r="GC129">
        <v>0.174096374794806</v>
      </c>
      <c r="GD129">
        <v>5.3449107547347455E-2</v>
      </c>
      <c r="GE129">
        <v>0</v>
      </c>
      <c r="GF129">
        <v>0.33021050058332063</v>
      </c>
      <c r="GG129">
        <v>0.29759236750664797</v>
      </c>
      <c r="GH129">
        <v>0</v>
      </c>
      <c r="GI129">
        <v>0.3233443897171645</v>
      </c>
      <c r="GJ129"/>
      <c r="GK129">
        <v>1.2400022638256769</v>
      </c>
      <c r="GL129">
        <v>0.7403709403449259</v>
      </c>
      <c r="GM129">
        <v>0.31481419569717417</v>
      </c>
      <c r="GN129">
        <v>0.52469032616195688</v>
      </c>
      <c r="GO129">
        <v>0.20987613046478273</v>
      </c>
      <c r="GP129">
        <v>0</v>
      </c>
      <c r="GQ129">
        <v>0.45369793096285549</v>
      </c>
      <c r="GR129">
        <v>0.45369793096285549</v>
      </c>
      <c r="GS129">
        <v>0</v>
      </c>
      <c r="GT129">
        <v>0.44367810419009784</v>
      </c>
      <c r="GU129"/>
      <c r="GV129"/>
      <c r="GW129"/>
      <c r="GX129"/>
      <c r="GY129"/>
      <c r="GZ129"/>
      <c r="HA129"/>
      <c r="HB129"/>
      <c r="HC129"/>
    </row>
    <row r="130" spans="1:211" s="7" customFormat="1">
      <c r="A130" s="1"/>
      <c r="B130" s="76">
        <f t="shared" ca="1" si="132"/>
        <v>0.74506413792230375</v>
      </c>
      <c r="C130">
        <v>1</v>
      </c>
      <c r="D130">
        <v>39775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2.6645833333333333</v>
      </c>
      <c r="AO130">
        <v>0.2723613457629156</v>
      </c>
      <c r="AP130">
        <v>5.344794375239946</v>
      </c>
      <c r="AQ130">
        <v>2.3246419693468661</v>
      </c>
      <c r="AR130">
        <v>0.31267395932740172</v>
      </c>
      <c r="AS130">
        <v>1.789122528451129</v>
      </c>
      <c r="AT130" t="e">
        <v>#DIV/0!</v>
      </c>
      <c r="AU130" t="e">
        <v>#DIV/0!</v>
      </c>
      <c r="AV130"/>
      <c r="AW130"/>
      <c r="AX130" s="146"/>
      <c r="AY130" s="76">
        <f t="shared" ca="1" si="88"/>
        <v>0.88286699536196922</v>
      </c>
      <c r="AZ130">
        <v>3</v>
      </c>
      <c r="BA130" s="129">
        <f t="shared" si="167"/>
        <v>39775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 s="147"/>
      <c r="CH130" s="176"/>
      <c r="CJ130" s="146"/>
      <c r="CK130" s="76">
        <f t="shared" ca="1" si="90"/>
        <v>5.6618315457556578E-2</v>
      </c>
      <c r="CL130" s="179">
        <f t="shared" si="91"/>
        <v>3</v>
      </c>
      <c r="CM130" s="180">
        <f t="shared" si="92"/>
        <v>39775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 s="160"/>
      <c r="CW130">
        <v>1</v>
      </c>
      <c r="CX130">
        <f>50/10</f>
        <v>5</v>
      </c>
      <c r="CY130" s="160"/>
      <c r="CZ130" s="177">
        <f t="shared" si="93"/>
        <v>9.6000000000000002E-2</v>
      </c>
      <c r="DB130" s="146"/>
      <c r="DC130" s="76">
        <f t="shared" ca="1" si="51"/>
        <v>0.88140698616812996</v>
      </c>
      <c r="DD130">
        <f t="shared" si="94"/>
        <v>3</v>
      </c>
      <c r="DE130" s="129">
        <f t="shared" si="166"/>
        <v>39775</v>
      </c>
      <c r="DF130" s="161">
        <f t="shared" si="95"/>
        <v>0</v>
      </c>
      <c r="DG130" s="161">
        <f t="shared" si="96"/>
        <v>0</v>
      </c>
      <c r="DH130" s="161">
        <f t="shared" si="97"/>
        <v>0</v>
      </c>
      <c r="DI130" s="161">
        <f t="shared" si="98"/>
        <v>0</v>
      </c>
      <c r="DJ130" s="161">
        <f t="shared" si="99"/>
        <v>0</v>
      </c>
      <c r="DK130" s="161">
        <f t="shared" si="100"/>
        <v>0</v>
      </c>
      <c r="DL130" s="161">
        <f t="shared" si="101"/>
        <v>0</v>
      </c>
      <c r="DM130" s="161">
        <f t="shared" si="102"/>
        <v>0</v>
      </c>
      <c r="DN130" s="161">
        <f t="shared" si="103"/>
        <v>0</v>
      </c>
      <c r="DO130" s="161">
        <f t="shared" si="104"/>
        <v>0</v>
      </c>
      <c r="DP130" s="161">
        <f t="shared" si="105"/>
        <v>0</v>
      </c>
      <c r="DQ130" s="161">
        <f t="shared" si="106"/>
        <v>0</v>
      </c>
      <c r="DR130" s="161">
        <f t="shared" si="107"/>
        <v>0</v>
      </c>
      <c r="DS130" s="161">
        <f t="shared" si="108"/>
        <v>0</v>
      </c>
      <c r="DT130" s="161">
        <f t="shared" si="109"/>
        <v>0</v>
      </c>
      <c r="DU130" s="161">
        <f t="shared" si="110"/>
        <v>0</v>
      </c>
      <c r="DV130" s="161">
        <f t="shared" si="111"/>
        <v>0</v>
      </c>
      <c r="DW130" s="161">
        <f t="shared" si="112"/>
        <v>0</v>
      </c>
      <c r="DX130" s="161">
        <f t="shared" si="113"/>
        <v>0</v>
      </c>
      <c r="DY130" s="161">
        <f t="shared" si="114"/>
        <v>0</v>
      </c>
      <c r="DZ130" s="161">
        <f t="shared" si="115"/>
        <v>0</v>
      </c>
      <c r="EA130" s="161">
        <f t="shared" si="116"/>
        <v>0</v>
      </c>
      <c r="EB130" s="161">
        <f t="shared" si="117"/>
        <v>0</v>
      </c>
      <c r="EC130" s="161">
        <f t="shared" si="118"/>
        <v>0</v>
      </c>
      <c r="ED130" s="161">
        <f t="shared" si="119"/>
        <v>0</v>
      </c>
      <c r="EE130" s="161">
        <f t="shared" si="120"/>
        <v>0</v>
      </c>
      <c r="EF130" s="161">
        <f t="shared" si="121"/>
        <v>0</v>
      </c>
      <c r="EG130" s="161">
        <f t="shared" si="122"/>
        <v>0</v>
      </c>
      <c r="EH130" s="161">
        <f t="shared" si="123"/>
        <v>0</v>
      </c>
      <c r="EI130" s="161">
        <f t="shared" si="124"/>
        <v>0</v>
      </c>
      <c r="EJ130" s="161">
        <f t="shared" si="125"/>
        <v>0</v>
      </c>
      <c r="EK130" s="147">
        <f t="shared" si="133"/>
        <v>0</v>
      </c>
      <c r="EL130" s="149"/>
      <c r="EN130" s="146"/>
      <c r="EO130" s="146"/>
      <c r="EP130" s="139">
        <f t="shared" si="134"/>
        <v>0</v>
      </c>
      <c r="EQ130" s="139">
        <f t="shared" si="135"/>
        <v>0</v>
      </c>
      <c r="ER130" s="139">
        <f t="shared" si="136"/>
        <v>0</v>
      </c>
      <c r="ES130" s="139">
        <f t="shared" si="137"/>
        <v>0</v>
      </c>
      <c r="ET130" s="139">
        <f t="shared" si="138"/>
        <v>0</v>
      </c>
      <c r="EU130" s="139">
        <f t="shared" si="139"/>
        <v>0</v>
      </c>
      <c r="EV130" s="139">
        <f t="shared" si="140"/>
        <v>0</v>
      </c>
      <c r="EW130" s="139">
        <f t="shared" si="141"/>
        <v>0</v>
      </c>
      <c r="EX130" s="139">
        <f t="shared" si="142"/>
        <v>0</v>
      </c>
      <c r="EY130" s="139">
        <f t="shared" si="143"/>
        <v>0</v>
      </c>
      <c r="EZ130" s="139">
        <f t="shared" si="144"/>
        <v>0</v>
      </c>
      <c r="FA130" s="139">
        <f t="shared" si="145"/>
        <v>0</v>
      </c>
      <c r="FB130" s="139">
        <f t="shared" si="146"/>
        <v>0</v>
      </c>
      <c r="FC130" s="139">
        <f t="shared" si="147"/>
        <v>0</v>
      </c>
      <c r="FD130" s="139">
        <f t="shared" si="148"/>
        <v>0</v>
      </c>
      <c r="FE130" s="139">
        <f t="shared" si="149"/>
        <v>0</v>
      </c>
      <c r="FF130" s="139">
        <f t="shared" si="150"/>
        <v>0</v>
      </c>
      <c r="FG130" s="139">
        <f t="shared" si="151"/>
        <v>0</v>
      </c>
      <c r="FH130" s="139">
        <f t="shared" si="152"/>
        <v>0</v>
      </c>
      <c r="FI130" s="139">
        <f t="shared" si="153"/>
        <v>0</v>
      </c>
      <c r="FJ130" s="139">
        <f t="shared" si="154"/>
        <v>0</v>
      </c>
      <c r="FK130" s="139">
        <f t="shared" si="155"/>
        <v>0</v>
      </c>
      <c r="FL130" s="139">
        <f t="shared" si="156"/>
        <v>0</v>
      </c>
      <c r="FM130" s="139">
        <f t="shared" si="157"/>
        <v>0</v>
      </c>
      <c r="FN130" s="139">
        <f t="shared" si="158"/>
        <v>0</v>
      </c>
      <c r="FO130" s="139">
        <f t="shared" si="159"/>
        <v>0</v>
      </c>
      <c r="FP130" s="139">
        <f t="shared" si="160"/>
        <v>0</v>
      </c>
      <c r="FQ130" s="139">
        <f t="shared" si="161"/>
        <v>0</v>
      </c>
      <c r="FR130" s="139">
        <f t="shared" si="162"/>
        <v>0</v>
      </c>
      <c r="FS130" s="139">
        <f t="shared" si="163"/>
        <v>0</v>
      </c>
      <c r="FT130" s="139">
        <f t="shared" si="164"/>
        <v>0</v>
      </c>
      <c r="FU130" s="148">
        <f t="shared" si="165"/>
        <v>0</v>
      </c>
      <c r="FV130" s="149"/>
      <c r="FY130" s="211">
        <v>125</v>
      </c>
      <c r="FZ130">
        <v>1.112106434813545</v>
      </c>
      <c r="GA130">
        <v>8.725047411847664E-2</v>
      </c>
      <c r="GB130">
        <v>0.12565184548559416</v>
      </c>
      <c r="GC130">
        <v>6.9638549917922385E-2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0.1955790394666066</v>
      </c>
      <c r="GJ130"/>
      <c r="GK130">
        <v>1.1181844977138951</v>
      </c>
      <c r="GL130">
        <v>7.3740509229249462E-2</v>
      </c>
      <c r="GM130">
        <v>0.20987613046478273</v>
      </c>
      <c r="GN130">
        <v>0.20987613046478273</v>
      </c>
      <c r="GO130">
        <v>0</v>
      </c>
      <c r="GP130">
        <v>0</v>
      </c>
      <c r="GQ130">
        <v>0</v>
      </c>
      <c r="GR130">
        <v>0</v>
      </c>
      <c r="GS130">
        <v>0</v>
      </c>
      <c r="GT130">
        <v>0.26561212563573555</v>
      </c>
      <c r="GU130"/>
      <c r="GV130"/>
      <c r="GW130"/>
      <c r="GX130"/>
      <c r="GY130"/>
      <c r="GZ130"/>
      <c r="HA130"/>
      <c r="HB130"/>
      <c r="HC130"/>
    </row>
    <row r="131" spans="1:211" s="7" customFormat="1">
      <c r="A131" s="1"/>
      <c r="B131" s="76">
        <f t="shared" ca="1" si="132"/>
        <v>0.21104174557464095</v>
      </c>
      <c r="C131">
        <v>5</v>
      </c>
      <c r="D131">
        <v>39775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10.416666666666666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2.505208333333333</v>
      </c>
      <c r="AO131">
        <v>0.2182647582997809</v>
      </c>
      <c r="AP131">
        <v>8.1193452228144025</v>
      </c>
      <c r="AQ131">
        <v>1.7107035305489389</v>
      </c>
      <c r="AR131">
        <v>0.25404857359961591</v>
      </c>
      <c r="AS131">
        <v>1.6620173203865236</v>
      </c>
      <c r="AT131" t="e">
        <v>#DIV/0!</v>
      </c>
      <c r="AU131" t="e">
        <v>#DIV/0!</v>
      </c>
      <c r="AV131"/>
      <c r="AW131"/>
      <c r="AX131" s="146"/>
      <c r="AY131" s="76">
        <f t="shared" ca="1" si="88"/>
        <v>0.52244878663696248</v>
      </c>
      <c r="AZ131">
        <v>4</v>
      </c>
      <c r="BA131" s="129">
        <f t="shared" si="167"/>
        <v>39775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 s="147"/>
      <c r="CH131" s="176"/>
      <c r="CJ131" s="146"/>
      <c r="CK131" s="76">
        <f t="shared" ca="1" si="90"/>
        <v>0.6932026834617746</v>
      </c>
      <c r="CL131" s="179">
        <f t="shared" si="91"/>
        <v>4</v>
      </c>
      <c r="CM131" s="180">
        <f t="shared" si="92"/>
        <v>39775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 s="160"/>
      <c r="CW131">
        <v>1</v>
      </c>
      <c r="CX131">
        <v>1</v>
      </c>
      <c r="CY131" s="160"/>
      <c r="CZ131" s="177">
        <f t="shared" si="93"/>
        <v>9.6000000000000002E-2</v>
      </c>
      <c r="DB131" s="146"/>
      <c r="DC131" s="76">
        <f t="shared" ca="1" si="51"/>
        <v>0.52649384433515145</v>
      </c>
      <c r="DD131">
        <f t="shared" si="94"/>
        <v>4</v>
      </c>
      <c r="DE131" s="129">
        <f t="shared" si="166"/>
        <v>39775</v>
      </c>
      <c r="DF131" s="161">
        <f t="shared" si="95"/>
        <v>0</v>
      </c>
      <c r="DG131" s="161">
        <f t="shared" si="96"/>
        <v>0</v>
      </c>
      <c r="DH131" s="161">
        <f t="shared" si="97"/>
        <v>0</v>
      </c>
      <c r="DI131" s="161">
        <f t="shared" si="98"/>
        <v>0</v>
      </c>
      <c r="DJ131" s="161">
        <f t="shared" si="99"/>
        <v>0</v>
      </c>
      <c r="DK131" s="161">
        <f t="shared" si="100"/>
        <v>0</v>
      </c>
      <c r="DL131" s="161">
        <f t="shared" si="101"/>
        <v>0</v>
      </c>
      <c r="DM131" s="161">
        <f t="shared" si="102"/>
        <v>0</v>
      </c>
      <c r="DN131" s="161">
        <f t="shared" si="103"/>
        <v>0</v>
      </c>
      <c r="DO131" s="161">
        <f t="shared" si="104"/>
        <v>0</v>
      </c>
      <c r="DP131" s="161">
        <f t="shared" si="105"/>
        <v>0</v>
      </c>
      <c r="DQ131" s="161">
        <f t="shared" si="106"/>
        <v>0</v>
      </c>
      <c r="DR131" s="161">
        <f t="shared" si="107"/>
        <v>0</v>
      </c>
      <c r="DS131" s="161">
        <f t="shared" si="108"/>
        <v>0</v>
      </c>
      <c r="DT131" s="161">
        <f t="shared" si="109"/>
        <v>0</v>
      </c>
      <c r="DU131" s="161">
        <f t="shared" si="110"/>
        <v>0</v>
      </c>
      <c r="DV131" s="161">
        <f t="shared" si="111"/>
        <v>0</v>
      </c>
      <c r="DW131" s="161">
        <f t="shared" si="112"/>
        <v>0</v>
      </c>
      <c r="DX131" s="161">
        <f t="shared" si="113"/>
        <v>0</v>
      </c>
      <c r="DY131" s="161">
        <f t="shared" si="114"/>
        <v>0</v>
      </c>
      <c r="DZ131" s="161">
        <f t="shared" si="115"/>
        <v>0</v>
      </c>
      <c r="EA131" s="161">
        <f t="shared" si="116"/>
        <v>0</v>
      </c>
      <c r="EB131" s="161">
        <f t="shared" si="117"/>
        <v>0</v>
      </c>
      <c r="EC131" s="161">
        <f t="shared" si="118"/>
        <v>0</v>
      </c>
      <c r="ED131" s="161">
        <f t="shared" si="119"/>
        <v>0</v>
      </c>
      <c r="EE131" s="161">
        <f t="shared" si="120"/>
        <v>0</v>
      </c>
      <c r="EF131" s="161">
        <f t="shared" si="121"/>
        <v>0</v>
      </c>
      <c r="EG131" s="161">
        <f t="shared" si="122"/>
        <v>0</v>
      </c>
      <c r="EH131" s="161">
        <f t="shared" si="123"/>
        <v>0</v>
      </c>
      <c r="EI131" s="161">
        <f t="shared" si="124"/>
        <v>0</v>
      </c>
      <c r="EJ131" s="161">
        <f t="shared" si="125"/>
        <v>0</v>
      </c>
      <c r="EK131" s="147">
        <f t="shared" si="133"/>
        <v>0</v>
      </c>
      <c r="EL131" s="149"/>
      <c r="EN131" s="146"/>
      <c r="EO131" s="146"/>
      <c r="EP131" s="139">
        <f t="shared" si="134"/>
        <v>0</v>
      </c>
      <c r="EQ131" s="139">
        <f t="shared" si="135"/>
        <v>0</v>
      </c>
      <c r="ER131" s="139">
        <f t="shared" si="136"/>
        <v>0</v>
      </c>
      <c r="ES131" s="139">
        <f t="shared" si="137"/>
        <v>0</v>
      </c>
      <c r="ET131" s="139">
        <f t="shared" si="138"/>
        <v>0</v>
      </c>
      <c r="EU131" s="139">
        <f t="shared" si="139"/>
        <v>0</v>
      </c>
      <c r="EV131" s="139">
        <f t="shared" si="140"/>
        <v>0</v>
      </c>
      <c r="EW131" s="139">
        <f t="shared" si="141"/>
        <v>0</v>
      </c>
      <c r="EX131" s="139">
        <f t="shared" si="142"/>
        <v>0</v>
      </c>
      <c r="EY131" s="139">
        <f t="shared" si="143"/>
        <v>0</v>
      </c>
      <c r="EZ131" s="139">
        <f t="shared" si="144"/>
        <v>0</v>
      </c>
      <c r="FA131" s="139">
        <f t="shared" si="145"/>
        <v>0</v>
      </c>
      <c r="FB131" s="139">
        <f t="shared" si="146"/>
        <v>0</v>
      </c>
      <c r="FC131" s="139">
        <f t="shared" si="147"/>
        <v>0</v>
      </c>
      <c r="FD131" s="139">
        <f t="shared" si="148"/>
        <v>0</v>
      </c>
      <c r="FE131" s="139">
        <f t="shared" si="149"/>
        <v>0</v>
      </c>
      <c r="FF131" s="139">
        <f t="shared" si="150"/>
        <v>0</v>
      </c>
      <c r="FG131" s="139">
        <f t="shared" si="151"/>
        <v>0</v>
      </c>
      <c r="FH131" s="139">
        <f t="shared" si="152"/>
        <v>0</v>
      </c>
      <c r="FI131" s="139">
        <f t="shared" si="153"/>
        <v>0</v>
      </c>
      <c r="FJ131" s="139">
        <f t="shared" si="154"/>
        <v>0</v>
      </c>
      <c r="FK131" s="139">
        <f t="shared" si="155"/>
        <v>0</v>
      </c>
      <c r="FL131" s="139">
        <f t="shared" si="156"/>
        <v>0</v>
      </c>
      <c r="FM131" s="139">
        <f t="shared" si="157"/>
        <v>0</v>
      </c>
      <c r="FN131" s="139">
        <f t="shared" si="158"/>
        <v>0</v>
      </c>
      <c r="FO131" s="139">
        <f t="shared" si="159"/>
        <v>0</v>
      </c>
      <c r="FP131" s="139">
        <f t="shared" si="160"/>
        <v>0</v>
      </c>
      <c r="FQ131" s="139">
        <f t="shared" si="161"/>
        <v>0</v>
      </c>
      <c r="FR131" s="139">
        <f t="shared" si="162"/>
        <v>0</v>
      </c>
      <c r="FS131" s="139">
        <f t="shared" si="163"/>
        <v>0</v>
      </c>
      <c r="FT131" s="139">
        <f t="shared" si="164"/>
        <v>0</v>
      </c>
      <c r="FU131" s="148">
        <f t="shared" si="165"/>
        <v>0</v>
      </c>
      <c r="FV131" s="149"/>
      <c r="FY131" s="211">
        <v>126</v>
      </c>
      <c r="FZ131">
        <v>1.3229320299135936</v>
      </c>
      <c r="GA131">
        <v>1.1237022516723303</v>
      </c>
      <c r="GB131">
        <v>0.30043788257902154</v>
      </c>
      <c r="GC131">
        <v>0.20205502687368287</v>
      </c>
      <c r="GD131">
        <v>2.6724553773673727E-2</v>
      </c>
      <c r="GE131">
        <v>0</v>
      </c>
      <c r="GF131">
        <v>0</v>
      </c>
      <c r="GG131">
        <v>0</v>
      </c>
      <c r="GH131">
        <v>0</v>
      </c>
      <c r="GI131">
        <v>0.28491099887187432</v>
      </c>
      <c r="GJ131"/>
      <c r="GK131">
        <v>1.3334195952193499</v>
      </c>
      <c r="GL131">
        <v>0.96159246803267429</v>
      </c>
      <c r="GM131">
        <v>0.4976911688564169</v>
      </c>
      <c r="GN131">
        <v>0.60262923408880831</v>
      </c>
      <c r="GO131">
        <v>0.10493806523239137</v>
      </c>
      <c r="GP131">
        <v>0</v>
      </c>
      <c r="GQ131">
        <v>0</v>
      </c>
      <c r="GR131">
        <v>0</v>
      </c>
      <c r="GS131">
        <v>0</v>
      </c>
      <c r="GT131">
        <v>0.38720976586163169</v>
      </c>
      <c r="GU131"/>
      <c r="GV131"/>
      <c r="GW131"/>
      <c r="GX131"/>
      <c r="GY131"/>
      <c r="GZ131"/>
      <c r="HA131"/>
      <c r="HB131"/>
      <c r="HC131"/>
    </row>
    <row r="132" spans="1:211" s="7" customFormat="1">
      <c r="A132" s="1"/>
      <c r="B132" s="76">
        <f t="shared" ca="1" si="132"/>
        <v>0.36813084095281923</v>
      </c>
      <c r="C132">
        <v>3</v>
      </c>
      <c r="D132">
        <v>39775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2.880208333333333</v>
      </c>
      <c r="AO132">
        <v>0.46186446390436353</v>
      </c>
      <c r="AP132">
        <v>23.090744238060218</v>
      </c>
      <c r="AQ132">
        <v>3.3161981816618504</v>
      </c>
      <c r="AR132">
        <v>0.46154599933729651</v>
      </c>
      <c r="AS132">
        <v>2.3727973553143582</v>
      </c>
      <c r="AT132" t="e">
        <v>#DIV/0!</v>
      </c>
      <c r="AU132" t="e">
        <v>#DIV/0!</v>
      </c>
      <c r="AV132"/>
      <c r="AW132"/>
      <c r="AX132" s="146"/>
      <c r="AY132" s="76">
        <f t="shared" ca="1" si="88"/>
        <v>0.30025798719439489</v>
      </c>
      <c r="AZ132">
        <v>5</v>
      </c>
      <c r="BA132" s="129">
        <f t="shared" si="167"/>
        <v>39775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1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 s="147"/>
      <c r="CH132" s="176"/>
      <c r="CJ132" s="146"/>
      <c r="CK132" s="76">
        <f t="shared" ca="1" si="90"/>
        <v>0.94886629006552936</v>
      </c>
      <c r="CL132" s="179">
        <f t="shared" si="91"/>
        <v>5</v>
      </c>
      <c r="CM132" s="180">
        <f t="shared" si="92"/>
        <v>39775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 s="160"/>
      <c r="CW132">
        <v>1</v>
      </c>
      <c r="CX132">
        <f>20/7</f>
        <v>2.8571428571428572</v>
      </c>
      <c r="CY132" s="160"/>
      <c r="CZ132" s="177">
        <f t="shared" si="93"/>
        <v>9.6000000000000002E-2</v>
      </c>
      <c r="DB132" s="146"/>
      <c r="DC132" s="76">
        <f t="shared" ca="1" si="51"/>
        <v>0.37375397868129867</v>
      </c>
      <c r="DD132">
        <f t="shared" si="94"/>
        <v>5</v>
      </c>
      <c r="DE132" s="129">
        <f t="shared" si="166"/>
        <v>39775</v>
      </c>
      <c r="DF132" s="161">
        <f t="shared" si="95"/>
        <v>0</v>
      </c>
      <c r="DG132" s="161">
        <f t="shared" si="96"/>
        <v>0</v>
      </c>
      <c r="DH132" s="161">
        <f t="shared" si="97"/>
        <v>0</v>
      </c>
      <c r="DI132" s="161">
        <f t="shared" si="98"/>
        <v>0</v>
      </c>
      <c r="DJ132" s="161">
        <f t="shared" si="99"/>
        <v>0</v>
      </c>
      <c r="DK132" s="161">
        <f t="shared" si="100"/>
        <v>10.416666666666666</v>
      </c>
      <c r="DL132" s="161">
        <f t="shared" si="101"/>
        <v>0</v>
      </c>
      <c r="DM132" s="161">
        <f t="shared" si="102"/>
        <v>0</v>
      </c>
      <c r="DN132" s="161">
        <f t="shared" si="103"/>
        <v>0</v>
      </c>
      <c r="DO132" s="161">
        <f t="shared" si="104"/>
        <v>0</v>
      </c>
      <c r="DP132" s="161">
        <f t="shared" si="105"/>
        <v>0</v>
      </c>
      <c r="DQ132" s="161">
        <f t="shared" si="106"/>
        <v>0</v>
      </c>
      <c r="DR132" s="161">
        <f t="shared" si="107"/>
        <v>0</v>
      </c>
      <c r="DS132" s="161">
        <f t="shared" si="108"/>
        <v>0</v>
      </c>
      <c r="DT132" s="161">
        <f t="shared" si="109"/>
        <v>0</v>
      </c>
      <c r="DU132" s="161">
        <f t="shared" si="110"/>
        <v>0</v>
      </c>
      <c r="DV132" s="161">
        <f t="shared" si="111"/>
        <v>0</v>
      </c>
      <c r="DW132" s="161">
        <f t="shared" si="112"/>
        <v>0</v>
      </c>
      <c r="DX132" s="161">
        <f t="shared" si="113"/>
        <v>0</v>
      </c>
      <c r="DY132" s="161">
        <f t="shared" si="114"/>
        <v>0</v>
      </c>
      <c r="DZ132" s="161">
        <f t="shared" si="115"/>
        <v>0</v>
      </c>
      <c r="EA132" s="161">
        <f t="shared" si="116"/>
        <v>0</v>
      </c>
      <c r="EB132" s="161">
        <f t="shared" si="117"/>
        <v>0</v>
      </c>
      <c r="EC132" s="161">
        <f t="shared" si="118"/>
        <v>0</v>
      </c>
      <c r="ED132" s="161">
        <f t="shared" si="119"/>
        <v>0</v>
      </c>
      <c r="EE132" s="161">
        <f t="shared" si="120"/>
        <v>0</v>
      </c>
      <c r="EF132" s="161">
        <f t="shared" si="121"/>
        <v>0</v>
      </c>
      <c r="EG132" s="161">
        <f t="shared" si="122"/>
        <v>0</v>
      </c>
      <c r="EH132" s="161">
        <f t="shared" si="123"/>
        <v>0</v>
      </c>
      <c r="EI132" s="161">
        <f t="shared" si="124"/>
        <v>0</v>
      </c>
      <c r="EJ132" s="161">
        <f t="shared" si="125"/>
        <v>0</v>
      </c>
      <c r="EK132" s="147">
        <f t="shared" si="133"/>
        <v>10.416666666666666</v>
      </c>
      <c r="EL132" s="149"/>
      <c r="EN132" s="146"/>
      <c r="EO132" s="146"/>
      <c r="EP132" s="139">
        <f t="shared" si="134"/>
        <v>0</v>
      </c>
      <c r="EQ132" s="139">
        <f t="shared" si="135"/>
        <v>0</v>
      </c>
      <c r="ER132" s="139">
        <f t="shared" si="136"/>
        <v>0</v>
      </c>
      <c r="ES132" s="139">
        <f t="shared" si="137"/>
        <v>0</v>
      </c>
      <c r="ET132" s="139">
        <f t="shared" si="138"/>
        <v>0</v>
      </c>
      <c r="EU132" s="139">
        <f t="shared" si="139"/>
        <v>2.0987613046478275</v>
      </c>
      <c r="EV132" s="139">
        <f t="shared" si="140"/>
        <v>0</v>
      </c>
      <c r="EW132" s="139">
        <f t="shared" si="141"/>
        <v>0</v>
      </c>
      <c r="EX132" s="139">
        <f t="shared" si="142"/>
        <v>0</v>
      </c>
      <c r="EY132" s="139">
        <f t="shared" si="143"/>
        <v>0</v>
      </c>
      <c r="EZ132" s="139">
        <f t="shared" si="144"/>
        <v>0</v>
      </c>
      <c r="FA132" s="139">
        <f t="shared" si="145"/>
        <v>0</v>
      </c>
      <c r="FB132" s="139">
        <f t="shared" si="146"/>
        <v>0</v>
      </c>
      <c r="FC132" s="139">
        <f t="shared" si="147"/>
        <v>0</v>
      </c>
      <c r="FD132" s="139">
        <f t="shared" si="148"/>
        <v>0</v>
      </c>
      <c r="FE132" s="139">
        <f t="shared" si="149"/>
        <v>0</v>
      </c>
      <c r="FF132" s="139">
        <f t="shared" si="150"/>
        <v>0</v>
      </c>
      <c r="FG132" s="139">
        <f t="shared" si="151"/>
        <v>0</v>
      </c>
      <c r="FH132" s="139">
        <f t="shared" si="152"/>
        <v>0</v>
      </c>
      <c r="FI132" s="139">
        <f t="shared" si="153"/>
        <v>0</v>
      </c>
      <c r="FJ132" s="139">
        <f t="shared" si="154"/>
        <v>0</v>
      </c>
      <c r="FK132" s="139">
        <f t="shared" si="155"/>
        <v>0</v>
      </c>
      <c r="FL132" s="139">
        <f t="shared" si="156"/>
        <v>0</v>
      </c>
      <c r="FM132" s="139">
        <f t="shared" si="157"/>
        <v>0</v>
      </c>
      <c r="FN132" s="139">
        <f t="shared" si="158"/>
        <v>0</v>
      </c>
      <c r="FO132" s="139">
        <f t="shared" si="159"/>
        <v>0</v>
      </c>
      <c r="FP132" s="139">
        <f t="shared" si="160"/>
        <v>0</v>
      </c>
      <c r="FQ132" s="139">
        <f t="shared" si="161"/>
        <v>0</v>
      </c>
      <c r="FR132" s="139">
        <f t="shared" si="162"/>
        <v>0</v>
      </c>
      <c r="FS132" s="139">
        <f t="shared" si="163"/>
        <v>0</v>
      </c>
      <c r="FT132" s="139">
        <f t="shared" si="164"/>
        <v>0</v>
      </c>
      <c r="FU132" s="148">
        <f t="shared" si="165"/>
        <v>2.0987613046478275</v>
      </c>
      <c r="FV132" s="149"/>
      <c r="FY132" s="211">
        <v>127</v>
      </c>
      <c r="FZ132">
        <v>1.0190883548451146</v>
      </c>
      <c r="GA132">
        <v>0.17450094823695328</v>
      </c>
      <c r="GB132">
        <v>0.15840797322414965</v>
      </c>
      <c r="GC132">
        <v>8.8277651303840327E-2</v>
      </c>
      <c r="GD132">
        <v>0</v>
      </c>
      <c r="GE132">
        <v>0</v>
      </c>
      <c r="GF132">
        <v>0.33021050058332063</v>
      </c>
      <c r="GG132">
        <v>0.29759236750664797</v>
      </c>
      <c r="GH132">
        <v>0</v>
      </c>
      <c r="GI132">
        <v>0.25382680477869246</v>
      </c>
      <c r="GJ132"/>
      <c r="GK132">
        <v>1.0228508408349439</v>
      </c>
      <c r="GL132">
        <v>0.14748101845849892</v>
      </c>
      <c r="GM132">
        <v>0.26183540241601705</v>
      </c>
      <c r="GN132">
        <v>0.26183540241601705</v>
      </c>
      <c r="GO132">
        <v>0</v>
      </c>
      <c r="GP132">
        <v>0</v>
      </c>
      <c r="GQ132">
        <v>0.45369793096285549</v>
      </c>
      <c r="GR132">
        <v>0.45369793096285549</v>
      </c>
      <c r="GS132">
        <v>0</v>
      </c>
      <c r="GT132">
        <v>0.34767683484276329</v>
      </c>
      <c r="GU132"/>
      <c r="GV132"/>
      <c r="GW132"/>
      <c r="GX132"/>
      <c r="GY132"/>
      <c r="GZ132"/>
      <c r="HA132"/>
      <c r="HB132"/>
      <c r="HC132"/>
    </row>
    <row r="133" spans="1:211" s="7" customFormat="1">
      <c r="A133" s="1"/>
      <c r="B133" s="76">
        <f t="shared" ca="1" si="132"/>
        <v>0.77067266411689528</v>
      </c>
      <c r="C133">
        <v>7</v>
      </c>
      <c r="D133">
        <v>39775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3.875</v>
      </c>
      <c r="AO133">
        <v>0.30559808442315295</v>
      </c>
      <c r="AP133">
        <v>10.228283473409464</v>
      </c>
      <c r="AQ133">
        <v>2.1428603355778018</v>
      </c>
      <c r="AR133">
        <v>0.33051506032156253</v>
      </c>
      <c r="AS133">
        <v>2.0819169431137254</v>
      </c>
      <c r="AT133" t="e">
        <v>#DIV/0!</v>
      </c>
      <c r="AU133" t="e">
        <v>#DIV/0!</v>
      </c>
      <c r="AV133"/>
      <c r="AW133"/>
      <c r="AX133" s="146"/>
      <c r="AY133" s="76">
        <f t="shared" ca="1" si="88"/>
        <v>0.64123869177062875</v>
      </c>
      <c r="AZ133">
        <v>6</v>
      </c>
      <c r="BA133" s="129">
        <f t="shared" si="167"/>
        <v>39775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 s="147"/>
      <c r="CH133" s="176"/>
      <c r="CJ133" s="146"/>
      <c r="CK133" s="76">
        <f t="shared" ca="1" si="90"/>
        <v>0.78426866499920722</v>
      </c>
      <c r="CL133" s="179">
        <f t="shared" si="91"/>
        <v>6</v>
      </c>
      <c r="CM133" s="180">
        <f t="shared" si="92"/>
        <v>39775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 s="160"/>
      <c r="CW133">
        <v>1</v>
      </c>
      <c r="CX133">
        <v>1</v>
      </c>
      <c r="CY133" s="164"/>
      <c r="CZ133" s="177">
        <f t="shared" si="93"/>
        <v>9.6000000000000002E-2</v>
      </c>
      <c r="DB133" s="146"/>
      <c r="DC133" s="76">
        <f t="shared" ca="1" si="51"/>
        <v>0.98115988519726649</v>
      </c>
      <c r="DD133">
        <f t="shared" si="94"/>
        <v>6</v>
      </c>
      <c r="DE133" s="129">
        <f t="shared" si="166"/>
        <v>39775</v>
      </c>
      <c r="DF133" s="161">
        <f t="shared" si="95"/>
        <v>0</v>
      </c>
      <c r="DG133" s="161">
        <f t="shared" si="96"/>
        <v>0</v>
      </c>
      <c r="DH133" s="161">
        <f t="shared" si="97"/>
        <v>0</v>
      </c>
      <c r="DI133" s="161">
        <f t="shared" si="98"/>
        <v>0</v>
      </c>
      <c r="DJ133" s="161">
        <f t="shared" si="99"/>
        <v>0</v>
      </c>
      <c r="DK133" s="161">
        <f t="shared" si="100"/>
        <v>0</v>
      </c>
      <c r="DL133" s="161">
        <f t="shared" si="101"/>
        <v>0</v>
      </c>
      <c r="DM133" s="161">
        <f t="shared" si="102"/>
        <v>0</v>
      </c>
      <c r="DN133" s="161">
        <f t="shared" si="103"/>
        <v>0</v>
      </c>
      <c r="DO133" s="161">
        <f t="shared" si="104"/>
        <v>0</v>
      </c>
      <c r="DP133" s="161">
        <f t="shared" si="105"/>
        <v>0</v>
      </c>
      <c r="DQ133" s="161">
        <f t="shared" si="106"/>
        <v>0</v>
      </c>
      <c r="DR133" s="161">
        <f t="shared" si="107"/>
        <v>0</v>
      </c>
      <c r="DS133" s="161">
        <f t="shared" si="108"/>
        <v>0</v>
      </c>
      <c r="DT133" s="161">
        <f t="shared" si="109"/>
        <v>0</v>
      </c>
      <c r="DU133" s="161">
        <f t="shared" si="110"/>
        <v>0</v>
      </c>
      <c r="DV133" s="161">
        <f t="shared" si="111"/>
        <v>0</v>
      </c>
      <c r="DW133" s="161">
        <f t="shared" si="112"/>
        <v>0</v>
      </c>
      <c r="DX133" s="161">
        <f t="shared" si="113"/>
        <v>0</v>
      </c>
      <c r="DY133" s="161">
        <f t="shared" si="114"/>
        <v>0</v>
      </c>
      <c r="DZ133" s="161">
        <f t="shared" si="115"/>
        <v>0</v>
      </c>
      <c r="EA133" s="161">
        <f t="shared" si="116"/>
        <v>0</v>
      </c>
      <c r="EB133" s="161">
        <f t="shared" si="117"/>
        <v>0</v>
      </c>
      <c r="EC133" s="161">
        <f t="shared" si="118"/>
        <v>0</v>
      </c>
      <c r="ED133" s="161">
        <f t="shared" si="119"/>
        <v>0</v>
      </c>
      <c r="EE133" s="161">
        <f t="shared" si="120"/>
        <v>0</v>
      </c>
      <c r="EF133" s="161">
        <f t="shared" si="121"/>
        <v>0</v>
      </c>
      <c r="EG133" s="161">
        <f t="shared" si="122"/>
        <v>0</v>
      </c>
      <c r="EH133" s="161">
        <f t="shared" si="123"/>
        <v>0</v>
      </c>
      <c r="EI133" s="161">
        <f t="shared" si="124"/>
        <v>0</v>
      </c>
      <c r="EJ133" s="161">
        <f t="shared" si="125"/>
        <v>0</v>
      </c>
      <c r="EK133" s="147">
        <f t="shared" si="133"/>
        <v>0</v>
      </c>
      <c r="EL133" s="149"/>
      <c r="EN133" s="146"/>
      <c r="EO133" s="146"/>
      <c r="EP133" s="139">
        <f t="shared" si="134"/>
        <v>0</v>
      </c>
      <c r="EQ133" s="139">
        <f t="shared" si="135"/>
        <v>0</v>
      </c>
      <c r="ER133" s="139">
        <f t="shared" si="136"/>
        <v>0</v>
      </c>
      <c r="ES133" s="139">
        <f t="shared" si="137"/>
        <v>0</v>
      </c>
      <c r="ET133" s="139">
        <f t="shared" si="138"/>
        <v>0</v>
      </c>
      <c r="EU133" s="139">
        <f t="shared" si="139"/>
        <v>0</v>
      </c>
      <c r="EV133" s="139">
        <f t="shared" si="140"/>
        <v>0</v>
      </c>
      <c r="EW133" s="139">
        <f t="shared" si="141"/>
        <v>0</v>
      </c>
      <c r="EX133" s="139">
        <f t="shared" si="142"/>
        <v>0</v>
      </c>
      <c r="EY133" s="139">
        <f t="shared" si="143"/>
        <v>0</v>
      </c>
      <c r="EZ133" s="139">
        <f t="shared" si="144"/>
        <v>0</v>
      </c>
      <c r="FA133" s="139">
        <f t="shared" si="145"/>
        <v>0</v>
      </c>
      <c r="FB133" s="139">
        <f t="shared" si="146"/>
        <v>0</v>
      </c>
      <c r="FC133" s="139">
        <f t="shared" si="147"/>
        <v>0</v>
      </c>
      <c r="FD133" s="139">
        <f t="shared" si="148"/>
        <v>0</v>
      </c>
      <c r="FE133" s="139">
        <f t="shared" si="149"/>
        <v>0</v>
      </c>
      <c r="FF133" s="139">
        <f t="shared" si="150"/>
        <v>0</v>
      </c>
      <c r="FG133" s="139">
        <f t="shared" si="151"/>
        <v>0</v>
      </c>
      <c r="FH133" s="139">
        <f t="shared" si="152"/>
        <v>0</v>
      </c>
      <c r="FI133" s="139">
        <f t="shared" si="153"/>
        <v>0</v>
      </c>
      <c r="FJ133" s="139">
        <f t="shared" si="154"/>
        <v>0</v>
      </c>
      <c r="FK133" s="139">
        <f t="shared" si="155"/>
        <v>0</v>
      </c>
      <c r="FL133" s="139">
        <f t="shared" si="156"/>
        <v>0</v>
      </c>
      <c r="FM133" s="139">
        <f t="shared" si="157"/>
        <v>0</v>
      </c>
      <c r="FN133" s="139">
        <f t="shared" si="158"/>
        <v>0</v>
      </c>
      <c r="FO133" s="139">
        <f t="shared" si="159"/>
        <v>0</v>
      </c>
      <c r="FP133" s="139">
        <f t="shared" si="160"/>
        <v>0</v>
      </c>
      <c r="FQ133" s="139">
        <f t="shared" si="161"/>
        <v>0</v>
      </c>
      <c r="FR133" s="139">
        <f t="shared" si="162"/>
        <v>0</v>
      </c>
      <c r="FS133" s="139">
        <f t="shared" si="163"/>
        <v>0</v>
      </c>
      <c r="FT133" s="139">
        <f t="shared" si="164"/>
        <v>0</v>
      </c>
      <c r="FU133" s="148">
        <f t="shared" si="165"/>
        <v>0</v>
      </c>
      <c r="FV133" s="149"/>
      <c r="FY133" s="211">
        <v>128</v>
      </c>
      <c r="FZ133">
        <v>0.42003366876465342</v>
      </c>
      <c r="GA133">
        <v>8.725047411847664E-2</v>
      </c>
      <c r="GB133">
        <v>6.282592274279708E-2</v>
      </c>
      <c r="GC133">
        <v>0.10445782487688358</v>
      </c>
      <c r="GD133">
        <v>5.3449107547347455E-2</v>
      </c>
      <c r="GE133">
        <v>0</v>
      </c>
      <c r="GF133">
        <v>0</v>
      </c>
      <c r="GG133">
        <v>0</v>
      </c>
      <c r="GH133">
        <v>0</v>
      </c>
      <c r="GI133">
        <v>0.10865733698632019</v>
      </c>
      <c r="GJ133"/>
      <c r="GK133">
        <v>0.41919036469280335</v>
      </c>
      <c r="GL133">
        <v>7.3740509229249462E-2</v>
      </c>
      <c r="GM133">
        <v>0.10493806523239137</v>
      </c>
      <c r="GN133">
        <v>0.31481419569717412</v>
      </c>
      <c r="GO133">
        <v>0.20987613046478273</v>
      </c>
      <c r="GP133">
        <v>0</v>
      </c>
      <c r="GQ133">
        <v>0</v>
      </c>
      <c r="GR133">
        <v>0</v>
      </c>
      <c r="GS133">
        <v>0</v>
      </c>
      <c r="GT133">
        <v>0.14680091207799548</v>
      </c>
      <c r="GU133"/>
      <c r="GV133"/>
      <c r="GW133"/>
      <c r="GX133"/>
      <c r="GY133"/>
      <c r="GZ133"/>
      <c r="HA133"/>
      <c r="HB133"/>
      <c r="HC133"/>
    </row>
    <row r="134" spans="1:211" s="7" customFormat="1">
      <c r="A134" s="1"/>
      <c r="B134" s="76">
        <f t="shared" ca="1" si="132"/>
        <v>0.45057534039267377</v>
      </c>
      <c r="C134">
        <v>10</v>
      </c>
      <c r="D134">
        <v>39775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3.7270833333333337</v>
      </c>
      <c r="AO134">
        <v>0.39551466890715981</v>
      </c>
      <c r="AP134">
        <v>9.1010760774953567</v>
      </c>
      <c r="AQ134">
        <v>3.2380728021311196</v>
      </c>
      <c r="AR134">
        <v>0.43868296986099709</v>
      </c>
      <c r="AS134">
        <v>2.3729256595057975</v>
      </c>
      <c r="AT134" t="e">
        <v>#DIV/0!</v>
      </c>
      <c r="AU134" t="e">
        <v>#DIV/0!</v>
      </c>
      <c r="AV134"/>
      <c r="AW134"/>
      <c r="AX134" s="146"/>
      <c r="AY134" s="76">
        <f t="shared" ca="1" si="88"/>
        <v>0.41831719993725103</v>
      </c>
      <c r="AZ134">
        <v>7</v>
      </c>
      <c r="BA134" s="129">
        <f t="shared" si="167"/>
        <v>39775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 s="147"/>
      <c r="CH134" s="176"/>
      <c r="CJ134" s="146"/>
      <c r="CK134" s="76">
        <f t="shared" ca="1" si="90"/>
        <v>0.70013113392654525</v>
      </c>
      <c r="CL134" s="179">
        <f t="shared" si="91"/>
        <v>7</v>
      </c>
      <c r="CM134" s="180">
        <f t="shared" si="92"/>
        <v>39775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3"/>
        <v>9.6000000000000002E-2</v>
      </c>
      <c r="DB134" s="146"/>
      <c r="DC134" s="76">
        <f t="shared" ca="1" si="51"/>
        <v>0.2050201502217055</v>
      </c>
      <c r="DD134">
        <f t="shared" si="94"/>
        <v>7</v>
      </c>
      <c r="DE134" s="129">
        <f t="shared" si="166"/>
        <v>39775</v>
      </c>
      <c r="DF134" s="161">
        <f t="shared" si="95"/>
        <v>0</v>
      </c>
      <c r="DG134" s="161">
        <f t="shared" si="96"/>
        <v>0</v>
      </c>
      <c r="DH134" s="161">
        <f t="shared" si="97"/>
        <v>0</v>
      </c>
      <c r="DI134" s="161">
        <f t="shared" si="98"/>
        <v>0</v>
      </c>
      <c r="DJ134" s="161">
        <f t="shared" si="99"/>
        <v>0</v>
      </c>
      <c r="DK134" s="161">
        <f t="shared" si="100"/>
        <v>0</v>
      </c>
      <c r="DL134" s="161">
        <f t="shared" si="101"/>
        <v>0</v>
      </c>
      <c r="DM134" s="161">
        <f t="shared" si="102"/>
        <v>0</v>
      </c>
      <c r="DN134" s="161">
        <f t="shared" si="103"/>
        <v>0</v>
      </c>
      <c r="DO134" s="161">
        <f t="shared" si="104"/>
        <v>0</v>
      </c>
      <c r="DP134" s="161">
        <f t="shared" si="105"/>
        <v>0</v>
      </c>
      <c r="DQ134" s="161">
        <f t="shared" si="106"/>
        <v>0</v>
      </c>
      <c r="DR134" s="161">
        <f t="shared" si="107"/>
        <v>0</v>
      </c>
      <c r="DS134" s="161">
        <f t="shared" si="108"/>
        <v>0</v>
      </c>
      <c r="DT134" s="161">
        <f t="shared" si="109"/>
        <v>0</v>
      </c>
      <c r="DU134" s="161">
        <f t="shared" si="110"/>
        <v>0</v>
      </c>
      <c r="DV134" s="161">
        <f t="shared" si="111"/>
        <v>0</v>
      </c>
      <c r="DW134" s="161">
        <f t="shared" si="112"/>
        <v>0</v>
      </c>
      <c r="DX134" s="161">
        <f t="shared" si="113"/>
        <v>0</v>
      </c>
      <c r="DY134" s="161">
        <f t="shared" si="114"/>
        <v>0</v>
      </c>
      <c r="DZ134" s="161">
        <f t="shared" si="115"/>
        <v>0</v>
      </c>
      <c r="EA134" s="161">
        <f t="shared" si="116"/>
        <v>0</v>
      </c>
      <c r="EB134" s="161">
        <f t="shared" si="117"/>
        <v>0</v>
      </c>
      <c r="EC134" s="161">
        <f t="shared" si="118"/>
        <v>0</v>
      </c>
      <c r="ED134" s="161">
        <f t="shared" si="119"/>
        <v>0</v>
      </c>
      <c r="EE134" s="161">
        <f t="shared" si="120"/>
        <v>0</v>
      </c>
      <c r="EF134" s="161">
        <f t="shared" si="121"/>
        <v>0</v>
      </c>
      <c r="EG134" s="161">
        <f t="shared" si="122"/>
        <v>0</v>
      </c>
      <c r="EH134" s="161">
        <f t="shared" si="123"/>
        <v>0</v>
      </c>
      <c r="EI134" s="161">
        <f t="shared" si="124"/>
        <v>0</v>
      </c>
      <c r="EJ134" s="161">
        <f t="shared" si="125"/>
        <v>0</v>
      </c>
      <c r="EK134" s="147">
        <f t="shared" si="133"/>
        <v>0</v>
      </c>
      <c r="EL134" s="149"/>
      <c r="EN134" s="146"/>
      <c r="EO134" s="146"/>
      <c r="EP134" s="139">
        <f t="shared" si="134"/>
        <v>0</v>
      </c>
      <c r="EQ134" s="139">
        <f t="shared" si="135"/>
        <v>0</v>
      </c>
      <c r="ER134" s="139">
        <f t="shared" si="136"/>
        <v>0</v>
      </c>
      <c r="ES134" s="139">
        <f t="shared" si="137"/>
        <v>0</v>
      </c>
      <c r="ET134" s="139">
        <f t="shared" si="138"/>
        <v>0</v>
      </c>
      <c r="EU134" s="139">
        <f t="shared" si="139"/>
        <v>0</v>
      </c>
      <c r="EV134" s="139">
        <f t="shared" si="140"/>
        <v>0</v>
      </c>
      <c r="EW134" s="139">
        <f t="shared" si="141"/>
        <v>0</v>
      </c>
      <c r="EX134" s="139">
        <f t="shared" si="142"/>
        <v>0</v>
      </c>
      <c r="EY134" s="139">
        <f t="shared" si="143"/>
        <v>0</v>
      </c>
      <c r="EZ134" s="139">
        <f t="shared" si="144"/>
        <v>0</v>
      </c>
      <c r="FA134" s="139">
        <f t="shared" si="145"/>
        <v>0</v>
      </c>
      <c r="FB134" s="139">
        <f t="shared" si="146"/>
        <v>0</v>
      </c>
      <c r="FC134" s="139">
        <f t="shared" si="147"/>
        <v>0</v>
      </c>
      <c r="FD134" s="139">
        <f t="shared" si="148"/>
        <v>0</v>
      </c>
      <c r="FE134" s="139">
        <f t="shared" si="149"/>
        <v>0</v>
      </c>
      <c r="FF134" s="139">
        <f t="shared" si="150"/>
        <v>0</v>
      </c>
      <c r="FG134" s="139">
        <f t="shared" si="151"/>
        <v>0</v>
      </c>
      <c r="FH134" s="139">
        <f t="shared" si="152"/>
        <v>0</v>
      </c>
      <c r="FI134" s="139">
        <f t="shared" si="153"/>
        <v>0</v>
      </c>
      <c r="FJ134" s="139">
        <f t="shared" si="154"/>
        <v>0</v>
      </c>
      <c r="FK134" s="139">
        <f t="shared" si="155"/>
        <v>0</v>
      </c>
      <c r="FL134" s="139">
        <f t="shared" si="156"/>
        <v>0</v>
      </c>
      <c r="FM134" s="139">
        <f t="shared" si="157"/>
        <v>0</v>
      </c>
      <c r="FN134" s="139">
        <f t="shared" si="158"/>
        <v>0</v>
      </c>
      <c r="FO134" s="139">
        <f t="shared" si="159"/>
        <v>0</v>
      </c>
      <c r="FP134" s="139">
        <f t="shared" si="160"/>
        <v>0</v>
      </c>
      <c r="FQ134" s="139">
        <f t="shared" si="161"/>
        <v>0</v>
      </c>
      <c r="FR134" s="139">
        <f t="shared" si="162"/>
        <v>0</v>
      </c>
      <c r="FS134" s="139">
        <f t="shared" si="163"/>
        <v>0</v>
      </c>
      <c r="FT134" s="139">
        <f t="shared" si="164"/>
        <v>0</v>
      </c>
      <c r="FU134" s="148">
        <f t="shared" si="165"/>
        <v>0</v>
      </c>
      <c r="FV134" s="149"/>
      <c r="FY134" s="211">
        <v>129</v>
      </c>
      <c r="FZ134">
        <v>1.2085401387822734</v>
      </c>
      <c r="GA134">
        <v>0.56185112583616514</v>
      </c>
      <c r="GB134">
        <v>0.14202990935487192</v>
      </c>
      <c r="GC134">
        <v>7.8958100610881349E-2</v>
      </c>
      <c r="GD134">
        <v>0</v>
      </c>
      <c r="GE134">
        <v>0</v>
      </c>
      <c r="GF134">
        <v>0.33021050058332063</v>
      </c>
      <c r="GG134">
        <v>0.29759236750664797</v>
      </c>
      <c r="GH134">
        <v>0</v>
      </c>
      <c r="GI134">
        <v>0.27790661780398235</v>
      </c>
      <c r="GJ134"/>
      <c r="GK134">
        <v>1.2141741703127207</v>
      </c>
      <c r="GL134">
        <v>0.48079623401633714</v>
      </c>
      <c r="GM134">
        <v>0.23585576644039991</v>
      </c>
      <c r="GN134">
        <v>0.23585576644039991</v>
      </c>
      <c r="GO134">
        <v>0</v>
      </c>
      <c r="GP134">
        <v>0</v>
      </c>
      <c r="GQ134">
        <v>0.45369793096285549</v>
      </c>
      <c r="GR134">
        <v>0.45369793096285549</v>
      </c>
      <c r="GS134">
        <v>0</v>
      </c>
      <c r="GT134">
        <v>0.38074557354319521</v>
      </c>
      <c r="GU134"/>
      <c r="GV134"/>
      <c r="GW134"/>
      <c r="GX134"/>
      <c r="GY134"/>
      <c r="GZ134"/>
      <c r="HA134"/>
      <c r="HB134"/>
      <c r="HC134"/>
    </row>
    <row r="135" spans="1:211" s="7" customFormat="1">
      <c r="A135" s="1"/>
      <c r="B135" s="76">
        <f t="shared" ca="1" si="132"/>
        <v>0.19955759043309573</v>
      </c>
      <c r="C135">
        <v>4</v>
      </c>
      <c r="D135">
        <v>39775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2.5499999999999998</v>
      </c>
      <c r="AO135">
        <v>0.21015191054778709</v>
      </c>
      <c r="AP135">
        <v>3.0372837278794274</v>
      </c>
      <c r="AQ135">
        <v>1.9789176149400804</v>
      </c>
      <c r="AR135">
        <v>0.26492088590973195</v>
      </c>
      <c r="AS135">
        <v>1.5742356234937165</v>
      </c>
      <c r="AT135" t="e">
        <v>#DIV/0!</v>
      </c>
      <c r="AU135" t="e">
        <v>#DIV/0!</v>
      </c>
      <c r="AV135"/>
      <c r="AW135"/>
      <c r="AX135" s="146"/>
      <c r="AY135" s="76">
        <f t="shared" ca="1" si="88"/>
        <v>0.40272121285863527</v>
      </c>
      <c r="AZ135">
        <v>8</v>
      </c>
      <c r="BA135" s="129">
        <f t="shared" si="167"/>
        <v>39775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 s="147"/>
      <c r="CH135" s="176"/>
      <c r="CJ135" s="146"/>
      <c r="CK135" s="76">
        <f t="shared" ca="1" si="90"/>
        <v>0.31683512482662879</v>
      </c>
      <c r="CL135" s="179">
        <f t="shared" si="91"/>
        <v>8</v>
      </c>
      <c r="CM135" s="180">
        <f t="shared" si="92"/>
        <v>39775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 s="160"/>
      <c r="CW135">
        <f>30/9</f>
        <v>3.3333333333333335</v>
      </c>
      <c r="CX135">
        <f>40/8</f>
        <v>5</v>
      </c>
      <c r="CY135" s="164"/>
      <c r="CZ135" s="177">
        <f t="shared" si="93"/>
        <v>9.6000000000000002E-2</v>
      </c>
      <c r="DB135" s="146"/>
      <c r="DC135" s="76">
        <f t="shared" ca="1" si="51"/>
        <v>0.68312820201431834</v>
      </c>
      <c r="DD135">
        <f t="shared" si="94"/>
        <v>8</v>
      </c>
      <c r="DE135" s="129">
        <f t="shared" si="166"/>
        <v>39775</v>
      </c>
      <c r="DF135" s="161">
        <f t="shared" si="95"/>
        <v>0</v>
      </c>
      <c r="DG135" s="161">
        <f t="shared" si="96"/>
        <v>0</v>
      </c>
      <c r="DH135" s="161">
        <f t="shared" si="97"/>
        <v>0</v>
      </c>
      <c r="DI135" s="161">
        <f t="shared" si="98"/>
        <v>0</v>
      </c>
      <c r="DJ135" s="161">
        <f t="shared" si="99"/>
        <v>0</v>
      </c>
      <c r="DK135" s="161">
        <f t="shared" si="100"/>
        <v>0</v>
      </c>
      <c r="DL135" s="161">
        <f t="shared" si="101"/>
        <v>0</v>
      </c>
      <c r="DM135" s="161">
        <f t="shared" si="102"/>
        <v>0</v>
      </c>
      <c r="DN135" s="161">
        <f t="shared" si="103"/>
        <v>0</v>
      </c>
      <c r="DO135" s="161">
        <f t="shared" si="104"/>
        <v>0</v>
      </c>
      <c r="DP135" s="161">
        <f t="shared" si="105"/>
        <v>0</v>
      </c>
      <c r="DQ135" s="161">
        <f t="shared" si="106"/>
        <v>0</v>
      </c>
      <c r="DR135" s="161">
        <f t="shared" si="107"/>
        <v>0</v>
      </c>
      <c r="DS135" s="161">
        <f t="shared" si="108"/>
        <v>0</v>
      </c>
      <c r="DT135" s="161">
        <f t="shared" si="109"/>
        <v>0</v>
      </c>
      <c r="DU135" s="161">
        <f t="shared" si="110"/>
        <v>0</v>
      </c>
      <c r="DV135" s="161">
        <f t="shared" si="111"/>
        <v>0</v>
      </c>
      <c r="DW135" s="161">
        <f t="shared" si="112"/>
        <v>0</v>
      </c>
      <c r="DX135" s="161">
        <f t="shared" si="113"/>
        <v>0</v>
      </c>
      <c r="DY135" s="161">
        <f t="shared" si="114"/>
        <v>0</v>
      </c>
      <c r="DZ135" s="161">
        <f t="shared" si="115"/>
        <v>0</v>
      </c>
      <c r="EA135" s="161">
        <f t="shared" si="116"/>
        <v>0</v>
      </c>
      <c r="EB135" s="161">
        <f t="shared" si="117"/>
        <v>0</v>
      </c>
      <c r="EC135" s="161">
        <f t="shared" si="118"/>
        <v>0</v>
      </c>
      <c r="ED135" s="161">
        <f t="shared" si="119"/>
        <v>0</v>
      </c>
      <c r="EE135" s="161">
        <f t="shared" si="120"/>
        <v>0</v>
      </c>
      <c r="EF135" s="161">
        <f t="shared" si="121"/>
        <v>0</v>
      </c>
      <c r="EG135" s="161">
        <f t="shared" si="122"/>
        <v>0</v>
      </c>
      <c r="EH135" s="161">
        <f t="shared" si="123"/>
        <v>0</v>
      </c>
      <c r="EI135" s="161">
        <f t="shared" si="124"/>
        <v>0</v>
      </c>
      <c r="EJ135" s="161">
        <f t="shared" si="125"/>
        <v>0</v>
      </c>
      <c r="EK135" s="147">
        <f t="shared" si="133"/>
        <v>0</v>
      </c>
      <c r="EL135" s="149"/>
      <c r="EN135" s="146"/>
      <c r="EO135" s="146"/>
      <c r="EP135" s="139">
        <f t="shared" si="134"/>
        <v>0</v>
      </c>
      <c r="EQ135" s="139">
        <f t="shared" si="135"/>
        <v>0</v>
      </c>
      <c r="ER135" s="139">
        <f t="shared" si="136"/>
        <v>0</v>
      </c>
      <c r="ES135" s="139">
        <f t="shared" si="137"/>
        <v>0</v>
      </c>
      <c r="ET135" s="139">
        <f t="shared" si="138"/>
        <v>0</v>
      </c>
      <c r="EU135" s="139">
        <f t="shared" si="139"/>
        <v>0</v>
      </c>
      <c r="EV135" s="139">
        <f t="shared" si="140"/>
        <v>0</v>
      </c>
      <c r="EW135" s="139">
        <f t="shared" si="141"/>
        <v>0</v>
      </c>
      <c r="EX135" s="139">
        <f t="shared" si="142"/>
        <v>0</v>
      </c>
      <c r="EY135" s="139">
        <f t="shared" si="143"/>
        <v>0</v>
      </c>
      <c r="EZ135" s="139">
        <f t="shared" si="144"/>
        <v>0</v>
      </c>
      <c r="FA135" s="139">
        <f t="shared" si="145"/>
        <v>0</v>
      </c>
      <c r="FB135" s="139">
        <f t="shared" si="146"/>
        <v>0</v>
      </c>
      <c r="FC135" s="139">
        <f t="shared" si="147"/>
        <v>0</v>
      </c>
      <c r="FD135" s="139">
        <f t="shared" si="148"/>
        <v>0</v>
      </c>
      <c r="FE135" s="139">
        <f t="shared" si="149"/>
        <v>0</v>
      </c>
      <c r="FF135" s="139">
        <f t="shared" si="150"/>
        <v>0</v>
      </c>
      <c r="FG135" s="139">
        <f t="shared" si="151"/>
        <v>0</v>
      </c>
      <c r="FH135" s="139">
        <f t="shared" si="152"/>
        <v>0</v>
      </c>
      <c r="FI135" s="139">
        <f t="shared" si="153"/>
        <v>0</v>
      </c>
      <c r="FJ135" s="139">
        <f t="shared" si="154"/>
        <v>0</v>
      </c>
      <c r="FK135" s="139">
        <f t="shared" si="155"/>
        <v>0</v>
      </c>
      <c r="FL135" s="139">
        <f t="shared" si="156"/>
        <v>0</v>
      </c>
      <c r="FM135" s="139">
        <f t="shared" si="157"/>
        <v>0</v>
      </c>
      <c r="FN135" s="139">
        <f t="shared" si="158"/>
        <v>0</v>
      </c>
      <c r="FO135" s="139">
        <f t="shared" si="159"/>
        <v>0</v>
      </c>
      <c r="FP135" s="139">
        <f t="shared" si="160"/>
        <v>0</v>
      </c>
      <c r="FQ135" s="139">
        <f t="shared" si="161"/>
        <v>0</v>
      </c>
      <c r="FR135" s="139">
        <f t="shared" si="162"/>
        <v>0</v>
      </c>
      <c r="FS135" s="139">
        <f t="shared" si="163"/>
        <v>0</v>
      </c>
      <c r="FT135" s="139">
        <f t="shared" si="164"/>
        <v>0</v>
      </c>
      <c r="FU135" s="148">
        <f t="shared" si="165"/>
        <v>0</v>
      </c>
      <c r="FV135" s="149"/>
      <c r="FY135" s="211">
        <v>130</v>
      </c>
      <c r="FZ135">
        <v>1.1345392207738145</v>
      </c>
      <c r="GA135">
        <v>0.77470035519842362</v>
      </c>
      <c r="GB135">
        <v>6.282592274279708E-2</v>
      </c>
      <c r="GC135">
        <v>0.10445782487688358</v>
      </c>
      <c r="GD135">
        <v>5.3449107547347455E-2</v>
      </c>
      <c r="GE135">
        <v>0</v>
      </c>
      <c r="GF135">
        <v>0.33021050058332063</v>
      </c>
      <c r="GG135">
        <v>0.29759236750664797</v>
      </c>
      <c r="GH135">
        <v>0</v>
      </c>
      <c r="GI135">
        <v>0.27830909133839687</v>
      </c>
      <c r="GJ135"/>
      <c r="GK135">
        <v>1.1448883258503812</v>
      </c>
      <c r="GL135">
        <v>0.66663043111567644</v>
      </c>
      <c r="GM135">
        <v>0.10493806523239137</v>
      </c>
      <c r="GN135">
        <v>0.31481419569717412</v>
      </c>
      <c r="GO135">
        <v>0.20987613046478273</v>
      </c>
      <c r="GP135">
        <v>0</v>
      </c>
      <c r="GQ135">
        <v>0.45369793096285549</v>
      </c>
      <c r="GR135">
        <v>0.45369793096285549</v>
      </c>
      <c r="GS135">
        <v>0</v>
      </c>
      <c r="GT135">
        <v>0.38268009050208224</v>
      </c>
      <c r="GU135"/>
      <c r="GV135"/>
      <c r="GW135"/>
      <c r="GX135"/>
      <c r="GY135"/>
      <c r="GZ135"/>
      <c r="HA135"/>
      <c r="HB135"/>
      <c r="HC135"/>
    </row>
    <row r="136" spans="1:211" s="7" customFormat="1">
      <c r="A136" s="1"/>
      <c r="B136" s="76">
        <f t="shared" ca="1" si="132"/>
        <v>0.91260949176348571</v>
      </c>
      <c r="C136">
        <v>9</v>
      </c>
      <c r="D136">
        <v>39775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2.317708333333333</v>
      </c>
      <c r="AO136">
        <v>0.24498269855736746</v>
      </c>
      <c r="AP136">
        <v>7.8736049483069523</v>
      </c>
      <c r="AQ136">
        <v>1.9633845459329238</v>
      </c>
      <c r="AR136">
        <v>0.29857847402892684</v>
      </c>
      <c r="AS136">
        <v>1.9748196387154879</v>
      </c>
      <c r="AT136" t="e">
        <v>#DIV/0!</v>
      </c>
      <c r="AU136" t="e">
        <v>#DIV/0!</v>
      </c>
      <c r="AV136"/>
      <c r="AW136"/>
      <c r="AX136" s="146"/>
      <c r="AY136" s="76">
        <f t="shared" ca="1" si="88"/>
        <v>0.86418659603345827</v>
      </c>
      <c r="AZ136">
        <v>9</v>
      </c>
      <c r="BA136" s="129">
        <f t="shared" si="167"/>
        <v>39775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 s="147"/>
      <c r="CH136" s="176"/>
      <c r="CJ136" s="146"/>
      <c r="CK136" s="76">
        <f t="shared" ca="1" si="90"/>
        <v>0.26869282656507654</v>
      </c>
      <c r="CL136" s="179">
        <f t="shared" si="91"/>
        <v>9</v>
      </c>
      <c r="CM136" s="180">
        <f t="shared" si="92"/>
        <v>39775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 s="160"/>
      <c r="CW136">
        <v>1</v>
      </c>
      <c r="CX136">
        <v>1</v>
      </c>
      <c r="CY136" s="164"/>
      <c r="CZ136" s="177">
        <f t="shared" si="93"/>
        <v>9.6000000000000002E-2</v>
      </c>
      <c r="DB136" s="146"/>
      <c r="DC136" s="76">
        <f t="shared" ca="1" si="51"/>
        <v>0.6556798029599582</v>
      </c>
      <c r="DD136">
        <f t="shared" si="94"/>
        <v>9</v>
      </c>
      <c r="DE136" s="129">
        <f t="shared" si="166"/>
        <v>39775</v>
      </c>
      <c r="DF136" s="161">
        <f t="shared" si="95"/>
        <v>0</v>
      </c>
      <c r="DG136" s="161">
        <f t="shared" si="96"/>
        <v>0</v>
      </c>
      <c r="DH136" s="161">
        <f t="shared" si="97"/>
        <v>0</v>
      </c>
      <c r="DI136" s="161">
        <f t="shared" si="98"/>
        <v>0</v>
      </c>
      <c r="DJ136" s="161">
        <f t="shared" si="99"/>
        <v>0</v>
      </c>
      <c r="DK136" s="161">
        <f t="shared" si="100"/>
        <v>0</v>
      </c>
      <c r="DL136" s="161">
        <f t="shared" si="101"/>
        <v>0</v>
      </c>
      <c r="DM136" s="161">
        <f t="shared" si="102"/>
        <v>0</v>
      </c>
      <c r="DN136" s="161">
        <f t="shared" si="103"/>
        <v>0</v>
      </c>
      <c r="DO136" s="161">
        <f t="shared" si="104"/>
        <v>0</v>
      </c>
      <c r="DP136" s="161">
        <f t="shared" si="105"/>
        <v>0</v>
      </c>
      <c r="DQ136" s="161">
        <f t="shared" si="106"/>
        <v>0</v>
      </c>
      <c r="DR136" s="161">
        <f t="shared" si="107"/>
        <v>0</v>
      </c>
      <c r="DS136" s="161">
        <f t="shared" si="108"/>
        <v>0</v>
      </c>
      <c r="DT136" s="161">
        <f t="shared" si="109"/>
        <v>0</v>
      </c>
      <c r="DU136" s="161">
        <f t="shared" si="110"/>
        <v>0</v>
      </c>
      <c r="DV136" s="161">
        <f t="shared" si="111"/>
        <v>0</v>
      </c>
      <c r="DW136" s="161">
        <f t="shared" si="112"/>
        <v>0</v>
      </c>
      <c r="DX136" s="161">
        <f t="shared" si="113"/>
        <v>0</v>
      </c>
      <c r="DY136" s="161">
        <f t="shared" si="114"/>
        <v>0</v>
      </c>
      <c r="DZ136" s="161">
        <f t="shared" si="115"/>
        <v>0</v>
      </c>
      <c r="EA136" s="161">
        <f t="shared" si="116"/>
        <v>0</v>
      </c>
      <c r="EB136" s="161">
        <f t="shared" si="117"/>
        <v>0</v>
      </c>
      <c r="EC136" s="161">
        <f t="shared" si="118"/>
        <v>0</v>
      </c>
      <c r="ED136" s="161">
        <f t="shared" si="119"/>
        <v>0</v>
      </c>
      <c r="EE136" s="161">
        <f t="shared" si="120"/>
        <v>0</v>
      </c>
      <c r="EF136" s="161">
        <f t="shared" si="121"/>
        <v>0</v>
      </c>
      <c r="EG136" s="161">
        <f t="shared" si="122"/>
        <v>0</v>
      </c>
      <c r="EH136" s="161">
        <f t="shared" si="123"/>
        <v>0</v>
      </c>
      <c r="EI136" s="161">
        <f t="shared" si="124"/>
        <v>0</v>
      </c>
      <c r="EJ136" s="161">
        <f t="shared" si="125"/>
        <v>0</v>
      </c>
      <c r="EK136" s="147">
        <f t="shared" si="133"/>
        <v>0</v>
      </c>
      <c r="EL136" s="149"/>
      <c r="EN136" s="146"/>
      <c r="EO136" s="146"/>
      <c r="EP136" s="139">
        <f t="shared" si="134"/>
        <v>0</v>
      </c>
      <c r="EQ136" s="139">
        <f t="shared" si="135"/>
        <v>0</v>
      </c>
      <c r="ER136" s="139">
        <f t="shared" si="136"/>
        <v>0</v>
      </c>
      <c r="ES136" s="139">
        <f t="shared" si="137"/>
        <v>0</v>
      </c>
      <c r="ET136" s="139">
        <f t="shared" si="138"/>
        <v>0</v>
      </c>
      <c r="EU136" s="139">
        <f t="shared" si="139"/>
        <v>0</v>
      </c>
      <c r="EV136" s="139">
        <f t="shared" si="140"/>
        <v>0</v>
      </c>
      <c r="EW136" s="139">
        <f t="shared" si="141"/>
        <v>0</v>
      </c>
      <c r="EX136" s="139">
        <f t="shared" si="142"/>
        <v>0</v>
      </c>
      <c r="EY136" s="139">
        <f t="shared" si="143"/>
        <v>0</v>
      </c>
      <c r="EZ136" s="139">
        <f t="shared" si="144"/>
        <v>0</v>
      </c>
      <c r="FA136" s="139">
        <f t="shared" si="145"/>
        <v>0</v>
      </c>
      <c r="FB136" s="139">
        <f t="shared" si="146"/>
        <v>0</v>
      </c>
      <c r="FC136" s="139">
        <f t="shared" si="147"/>
        <v>0</v>
      </c>
      <c r="FD136" s="139">
        <f t="shared" si="148"/>
        <v>0</v>
      </c>
      <c r="FE136" s="139">
        <f t="shared" si="149"/>
        <v>0</v>
      </c>
      <c r="FF136" s="139">
        <f t="shared" si="150"/>
        <v>0</v>
      </c>
      <c r="FG136" s="139">
        <f t="shared" si="151"/>
        <v>0</v>
      </c>
      <c r="FH136" s="139">
        <f t="shared" si="152"/>
        <v>0</v>
      </c>
      <c r="FI136" s="139">
        <f t="shared" si="153"/>
        <v>0</v>
      </c>
      <c r="FJ136" s="139">
        <f t="shared" si="154"/>
        <v>0</v>
      </c>
      <c r="FK136" s="139">
        <f t="shared" si="155"/>
        <v>0</v>
      </c>
      <c r="FL136" s="139">
        <f t="shared" si="156"/>
        <v>0</v>
      </c>
      <c r="FM136" s="139">
        <f t="shared" si="157"/>
        <v>0</v>
      </c>
      <c r="FN136" s="139">
        <f t="shared" si="158"/>
        <v>0</v>
      </c>
      <c r="FO136" s="139">
        <f t="shared" si="159"/>
        <v>0</v>
      </c>
      <c r="FP136" s="139">
        <f t="shared" si="160"/>
        <v>0</v>
      </c>
      <c r="FQ136" s="139">
        <f t="shared" si="161"/>
        <v>0</v>
      </c>
      <c r="FR136" s="139">
        <f t="shared" si="162"/>
        <v>0</v>
      </c>
      <c r="FS136" s="139">
        <f t="shared" si="163"/>
        <v>0</v>
      </c>
      <c r="FT136" s="139">
        <f t="shared" si="164"/>
        <v>0</v>
      </c>
      <c r="FU136" s="148">
        <f t="shared" si="165"/>
        <v>0</v>
      </c>
      <c r="FV136" s="149"/>
      <c r="FY136" s="211">
        <v>131</v>
      </c>
      <c r="FZ136">
        <v>0.43842643357548838</v>
      </c>
      <c r="GA136">
        <v>0</v>
      </c>
      <c r="GB136">
        <v>6.282592274279708E-2</v>
      </c>
      <c r="GC136">
        <v>0.10445782487688358</v>
      </c>
      <c r="GD136">
        <v>5.3449107547347455E-2</v>
      </c>
      <c r="GE136">
        <v>0</v>
      </c>
      <c r="GF136">
        <v>0.99063150174996206</v>
      </c>
      <c r="GG136">
        <v>0.89277710251994391</v>
      </c>
      <c r="GH136">
        <v>0</v>
      </c>
      <c r="GI136">
        <v>0.30360949197667669</v>
      </c>
      <c r="GJ136"/>
      <c r="GK136">
        <v>0.4374243011027808</v>
      </c>
      <c r="GL136">
        <v>0</v>
      </c>
      <c r="GM136">
        <v>0.10493806523239137</v>
      </c>
      <c r="GN136">
        <v>0.31481419569717412</v>
      </c>
      <c r="GO136">
        <v>0.20987613046478273</v>
      </c>
      <c r="GP136">
        <v>0</v>
      </c>
      <c r="GQ136">
        <v>1.3610937928885667</v>
      </c>
      <c r="GR136">
        <v>1.3610937928885667</v>
      </c>
      <c r="GS136">
        <v>0</v>
      </c>
      <c r="GT136">
        <v>0.4226664579377043</v>
      </c>
      <c r="GU136"/>
      <c r="GV136"/>
      <c r="GW136"/>
      <c r="GX136"/>
      <c r="GY136"/>
      <c r="GZ136"/>
      <c r="HA136"/>
      <c r="HB136"/>
      <c r="HC136"/>
    </row>
    <row r="137" spans="1:211" s="7" customFormat="1">
      <c r="A137" s="1"/>
      <c r="B137" s="76">
        <f t="shared" ca="1" si="132"/>
        <v>0.20783124031244871</v>
      </c>
      <c r="C137">
        <v>2</v>
      </c>
      <c r="D137">
        <v>39775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2.5874999999999999</v>
      </c>
      <c r="AO137">
        <v>0.38777788898785903</v>
      </c>
      <c r="AP137">
        <v>7.0361229336826643</v>
      </c>
      <c r="AQ137">
        <v>3.4005395603449697</v>
      </c>
      <c r="AR137">
        <v>0.38873020018250448</v>
      </c>
      <c r="AS137">
        <v>2.2575039450999053</v>
      </c>
      <c r="AT137" t="e">
        <v>#DIV/0!</v>
      </c>
      <c r="AU137" t="e">
        <v>#DIV/0!</v>
      </c>
      <c r="AV137"/>
      <c r="AW137"/>
      <c r="AX137" s="146"/>
      <c r="AY137" s="76">
        <f t="shared" ca="1" si="88"/>
        <v>0.1734716795189204</v>
      </c>
      <c r="AZ137">
        <v>10</v>
      </c>
      <c r="BA137" s="129">
        <f t="shared" si="167"/>
        <v>39775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 s="147"/>
      <c r="CH137" s="176"/>
      <c r="CJ137" s="146"/>
      <c r="CK137" s="76">
        <f t="shared" ca="1" si="90"/>
        <v>0.90225007576847926</v>
      </c>
      <c r="CL137" s="179">
        <f t="shared" si="91"/>
        <v>10</v>
      </c>
      <c r="CM137" s="180">
        <f t="shared" si="92"/>
        <v>39775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 s="160"/>
      <c r="CW137">
        <v>1</v>
      </c>
      <c r="CX137">
        <v>1</v>
      </c>
      <c r="CY137" s="164"/>
      <c r="CZ137" s="177">
        <f t="shared" si="93"/>
        <v>9.6000000000000002E-2</v>
      </c>
      <c r="DB137" s="146"/>
      <c r="DC137" s="76">
        <f t="shared" ca="1" si="51"/>
        <v>0.53795201705528961</v>
      </c>
      <c r="DD137">
        <f t="shared" si="94"/>
        <v>10</v>
      </c>
      <c r="DE137" s="129">
        <f t="shared" si="166"/>
        <v>39775</v>
      </c>
      <c r="DF137" s="161">
        <f t="shared" si="95"/>
        <v>0</v>
      </c>
      <c r="DG137" s="161">
        <f t="shared" si="96"/>
        <v>0</v>
      </c>
      <c r="DH137" s="161">
        <f t="shared" si="97"/>
        <v>0</v>
      </c>
      <c r="DI137" s="161">
        <f t="shared" si="98"/>
        <v>0</v>
      </c>
      <c r="DJ137" s="161">
        <f t="shared" si="99"/>
        <v>0</v>
      </c>
      <c r="DK137" s="161">
        <f t="shared" si="100"/>
        <v>0</v>
      </c>
      <c r="DL137" s="161">
        <f t="shared" si="101"/>
        <v>0</v>
      </c>
      <c r="DM137" s="161">
        <f t="shared" si="102"/>
        <v>0</v>
      </c>
      <c r="DN137" s="161">
        <f t="shared" si="103"/>
        <v>0</v>
      </c>
      <c r="DO137" s="161">
        <f t="shared" si="104"/>
        <v>0</v>
      </c>
      <c r="DP137" s="161">
        <f t="shared" si="105"/>
        <v>0</v>
      </c>
      <c r="DQ137" s="161">
        <f t="shared" si="106"/>
        <v>0</v>
      </c>
      <c r="DR137" s="161">
        <f t="shared" si="107"/>
        <v>0</v>
      </c>
      <c r="DS137" s="161">
        <f t="shared" si="108"/>
        <v>0</v>
      </c>
      <c r="DT137" s="161">
        <f t="shared" si="109"/>
        <v>0</v>
      </c>
      <c r="DU137" s="161">
        <f t="shared" si="110"/>
        <v>0</v>
      </c>
      <c r="DV137" s="161">
        <f t="shared" si="111"/>
        <v>0</v>
      </c>
      <c r="DW137" s="161">
        <f t="shared" si="112"/>
        <v>0</v>
      </c>
      <c r="DX137" s="161">
        <f t="shared" si="113"/>
        <v>0</v>
      </c>
      <c r="DY137" s="161">
        <f t="shared" si="114"/>
        <v>0</v>
      </c>
      <c r="DZ137" s="161">
        <f t="shared" si="115"/>
        <v>0</v>
      </c>
      <c r="EA137" s="161">
        <f t="shared" si="116"/>
        <v>0</v>
      </c>
      <c r="EB137" s="161">
        <f t="shared" si="117"/>
        <v>0</v>
      </c>
      <c r="EC137" s="161">
        <f t="shared" si="118"/>
        <v>0</v>
      </c>
      <c r="ED137" s="161">
        <f t="shared" si="119"/>
        <v>0</v>
      </c>
      <c r="EE137" s="161">
        <f t="shared" si="120"/>
        <v>0</v>
      </c>
      <c r="EF137" s="161">
        <f t="shared" si="121"/>
        <v>0</v>
      </c>
      <c r="EG137" s="161">
        <f t="shared" si="122"/>
        <v>0</v>
      </c>
      <c r="EH137" s="161">
        <f t="shared" si="123"/>
        <v>0</v>
      </c>
      <c r="EI137" s="161">
        <f t="shared" si="124"/>
        <v>0</v>
      </c>
      <c r="EJ137" s="161">
        <f t="shared" si="125"/>
        <v>0</v>
      </c>
      <c r="EK137" s="147">
        <f t="shared" si="133"/>
        <v>0</v>
      </c>
      <c r="EL137" s="149"/>
      <c r="EN137" s="146"/>
      <c r="EO137" s="146"/>
      <c r="EP137" s="139">
        <f t="shared" si="134"/>
        <v>0</v>
      </c>
      <c r="EQ137" s="139">
        <f t="shared" si="135"/>
        <v>0</v>
      </c>
      <c r="ER137" s="139">
        <f t="shared" si="136"/>
        <v>0</v>
      </c>
      <c r="ES137" s="139">
        <f t="shared" si="137"/>
        <v>0</v>
      </c>
      <c r="ET137" s="139">
        <f t="shared" si="138"/>
        <v>0</v>
      </c>
      <c r="EU137" s="139">
        <f t="shared" si="139"/>
        <v>0</v>
      </c>
      <c r="EV137" s="139">
        <f t="shared" si="140"/>
        <v>0</v>
      </c>
      <c r="EW137" s="139">
        <f t="shared" si="141"/>
        <v>0</v>
      </c>
      <c r="EX137" s="139">
        <f t="shared" si="142"/>
        <v>0</v>
      </c>
      <c r="EY137" s="139">
        <f t="shared" si="143"/>
        <v>0</v>
      </c>
      <c r="EZ137" s="139">
        <f t="shared" si="144"/>
        <v>0</v>
      </c>
      <c r="FA137" s="139">
        <f t="shared" si="145"/>
        <v>0</v>
      </c>
      <c r="FB137" s="139">
        <f t="shared" si="146"/>
        <v>0</v>
      </c>
      <c r="FC137" s="139">
        <f t="shared" si="147"/>
        <v>0</v>
      </c>
      <c r="FD137" s="139">
        <f t="shared" si="148"/>
        <v>0</v>
      </c>
      <c r="FE137" s="139">
        <f t="shared" si="149"/>
        <v>0</v>
      </c>
      <c r="FF137" s="139">
        <f t="shared" si="150"/>
        <v>0</v>
      </c>
      <c r="FG137" s="139">
        <f t="shared" si="151"/>
        <v>0</v>
      </c>
      <c r="FH137" s="139">
        <f t="shared" si="152"/>
        <v>0</v>
      </c>
      <c r="FI137" s="139">
        <f t="shared" si="153"/>
        <v>0</v>
      </c>
      <c r="FJ137" s="139">
        <f t="shared" si="154"/>
        <v>0</v>
      </c>
      <c r="FK137" s="139">
        <f t="shared" si="155"/>
        <v>0</v>
      </c>
      <c r="FL137" s="139">
        <f t="shared" si="156"/>
        <v>0</v>
      </c>
      <c r="FM137" s="139">
        <f t="shared" si="157"/>
        <v>0</v>
      </c>
      <c r="FN137" s="139">
        <f t="shared" si="158"/>
        <v>0</v>
      </c>
      <c r="FO137" s="139">
        <f t="shared" si="159"/>
        <v>0</v>
      </c>
      <c r="FP137" s="139">
        <f t="shared" si="160"/>
        <v>0</v>
      </c>
      <c r="FQ137" s="139">
        <f t="shared" si="161"/>
        <v>0</v>
      </c>
      <c r="FR137" s="139">
        <f t="shared" si="162"/>
        <v>0</v>
      </c>
      <c r="FS137" s="139">
        <f t="shared" si="163"/>
        <v>0</v>
      </c>
      <c r="FT137" s="139">
        <f t="shared" si="164"/>
        <v>0</v>
      </c>
      <c r="FU137" s="148">
        <f t="shared" si="165"/>
        <v>0</v>
      </c>
      <c r="FV137" s="149"/>
      <c r="FY137" s="211">
        <v>132</v>
      </c>
      <c r="FZ137">
        <v>1.5024045930947203</v>
      </c>
      <c r="GA137">
        <v>0.77470035519842362</v>
      </c>
      <c r="GB137">
        <v>0.14202990935487192</v>
      </c>
      <c r="GC137">
        <v>0.11377737556984255</v>
      </c>
      <c r="GD137">
        <v>2.6724553773673727E-2</v>
      </c>
      <c r="GE137">
        <v>0</v>
      </c>
      <c r="GF137">
        <v>0.66042100116664126</v>
      </c>
      <c r="GG137">
        <v>0.59518473501329594</v>
      </c>
      <c r="GH137">
        <v>0</v>
      </c>
      <c r="GI137">
        <v>0.40087784178084979</v>
      </c>
      <c r="GJ137"/>
      <c r="GK137">
        <v>1.5120471132507296</v>
      </c>
      <c r="GL137">
        <v>0.66663043111567644</v>
      </c>
      <c r="GM137">
        <v>0.23585576644039991</v>
      </c>
      <c r="GN137">
        <v>0.34079383167279126</v>
      </c>
      <c r="GO137">
        <v>0.10493806523239137</v>
      </c>
      <c r="GP137">
        <v>0</v>
      </c>
      <c r="GQ137">
        <v>0.90739586192571098</v>
      </c>
      <c r="GR137">
        <v>0.90739586192571098</v>
      </c>
      <c r="GS137">
        <v>0</v>
      </c>
      <c r="GT137">
        <v>0.55204736136984633</v>
      </c>
      <c r="GU137"/>
      <c r="GV137"/>
      <c r="GW137"/>
      <c r="GX137"/>
      <c r="GY137"/>
      <c r="GZ137"/>
      <c r="HA137"/>
      <c r="HB137"/>
      <c r="HC137"/>
    </row>
    <row r="138" spans="1:211" s="7" customFormat="1">
      <c r="A138" s="128"/>
      <c r="B138" s="76">
        <f t="shared" ca="1" si="132"/>
        <v>0.35633562157310994</v>
      </c>
      <c r="C138">
        <v>8</v>
      </c>
      <c r="D138">
        <v>39799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2.1020833333333329</v>
      </c>
      <c r="AO138">
        <v>0.2894205974949724</v>
      </c>
      <c r="AP138">
        <v>8.8981150051763969</v>
      </c>
      <c r="AQ138">
        <v>2.4403821702270698</v>
      </c>
      <c r="AR138">
        <v>0.32141904232789825</v>
      </c>
      <c r="AS138">
        <v>1.7012650127075759</v>
      </c>
      <c r="AT138" t="e">
        <v>#DIV/0!</v>
      </c>
      <c r="AU138" t="e">
        <v>#DIV/0!</v>
      </c>
      <c r="AV138"/>
      <c r="AW138"/>
      <c r="AX138" s="128"/>
      <c r="AY138" s="76">
        <f t="shared" ca="1" si="88"/>
        <v>0.17761142479938563</v>
      </c>
      <c r="AZ138">
        <v>1</v>
      </c>
      <c r="BA138" s="129">
        <f>IF(AZ138="", "",$C$9)</f>
        <v>39799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 s="147"/>
      <c r="CH138" s="176"/>
      <c r="CJ138" s="128"/>
      <c r="CK138" s="76">
        <f t="shared" ca="1" si="90"/>
        <v>0.24276612037251777</v>
      </c>
      <c r="CL138" s="179">
        <f t="shared" si="91"/>
        <v>1</v>
      </c>
      <c r="CM138" s="180">
        <f t="shared" si="92"/>
        <v>39799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 s="160"/>
      <c r="CW138">
        <v>1</v>
      </c>
      <c r="CX138">
        <v>8</v>
      </c>
      <c r="CY138" s="160"/>
      <c r="CZ138" s="177">
        <f t="shared" si="93"/>
        <v>9.6000000000000002E-2</v>
      </c>
      <c r="DB138" s="128"/>
      <c r="DC138" s="76">
        <f t="shared" ca="1" si="51"/>
        <v>0.19375437835464293</v>
      </c>
      <c r="DD138">
        <f t="shared" si="94"/>
        <v>1</v>
      </c>
      <c r="DE138" s="129">
        <f t="shared" ref="DE138:DE147" si="168">IF((DD138)="","",$C$9)</f>
        <v>39799</v>
      </c>
      <c r="DF138" s="161">
        <f t="shared" si="95"/>
        <v>0</v>
      </c>
      <c r="DG138" s="161">
        <f t="shared" si="96"/>
        <v>0</v>
      </c>
      <c r="DH138" s="161">
        <f t="shared" si="97"/>
        <v>0</v>
      </c>
      <c r="DI138" s="161">
        <f t="shared" si="98"/>
        <v>0</v>
      </c>
      <c r="DJ138" s="161">
        <f t="shared" si="99"/>
        <v>0</v>
      </c>
      <c r="DK138" s="161">
        <f t="shared" si="100"/>
        <v>0</v>
      </c>
      <c r="DL138" s="161">
        <f t="shared" si="101"/>
        <v>0</v>
      </c>
      <c r="DM138" s="161">
        <f t="shared" si="102"/>
        <v>0</v>
      </c>
      <c r="DN138" s="161">
        <f t="shared" si="103"/>
        <v>0</v>
      </c>
      <c r="DO138" s="161">
        <f t="shared" si="104"/>
        <v>0</v>
      </c>
      <c r="DP138" s="161">
        <f t="shared" si="105"/>
        <v>0</v>
      </c>
      <c r="DQ138" s="161">
        <f t="shared" si="106"/>
        <v>0</v>
      </c>
      <c r="DR138" s="161">
        <f t="shared" si="107"/>
        <v>0</v>
      </c>
      <c r="DS138" s="161">
        <f t="shared" si="108"/>
        <v>0</v>
      </c>
      <c r="DT138" s="161">
        <f t="shared" si="109"/>
        <v>0</v>
      </c>
      <c r="DU138" s="161">
        <f t="shared" si="110"/>
        <v>0</v>
      </c>
      <c r="DV138" s="161">
        <f t="shared" si="111"/>
        <v>0</v>
      </c>
      <c r="DW138" s="161">
        <f t="shared" si="112"/>
        <v>0</v>
      </c>
      <c r="DX138" s="161">
        <f t="shared" si="113"/>
        <v>0</v>
      </c>
      <c r="DY138" s="161">
        <f t="shared" si="114"/>
        <v>0</v>
      </c>
      <c r="DZ138" s="161">
        <f t="shared" si="115"/>
        <v>0</v>
      </c>
      <c r="EA138" s="161">
        <f t="shared" si="116"/>
        <v>0</v>
      </c>
      <c r="EB138" s="161">
        <f t="shared" si="117"/>
        <v>0</v>
      </c>
      <c r="EC138" s="161">
        <f t="shared" si="118"/>
        <v>0</v>
      </c>
      <c r="ED138" s="161">
        <f t="shared" si="119"/>
        <v>0</v>
      </c>
      <c r="EE138" s="161">
        <f t="shared" si="120"/>
        <v>0</v>
      </c>
      <c r="EF138" s="161">
        <f t="shared" si="121"/>
        <v>0</v>
      </c>
      <c r="EG138" s="161">
        <f t="shared" si="122"/>
        <v>0</v>
      </c>
      <c r="EH138" s="161">
        <f t="shared" si="123"/>
        <v>0</v>
      </c>
      <c r="EI138" s="161">
        <f t="shared" si="124"/>
        <v>0</v>
      </c>
      <c r="EJ138" s="161">
        <f t="shared" si="125"/>
        <v>0</v>
      </c>
      <c r="EK138" s="147">
        <f t="shared" si="133"/>
        <v>0</v>
      </c>
      <c r="EL138" s="149"/>
      <c r="EN138" s="146"/>
      <c r="EO138" s="146"/>
      <c r="EP138" s="139">
        <f t="shared" si="134"/>
        <v>0</v>
      </c>
      <c r="EQ138" s="139">
        <f t="shared" si="135"/>
        <v>0</v>
      </c>
      <c r="ER138" s="139">
        <f t="shared" si="136"/>
        <v>0</v>
      </c>
      <c r="ES138" s="139">
        <f t="shared" si="137"/>
        <v>0</v>
      </c>
      <c r="ET138" s="139">
        <f t="shared" si="138"/>
        <v>0</v>
      </c>
      <c r="EU138" s="139">
        <f t="shared" si="139"/>
        <v>0</v>
      </c>
      <c r="EV138" s="139">
        <f t="shared" si="140"/>
        <v>0</v>
      </c>
      <c r="EW138" s="139">
        <f t="shared" si="141"/>
        <v>0</v>
      </c>
      <c r="EX138" s="139">
        <f t="shared" si="142"/>
        <v>0</v>
      </c>
      <c r="EY138" s="139">
        <f t="shared" si="143"/>
        <v>0</v>
      </c>
      <c r="EZ138" s="139">
        <f t="shared" si="144"/>
        <v>0</v>
      </c>
      <c r="FA138" s="139">
        <f t="shared" si="145"/>
        <v>0</v>
      </c>
      <c r="FB138" s="139">
        <f t="shared" si="146"/>
        <v>0</v>
      </c>
      <c r="FC138" s="139">
        <f t="shared" si="147"/>
        <v>0</v>
      </c>
      <c r="FD138" s="139">
        <f t="shared" si="148"/>
        <v>0</v>
      </c>
      <c r="FE138" s="139">
        <f t="shared" si="149"/>
        <v>0</v>
      </c>
      <c r="FF138" s="139">
        <f t="shared" si="150"/>
        <v>0</v>
      </c>
      <c r="FG138" s="139">
        <f t="shared" si="151"/>
        <v>0</v>
      </c>
      <c r="FH138" s="139">
        <f t="shared" si="152"/>
        <v>0</v>
      </c>
      <c r="FI138" s="139">
        <f t="shared" si="153"/>
        <v>0</v>
      </c>
      <c r="FJ138" s="139">
        <f t="shared" si="154"/>
        <v>0</v>
      </c>
      <c r="FK138" s="139">
        <f t="shared" si="155"/>
        <v>0</v>
      </c>
      <c r="FL138" s="139">
        <f t="shared" si="156"/>
        <v>0</v>
      </c>
      <c r="FM138" s="139">
        <f t="shared" si="157"/>
        <v>0</v>
      </c>
      <c r="FN138" s="139">
        <f t="shared" si="158"/>
        <v>0</v>
      </c>
      <c r="FO138" s="139">
        <f t="shared" si="159"/>
        <v>0</v>
      </c>
      <c r="FP138" s="139">
        <f t="shared" si="160"/>
        <v>0</v>
      </c>
      <c r="FQ138" s="139">
        <f t="shared" si="161"/>
        <v>0</v>
      </c>
      <c r="FR138" s="139">
        <f t="shared" si="162"/>
        <v>0</v>
      </c>
      <c r="FS138" s="139">
        <f t="shared" si="163"/>
        <v>0</v>
      </c>
      <c r="FT138" s="139">
        <f t="shared" si="164"/>
        <v>0</v>
      </c>
      <c r="FU138" s="148">
        <f t="shared" si="165"/>
        <v>0</v>
      </c>
      <c r="FV138" s="149"/>
      <c r="FY138" s="211">
        <v>133</v>
      </c>
      <c r="FZ138">
        <v>0.82291500299223719</v>
      </c>
      <c r="GA138">
        <v>8.725047411847664E-2</v>
      </c>
      <c r="GB138">
        <v>0.37964186919109638</v>
      </c>
      <c r="GC138">
        <v>0.24619385252560305</v>
      </c>
      <c r="GD138">
        <v>2.6724553773673727E-2</v>
      </c>
      <c r="GE138">
        <v>0</v>
      </c>
      <c r="GF138">
        <v>0.33021050058332063</v>
      </c>
      <c r="GG138">
        <v>0.29759236750664797</v>
      </c>
      <c r="GH138">
        <v>0</v>
      </c>
      <c r="GI138">
        <v>0.29446171537925814</v>
      </c>
      <c r="GJ138"/>
      <c r="GK138">
        <v>0.82701498659371242</v>
      </c>
      <c r="GL138">
        <v>7.3740509229249462E-2</v>
      </c>
      <c r="GM138">
        <v>0.62860887006442545</v>
      </c>
      <c r="GN138">
        <v>0.7335469352968168</v>
      </c>
      <c r="GO138">
        <v>0.10493806523239137</v>
      </c>
      <c r="GP138">
        <v>0</v>
      </c>
      <c r="GQ138">
        <v>0.45369793096285549</v>
      </c>
      <c r="GR138">
        <v>0.45369793096285549</v>
      </c>
      <c r="GS138">
        <v>0</v>
      </c>
      <c r="GT138">
        <v>0.40285197057067701</v>
      </c>
      <c r="GU138"/>
      <c r="GV138"/>
      <c r="GW138"/>
      <c r="GX138"/>
      <c r="GY138"/>
      <c r="GZ138"/>
      <c r="HA138"/>
      <c r="HB138"/>
      <c r="HC138"/>
    </row>
    <row r="139" spans="1:211" s="7" customFormat="1">
      <c r="A139" s="1"/>
      <c r="B139" s="76">
        <f t="shared" ca="1" si="132"/>
        <v>0.38158278976123983</v>
      </c>
      <c r="C139">
        <v>9</v>
      </c>
      <c r="D139">
        <v>39799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1.390625</v>
      </c>
      <c r="AO139">
        <v>0.28959153460790588</v>
      </c>
      <c r="AP139">
        <v>13.918874905827153</v>
      </c>
      <c r="AQ139">
        <v>2.1096601024923931</v>
      </c>
      <c r="AR139">
        <v>0.3096002971575566</v>
      </c>
      <c r="AS139">
        <v>1.5508623265211974</v>
      </c>
      <c r="AT139" t="e">
        <v>#DIV/0!</v>
      </c>
      <c r="AU139" t="e">
        <v>#DIV/0!</v>
      </c>
      <c r="AV139"/>
      <c r="AW139"/>
      <c r="AX139" s="146"/>
      <c r="AY139" s="76">
        <f t="shared" ca="1" si="88"/>
        <v>4.4272737178557175E-2</v>
      </c>
      <c r="AZ139">
        <v>2</v>
      </c>
      <c r="BA139" s="129">
        <f t="shared" ref="BA139:BA147" si="169">IF(AZ139="", "",$C$9)</f>
        <v>39799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 s="147"/>
      <c r="CH139" s="176"/>
      <c r="CJ139" s="146"/>
      <c r="CK139" s="76">
        <f t="shared" ca="1" si="90"/>
        <v>0.55810413196295805</v>
      </c>
      <c r="CL139" s="179">
        <f t="shared" si="91"/>
        <v>2</v>
      </c>
      <c r="CM139" s="180">
        <f t="shared" si="92"/>
        <v>39799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 s="160"/>
      <c r="CW139">
        <v>1</v>
      </c>
      <c r="CX139">
        <v>1</v>
      </c>
      <c r="CY139" s="160"/>
      <c r="CZ139" s="177">
        <f t="shared" si="93"/>
        <v>9.6000000000000002E-2</v>
      </c>
      <c r="DB139" s="146"/>
      <c r="DC139" s="76">
        <f t="shared" ca="1" si="51"/>
        <v>0.73393121734585787</v>
      </c>
      <c r="DD139">
        <f t="shared" si="94"/>
        <v>2</v>
      </c>
      <c r="DE139" s="129">
        <f t="shared" si="168"/>
        <v>39799</v>
      </c>
      <c r="DF139" s="161">
        <f t="shared" si="95"/>
        <v>0</v>
      </c>
      <c r="DG139" s="161">
        <f t="shared" si="96"/>
        <v>0</v>
      </c>
      <c r="DH139" s="161">
        <f t="shared" si="97"/>
        <v>0</v>
      </c>
      <c r="DI139" s="161">
        <f t="shared" si="98"/>
        <v>0</v>
      </c>
      <c r="DJ139" s="161">
        <f t="shared" si="99"/>
        <v>0</v>
      </c>
      <c r="DK139" s="161">
        <f t="shared" si="100"/>
        <v>0</v>
      </c>
      <c r="DL139" s="161">
        <f t="shared" si="101"/>
        <v>0</v>
      </c>
      <c r="DM139" s="161">
        <f t="shared" si="102"/>
        <v>0</v>
      </c>
      <c r="DN139" s="161">
        <f t="shared" si="103"/>
        <v>0</v>
      </c>
      <c r="DO139" s="161">
        <f t="shared" si="104"/>
        <v>0</v>
      </c>
      <c r="DP139" s="161">
        <f t="shared" si="105"/>
        <v>0</v>
      </c>
      <c r="DQ139" s="161">
        <f t="shared" si="106"/>
        <v>0</v>
      </c>
      <c r="DR139" s="161">
        <f t="shared" si="107"/>
        <v>0</v>
      </c>
      <c r="DS139" s="161">
        <f t="shared" si="108"/>
        <v>0</v>
      </c>
      <c r="DT139" s="161">
        <f t="shared" si="109"/>
        <v>0</v>
      </c>
      <c r="DU139" s="161">
        <f t="shared" si="110"/>
        <v>0</v>
      </c>
      <c r="DV139" s="161">
        <f t="shared" si="111"/>
        <v>0</v>
      </c>
      <c r="DW139" s="161">
        <f t="shared" si="112"/>
        <v>0</v>
      </c>
      <c r="DX139" s="161">
        <f t="shared" si="113"/>
        <v>0</v>
      </c>
      <c r="DY139" s="161">
        <f t="shared" si="114"/>
        <v>0</v>
      </c>
      <c r="DZ139" s="161">
        <f t="shared" si="115"/>
        <v>0</v>
      </c>
      <c r="EA139" s="161">
        <f t="shared" si="116"/>
        <v>0</v>
      </c>
      <c r="EB139" s="161">
        <f t="shared" si="117"/>
        <v>0</v>
      </c>
      <c r="EC139" s="161">
        <f t="shared" si="118"/>
        <v>0</v>
      </c>
      <c r="ED139" s="161">
        <f t="shared" si="119"/>
        <v>0</v>
      </c>
      <c r="EE139" s="161">
        <f t="shared" si="120"/>
        <v>0</v>
      </c>
      <c r="EF139" s="161">
        <f t="shared" si="121"/>
        <v>0</v>
      </c>
      <c r="EG139" s="161">
        <f t="shared" si="122"/>
        <v>0</v>
      </c>
      <c r="EH139" s="161">
        <f t="shared" si="123"/>
        <v>0</v>
      </c>
      <c r="EI139" s="161">
        <f t="shared" si="124"/>
        <v>0</v>
      </c>
      <c r="EJ139" s="161">
        <f t="shared" si="125"/>
        <v>0</v>
      </c>
      <c r="EK139" s="147">
        <f t="shared" si="133"/>
        <v>0</v>
      </c>
      <c r="EL139" s="149"/>
      <c r="EN139" s="146"/>
      <c r="EO139" s="146"/>
      <c r="EP139" s="139">
        <f t="shared" si="134"/>
        <v>0</v>
      </c>
      <c r="EQ139" s="139">
        <f t="shared" si="135"/>
        <v>0</v>
      </c>
      <c r="ER139" s="139">
        <f t="shared" si="136"/>
        <v>0</v>
      </c>
      <c r="ES139" s="139">
        <f t="shared" si="137"/>
        <v>0</v>
      </c>
      <c r="ET139" s="139">
        <f t="shared" si="138"/>
        <v>0</v>
      </c>
      <c r="EU139" s="139">
        <f t="shared" si="139"/>
        <v>0</v>
      </c>
      <c r="EV139" s="139">
        <f t="shared" si="140"/>
        <v>0</v>
      </c>
      <c r="EW139" s="139">
        <f t="shared" si="141"/>
        <v>0</v>
      </c>
      <c r="EX139" s="139">
        <f t="shared" si="142"/>
        <v>0</v>
      </c>
      <c r="EY139" s="139">
        <f t="shared" si="143"/>
        <v>0</v>
      </c>
      <c r="EZ139" s="139">
        <f t="shared" si="144"/>
        <v>0</v>
      </c>
      <c r="FA139" s="139">
        <f t="shared" si="145"/>
        <v>0</v>
      </c>
      <c r="FB139" s="139">
        <f t="shared" si="146"/>
        <v>0</v>
      </c>
      <c r="FC139" s="139">
        <f t="shared" si="147"/>
        <v>0</v>
      </c>
      <c r="FD139" s="139">
        <f t="shared" si="148"/>
        <v>0</v>
      </c>
      <c r="FE139" s="139">
        <f t="shared" si="149"/>
        <v>0</v>
      </c>
      <c r="FF139" s="139">
        <f t="shared" si="150"/>
        <v>0</v>
      </c>
      <c r="FG139" s="139">
        <f t="shared" si="151"/>
        <v>0</v>
      </c>
      <c r="FH139" s="139">
        <f t="shared" si="152"/>
        <v>0</v>
      </c>
      <c r="FI139" s="139">
        <f t="shared" si="153"/>
        <v>0</v>
      </c>
      <c r="FJ139" s="139">
        <f t="shared" si="154"/>
        <v>0</v>
      </c>
      <c r="FK139" s="139">
        <f t="shared" si="155"/>
        <v>0</v>
      </c>
      <c r="FL139" s="139">
        <f t="shared" si="156"/>
        <v>0</v>
      </c>
      <c r="FM139" s="139">
        <f t="shared" si="157"/>
        <v>0</v>
      </c>
      <c r="FN139" s="139">
        <f t="shared" si="158"/>
        <v>0</v>
      </c>
      <c r="FO139" s="139">
        <f t="shared" si="159"/>
        <v>0</v>
      </c>
      <c r="FP139" s="139">
        <f t="shared" si="160"/>
        <v>0</v>
      </c>
      <c r="FQ139" s="139">
        <f t="shared" si="161"/>
        <v>0</v>
      </c>
      <c r="FR139" s="139">
        <f t="shared" si="162"/>
        <v>0</v>
      </c>
      <c r="FS139" s="139">
        <f t="shared" si="163"/>
        <v>0</v>
      </c>
      <c r="FT139" s="139">
        <f t="shared" si="164"/>
        <v>0</v>
      </c>
      <c r="FU139" s="148">
        <f t="shared" si="165"/>
        <v>0</v>
      </c>
      <c r="FV139" s="149"/>
      <c r="FY139" s="211">
        <v>134</v>
      </c>
      <c r="FZ139">
        <v>0.572430997915226</v>
      </c>
      <c r="GA139">
        <v>0</v>
      </c>
      <c r="GB139">
        <v>6.282592274279708E-2</v>
      </c>
      <c r="GC139">
        <v>3.4819274958961192E-2</v>
      </c>
      <c r="GD139">
        <v>0</v>
      </c>
      <c r="GE139">
        <v>0</v>
      </c>
      <c r="GF139">
        <v>0.66042100116664126</v>
      </c>
      <c r="GG139">
        <v>0.59518473501329594</v>
      </c>
      <c r="GH139">
        <v>0</v>
      </c>
      <c r="GI139">
        <v>0.22840377985940297</v>
      </c>
      <c r="GJ139"/>
      <c r="GK139">
        <v>0.57414371208295001</v>
      </c>
      <c r="GL139">
        <v>0</v>
      </c>
      <c r="GM139">
        <v>0.10493806523239137</v>
      </c>
      <c r="GN139">
        <v>0.10493806523239137</v>
      </c>
      <c r="GO139">
        <v>0</v>
      </c>
      <c r="GP139">
        <v>0</v>
      </c>
      <c r="GQ139">
        <v>0.90739586192571098</v>
      </c>
      <c r="GR139">
        <v>0.90739586192571098</v>
      </c>
      <c r="GS139">
        <v>0</v>
      </c>
      <c r="GT139">
        <v>0.31729552784821047</v>
      </c>
      <c r="GU139"/>
      <c r="GV139"/>
      <c r="GW139"/>
      <c r="GX139"/>
      <c r="GY139"/>
      <c r="GZ139"/>
      <c r="HA139"/>
      <c r="HB139"/>
      <c r="HC139"/>
    </row>
    <row r="140" spans="1:211" s="7" customFormat="1">
      <c r="A140" s="1"/>
      <c r="B140" s="76">
        <f t="shared" ca="1" si="132"/>
        <v>0.97848343627396739</v>
      </c>
      <c r="C140">
        <v>4</v>
      </c>
      <c r="D140">
        <v>39799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2.5791666666666666</v>
      </c>
      <c r="AO140">
        <v>0.43808278226103259</v>
      </c>
      <c r="AP140">
        <v>12.116576096439273</v>
      </c>
      <c r="AQ140">
        <v>3.4588985867931172</v>
      </c>
      <c r="AR140">
        <v>0.44367810419009784</v>
      </c>
      <c r="AS140">
        <v>2.2214386413183189</v>
      </c>
      <c r="AT140" t="e">
        <v>#DIV/0!</v>
      </c>
      <c r="AU140" t="e">
        <v>#DIV/0!</v>
      </c>
      <c r="AV140"/>
      <c r="AW140"/>
      <c r="AX140" s="146"/>
      <c r="AY140" s="76">
        <f t="shared" ca="1" si="88"/>
        <v>0.5653059968335441</v>
      </c>
      <c r="AZ140">
        <v>3</v>
      </c>
      <c r="BA140" s="129">
        <f t="shared" si="169"/>
        <v>39799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 s="147"/>
      <c r="CH140" s="176"/>
      <c r="CJ140" s="146"/>
      <c r="CK140" s="76">
        <f t="shared" ca="1" si="90"/>
        <v>0.68704816539086555</v>
      </c>
      <c r="CL140" s="179">
        <f t="shared" si="91"/>
        <v>3</v>
      </c>
      <c r="CM140" s="180">
        <f t="shared" si="92"/>
        <v>39799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 s="160"/>
      <c r="CW140" s="178">
        <f>30/13</f>
        <v>2.3076923076923075</v>
      </c>
      <c r="CX140">
        <f>8</f>
        <v>8</v>
      </c>
      <c r="CY140" s="160"/>
      <c r="CZ140" s="177">
        <f t="shared" si="93"/>
        <v>9.6000000000000002E-2</v>
      </c>
      <c r="DB140" s="146"/>
      <c r="DC140" s="76">
        <f t="shared" ca="1" si="51"/>
        <v>0.83088708229618646</v>
      </c>
      <c r="DD140">
        <f t="shared" si="94"/>
        <v>3</v>
      </c>
      <c r="DE140" s="129">
        <f t="shared" si="168"/>
        <v>39799</v>
      </c>
      <c r="DF140" s="161">
        <f t="shared" si="95"/>
        <v>0</v>
      </c>
      <c r="DG140" s="161">
        <f t="shared" si="96"/>
        <v>0</v>
      </c>
      <c r="DH140" s="161">
        <f t="shared" si="97"/>
        <v>0</v>
      </c>
      <c r="DI140" s="161">
        <f t="shared" si="98"/>
        <v>0</v>
      </c>
      <c r="DJ140" s="161">
        <f t="shared" si="99"/>
        <v>0</v>
      </c>
      <c r="DK140" s="161">
        <f t="shared" si="100"/>
        <v>0</v>
      </c>
      <c r="DL140" s="161">
        <f t="shared" si="101"/>
        <v>0</v>
      </c>
      <c r="DM140" s="161">
        <f t="shared" si="102"/>
        <v>0</v>
      </c>
      <c r="DN140" s="161">
        <f t="shared" si="103"/>
        <v>0</v>
      </c>
      <c r="DO140" s="161">
        <f t="shared" si="104"/>
        <v>0</v>
      </c>
      <c r="DP140" s="161">
        <f t="shared" si="105"/>
        <v>0</v>
      </c>
      <c r="DQ140" s="161">
        <f t="shared" si="106"/>
        <v>0</v>
      </c>
      <c r="DR140" s="161">
        <f t="shared" si="107"/>
        <v>0</v>
      </c>
      <c r="DS140" s="161">
        <f t="shared" si="108"/>
        <v>0</v>
      </c>
      <c r="DT140" s="161">
        <f t="shared" si="109"/>
        <v>0</v>
      </c>
      <c r="DU140" s="161">
        <f t="shared" si="110"/>
        <v>0</v>
      </c>
      <c r="DV140" s="161">
        <f t="shared" si="111"/>
        <v>0</v>
      </c>
      <c r="DW140" s="161">
        <f t="shared" si="112"/>
        <v>0</v>
      </c>
      <c r="DX140" s="161">
        <f t="shared" si="113"/>
        <v>0</v>
      </c>
      <c r="DY140" s="161">
        <f t="shared" si="114"/>
        <v>0</v>
      </c>
      <c r="DZ140" s="161">
        <f t="shared" si="115"/>
        <v>0</v>
      </c>
      <c r="EA140" s="161">
        <f t="shared" si="116"/>
        <v>0</v>
      </c>
      <c r="EB140" s="161">
        <f t="shared" si="117"/>
        <v>0</v>
      </c>
      <c r="EC140" s="161">
        <f t="shared" si="118"/>
        <v>0</v>
      </c>
      <c r="ED140" s="161">
        <f t="shared" si="119"/>
        <v>0</v>
      </c>
      <c r="EE140" s="161">
        <f t="shared" si="120"/>
        <v>0</v>
      </c>
      <c r="EF140" s="161">
        <f t="shared" si="121"/>
        <v>0</v>
      </c>
      <c r="EG140" s="161">
        <f t="shared" si="122"/>
        <v>0</v>
      </c>
      <c r="EH140" s="161">
        <f t="shared" si="123"/>
        <v>0</v>
      </c>
      <c r="EI140" s="161">
        <f t="shared" si="124"/>
        <v>0</v>
      </c>
      <c r="EJ140" s="161">
        <f t="shared" si="125"/>
        <v>0</v>
      </c>
      <c r="EK140" s="147">
        <f t="shared" si="133"/>
        <v>0</v>
      </c>
      <c r="EL140" s="149"/>
      <c r="EN140" s="146"/>
      <c r="EO140" s="146"/>
      <c r="EP140" s="139">
        <f t="shared" si="134"/>
        <v>0</v>
      </c>
      <c r="EQ140" s="139">
        <f t="shared" si="135"/>
        <v>0</v>
      </c>
      <c r="ER140" s="139">
        <f t="shared" si="136"/>
        <v>0</v>
      </c>
      <c r="ES140" s="139">
        <f t="shared" si="137"/>
        <v>0</v>
      </c>
      <c r="ET140" s="139">
        <f t="shared" si="138"/>
        <v>0</v>
      </c>
      <c r="EU140" s="139">
        <f t="shared" si="139"/>
        <v>0</v>
      </c>
      <c r="EV140" s="139">
        <f t="shared" si="140"/>
        <v>0</v>
      </c>
      <c r="EW140" s="139">
        <f t="shared" si="141"/>
        <v>0</v>
      </c>
      <c r="EX140" s="139">
        <f t="shared" si="142"/>
        <v>0</v>
      </c>
      <c r="EY140" s="139">
        <f t="shared" si="143"/>
        <v>0</v>
      </c>
      <c r="EZ140" s="139">
        <f t="shared" si="144"/>
        <v>0</v>
      </c>
      <c r="FA140" s="139">
        <f t="shared" si="145"/>
        <v>0</v>
      </c>
      <c r="FB140" s="139">
        <f t="shared" si="146"/>
        <v>0</v>
      </c>
      <c r="FC140" s="139">
        <f t="shared" si="147"/>
        <v>0</v>
      </c>
      <c r="FD140" s="139">
        <f t="shared" si="148"/>
        <v>0</v>
      </c>
      <c r="FE140" s="139">
        <f t="shared" si="149"/>
        <v>0</v>
      </c>
      <c r="FF140" s="139">
        <f t="shared" si="150"/>
        <v>0</v>
      </c>
      <c r="FG140" s="139">
        <f t="shared" si="151"/>
        <v>0</v>
      </c>
      <c r="FH140" s="139">
        <f t="shared" si="152"/>
        <v>0</v>
      </c>
      <c r="FI140" s="139">
        <f t="shared" si="153"/>
        <v>0</v>
      </c>
      <c r="FJ140" s="139">
        <f t="shared" si="154"/>
        <v>0</v>
      </c>
      <c r="FK140" s="139">
        <f t="shared" si="155"/>
        <v>0</v>
      </c>
      <c r="FL140" s="139">
        <f t="shared" si="156"/>
        <v>0</v>
      </c>
      <c r="FM140" s="139">
        <f t="shared" si="157"/>
        <v>0</v>
      </c>
      <c r="FN140" s="139">
        <f t="shared" si="158"/>
        <v>0</v>
      </c>
      <c r="FO140" s="139">
        <f t="shared" si="159"/>
        <v>0</v>
      </c>
      <c r="FP140" s="139">
        <f t="shared" si="160"/>
        <v>0</v>
      </c>
      <c r="FQ140" s="139">
        <f t="shared" si="161"/>
        <v>0</v>
      </c>
      <c r="FR140" s="139">
        <f t="shared" si="162"/>
        <v>0</v>
      </c>
      <c r="FS140" s="139">
        <f t="shared" si="163"/>
        <v>0</v>
      </c>
      <c r="FT140" s="139">
        <f t="shared" si="164"/>
        <v>0</v>
      </c>
      <c r="FU140" s="148">
        <f t="shared" si="165"/>
        <v>0</v>
      </c>
      <c r="FV140" s="149"/>
      <c r="FY140" s="211">
        <v>135</v>
      </c>
      <c r="FZ140">
        <v>1.3795215663326896</v>
      </c>
      <c r="GA140">
        <v>0.86195082931690026</v>
      </c>
      <c r="GB140">
        <v>0.14202990935487192</v>
      </c>
      <c r="GC140">
        <v>7.8958100610881349E-2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0.23896025033017687</v>
      </c>
      <c r="GJ140"/>
      <c r="GK140">
        <v>1.3924871252612518</v>
      </c>
      <c r="GL140">
        <v>0.7403709403449259</v>
      </c>
      <c r="GM140">
        <v>0.23585576644039991</v>
      </c>
      <c r="GN140">
        <v>0.23585576644039991</v>
      </c>
      <c r="GO140">
        <v>0</v>
      </c>
      <c r="GP140">
        <v>0</v>
      </c>
      <c r="GQ140">
        <v>0</v>
      </c>
      <c r="GR140">
        <v>0</v>
      </c>
      <c r="GS140">
        <v>0</v>
      </c>
      <c r="GT140">
        <v>0.32566857834033036</v>
      </c>
      <c r="GU140"/>
      <c r="GV140"/>
      <c r="GW140"/>
      <c r="GX140"/>
      <c r="GY140"/>
      <c r="GZ140"/>
      <c r="HA140"/>
      <c r="HB140"/>
      <c r="HC140"/>
    </row>
    <row r="141" spans="1:211" s="7" customFormat="1">
      <c r="A141" s="1"/>
      <c r="B141" s="76">
        <f t="shared" ca="1" si="132"/>
        <v>0.7563090568632358</v>
      </c>
      <c r="C141">
        <v>5</v>
      </c>
      <c r="D141">
        <v>39799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2.5208333333333335</v>
      </c>
      <c r="AO141">
        <v>0.18772893935084456</v>
      </c>
      <c r="AP141">
        <v>2.7340280650234661</v>
      </c>
      <c r="AQ141">
        <v>1.5902263438021447</v>
      </c>
      <c r="AR141">
        <v>0.26561212563573555</v>
      </c>
      <c r="AS141">
        <v>1.5675426521356186</v>
      </c>
      <c r="AT141" t="e">
        <v>#DIV/0!</v>
      </c>
      <c r="AU141" t="e">
        <v>#DIV/0!</v>
      </c>
      <c r="AV141"/>
      <c r="AW141"/>
      <c r="AX141" s="146"/>
      <c r="AY141" s="76">
        <f t="shared" ca="1" si="88"/>
        <v>0.9124306119806409</v>
      </c>
      <c r="AZ141">
        <v>4</v>
      </c>
      <c r="BA141" s="129">
        <f t="shared" si="169"/>
        <v>39799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 s="147"/>
      <c r="CH141" s="176"/>
      <c r="CJ141" s="146"/>
      <c r="CK141" s="76">
        <f t="shared" ca="1" si="90"/>
        <v>0.73695055679377042</v>
      </c>
      <c r="CL141" s="179">
        <f t="shared" si="91"/>
        <v>4</v>
      </c>
      <c r="CM141" s="180">
        <f t="shared" si="92"/>
        <v>39799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3"/>
        <v>9.6000000000000002E-2</v>
      </c>
      <c r="DB141" s="146"/>
      <c r="DC141" s="76">
        <f t="shared" ca="1" si="51"/>
        <v>0.41518657558979211</v>
      </c>
      <c r="DD141">
        <f t="shared" si="94"/>
        <v>4</v>
      </c>
      <c r="DE141" s="129">
        <f t="shared" si="168"/>
        <v>39799</v>
      </c>
      <c r="DF141" s="161">
        <f t="shared" si="95"/>
        <v>0</v>
      </c>
      <c r="DG141" s="161">
        <f t="shared" si="96"/>
        <v>0</v>
      </c>
      <c r="DH141" s="161">
        <f t="shared" si="97"/>
        <v>0</v>
      </c>
      <c r="DI141" s="161">
        <f t="shared" si="98"/>
        <v>0</v>
      </c>
      <c r="DJ141" s="161">
        <f t="shared" si="99"/>
        <v>0</v>
      </c>
      <c r="DK141" s="161">
        <f t="shared" si="100"/>
        <v>0</v>
      </c>
      <c r="DL141" s="161">
        <f t="shared" si="101"/>
        <v>0</v>
      </c>
      <c r="DM141" s="161">
        <f t="shared" si="102"/>
        <v>0</v>
      </c>
      <c r="DN141" s="161">
        <f t="shared" si="103"/>
        <v>0</v>
      </c>
      <c r="DO141" s="161">
        <f t="shared" si="104"/>
        <v>0</v>
      </c>
      <c r="DP141" s="161">
        <f t="shared" si="105"/>
        <v>0</v>
      </c>
      <c r="DQ141" s="161">
        <f t="shared" si="106"/>
        <v>0</v>
      </c>
      <c r="DR141" s="161">
        <f t="shared" si="107"/>
        <v>0</v>
      </c>
      <c r="DS141" s="161">
        <f t="shared" si="108"/>
        <v>0</v>
      </c>
      <c r="DT141" s="161">
        <f t="shared" si="109"/>
        <v>0</v>
      </c>
      <c r="DU141" s="161">
        <f t="shared" si="110"/>
        <v>0</v>
      </c>
      <c r="DV141" s="161">
        <f t="shared" si="111"/>
        <v>0</v>
      </c>
      <c r="DW141" s="161">
        <f t="shared" si="112"/>
        <v>0</v>
      </c>
      <c r="DX141" s="161">
        <f t="shared" si="113"/>
        <v>0</v>
      </c>
      <c r="DY141" s="161">
        <f t="shared" si="114"/>
        <v>0</v>
      </c>
      <c r="DZ141" s="161">
        <f t="shared" si="115"/>
        <v>0</v>
      </c>
      <c r="EA141" s="161">
        <f t="shared" si="116"/>
        <v>0</v>
      </c>
      <c r="EB141" s="161">
        <f t="shared" si="117"/>
        <v>0</v>
      </c>
      <c r="EC141" s="161">
        <f t="shared" si="118"/>
        <v>0</v>
      </c>
      <c r="ED141" s="161">
        <f t="shared" si="119"/>
        <v>0</v>
      </c>
      <c r="EE141" s="161">
        <f t="shared" si="120"/>
        <v>0</v>
      </c>
      <c r="EF141" s="161">
        <f t="shared" si="121"/>
        <v>0</v>
      </c>
      <c r="EG141" s="161">
        <f t="shared" si="122"/>
        <v>0</v>
      </c>
      <c r="EH141" s="161">
        <f t="shared" si="123"/>
        <v>0</v>
      </c>
      <c r="EI141" s="161">
        <f t="shared" si="124"/>
        <v>0</v>
      </c>
      <c r="EJ141" s="161">
        <f t="shared" si="125"/>
        <v>0</v>
      </c>
      <c r="EK141" s="147">
        <f t="shared" si="133"/>
        <v>0</v>
      </c>
      <c r="EL141" s="149"/>
      <c r="EN141" s="146"/>
      <c r="EO141" s="146"/>
      <c r="EP141" s="139">
        <f t="shared" si="134"/>
        <v>0</v>
      </c>
      <c r="EQ141" s="139">
        <f t="shared" si="135"/>
        <v>0</v>
      </c>
      <c r="ER141" s="139">
        <f t="shared" si="136"/>
        <v>0</v>
      </c>
      <c r="ES141" s="139">
        <f t="shared" si="137"/>
        <v>0</v>
      </c>
      <c r="ET141" s="139">
        <f t="shared" si="138"/>
        <v>0</v>
      </c>
      <c r="EU141" s="139">
        <f t="shared" si="139"/>
        <v>0</v>
      </c>
      <c r="EV141" s="139">
        <f t="shared" si="140"/>
        <v>0</v>
      </c>
      <c r="EW141" s="139">
        <f t="shared" si="141"/>
        <v>0</v>
      </c>
      <c r="EX141" s="139">
        <f t="shared" si="142"/>
        <v>0</v>
      </c>
      <c r="EY141" s="139">
        <f t="shared" si="143"/>
        <v>0</v>
      </c>
      <c r="EZ141" s="139">
        <f t="shared" si="144"/>
        <v>0</v>
      </c>
      <c r="FA141" s="139">
        <f t="shared" si="145"/>
        <v>0</v>
      </c>
      <c r="FB141" s="139">
        <f t="shared" si="146"/>
        <v>0</v>
      </c>
      <c r="FC141" s="139">
        <f t="shared" si="147"/>
        <v>0</v>
      </c>
      <c r="FD141" s="139">
        <f t="shared" si="148"/>
        <v>0</v>
      </c>
      <c r="FE141" s="139">
        <f t="shared" si="149"/>
        <v>0</v>
      </c>
      <c r="FF141" s="139">
        <f t="shared" si="150"/>
        <v>0</v>
      </c>
      <c r="FG141" s="139">
        <f t="shared" si="151"/>
        <v>0</v>
      </c>
      <c r="FH141" s="139">
        <f t="shared" si="152"/>
        <v>0</v>
      </c>
      <c r="FI141" s="139">
        <f t="shared" si="153"/>
        <v>0</v>
      </c>
      <c r="FJ141" s="139">
        <f t="shared" si="154"/>
        <v>0</v>
      </c>
      <c r="FK141" s="139">
        <f t="shared" si="155"/>
        <v>0</v>
      </c>
      <c r="FL141" s="139">
        <f t="shared" si="156"/>
        <v>0</v>
      </c>
      <c r="FM141" s="139">
        <f t="shared" si="157"/>
        <v>0</v>
      </c>
      <c r="FN141" s="139">
        <f t="shared" si="158"/>
        <v>0</v>
      </c>
      <c r="FO141" s="139">
        <f t="shared" si="159"/>
        <v>0</v>
      </c>
      <c r="FP141" s="139">
        <f t="shared" si="160"/>
        <v>0</v>
      </c>
      <c r="FQ141" s="139">
        <f t="shared" si="161"/>
        <v>0</v>
      </c>
      <c r="FR141" s="139">
        <f t="shared" si="162"/>
        <v>0</v>
      </c>
      <c r="FS141" s="139">
        <f t="shared" si="163"/>
        <v>0</v>
      </c>
      <c r="FT141" s="139">
        <f t="shared" si="164"/>
        <v>0</v>
      </c>
      <c r="FU141" s="148">
        <f t="shared" si="165"/>
        <v>0</v>
      </c>
      <c r="FV141" s="149"/>
      <c r="FY141" s="211">
        <v>136</v>
      </c>
      <c r="FZ141">
        <v>1.1184887505249423</v>
      </c>
      <c r="GA141">
        <v>0.47460065171768845</v>
      </c>
      <c r="GB141">
        <v>7.9203986612074825E-2</v>
      </c>
      <c r="GC141">
        <v>0.14859665052880378</v>
      </c>
      <c r="GD141">
        <v>8.0173661321021189E-2</v>
      </c>
      <c r="GE141">
        <v>0</v>
      </c>
      <c r="GF141">
        <v>0.33021050058332063</v>
      </c>
      <c r="GG141">
        <v>0.29759236750664797</v>
      </c>
      <c r="GH141">
        <v>0</v>
      </c>
      <c r="GI141">
        <v>0.29538237465422068</v>
      </c>
      <c r="GJ141"/>
      <c r="GK141">
        <v>1.1272035676505698</v>
      </c>
      <c r="GL141">
        <v>0.40705572478708768</v>
      </c>
      <c r="GM141">
        <v>0.13091770120800852</v>
      </c>
      <c r="GN141">
        <v>0.44573189690518267</v>
      </c>
      <c r="GO141">
        <v>0.31481419569717417</v>
      </c>
      <c r="GP141">
        <v>0</v>
      </c>
      <c r="GQ141">
        <v>0.45369793096285549</v>
      </c>
      <c r="GR141">
        <v>0.45369793096285549</v>
      </c>
      <c r="GS141">
        <v>0</v>
      </c>
      <c r="GT141">
        <v>0.40532667910372161</v>
      </c>
      <c r="GU141"/>
      <c r="GV141"/>
      <c r="GW141"/>
      <c r="GX141"/>
      <c r="GY141"/>
      <c r="GZ141"/>
      <c r="HA141"/>
      <c r="HB141"/>
      <c r="HC141"/>
    </row>
    <row r="142" spans="1:211" s="7" customFormat="1">
      <c r="A142" s="1"/>
      <c r="B142" s="76">
        <f t="shared" ca="1" si="132"/>
        <v>0.95693807988150592</v>
      </c>
      <c r="C142">
        <v>1</v>
      </c>
      <c r="D142">
        <v>39799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2.9802083333333327</v>
      </c>
      <c r="AO142">
        <v>0.38874802972912725</v>
      </c>
      <c r="AP142">
        <v>7.0683217249050383</v>
      </c>
      <c r="AQ142">
        <v>3.2607627436841762</v>
      </c>
      <c r="AR142">
        <v>0.38720976586163169</v>
      </c>
      <c r="AS142">
        <v>2.4789212142508017</v>
      </c>
      <c r="AT142" t="e">
        <v>#DIV/0!</v>
      </c>
      <c r="AU142" t="e">
        <v>#DIV/0!</v>
      </c>
      <c r="AV142"/>
      <c r="AW142"/>
      <c r="AX142" s="146"/>
      <c r="AY142" s="76">
        <f t="shared" ca="1" si="88"/>
        <v>0.6391628675854415</v>
      </c>
      <c r="AZ142">
        <v>5</v>
      </c>
      <c r="BA142" s="129">
        <f t="shared" si="169"/>
        <v>39799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 s="147"/>
      <c r="CH142" s="176"/>
      <c r="CJ142" s="146"/>
      <c r="CK142" s="76">
        <f t="shared" ca="1" si="90"/>
        <v>0.71187779214402358</v>
      </c>
      <c r="CL142" s="179">
        <f t="shared" si="91"/>
        <v>5</v>
      </c>
      <c r="CM142" s="180">
        <f t="shared" si="92"/>
        <v>39799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 s="160"/>
      <c r="CW142">
        <v>1</v>
      </c>
      <c r="CX142">
        <f>350/52</f>
        <v>6.7307692307692308</v>
      </c>
      <c r="CY142" s="160"/>
      <c r="CZ142" s="177">
        <f t="shared" si="93"/>
        <v>9.6000000000000002E-2</v>
      </c>
      <c r="DB142" s="146"/>
      <c r="DC142" s="76">
        <f t="shared" ca="1" si="51"/>
        <v>6.0697096790809368E-2</v>
      </c>
      <c r="DD142">
        <f t="shared" si="94"/>
        <v>5</v>
      </c>
      <c r="DE142" s="129">
        <f t="shared" si="168"/>
        <v>39799</v>
      </c>
      <c r="DF142" s="161">
        <f t="shared" si="95"/>
        <v>0</v>
      </c>
      <c r="DG142" s="161">
        <f t="shared" si="96"/>
        <v>0</v>
      </c>
      <c r="DH142" s="161">
        <f t="shared" si="97"/>
        <v>0</v>
      </c>
      <c r="DI142" s="161">
        <f t="shared" si="98"/>
        <v>0</v>
      </c>
      <c r="DJ142" s="161">
        <f t="shared" si="99"/>
        <v>0</v>
      </c>
      <c r="DK142" s="161">
        <f t="shared" si="100"/>
        <v>0</v>
      </c>
      <c r="DL142" s="161">
        <f t="shared" si="101"/>
        <v>0</v>
      </c>
      <c r="DM142" s="161">
        <f t="shared" si="102"/>
        <v>0</v>
      </c>
      <c r="DN142" s="161">
        <f t="shared" si="103"/>
        <v>0</v>
      </c>
      <c r="DO142" s="161">
        <f t="shared" si="104"/>
        <v>0</v>
      </c>
      <c r="DP142" s="161">
        <f t="shared" si="105"/>
        <v>0</v>
      </c>
      <c r="DQ142" s="161">
        <f t="shared" si="106"/>
        <v>0</v>
      </c>
      <c r="DR142" s="161">
        <f t="shared" si="107"/>
        <v>0</v>
      </c>
      <c r="DS142" s="161">
        <f t="shared" si="108"/>
        <v>0</v>
      </c>
      <c r="DT142" s="161">
        <f t="shared" si="109"/>
        <v>0</v>
      </c>
      <c r="DU142" s="161">
        <f t="shared" si="110"/>
        <v>0</v>
      </c>
      <c r="DV142" s="161">
        <f t="shared" si="111"/>
        <v>0</v>
      </c>
      <c r="DW142" s="161">
        <f t="shared" si="112"/>
        <v>0</v>
      </c>
      <c r="DX142" s="161">
        <f t="shared" si="113"/>
        <v>0</v>
      </c>
      <c r="DY142" s="161">
        <f t="shared" si="114"/>
        <v>0</v>
      </c>
      <c r="DZ142" s="161">
        <f t="shared" si="115"/>
        <v>0</v>
      </c>
      <c r="EA142" s="161">
        <f t="shared" si="116"/>
        <v>0</v>
      </c>
      <c r="EB142" s="161">
        <f t="shared" si="117"/>
        <v>0</v>
      </c>
      <c r="EC142" s="161">
        <f t="shared" si="118"/>
        <v>0</v>
      </c>
      <c r="ED142" s="161">
        <f t="shared" si="119"/>
        <v>0</v>
      </c>
      <c r="EE142" s="161">
        <f t="shared" si="120"/>
        <v>0</v>
      </c>
      <c r="EF142" s="161">
        <f t="shared" si="121"/>
        <v>0</v>
      </c>
      <c r="EG142" s="161">
        <f t="shared" si="122"/>
        <v>0</v>
      </c>
      <c r="EH142" s="161">
        <f t="shared" si="123"/>
        <v>0</v>
      </c>
      <c r="EI142" s="161">
        <f t="shared" si="124"/>
        <v>0</v>
      </c>
      <c r="EJ142" s="161">
        <f t="shared" si="125"/>
        <v>0</v>
      </c>
      <c r="EK142" s="147">
        <f t="shared" si="133"/>
        <v>0</v>
      </c>
      <c r="EL142" s="149"/>
      <c r="EN142" s="146"/>
      <c r="EO142" s="146"/>
      <c r="EP142" s="139">
        <f t="shared" si="134"/>
        <v>0</v>
      </c>
      <c r="EQ142" s="139">
        <f t="shared" si="135"/>
        <v>0</v>
      </c>
      <c r="ER142" s="139">
        <f t="shared" si="136"/>
        <v>0</v>
      </c>
      <c r="ES142" s="139">
        <f t="shared" si="137"/>
        <v>0</v>
      </c>
      <c r="ET142" s="139">
        <f t="shared" si="138"/>
        <v>0</v>
      </c>
      <c r="EU142" s="139">
        <f t="shared" si="139"/>
        <v>0</v>
      </c>
      <c r="EV142" s="139">
        <f t="shared" si="140"/>
        <v>0</v>
      </c>
      <c r="EW142" s="139">
        <f t="shared" si="141"/>
        <v>0</v>
      </c>
      <c r="EX142" s="139">
        <f t="shared" si="142"/>
        <v>0</v>
      </c>
      <c r="EY142" s="139">
        <f t="shared" si="143"/>
        <v>0</v>
      </c>
      <c r="EZ142" s="139">
        <f t="shared" si="144"/>
        <v>0</v>
      </c>
      <c r="FA142" s="139">
        <f t="shared" si="145"/>
        <v>0</v>
      </c>
      <c r="FB142" s="139">
        <f t="shared" si="146"/>
        <v>0</v>
      </c>
      <c r="FC142" s="139">
        <f t="shared" si="147"/>
        <v>0</v>
      </c>
      <c r="FD142" s="139">
        <f t="shared" si="148"/>
        <v>0</v>
      </c>
      <c r="FE142" s="139">
        <f t="shared" si="149"/>
        <v>0</v>
      </c>
      <c r="FF142" s="139">
        <f t="shared" si="150"/>
        <v>0</v>
      </c>
      <c r="FG142" s="139">
        <f t="shared" si="151"/>
        <v>0</v>
      </c>
      <c r="FH142" s="139">
        <f t="shared" si="152"/>
        <v>0</v>
      </c>
      <c r="FI142" s="139">
        <f t="shared" si="153"/>
        <v>0</v>
      </c>
      <c r="FJ142" s="139">
        <f t="shared" si="154"/>
        <v>0</v>
      </c>
      <c r="FK142" s="139">
        <f t="shared" si="155"/>
        <v>0</v>
      </c>
      <c r="FL142" s="139">
        <f t="shared" si="156"/>
        <v>0</v>
      </c>
      <c r="FM142" s="139">
        <f t="shared" si="157"/>
        <v>0</v>
      </c>
      <c r="FN142" s="139">
        <f t="shared" si="158"/>
        <v>0</v>
      </c>
      <c r="FO142" s="139">
        <f t="shared" si="159"/>
        <v>0</v>
      </c>
      <c r="FP142" s="139">
        <f t="shared" si="160"/>
        <v>0</v>
      </c>
      <c r="FQ142" s="139">
        <f t="shared" si="161"/>
        <v>0</v>
      </c>
      <c r="FR142" s="139">
        <f t="shared" si="162"/>
        <v>0</v>
      </c>
      <c r="FS142" s="139">
        <f t="shared" si="163"/>
        <v>0</v>
      </c>
      <c r="FT142" s="139">
        <f t="shared" si="164"/>
        <v>0</v>
      </c>
      <c r="FU142" s="148">
        <f t="shared" si="165"/>
        <v>0</v>
      </c>
      <c r="FV142" s="149"/>
      <c r="FY142" s="211">
        <v>137</v>
      </c>
      <c r="FZ142">
        <v>1.7668558209109344</v>
      </c>
      <c r="GA142">
        <v>1.2493010069161121</v>
      </c>
      <c r="GB142">
        <v>6.282592274279708E-2</v>
      </c>
      <c r="GC142">
        <v>6.9638549917922385E-2</v>
      </c>
      <c r="GD142">
        <v>2.6724553773673727E-2</v>
      </c>
      <c r="GE142">
        <v>0</v>
      </c>
      <c r="GF142">
        <v>0</v>
      </c>
      <c r="GG142">
        <v>0</v>
      </c>
      <c r="GH142">
        <v>0</v>
      </c>
      <c r="GI142">
        <v>0.29239476235200673</v>
      </c>
      <c r="GJ142"/>
      <c r="GK142">
        <v>1.7809065393796812</v>
      </c>
      <c r="GL142">
        <v>1.073686155902764</v>
      </c>
      <c r="GM142">
        <v>0.10493806523239137</v>
      </c>
      <c r="GN142">
        <v>0.20987613046478273</v>
      </c>
      <c r="GO142">
        <v>0.10493806523239137</v>
      </c>
      <c r="GP142">
        <v>0</v>
      </c>
      <c r="GQ142">
        <v>0</v>
      </c>
      <c r="GR142">
        <v>0</v>
      </c>
      <c r="GS142">
        <v>0</v>
      </c>
      <c r="GT142">
        <v>0.39815653396889283</v>
      </c>
      <c r="GU142"/>
      <c r="GV142"/>
      <c r="GW142"/>
      <c r="GX142"/>
      <c r="GY142"/>
      <c r="GZ142"/>
      <c r="HA142"/>
      <c r="HB142"/>
      <c r="HC142"/>
    </row>
    <row r="143" spans="1:211" s="7" customFormat="1">
      <c r="A143" s="1"/>
      <c r="B143" s="76">
        <f t="shared" ca="1" si="132"/>
        <v>0.66007633757457906</v>
      </c>
      <c r="C143">
        <v>2</v>
      </c>
      <c r="D143">
        <v>39799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2.833333333333333</v>
      </c>
      <c r="AO143">
        <v>0.29490753608939513</v>
      </c>
      <c r="AP143">
        <v>9.352907050812334</v>
      </c>
      <c r="AQ143">
        <v>2.3219046004787192</v>
      </c>
      <c r="AR143">
        <v>0.34767683484276329</v>
      </c>
      <c r="AS143">
        <v>1.8905891954642784</v>
      </c>
      <c r="AT143" t="e">
        <v>#DIV/0!</v>
      </c>
      <c r="AU143" t="e">
        <v>#DIV/0!</v>
      </c>
      <c r="AV143"/>
      <c r="AW143"/>
      <c r="AX143" s="146"/>
      <c r="AY143" s="76">
        <f t="shared" ca="1" si="88"/>
        <v>0.98826977150102913</v>
      </c>
      <c r="AZ143">
        <v>6</v>
      </c>
      <c r="BA143" s="129">
        <f t="shared" si="169"/>
        <v>39799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 s="147"/>
      <c r="CH143" s="176"/>
      <c r="CJ143" s="146"/>
      <c r="CK143" s="76">
        <f t="shared" ca="1" si="90"/>
        <v>0.3923462372918598</v>
      </c>
      <c r="CL143" s="179">
        <f t="shared" si="91"/>
        <v>6</v>
      </c>
      <c r="CM143" s="180">
        <f t="shared" si="92"/>
        <v>39799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 s="160"/>
      <c r="CW143">
        <v>1</v>
      </c>
      <c r="CX143">
        <v>1</v>
      </c>
      <c r="CY143" s="160"/>
      <c r="CZ143" s="177">
        <f t="shared" si="93"/>
        <v>9.6000000000000002E-2</v>
      </c>
      <c r="DB143" s="146"/>
      <c r="DC143" s="76">
        <f t="shared" ca="1" si="51"/>
        <v>0.2634560860075903</v>
      </c>
      <c r="DD143">
        <f t="shared" si="94"/>
        <v>6</v>
      </c>
      <c r="DE143" s="129">
        <f t="shared" si="168"/>
        <v>39799</v>
      </c>
      <c r="DF143" s="161">
        <f t="shared" si="95"/>
        <v>0</v>
      </c>
      <c r="DG143" s="161">
        <f t="shared" si="96"/>
        <v>0</v>
      </c>
      <c r="DH143" s="161">
        <f t="shared" si="97"/>
        <v>0</v>
      </c>
      <c r="DI143" s="161">
        <f t="shared" si="98"/>
        <v>0</v>
      </c>
      <c r="DJ143" s="161">
        <f t="shared" si="99"/>
        <v>0</v>
      </c>
      <c r="DK143" s="161">
        <f t="shared" si="100"/>
        <v>0</v>
      </c>
      <c r="DL143" s="161">
        <f t="shared" si="101"/>
        <v>0</v>
      </c>
      <c r="DM143" s="161">
        <f t="shared" si="102"/>
        <v>0</v>
      </c>
      <c r="DN143" s="161">
        <f t="shared" si="103"/>
        <v>0</v>
      </c>
      <c r="DO143" s="161">
        <f t="shared" si="104"/>
        <v>0</v>
      </c>
      <c r="DP143" s="161">
        <f t="shared" si="105"/>
        <v>0</v>
      </c>
      <c r="DQ143" s="161">
        <f t="shared" si="106"/>
        <v>0</v>
      </c>
      <c r="DR143" s="161">
        <f t="shared" si="107"/>
        <v>0</v>
      </c>
      <c r="DS143" s="161">
        <f t="shared" si="108"/>
        <v>0</v>
      </c>
      <c r="DT143" s="161">
        <f t="shared" si="109"/>
        <v>0</v>
      </c>
      <c r="DU143" s="161">
        <f t="shared" si="110"/>
        <v>0</v>
      </c>
      <c r="DV143" s="161">
        <f t="shared" si="111"/>
        <v>0</v>
      </c>
      <c r="DW143" s="161">
        <f t="shared" si="112"/>
        <v>0</v>
      </c>
      <c r="DX143" s="161">
        <f t="shared" si="113"/>
        <v>0</v>
      </c>
      <c r="DY143" s="161">
        <f t="shared" si="114"/>
        <v>0</v>
      </c>
      <c r="DZ143" s="161">
        <f t="shared" si="115"/>
        <v>0</v>
      </c>
      <c r="EA143" s="161">
        <f t="shared" si="116"/>
        <v>0</v>
      </c>
      <c r="EB143" s="161">
        <f t="shared" si="117"/>
        <v>0</v>
      </c>
      <c r="EC143" s="161">
        <f t="shared" si="118"/>
        <v>0</v>
      </c>
      <c r="ED143" s="161">
        <f t="shared" si="119"/>
        <v>0</v>
      </c>
      <c r="EE143" s="161">
        <f t="shared" si="120"/>
        <v>0</v>
      </c>
      <c r="EF143" s="161">
        <f t="shared" si="121"/>
        <v>0</v>
      </c>
      <c r="EG143" s="161">
        <f t="shared" si="122"/>
        <v>0</v>
      </c>
      <c r="EH143" s="161">
        <f t="shared" si="123"/>
        <v>0</v>
      </c>
      <c r="EI143" s="161">
        <f t="shared" si="124"/>
        <v>0</v>
      </c>
      <c r="EJ143" s="161">
        <f t="shared" si="125"/>
        <v>0</v>
      </c>
      <c r="EK143" s="147">
        <f t="shared" si="133"/>
        <v>0</v>
      </c>
      <c r="EL143" s="149"/>
      <c r="EN143" s="146"/>
      <c r="EO143" s="146"/>
      <c r="EP143" s="139">
        <f t="shared" si="134"/>
        <v>0</v>
      </c>
      <c r="EQ143" s="139">
        <f t="shared" si="135"/>
        <v>0</v>
      </c>
      <c r="ER143" s="139">
        <f t="shared" si="136"/>
        <v>0</v>
      </c>
      <c r="ES143" s="139">
        <f t="shared" si="137"/>
        <v>0</v>
      </c>
      <c r="ET143" s="139">
        <f t="shared" si="138"/>
        <v>0</v>
      </c>
      <c r="EU143" s="139">
        <f t="shared" si="139"/>
        <v>0</v>
      </c>
      <c r="EV143" s="139">
        <f t="shared" si="140"/>
        <v>0</v>
      </c>
      <c r="EW143" s="139">
        <f t="shared" si="141"/>
        <v>0</v>
      </c>
      <c r="EX143" s="139">
        <f t="shared" si="142"/>
        <v>0</v>
      </c>
      <c r="EY143" s="139">
        <f t="shared" si="143"/>
        <v>0</v>
      </c>
      <c r="EZ143" s="139">
        <f t="shared" si="144"/>
        <v>0</v>
      </c>
      <c r="FA143" s="139">
        <f t="shared" si="145"/>
        <v>0</v>
      </c>
      <c r="FB143" s="139">
        <f t="shared" si="146"/>
        <v>0</v>
      </c>
      <c r="FC143" s="139">
        <f t="shared" si="147"/>
        <v>0</v>
      </c>
      <c r="FD143" s="139">
        <f t="shared" si="148"/>
        <v>0</v>
      </c>
      <c r="FE143" s="139">
        <f t="shared" si="149"/>
        <v>0</v>
      </c>
      <c r="FF143" s="139">
        <f t="shared" si="150"/>
        <v>0</v>
      </c>
      <c r="FG143" s="139">
        <f t="shared" si="151"/>
        <v>0</v>
      </c>
      <c r="FH143" s="139">
        <f t="shared" si="152"/>
        <v>0</v>
      </c>
      <c r="FI143" s="139">
        <f t="shared" si="153"/>
        <v>0</v>
      </c>
      <c r="FJ143" s="139">
        <f t="shared" si="154"/>
        <v>0</v>
      </c>
      <c r="FK143" s="139">
        <f t="shared" si="155"/>
        <v>0</v>
      </c>
      <c r="FL143" s="139">
        <f t="shared" si="156"/>
        <v>0</v>
      </c>
      <c r="FM143" s="139">
        <f t="shared" si="157"/>
        <v>0</v>
      </c>
      <c r="FN143" s="139">
        <f t="shared" si="158"/>
        <v>0</v>
      </c>
      <c r="FO143" s="139">
        <f t="shared" si="159"/>
        <v>0</v>
      </c>
      <c r="FP143" s="139">
        <f t="shared" si="160"/>
        <v>0</v>
      </c>
      <c r="FQ143" s="139">
        <f t="shared" si="161"/>
        <v>0</v>
      </c>
      <c r="FR143" s="139">
        <f t="shared" si="162"/>
        <v>0</v>
      </c>
      <c r="FS143" s="139">
        <f t="shared" si="163"/>
        <v>0</v>
      </c>
      <c r="FT143" s="139">
        <f t="shared" si="164"/>
        <v>0</v>
      </c>
      <c r="FU143" s="148">
        <f t="shared" si="165"/>
        <v>0</v>
      </c>
      <c r="FV143" s="149"/>
      <c r="FY143" s="211">
        <v>138</v>
      </c>
      <c r="FZ143">
        <v>0.90310242659475182</v>
      </c>
      <c r="GA143">
        <v>8.725047411847664E-2</v>
      </c>
      <c r="GB143">
        <v>0.28405981870974384</v>
      </c>
      <c r="GC143">
        <v>0.2275547511396851</v>
      </c>
      <c r="GD143">
        <v>5.3449107547347455E-2</v>
      </c>
      <c r="GE143">
        <v>0</v>
      </c>
      <c r="GF143">
        <v>0</v>
      </c>
      <c r="GG143">
        <v>0</v>
      </c>
      <c r="GH143">
        <v>0</v>
      </c>
      <c r="GI143">
        <v>0.2344772655839846</v>
      </c>
      <c r="GJ143"/>
      <c r="GK143">
        <v>0.90392899008255112</v>
      </c>
      <c r="GL143">
        <v>7.3740509229249462E-2</v>
      </c>
      <c r="GM143">
        <v>0.47171153288079981</v>
      </c>
      <c r="GN143">
        <v>0.68158766334558252</v>
      </c>
      <c r="GO143">
        <v>0.20987613046478273</v>
      </c>
      <c r="GP143">
        <v>0</v>
      </c>
      <c r="GQ143">
        <v>0</v>
      </c>
      <c r="GR143">
        <v>0</v>
      </c>
      <c r="GS143">
        <v>0</v>
      </c>
      <c r="GT143">
        <v>0.31710333068562668</v>
      </c>
      <c r="GU143"/>
      <c r="GV143"/>
      <c r="GW143"/>
      <c r="GX143"/>
      <c r="GY143"/>
      <c r="GZ143"/>
      <c r="HA143"/>
      <c r="HB143"/>
      <c r="HC143"/>
    </row>
    <row r="144" spans="1:211" s="7" customFormat="1">
      <c r="A144" s="1"/>
      <c r="B144" s="76">
        <f t="shared" ca="1" si="132"/>
        <v>0.8850076875126911</v>
      </c>
      <c r="C144">
        <v>7</v>
      </c>
      <c r="D144">
        <v>39799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1.7604166666666665</v>
      </c>
      <c r="AO144">
        <v>0.12693601773943963</v>
      </c>
      <c r="AP144">
        <v>1.5780220581562707</v>
      </c>
      <c r="AQ144">
        <v>0.83667433503647837</v>
      </c>
      <c r="AR144">
        <v>0.1468009120779955</v>
      </c>
      <c r="AS144">
        <v>1.0093947259633977</v>
      </c>
      <c r="AT144" t="e">
        <v>#DIV/0!</v>
      </c>
      <c r="AU144" t="e">
        <v>#DIV/0!</v>
      </c>
      <c r="AV144"/>
      <c r="AW144"/>
      <c r="AX144" s="146"/>
      <c r="AY144" s="76">
        <f t="shared" ca="1" si="88"/>
        <v>0.36039754353775688</v>
      </c>
      <c r="AZ144">
        <v>7</v>
      </c>
      <c r="BA144" s="129">
        <f t="shared" si="169"/>
        <v>39799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 s="147"/>
      <c r="CH144" s="176"/>
      <c r="CJ144" s="146"/>
      <c r="CK144" s="76">
        <f t="shared" ca="1" si="90"/>
        <v>0.12081821312963714</v>
      </c>
      <c r="CL144" s="179">
        <f t="shared" si="91"/>
        <v>7</v>
      </c>
      <c r="CM144" s="180">
        <f t="shared" si="92"/>
        <v>39799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 s="160"/>
      <c r="CW144">
        <v>1</v>
      </c>
      <c r="CX144">
        <f>350/60</f>
        <v>5.833333333333333</v>
      </c>
      <c r="CY144" s="165"/>
      <c r="CZ144" s="177">
        <f t="shared" si="93"/>
        <v>9.6000000000000002E-2</v>
      </c>
      <c r="DB144" s="146"/>
      <c r="DC144" s="76">
        <f t="shared" ca="1" si="51"/>
        <v>0.72862616244919676</v>
      </c>
      <c r="DD144">
        <f t="shared" si="94"/>
        <v>7</v>
      </c>
      <c r="DE144" s="129">
        <f t="shared" si="168"/>
        <v>39799</v>
      </c>
      <c r="DF144" s="161">
        <f t="shared" si="95"/>
        <v>0</v>
      </c>
      <c r="DG144" s="161">
        <f t="shared" si="96"/>
        <v>0</v>
      </c>
      <c r="DH144" s="161">
        <f t="shared" si="97"/>
        <v>0</v>
      </c>
      <c r="DI144" s="161">
        <f t="shared" si="98"/>
        <v>0</v>
      </c>
      <c r="DJ144" s="161">
        <f t="shared" si="99"/>
        <v>0</v>
      </c>
      <c r="DK144" s="161">
        <f t="shared" si="100"/>
        <v>0</v>
      </c>
      <c r="DL144" s="161">
        <f t="shared" si="101"/>
        <v>0</v>
      </c>
      <c r="DM144" s="161">
        <f t="shared" si="102"/>
        <v>0</v>
      </c>
      <c r="DN144" s="161">
        <f t="shared" si="103"/>
        <v>0</v>
      </c>
      <c r="DO144" s="161">
        <f t="shared" si="104"/>
        <v>0</v>
      </c>
      <c r="DP144" s="161">
        <f t="shared" si="105"/>
        <v>0</v>
      </c>
      <c r="DQ144" s="161">
        <f t="shared" si="106"/>
        <v>0</v>
      </c>
      <c r="DR144" s="161">
        <f t="shared" si="107"/>
        <v>0</v>
      </c>
      <c r="DS144" s="161">
        <f t="shared" si="108"/>
        <v>0</v>
      </c>
      <c r="DT144" s="161">
        <f t="shared" si="109"/>
        <v>0</v>
      </c>
      <c r="DU144" s="161">
        <f t="shared" si="110"/>
        <v>0</v>
      </c>
      <c r="DV144" s="161">
        <f t="shared" si="111"/>
        <v>0</v>
      </c>
      <c r="DW144" s="161">
        <f t="shared" si="112"/>
        <v>0</v>
      </c>
      <c r="DX144" s="161">
        <f t="shared" si="113"/>
        <v>0</v>
      </c>
      <c r="DY144" s="161">
        <f t="shared" si="114"/>
        <v>0</v>
      </c>
      <c r="DZ144" s="161">
        <f t="shared" si="115"/>
        <v>0</v>
      </c>
      <c r="EA144" s="161">
        <f t="shared" si="116"/>
        <v>0</v>
      </c>
      <c r="EB144" s="161">
        <f t="shared" si="117"/>
        <v>0</v>
      </c>
      <c r="EC144" s="161">
        <f t="shared" si="118"/>
        <v>0</v>
      </c>
      <c r="ED144" s="161">
        <f t="shared" si="119"/>
        <v>0</v>
      </c>
      <c r="EE144" s="161">
        <f t="shared" si="120"/>
        <v>0</v>
      </c>
      <c r="EF144" s="161">
        <f t="shared" si="121"/>
        <v>0</v>
      </c>
      <c r="EG144" s="161">
        <f t="shared" si="122"/>
        <v>0</v>
      </c>
      <c r="EH144" s="161">
        <f t="shared" si="123"/>
        <v>0</v>
      </c>
      <c r="EI144" s="161">
        <f t="shared" si="124"/>
        <v>0</v>
      </c>
      <c r="EJ144" s="161">
        <f t="shared" si="125"/>
        <v>0</v>
      </c>
      <c r="EK144" s="147">
        <f t="shared" si="133"/>
        <v>0</v>
      </c>
      <c r="EL144" s="149"/>
      <c r="EN144" s="146"/>
      <c r="EO144" s="146"/>
      <c r="EP144" s="139">
        <f t="shared" si="134"/>
        <v>0</v>
      </c>
      <c r="EQ144" s="139">
        <f t="shared" si="135"/>
        <v>0</v>
      </c>
      <c r="ER144" s="139">
        <f t="shared" si="136"/>
        <v>0</v>
      </c>
      <c r="ES144" s="139">
        <f t="shared" si="137"/>
        <v>0</v>
      </c>
      <c r="ET144" s="139">
        <f t="shared" si="138"/>
        <v>0</v>
      </c>
      <c r="EU144" s="139">
        <f t="shared" si="139"/>
        <v>0</v>
      </c>
      <c r="EV144" s="139">
        <f t="shared" si="140"/>
        <v>0</v>
      </c>
      <c r="EW144" s="139">
        <f t="shared" si="141"/>
        <v>0</v>
      </c>
      <c r="EX144" s="139">
        <f t="shared" si="142"/>
        <v>0</v>
      </c>
      <c r="EY144" s="139">
        <f t="shared" si="143"/>
        <v>0</v>
      </c>
      <c r="EZ144" s="139">
        <f t="shared" si="144"/>
        <v>0</v>
      </c>
      <c r="FA144" s="139">
        <f t="shared" si="145"/>
        <v>0</v>
      </c>
      <c r="FB144" s="139">
        <f t="shared" si="146"/>
        <v>0</v>
      </c>
      <c r="FC144" s="139">
        <f t="shared" si="147"/>
        <v>0</v>
      </c>
      <c r="FD144" s="139">
        <f t="shared" si="148"/>
        <v>0</v>
      </c>
      <c r="FE144" s="139">
        <f t="shared" si="149"/>
        <v>0</v>
      </c>
      <c r="FF144" s="139">
        <f t="shared" si="150"/>
        <v>0</v>
      </c>
      <c r="FG144" s="139">
        <f t="shared" si="151"/>
        <v>0</v>
      </c>
      <c r="FH144" s="139">
        <f t="shared" si="152"/>
        <v>0</v>
      </c>
      <c r="FI144" s="139">
        <f t="shared" si="153"/>
        <v>0</v>
      </c>
      <c r="FJ144" s="139">
        <f t="shared" si="154"/>
        <v>0</v>
      </c>
      <c r="FK144" s="139">
        <f t="shared" si="155"/>
        <v>0</v>
      </c>
      <c r="FL144" s="139">
        <f t="shared" si="156"/>
        <v>0</v>
      </c>
      <c r="FM144" s="139">
        <f t="shared" si="157"/>
        <v>0</v>
      </c>
      <c r="FN144" s="139">
        <f t="shared" si="158"/>
        <v>0</v>
      </c>
      <c r="FO144" s="139">
        <f t="shared" si="159"/>
        <v>0</v>
      </c>
      <c r="FP144" s="139">
        <f t="shared" si="160"/>
        <v>0</v>
      </c>
      <c r="FQ144" s="139">
        <f t="shared" si="161"/>
        <v>0</v>
      </c>
      <c r="FR144" s="139">
        <f t="shared" si="162"/>
        <v>0</v>
      </c>
      <c r="FS144" s="139">
        <f t="shared" si="163"/>
        <v>0</v>
      </c>
      <c r="FT144" s="139">
        <f t="shared" si="164"/>
        <v>0</v>
      </c>
      <c r="FU144" s="148">
        <f t="shared" si="165"/>
        <v>0</v>
      </c>
      <c r="FV144" s="149"/>
      <c r="FY144" s="211">
        <v>139</v>
      </c>
      <c r="FZ144">
        <v>1.0099726476332185</v>
      </c>
      <c r="GA144">
        <v>8.725047411847664E-2</v>
      </c>
      <c r="GB144">
        <v>0.14202990935487192</v>
      </c>
      <c r="GC144">
        <v>0.11377737556984255</v>
      </c>
      <c r="GD144">
        <v>2.6724553773673727E-2</v>
      </c>
      <c r="GE144">
        <v>0</v>
      </c>
      <c r="GF144">
        <v>0.66042100116664126</v>
      </c>
      <c r="GG144">
        <v>0.59518473501329594</v>
      </c>
      <c r="GH144">
        <v>0</v>
      </c>
      <c r="GI144">
        <v>0.3280620675446575</v>
      </c>
      <c r="GJ144"/>
      <c r="GK144">
        <v>1.0136669940260337</v>
      </c>
      <c r="GL144">
        <v>7.3740509229249462E-2</v>
      </c>
      <c r="GM144">
        <v>0.23585576644039991</v>
      </c>
      <c r="GN144">
        <v>0.34079383167279126</v>
      </c>
      <c r="GO144">
        <v>0.10493806523239137</v>
      </c>
      <c r="GP144">
        <v>0</v>
      </c>
      <c r="GQ144">
        <v>0.90739586192571098</v>
      </c>
      <c r="GR144">
        <v>0.90739586192571098</v>
      </c>
      <c r="GS144">
        <v>0</v>
      </c>
      <c r="GT144">
        <v>0.45237133752490721</v>
      </c>
      <c r="GU144"/>
      <c r="GV144"/>
      <c r="GW144"/>
      <c r="GX144"/>
      <c r="GY144"/>
      <c r="GZ144"/>
      <c r="HA144"/>
      <c r="HB144"/>
      <c r="HC144"/>
    </row>
    <row r="145" spans="1:211" s="7" customFormat="1">
      <c r="A145" s="1"/>
      <c r="B145" s="76">
        <f t="shared" ca="1" si="132"/>
        <v>0.70804769442679327</v>
      </c>
      <c r="C145">
        <v>10</v>
      </c>
      <c r="D145">
        <v>39799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2.6177083333333333</v>
      </c>
      <c r="AO145">
        <v>0.34548233726787636</v>
      </c>
      <c r="AP145">
        <v>10.141652867860557</v>
      </c>
      <c r="AQ145">
        <v>2.8970887604781428</v>
      </c>
      <c r="AR145">
        <v>0.38074557354319521</v>
      </c>
      <c r="AS145">
        <v>2.2528849915337963</v>
      </c>
      <c r="AT145" t="e">
        <v>#DIV/0!</v>
      </c>
      <c r="AU145" t="e">
        <v>#DIV/0!</v>
      </c>
      <c r="AV145"/>
      <c r="AW145"/>
      <c r="AX145" s="146"/>
      <c r="AY145" s="76">
        <f t="shared" ca="1" si="88"/>
        <v>0.5141504290641139</v>
      </c>
      <c r="AZ145">
        <v>8</v>
      </c>
      <c r="BA145" s="129">
        <f t="shared" si="169"/>
        <v>39799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 s="147"/>
      <c r="CH145" s="176"/>
      <c r="CJ145" s="146"/>
      <c r="CK145" s="76">
        <f t="shared" ca="1" si="90"/>
        <v>0.41050200506408707</v>
      </c>
      <c r="CL145" s="179">
        <f t="shared" si="91"/>
        <v>8</v>
      </c>
      <c r="CM145" s="180">
        <f t="shared" si="92"/>
        <v>39799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 s="160"/>
      <c r="CW145">
        <v>1</v>
      </c>
      <c r="CX145">
        <f>350/49</f>
        <v>7.1428571428571432</v>
      </c>
      <c r="CY145" s="165"/>
      <c r="CZ145" s="177">
        <f t="shared" si="93"/>
        <v>9.6000000000000002E-2</v>
      </c>
      <c r="DB145" s="146"/>
      <c r="DC145" s="76">
        <f t="shared" ca="1" si="51"/>
        <v>0.56580181811033636</v>
      </c>
      <c r="DD145">
        <f t="shared" si="94"/>
        <v>8</v>
      </c>
      <c r="DE145" s="129">
        <f t="shared" si="168"/>
        <v>39799</v>
      </c>
      <c r="DF145" s="161">
        <f t="shared" si="95"/>
        <v>0</v>
      </c>
      <c r="DG145" s="161">
        <f t="shared" si="96"/>
        <v>0</v>
      </c>
      <c r="DH145" s="161">
        <f t="shared" si="97"/>
        <v>0</v>
      </c>
      <c r="DI145" s="161">
        <f t="shared" si="98"/>
        <v>0</v>
      </c>
      <c r="DJ145" s="161">
        <f t="shared" si="99"/>
        <v>0</v>
      </c>
      <c r="DK145" s="161">
        <f t="shared" si="100"/>
        <v>0</v>
      </c>
      <c r="DL145" s="161">
        <f t="shared" si="101"/>
        <v>0</v>
      </c>
      <c r="DM145" s="161">
        <f t="shared" si="102"/>
        <v>0</v>
      </c>
      <c r="DN145" s="161">
        <f t="shared" si="103"/>
        <v>0</v>
      </c>
      <c r="DO145" s="161">
        <f t="shared" si="104"/>
        <v>0</v>
      </c>
      <c r="DP145" s="161">
        <f t="shared" si="105"/>
        <v>0</v>
      </c>
      <c r="DQ145" s="161">
        <f t="shared" si="106"/>
        <v>0</v>
      </c>
      <c r="DR145" s="161">
        <f t="shared" si="107"/>
        <v>0</v>
      </c>
      <c r="DS145" s="161">
        <f t="shared" si="108"/>
        <v>0</v>
      </c>
      <c r="DT145" s="161">
        <f t="shared" si="109"/>
        <v>0</v>
      </c>
      <c r="DU145" s="161">
        <f t="shared" si="110"/>
        <v>0</v>
      </c>
      <c r="DV145" s="161">
        <f t="shared" si="111"/>
        <v>0</v>
      </c>
      <c r="DW145" s="161">
        <f t="shared" si="112"/>
        <v>0</v>
      </c>
      <c r="DX145" s="161">
        <f t="shared" si="113"/>
        <v>0</v>
      </c>
      <c r="DY145" s="161">
        <f t="shared" si="114"/>
        <v>0</v>
      </c>
      <c r="DZ145" s="161">
        <f t="shared" si="115"/>
        <v>0</v>
      </c>
      <c r="EA145" s="161">
        <f t="shared" si="116"/>
        <v>0</v>
      </c>
      <c r="EB145" s="161">
        <f t="shared" si="117"/>
        <v>0</v>
      </c>
      <c r="EC145" s="161">
        <f t="shared" si="118"/>
        <v>0</v>
      </c>
      <c r="ED145" s="161">
        <f t="shared" si="119"/>
        <v>0</v>
      </c>
      <c r="EE145" s="161">
        <f t="shared" si="120"/>
        <v>0</v>
      </c>
      <c r="EF145" s="161">
        <f t="shared" si="121"/>
        <v>0</v>
      </c>
      <c r="EG145" s="161">
        <f t="shared" si="122"/>
        <v>0</v>
      </c>
      <c r="EH145" s="161">
        <f t="shared" si="123"/>
        <v>0</v>
      </c>
      <c r="EI145" s="161">
        <f t="shared" si="124"/>
        <v>0</v>
      </c>
      <c r="EJ145" s="161">
        <f t="shared" si="125"/>
        <v>0</v>
      </c>
      <c r="EK145" s="147">
        <f t="shared" si="133"/>
        <v>0</v>
      </c>
      <c r="EL145" s="149"/>
      <c r="EN145" s="146"/>
      <c r="EO145" s="146"/>
      <c r="EP145" s="139">
        <f t="shared" si="134"/>
        <v>0</v>
      </c>
      <c r="EQ145" s="139">
        <f t="shared" si="135"/>
        <v>0</v>
      </c>
      <c r="ER145" s="139">
        <f t="shared" si="136"/>
        <v>0</v>
      </c>
      <c r="ES145" s="139">
        <f t="shared" si="137"/>
        <v>0</v>
      </c>
      <c r="ET145" s="139">
        <f t="shared" si="138"/>
        <v>0</v>
      </c>
      <c r="EU145" s="139">
        <f t="shared" si="139"/>
        <v>0</v>
      </c>
      <c r="EV145" s="139">
        <f t="shared" si="140"/>
        <v>0</v>
      </c>
      <c r="EW145" s="139">
        <f t="shared" si="141"/>
        <v>0</v>
      </c>
      <c r="EX145" s="139">
        <f t="shared" si="142"/>
        <v>0</v>
      </c>
      <c r="EY145" s="139">
        <f t="shared" si="143"/>
        <v>0</v>
      </c>
      <c r="EZ145" s="139">
        <f t="shared" si="144"/>
        <v>0</v>
      </c>
      <c r="FA145" s="139">
        <f t="shared" si="145"/>
        <v>0</v>
      </c>
      <c r="FB145" s="139">
        <f t="shared" si="146"/>
        <v>0</v>
      </c>
      <c r="FC145" s="139">
        <f t="shared" si="147"/>
        <v>0</v>
      </c>
      <c r="FD145" s="139">
        <f t="shared" si="148"/>
        <v>0</v>
      </c>
      <c r="FE145" s="139">
        <f t="shared" si="149"/>
        <v>0</v>
      </c>
      <c r="FF145" s="139">
        <f t="shared" si="150"/>
        <v>0</v>
      </c>
      <c r="FG145" s="139">
        <f t="shared" si="151"/>
        <v>0</v>
      </c>
      <c r="FH145" s="139">
        <f t="shared" si="152"/>
        <v>0</v>
      </c>
      <c r="FI145" s="139">
        <f t="shared" si="153"/>
        <v>0</v>
      </c>
      <c r="FJ145" s="139">
        <f t="shared" si="154"/>
        <v>0</v>
      </c>
      <c r="FK145" s="139">
        <f t="shared" si="155"/>
        <v>0</v>
      </c>
      <c r="FL145" s="139">
        <f t="shared" si="156"/>
        <v>0</v>
      </c>
      <c r="FM145" s="139">
        <f t="shared" si="157"/>
        <v>0</v>
      </c>
      <c r="FN145" s="139">
        <f t="shared" si="158"/>
        <v>0</v>
      </c>
      <c r="FO145" s="139">
        <f t="shared" si="159"/>
        <v>0</v>
      </c>
      <c r="FP145" s="139">
        <f t="shared" si="160"/>
        <v>0</v>
      </c>
      <c r="FQ145" s="139">
        <f t="shared" si="161"/>
        <v>0</v>
      </c>
      <c r="FR145" s="139">
        <f t="shared" si="162"/>
        <v>0</v>
      </c>
      <c r="FS145" s="139">
        <f t="shared" si="163"/>
        <v>0</v>
      </c>
      <c r="FT145" s="139">
        <f t="shared" si="164"/>
        <v>0</v>
      </c>
      <c r="FU145" s="148">
        <f t="shared" si="165"/>
        <v>0</v>
      </c>
      <c r="FV145" s="149"/>
      <c r="FY145" s="211">
        <v>140</v>
      </c>
      <c r="FZ145">
        <v>1.118603832194109</v>
      </c>
      <c r="GA145">
        <v>0.77470035519842362</v>
      </c>
      <c r="GB145">
        <v>0.26768175484046608</v>
      </c>
      <c r="GC145">
        <v>0.28787375036464857</v>
      </c>
      <c r="GD145">
        <v>0.10689821509469491</v>
      </c>
      <c r="GE145">
        <v>0</v>
      </c>
      <c r="GF145">
        <v>0.33021050058332063</v>
      </c>
      <c r="GG145">
        <v>0.29759236750664797</v>
      </c>
      <c r="GH145">
        <v>0</v>
      </c>
      <c r="GI145">
        <v>0.35718566087698445</v>
      </c>
      <c r="GJ145"/>
      <c r="GK145">
        <v>1.1287873722042274</v>
      </c>
      <c r="GL145">
        <v>0.66663043111567644</v>
      </c>
      <c r="GM145">
        <v>0.44573189690518267</v>
      </c>
      <c r="GN145">
        <v>0.86548415783474819</v>
      </c>
      <c r="GO145">
        <v>0.41975226092956547</v>
      </c>
      <c r="GP145">
        <v>0</v>
      </c>
      <c r="GQ145">
        <v>0.45369793096285549</v>
      </c>
      <c r="GR145">
        <v>0.45369793096285549</v>
      </c>
      <c r="GS145">
        <v>0</v>
      </c>
      <c r="GT145">
        <v>0.48959389220036625</v>
      </c>
      <c r="GU145"/>
      <c r="GV145"/>
      <c r="GW145"/>
      <c r="GX145"/>
      <c r="GY145"/>
      <c r="GZ145"/>
      <c r="HA145"/>
      <c r="HB145"/>
      <c r="HC145"/>
    </row>
    <row r="146" spans="1:211" s="7" customFormat="1">
      <c r="A146" s="1"/>
      <c r="B146" s="76">
        <f t="shared" ca="1" si="132"/>
        <v>6.6882739003908398E-2</v>
      </c>
      <c r="C146">
        <v>3</v>
      </c>
      <c r="D146">
        <v>39799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2.0583333333333331</v>
      </c>
      <c r="AO146">
        <v>0.37312231007881996</v>
      </c>
      <c r="AP146">
        <v>9.771843480936397</v>
      </c>
      <c r="AQ146">
        <v>3.0360843905676322</v>
      </c>
      <c r="AR146">
        <v>0.38268009050208224</v>
      </c>
      <c r="AS146">
        <v>2.103061510800297</v>
      </c>
      <c r="AT146" t="e">
        <v>#DIV/0!</v>
      </c>
      <c r="AU146" t="e">
        <v>#DIV/0!</v>
      </c>
      <c r="AV146"/>
      <c r="AW146"/>
      <c r="AX146" s="146"/>
      <c r="AY146" s="76">
        <f t="shared" ca="1" si="88"/>
        <v>0.29654205447531434</v>
      </c>
      <c r="AZ146">
        <v>9</v>
      </c>
      <c r="BA146" s="129">
        <f t="shared" si="169"/>
        <v>39799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 s="147"/>
      <c r="CH146" s="176"/>
      <c r="CJ146" s="146"/>
      <c r="CK146" s="76">
        <f t="shared" ca="1" si="90"/>
        <v>0.6548913652921311</v>
      </c>
      <c r="CL146" s="179">
        <f t="shared" si="91"/>
        <v>9</v>
      </c>
      <c r="CM146" s="180">
        <f t="shared" si="92"/>
        <v>39799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 s="160"/>
      <c r="CW146">
        <v>1</v>
      </c>
      <c r="CX146">
        <f>475/86</f>
        <v>5.5232558139534884</v>
      </c>
      <c r="CY146" s="165"/>
      <c r="CZ146" s="177">
        <f t="shared" si="93"/>
        <v>9.6000000000000002E-2</v>
      </c>
      <c r="DB146" s="146"/>
      <c r="DC146" s="76">
        <f t="shared" ca="1" si="51"/>
        <v>0.11226955878423261</v>
      </c>
      <c r="DD146">
        <f t="shared" si="94"/>
        <v>9</v>
      </c>
      <c r="DE146" s="129">
        <f t="shared" si="168"/>
        <v>39799</v>
      </c>
      <c r="DF146" s="161">
        <f t="shared" si="95"/>
        <v>0</v>
      </c>
      <c r="DG146" s="161">
        <f t="shared" si="96"/>
        <v>0</v>
      </c>
      <c r="DH146" s="161">
        <f t="shared" si="97"/>
        <v>0</v>
      </c>
      <c r="DI146" s="161">
        <f t="shared" si="98"/>
        <v>0</v>
      </c>
      <c r="DJ146" s="161">
        <f t="shared" si="99"/>
        <v>0</v>
      </c>
      <c r="DK146" s="161">
        <f t="shared" si="100"/>
        <v>0</v>
      </c>
      <c r="DL146" s="161">
        <f t="shared" si="101"/>
        <v>0</v>
      </c>
      <c r="DM146" s="161">
        <f t="shared" si="102"/>
        <v>0</v>
      </c>
      <c r="DN146" s="161">
        <f t="shared" si="103"/>
        <v>0</v>
      </c>
      <c r="DO146" s="161">
        <f t="shared" si="104"/>
        <v>0</v>
      </c>
      <c r="DP146" s="161">
        <f t="shared" si="105"/>
        <v>0</v>
      </c>
      <c r="DQ146" s="161">
        <f t="shared" si="106"/>
        <v>0</v>
      </c>
      <c r="DR146" s="161">
        <f t="shared" si="107"/>
        <v>0</v>
      </c>
      <c r="DS146" s="161">
        <f t="shared" si="108"/>
        <v>0</v>
      </c>
      <c r="DT146" s="161">
        <f t="shared" si="109"/>
        <v>0</v>
      </c>
      <c r="DU146" s="161">
        <f t="shared" si="110"/>
        <v>0</v>
      </c>
      <c r="DV146" s="161">
        <f t="shared" si="111"/>
        <v>0</v>
      </c>
      <c r="DW146" s="161">
        <f t="shared" si="112"/>
        <v>0</v>
      </c>
      <c r="DX146" s="161">
        <f t="shared" si="113"/>
        <v>0</v>
      </c>
      <c r="DY146" s="161">
        <f t="shared" si="114"/>
        <v>0</v>
      </c>
      <c r="DZ146" s="161">
        <f t="shared" si="115"/>
        <v>0</v>
      </c>
      <c r="EA146" s="161">
        <f t="shared" si="116"/>
        <v>0</v>
      </c>
      <c r="EB146" s="161">
        <f t="shared" si="117"/>
        <v>0</v>
      </c>
      <c r="EC146" s="161">
        <f t="shared" si="118"/>
        <v>0</v>
      </c>
      <c r="ED146" s="161">
        <f t="shared" si="119"/>
        <v>0</v>
      </c>
      <c r="EE146" s="161">
        <f t="shared" si="120"/>
        <v>0</v>
      </c>
      <c r="EF146" s="161">
        <f t="shared" si="121"/>
        <v>0</v>
      </c>
      <c r="EG146" s="161">
        <f t="shared" si="122"/>
        <v>0</v>
      </c>
      <c r="EH146" s="161">
        <f t="shared" si="123"/>
        <v>0</v>
      </c>
      <c r="EI146" s="161">
        <f t="shared" si="124"/>
        <v>0</v>
      </c>
      <c r="EJ146" s="161">
        <f t="shared" si="125"/>
        <v>0</v>
      </c>
      <c r="EK146" s="147">
        <f t="shared" si="133"/>
        <v>0</v>
      </c>
      <c r="EL146" s="149"/>
      <c r="EN146" s="146"/>
      <c r="EO146" s="146"/>
      <c r="EP146" s="139">
        <f t="shared" si="134"/>
        <v>0</v>
      </c>
      <c r="EQ146" s="139">
        <f t="shared" si="135"/>
        <v>0</v>
      </c>
      <c r="ER146" s="139">
        <f t="shared" si="136"/>
        <v>0</v>
      </c>
      <c r="ES146" s="139">
        <f t="shared" si="137"/>
        <v>0</v>
      </c>
      <c r="ET146" s="139">
        <f t="shared" si="138"/>
        <v>0</v>
      </c>
      <c r="EU146" s="139">
        <f t="shared" si="139"/>
        <v>0</v>
      </c>
      <c r="EV146" s="139">
        <f t="shared" si="140"/>
        <v>0</v>
      </c>
      <c r="EW146" s="139">
        <f t="shared" si="141"/>
        <v>0</v>
      </c>
      <c r="EX146" s="139">
        <f t="shared" si="142"/>
        <v>0</v>
      </c>
      <c r="EY146" s="139">
        <f t="shared" si="143"/>
        <v>0</v>
      </c>
      <c r="EZ146" s="139">
        <f t="shared" si="144"/>
        <v>0</v>
      </c>
      <c r="FA146" s="139">
        <f t="shared" si="145"/>
        <v>0</v>
      </c>
      <c r="FB146" s="139">
        <f t="shared" si="146"/>
        <v>0</v>
      </c>
      <c r="FC146" s="139">
        <f t="shared" si="147"/>
        <v>0</v>
      </c>
      <c r="FD146" s="139">
        <f t="shared" si="148"/>
        <v>0</v>
      </c>
      <c r="FE146" s="139">
        <f t="shared" si="149"/>
        <v>0</v>
      </c>
      <c r="FF146" s="139">
        <f t="shared" si="150"/>
        <v>0</v>
      </c>
      <c r="FG146" s="139">
        <f t="shared" si="151"/>
        <v>0</v>
      </c>
      <c r="FH146" s="139">
        <f t="shared" si="152"/>
        <v>0</v>
      </c>
      <c r="FI146" s="139">
        <f t="shared" si="153"/>
        <v>0</v>
      </c>
      <c r="FJ146" s="139">
        <f t="shared" si="154"/>
        <v>0</v>
      </c>
      <c r="FK146" s="139">
        <f t="shared" si="155"/>
        <v>0</v>
      </c>
      <c r="FL146" s="139">
        <f t="shared" si="156"/>
        <v>0</v>
      </c>
      <c r="FM146" s="139">
        <f t="shared" si="157"/>
        <v>0</v>
      </c>
      <c r="FN146" s="139">
        <f t="shared" si="158"/>
        <v>0</v>
      </c>
      <c r="FO146" s="139">
        <f t="shared" si="159"/>
        <v>0</v>
      </c>
      <c r="FP146" s="139">
        <f t="shared" si="160"/>
        <v>0</v>
      </c>
      <c r="FQ146" s="139">
        <f t="shared" si="161"/>
        <v>0</v>
      </c>
      <c r="FR146" s="139">
        <f t="shared" si="162"/>
        <v>0</v>
      </c>
      <c r="FS146" s="139">
        <f t="shared" si="163"/>
        <v>0</v>
      </c>
      <c r="FT146" s="139">
        <f t="shared" si="164"/>
        <v>0</v>
      </c>
      <c r="FU146" s="148">
        <f t="shared" si="165"/>
        <v>0</v>
      </c>
      <c r="FV146" s="149"/>
      <c r="FY146" s="211">
        <v>141</v>
      </c>
      <c r="FZ146">
        <v>0.84668708111553981</v>
      </c>
      <c r="GA146">
        <v>0.47460065171768845</v>
      </c>
      <c r="GB146">
        <v>0.14202990935487192</v>
      </c>
      <c r="GC146">
        <v>0.11377737556984255</v>
      </c>
      <c r="GD146">
        <v>2.6724553773673727E-2</v>
      </c>
      <c r="GE146">
        <v>0</v>
      </c>
      <c r="GF146">
        <v>0.33021050058332063</v>
      </c>
      <c r="GG146">
        <v>0.29759236750664797</v>
      </c>
      <c r="GH146">
        <v>0</v>
      </c>
      <c r="GI146">
        <v>0.23980365558802208</v>
      </c>
      <c r="GJ146"/>
      <c r="GK146">
        <v>0.84975250098976063</v>
      </c>
      <c r="GL146">
        <v>0.40705572478708768</v>
      </c>
      <c r="GM146">
        <v>0.23585576644039991</v>
      </c>
      <c r="GN146">
        <v>0.34079383167279126</v>
      </c>
      <c r="GO146">
        <v>0.10493806523239137</v>
      </c>
      <c r="GP146">
        <v>0</v>
      </c>
      <c r="GQ146">
        <v>0.45369793096285549</v>
      </c>
      <c r="GR146">
        <v>0.45369793096285549</v>
      </c>
      <c r="GS146">
        <v>0</v>
      </c>
      <c r="GT146">
        <v>0.32884885272508146</v>
      </c>
      <c r="GU146"/>
      <c r="GV146"/>
      <c r="GW146"/>
      <c r="GX146"/>
      <c r="GY146"/>
      <c r="GZ146"/>
      <c r="HA146"/>
      <c r="HB146"/>
      <c r="HC146"/>
    </row>
    <row r="147" spans="1:211" s="7" customFormat="1">
      <c r="A147" s="1"/>
      <c r="B147" s="76">
        <f t="shared" ca="1" si="132"/>
        <v>0.18896295149238673</v>
      </c>
      <c r="C147">
        <v>6</v>
      </c>
      <c r="D147">
        <v>39799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1.875</v>
      </c>
      <c r="AO147">
        <v>0.42119067362119667</v>
      </c>
      <c r="AP147">
        <v>19.898032704966994</v>
      </c>
      <c r="AQ147">
        <v>2.8461773849890988</v>
      </c>
      <c r="AR147">
        <v>0.4226664579377043</v>
      </c>
      <c r="AS147">
        <v>2.034492956061706</v>
      </c>
      <c r="AT147" t="e">
        <v>#DIV/0!</v>
      </c>
      <c r="AU147" t="e">
        <v>#DIV/0!</v>
      </c>
      <c r="AV147"/>
      <c r="AW147"/>
      <c r="AX147" s="146"/>
      <c r="AY147" s="76">
        <f t="shared" ca="1" si="88"/>
        <v>0.51603079555532738</v>
      </c>
      <c r="AZ147">
        <v>10</v>
      </c>
      <c r="BA147" s="129">
        <f t="shared" si="169"/>
        <v>39799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 s="147"/>
      <c r="CH147" s="176"/>
      <c r="CJ147" s="146"/>
      <c r="CK147" s="76">
        <f t="shared" ca="1" si="90"/>
        <v>0.93137016082608737</v>
      </c>
      <c r="CL147" s="179">
        <f t="shared" si="91"/>
        <v>10</v>
      </c>
      <c r="CM147" s="180">
        <f t="shared" si="92"/>
        <v>39799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 s="160"/>
      <c r="CW147">
        <v>1</v>
      </c>
      <c r="CX147">
        <v>1</v>
      </c>
      <c r="CY147" s="165"/>
      <c r="CZ147" s="177">
        <f t="shared" si="93"/>
        <v>9.6000000000000002E-2</v>
      </c>
      <c r="DB147" s="146"/>
      <c r="DC147" s="76">
        <f t="shared" ca="1" si="51"/>
        <v>0.94515940827485467</v>
      </c>
      <c r="DD147">
        <f t="shared" si="94"/>
        <v>10</v>
      </c>
      <c r="DE147" s="129">
        <f t="shared" si="168"/>
        <v>39799</v>
      </c>
      <c r="DF147" s="161">
        <f t="shared" si="95"/>
        <v>0</v>
      </c>
      <c r="DG147" s="161">
        <f t="shared" si="96"/>
        <v>0</v>
      </c>
      <c r="DH147" s="161">
        <f t="shared" si="97"/>
        <v>0</v>
      </c>
      <c r="DI147" s="161">
        <f t="shared" si="98"/>
        <v>0</v>
      </c>
      <c r="DJ147" s="161">
        <f t="shared" si="99"/>
        <v>0</v>
      </c>
      <c r="DK147" s="161">
        <f t="shared" si="100"/>
        <v>0</v>
      </c>
      <c r="DL147" s="161">
        <f t="shared" si="101"/>
        <v>0</v>
      </c>
      <c r="DM147" s="161">
        <f t="shared" si="102"/>
        <v>0</v>
      </c>
      <c r="DN147" s="161">
        <f t="shared" si="103"/>
        <v>0</v>
      </c>
      <c r="DO147" s="161">
        <f t="shared" si="104"/>
        <v>0</v>
      </c>
      <c r="DP147" s="161">
        <f t="shared" si="105"/>
        <v>0</v>
      </c>
      <c r="DQ147" s="161">
        <f t="shared" si="106"/>
        <v>0</v>
      </c>
      <c r="DR147" s="161">
        <f t="shared" si="107"/>
        <v>0</v>
      </c>
      <c r="DS147" s="161">
        <f t="shared" si="108"/>
        <v>0</v>
      </c>
      <c r="DT147" s="161">
        <f t="shared" si="109"/>
        <v>0</v>
      </c>
      <c r="DU147" s="161">
        <f t="shared" si="110"/>
        <v>0</v>
      </c>
      <c r="DV147" s="161">
        <f t="shared" si="111"/>
        <v>0</v>
      </c>
      <c r="DW147" s="161">
        <f t="shared" si="112"/>
        <v>0</v>
      </c>
      <c r="DX147" s="161">
        <f t="shared" si="113"/>
        <v>0</v>
      </c>
      <c r="DY147" s="161">
        <f t="shared" si="114"/>
        <v>0</v>
      </c>
      <c r="DZ147" s="161">
        <f t="shared" si="115"/>
        <v>0</v>
      </c>
      <c r="EA147" s="161">
        <f t="shared" si="116"/>
        <v>0</v>
      </c>
      <c r="EB147" s="161">
        <f t="shared" si="117"/>
        <v>0</v>
      </c>
      <c r="EC147" s="161">
        <f t="shared" si="118"/>
        <v>0</v>
      </c>
      <c r="ED147" s="161">
        <f t="shared" si="119"/>
        <v>0</v>
      </c>
      <c r="EE147" s="161">
        <f t="shared" si="120"/>
        <v>0</v>
      </c>
      <c r="EF147" s="161">
        <f t="shared" si="121"/>
        <v>0</v>
      </c>
      <c r="EG147" s="161">
        <f t="shared" si="122"/>
        <v>0</v>
      </c>
      <c r="EH147" s="161">
        <f t="shared" si="123"/>
        <v>0</v>
      </c>
      <c r="EI147" s="161">
        <f t="shared" si="124"/>
        <v>0</v>
      </c>
      <c r="EJ147" s="161">
        <f t="shared" si="125"/>
        <v>0</v>
      </c>
      <c r="EK147" s="147">
        <f t="shared" si="133"/>
        <v>0</v>
      </c>
      <c r="EL147" s="149"/>
      <c r="EN147" s="146"/>
      <c r="EO147" s="146"/>
      <c r="EP147" s="139">
        <f t="shared" si="134"/>
        <v>0</v>
      </c>
      <c r="EQ147" s="139">
        <f t="shared" si="135"/>
        <v>0</v>
      </c>
      <c r="ER147" s="139">
        <f t="shared" si="136"/>
        <v>0</v>
      </c>
      <c r="ES147" s="139">
        <f t="shared" si="137"/>
        <v>0</v>
      </c>
      <c r="ET147" s="139">
        <f t="shared" si="138"/>
        <v>0</v>
      </c>
      <c r="EU147" s="139">
        <f t="shared" si="139"/>
        <v>0</v>
      </c>
      <c r="EV147" s="139">
        <f t="shared" si="140"/>
        <v>0</v>
      </c>
      <c r="EW147" s="139">
        <f t="shared" si="141"/>
        <v>0</v>
      </c>
      <c r="EX147" s="139">
        <f t="shared" si="142"/>
        <v>0</v>
      </c>
      <c r="EY147" s="139">
        <f t="shared" si="143"/>
        <v>0</v>
      </c>
      <c r="EZ147" s="139">
        <f t="shared" si="144"/>
        <v>0</v>
      </c>
      <c r="FA147" s="139">
        <f t="shared" si="145"/>
        <v>0</v>
      </c>
      <c r="FB147" s="139">
        <f t="shared" si="146"/>
        <v>0</v>
      </c>
      <c r="FC147" s="139">
        <f t="shared" si="147"/>
        <v>0</v>
      </c>
      <c r="FD147" s="139">
        <f t="shared" si="148"/>
        <v>0</v>
      </c>
      <c r="FE147" s="139">
        <f t="shared" si="149"/>
        <v>0</v>
      </c>
      <c r="FF147" s="139">
        <f t="shared" si="150"/>
        <v>0</v>
      </c>
      <c r="FG147" s="139">
        <f t="shared" si="151"/>
        <v>0</v>
      </c>
      <c r="FH147" s="139">
        <f t="shared" si="152"/>
        <v>0</v>
      </c>
      <c r="FI147" s="139">
        <f t="shared" si="153"/>
        <v>0</v>
      </c>
      <c r="FJ147" s="139">
        <f t="shared" si="154"/>
        <v>0</v>
      </c>
      <c r="FK147" s="139">
        <f t="shared" si="155"/>
        <v>0</v>
      </c>
      <c r="FL147" s="139">
        <f t="shared" si="156"/>
        <v>0</v>
      </c>
      <c r="FM147" s="139">
        <f t="shared" si="157"/>
        <v>0</v>
      </c>
      <c r="FN147" s="139">
        <f t="shared" si="158"/>
        <v>0</v>
      </c>
      <c r="FO147" s="139">
        <f t="shared" si="159"/>
        <v>0</v>
      </c>
      <c r="FP147" s="139">
        <f t="shared" si="160"/>
        <v>0</v>
      </c>
      <c r="FQ147" s="139">
        <f t="shared" si="161"/>
        <v>0</v>
      </c>
      <c r="FR147" s="139">
        <f t="shared" si="162"/>
        <v>0</v>
      </c>
      <c r="FS147" s="139">
        <f t="shared" si="163"/>
        <v>0</v>
      </c>
      <c r="FT147" s="139">
        <f t="shared" si="164"/>
        <v>0</v>
      </c>
      <c r="FU147" s="148">
        <f t="shared" si="165"/>
        <v>0</v>
      </c>
      <c r="FV147" s="149"/>
      <c r="FY147" s="211">
        <v>142</v>
      </c>
      <c r="FZ147">
        <v>0.9005818134286705</v>
      </c>
      <c r="GA147">
        <v>0.47460065171768845</v>
      </c>
      <c r="GB147">
        <v>0.25130369097118832</v>
      </c>
      <c r="GC147">
        <v>0.13927709983584477</v>
      </c>
      <c r="GD147">
        <v>0</v>
      </c>
      <c r="GE147">
        <v>0</v>
      </c>
      <c r="GF147">
        <v>0.66042100116664126</v>
      </c>
      <c r="GG147">
        <v>0.59518473501329594</v>
      </c>
      <c r="GH147">
        <v>0</v>
      </c>
      <c r="GI147">
        <v>0.32335642766122652</v>
      </c>
      <c r="GJ147"/>
      <c r="GK147">
        <v>0.90433434660035972</v>
      </c>
      <c r="GL147">
        <v>0.40705572478708768</v>
      </c>
      <c r="GM147">
        <v>0.41975226092956547</v>
      </c>
      <c r="GN147">
        <v>0.41975226092956547</v>
      </c>
      <c r="GO147">
        <v>0</v>
      </c>
      <c r="GP147">
        <v>0</v>
      </c>
      <c r="GQ147">
        <v>0.90739586192571098</v>
      </c>
      <c r="GR147">
        <v>0.90739586192571098</v>
      </c>
      <c r="GS147">
        <v>0</v>
      </c>
      <c r="GT147">
        <v>0.44629649389112724</v>
      </c>
      <c r="GU147"/>
      <c r="GV147"/>
      <c r="GW147"/>
      <c r="GX147"/>
      <c r="GY147"/>
      <c r="GZ147"/>
      <c r="HA147"/>
      <c r="HB147"/>
      <c r="HC147"/>
    </row>
    <row r="148" spans="1:211" s="7" customFormat="1">
      <c r="A148" s="128"/>
      <c r="B148" s="76">
        <f t="shared" ca="1" si="132"/>
        <v>0.24704767116080872</v>
      </c>
      <c r="C148">
        <v>3</v>
      </c>
      <c r="D148">
        <v>39847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 s="2"/>
      <c r="AK148" s="80"/>
      <c r="AL148" s="74">
        <v>3.0028000000000028</v>
      </c>
      <c r="AM148" s="43">
        <v>132</v>
      </c>
      <c r="AN148">
        <v>3.5947916666666671</v>
      </c>
      <c r="AO148">
        <v>0.52271042929332567</v>
      </c>
      <c r="AP148">
        <v>18.581401546110399</v>
      </c>
      <c r="AQ148">
        <v>4.2161203649523191</v>
      </c>
      <c r="AR148">
        <v>0.55204736136984633</v>
      </c>
      <c r="AS148">
        <v>2.7072886750013447</v>
      </c>
      <c r="AT148" t="e">
        <v>#DIV/0!</v>
      </c>
      <c r="AU148" t="e">
        <v>#DIV/0!</v>
      </c>
      <c r="AV148"/>
      <c r="AW148"/>
      <c r="AX148" s="128"/>
      <c r="AY148" s="76">
        <f t="shared" ca="1" si="88"/>
        <v>0.16635819889898062</v>
      </c>
      <c r="AZ148">
        <v>1</v>
      </c>
      <c r="BA148" s="129">
        <f>IF(AZ148="", "",$C$10)</f>
        <v>39847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 s="147"/>
      <c r="CH148" s="176"/>
      <c r="CJ148" s="128"/>
      <c r="CK148" s="76">
        <f t="shared" ca="1" si="90"/>
        <v>0.24471944121815392</v>
      </c>
      <c r="CL148" s="179">
        <f t="shared" si="91"/>
        <v>1</v>
      </c>
      <c r="CM148" s="180">
        <f t="shared" si="92"/>
        <v>39847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 s="160"/>
      <c r="CW148">
        <v>1</v>
      </c>
      <c r="CX148">
        <v>1</v>
      </c>
      <c r="CY148" s="160"/>
      <c r="CZ148" s="177">
        <f t="shared" si="93"/>
        <v>9.6000000000000002E-2</v>
      </c>
      <c r="DB148" s="128"/>
      <c r="DC148" s="76">
        <f t="shared" ca="1" si="51"/>
        <v>4.6208015658957047E-2</v>
      </c>
      <c r="DD148">
        <f t="shared" si="94"/>
        <v>1</v>
      </c>
      <c r="DE148" s="129">
        <f t="shared" ref="DE148:DE157" si="170">IF((DD148)="", "", $C$10)</f>
        <v>39847</v>
      </c>
      <c r="DF148" s="161">
        <f t="shared" si="95"/>
        <v>0</v>
      </c>
      <c r="DG148" s="161">
        <f t="shared" si="96"/>
        <v>0</v>
      </c>
      <c r="DH148" s="161">
        <f t="shared" si="97"/>
        <v>0</v>
      </c>
      <c r="DI148" s="161">
        <f t="shared" si="98"/>
        <v>0</v>
      </c>
      <c r="DJ148" s="161">
        <f t="shared" si="99"/>
        <v>0</v>
      </c>
      <c r="DK148" s="161">
        <f t="shared" si="100"/>
        <v>0</v>
      </c>
      <c r="DL148" s="161">
        <f t="shared" si="101"/>
        <v>0</v>
      </c>
      <c r="DM148" s="161">
        <f t="shared" si="102"/>
        <v>0</v>
      </c>
      <c r="DN148" s="161">
        <f t="shared" si="103"/>
        <v>0</v>
      </c>
      <c r="DO148" s="161">
        <f t="shared" si="104"/>
        <v>0</v>
      </c>
      <c r="DP148" s="161">
        <f t="shared" si="105"/>
        <v>0</v>
      </c>
      <c r="DQ148" s="161">
        <f t="shared" si="106"/>
        <v>0</v>
      </c>
      <c r="DR148" s="161">
        <f t="shared" si="107"/>
        <v>0</v>
      </c>
      <c r="DS148" s="161">
        <f t="shared" si="108"/>
        <v>0</v>
      </c>
      <c r="DT148" s="161">
        <f t="shared" si="109"/>
        <v>0</v>
      </c>
      <c r="DU148" s="161">
        <f t="shared" si="110"/>
        <v>0</v>
      </c>
      <c r="DV148" s="161">
        <f t="shared" si="111"/>
        <v>0</v>
      </c>
      <c r="DW148" s="161">
        <f t="shared" si="112"/>
        <v>0</v>
      </c>
      <c r="DX148" s="161">
        <f t="shared" si="113"/>
        <v>0</v>
      </c>
      <c r="DY148" s="161">
        <f t="shared" si="114"/>
        <v>0</v>
      </c>
      <c r="DZ148" s="161">
        <f t="shared" si="115"/>
        <v>0</v>
      </c>
      <c r="EA148" s="161">
        <f t="shared" si="116"/>
        <v>0</v>
      </c>
      <c r="EB148" s="161">
        <f t="shared" si="117"/>
        <v>0</v>
      </c>
      <c r="EC148" s="161">
        <f t="shared" si="118"/>
        <v>0</v>
      </c>
      <c r="ED148" s="161">
        <f t="shared" si="119"/>
        <v>0</v>
      </c>
      <c r="EE148" s="161">
        <f t="shared" si="120"/>
        <v>0</v>
      </c>
      <c r="EF148" s="161">
        <f t="shared" si="121"/>
        <v>0</v>
      </c>
      <c r="EG148" s="161">
        <f t="shared" si="122"/>
        <v>0</v>
      </c>
      <c r="EH148" s="161">
        <f t="shared" si="123"/>
        <v>0</v>
      </c>
      <c r="EI148" s="161">
        <f t="shared" si="124"/>
        <v>0</v>
      </c>
      <c r="EJ148" s="161">
        <f t="shared" si="125"/>
        <v>0</v>
      </c>
      <c r="EK148" s="147">
        <f t="shared" si="133"/>
        <v>0</v>
      </c>
      <c r="EL148" s="149"/>
      <c r="EN148" s="146"/>
      <c r="EO148" s="146"/>
      <c r="EP148" s="139">
        <f t="shared" si="134"/>
        <v>0</v>
      </c>
      <c r="EQ148" s="139">
        <f t="shared" si="135"/>
        <v>0</v>
      </c>
      <c r="ER148" s="139">
        <f t="shared" si="136"/>
        <v>0</v>
      </c>
      <c r="ES148" s="139">
        <f t="shared" si="137"/>
        <v>0</v>
      </c>
      <c r="ET148" s="139">
        <f t="shared" si="138"/>
        <v>0</v>
      </c>
      <c r="EU148" s="139">
        <f t="shared" si="139"/>
        <v>0</v>
      </c>
      <c r="EV148" s="139">
        <f t="shared" si="140"/>
        <v>0</v>
      </c>
      <c r="EW148" s="139">
        <f t="shared" si="141"/>
        <v>0</v>
      </c>
      <c r="EX148" s="139">
        <f t="shared" si="142"/>
        <v>0</v>
      </c>
      <c r="EY148" s="139">
        <f t="shared" si="143"/>
        <v>0</v>
      </c>
      <c r="EZ148" s="139">
        <f t="shared" si="144"/>
        <v>0</v>
      </c>
      <c r="FA148" s="139">
        <f t="shared" si="145"/>
        <v>0</v>
      </c>
      <c r="FB148" s="139">
        <f t="shared" si="146"/>
        <v>0</v>
      </c>
      <c r="FC148" s="139">
        <f t="shared" si="147"/>
        <v>0</v>
      </c>
      <c r="FD148" s="139">
        <f t="shared" si="148"/>
        <v>0</v>
      </c>
      <c r="FE148" s="139">
        <f t="shared" si="149"/>
        <v>0</v>
      </c>
      <c r="FF148" s="139">
        <f t="shared" si="150"/>
        <v>0</v>
      </c>
      <c r="FG148" s="139">
        <f t="shared" si="151"/>
        <v>0</v>
      </c>
      <c r="FH148" s="139">
        <f t="shared" si="152"/>
        <v>0</v>
      </c>
      <c r="FI148" s="139">
        <f t="shared" si="153"/>
        <v>0</v>
      </c>
      <c r="FJ148" s="139">
        <f t="shared" si="154"/>
        <v>0</v>
      </c>
      <c r="FK148" s="139">
        <f t="shared" si="155"/>
        <v>0</v>
      </c>
      <c r="FL148" s="139">
        <f t="shared" si="156"/>
        <v>0</v>
      </c>
      <c r="FM148" s="139">
        <f t="shared" si="157"/>
        <v>0</v>
      </c>
      <c r="FN148" s="139">
        <f t="shared" si="158"/>
        <v>0</v>
      </c>
      <c r="FO148" s="139">
        <f t="shared" si="159"/>
        <v>0</v>
      </c>
      <c r="FP148" s="139">
        <f t="shared" si="160"/>
        <v>0</v>
      </c>
      <c r="FQ148" s="139">
        <f t="shared" si="161"/>
        <v>0</v>
      </c>
      <c r="FR148" s="139">
        <f t="shared" si="162"/>
        <v>0</v>
      </c>
      <c r="FS148" s="139">
        <f t="shared" si="163"/>
        <v>0</v>
      </c>
      <c r="FT148" s="139">
        <f t="shared" si="164"/>
        <v>0</v>
      </c>
      <c r="FU148" s="148">
        <f t="shared" si="165"/>
        <v>0</v>
      </c>
      <c r="FV148" s="149"/>
      <c r="FY148" s="211">
        <v>143</v>
      </c>
      <c r="FZ148">
        <v>0.95135879854312155</v>
      </c>
      <c r="GA148">
        <v>8.725047411847664E-2</v>
      </c>
      <c r="GB148">
        <v>0.26768175484046608</v>
      </c>
      <c r="GC148">
        <v>0.21823520044672617</v>
      </c>
      <c r="GD148">
        <v>5.3449107547347455E-2</v>
      </c>
      <c r="GE148">
        <v>0</v>
      </c>
      <c r="GF148">
        <v>0.33021050058332063</v>
      </c>
      <c r="GG148">
        <v>0.29759236750664797</v>
      </c>
      <c r="GH148">
        <v>0</v>
      </c>
      <c r="GI148">
        <v>0.30166943279942326</v>
      </c>
      <c r="GJ148"/>
      <c r="GK148">
        <v>0.95515468607853593</v>
      </c>
      <c r="GL148">
        <v>7.3740509229249462E-2</v>
      </c>
      <c r="GM148">
        <v>0.44573189690518267</v>
      </c>
      <c r="GN148">
        <v>0.65560802736996537</v>
      </c>
      <c r="GO148">
        <v>0.20987613046478273</v>
      </c>
      <c r="GP148">
        <v>0</v>
      </c>
      <c r="GQ148">
        <v>0.45369793096285549</v>
      </c>
      <c r="GR148">
        <v>0.45369793096285549</v>
      </c>
      <c r="GS148">
        <v>0</v>
      </c>
      <c r="GT148">
        <v>0.41289212888227139</v>
      </c>
      <c r="GU148"/>
      <c r="GV148"/>
      <c r="GW148"/>
      <c r="GX148"/>
      <c r="GY148"/>
      <c r="GZ148"/>
      <c r="HA148"/>
      <c r="HB148"/>
      <c r="HC148"/>
    </row>
    <row r="149" spans="1:211" s="7" customFormat="1">
      <c r="A149" s="77"/>
      <c r="B149" s="76">
        <f t="shared" ca="1" si="132"/>
        <v>0.47285401047446873</v>
      </c>
      <c r="C149">
        <v>2</v>
      </c>
      <c r="D149">
        <v>39847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 s="2"/>
      <c r="AK149" s="80"/>
      <c r="AL149" s="74">
        <v>3.0028000000000028</v>
      </c>
      <c r="AM149" s="43">
        <v>133</v>
      </c>
      <c r="AN149">
        <v>2.7812499999999991</v>
      </c>
      <c r="AO149">
        <v>0.36780971989129829</v>
      </c>
      <c r="AP149">
        <v>13.946719211297538</v>
      </c>
      <c r="AQ149">
        <v>2.4849903360703141</v>
      </c>
      <c r="AR149">
        <v>0.40285197057067701</v>
      </c>
      <c r="AS149">
        <v>2.2991080712843104</v>
      </c>
      <c r="AT149" t="e">
        <v>#DIV/0!</v>
      </c>
      <c r="AU149" t="e">
        <v>#DIV/0!</v>
      </c>
      <c r="AV149"/>
      <c r="AW149"/>
      <c r="AX149" s="151"/>
      <c r="AY149" s="76">
        <f t="shared" ca="1" si="88"/>
        <v>0.82636325521738696</v>
      </c>
      <c r="AZ149">
        <v>2</v>
      </c>
      <c r="BA149" s="129">
        <f t="shared" ref="BA149:BA157" si="171">IF(AZ149="", "",$C$10)</f>
        <v>39847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 s="147"/>
      <c r="CH149" s="176"/>
      <c r="CJ149" s="151"/>
      <c r="CK149" s="76">
        <f t="shared" ca="1" si="90"/>
        <v>0.59281951294096413</v>
      </c>
      <c r="CL149" s="179">
        <f t="shared" si="91"/>
        <v>2</v>
      </c>
      <c r="CM149" s="180">
        <f t="shared" si="92"/>
        <v>39847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 s="160"/>
      <c r="CW149">
        <f>40/12</f>
        <v>3.3333333333333335</v>
      </c>
      <c r="CX149">
        <f>350/32</f>
        <v>10.9375</v>
      </c>
      <c r="CY149" s="160"/>
      <c r="CZ149" s="177">
        <f t="shared" si="93"/>
        <v>9.6000000000000002E-2</v>
      </c>
      <c r="DB149" s="151"/>
      <c r="DC149" s="76">
        <f t="shared" ca="1" si="51"/>
        <v>0.30140868985232316</v>
      </c>
      <c r="DD149">
        <f t="shared" si="94"/>
        <v>2</v>
      </c>
      <c r="DE149" s="129">
        <f t="shared" si="170"/>
        <v>39847</v>
      </c>
      <c r="DF149" s="161">
        <f t="shared" si="95"/>
        <v>0</v>
      </c>
      <c r="DG149" s="161">
        <f t="shared" si="96"/>
        <v>0</v>
      </c>
      <c r="DH149" s="161">
        <f t="shared" si="97"/>
        <v>0</v>
      </c>
      <c r="DI149" s="161">
        <f t="shared" si="98"/>
        <v>0</v>
      </c>
      <c r="DJ149" s="161">
        <f t="shared" si="99"/>
        <v>0</v>
      </c>
      <c r="DK149" s="161">
        <f t="shared" si="100"/>
        <v>0</v>
      </c>
      <c r="DL149" s="161">
        <f t="shared" si="101"/>
        <v>0</v>
      </c>
      <c r="DM149" s="161">
        <f t="shared" si="102"/>
        <v>0</v>
      </c>
      <c r="DN149" s="161">
        <f t="shared" si="103"/>
        <v>0</v>
      </c>
      <c r="DO149" s="161">
        <f t="shared" si="104"/>
        <v>0</v>
      </c>
      <c r="DP149" s="161">
        <f t="shared" si="105"/>
        <v>0</v>
      </c>
      <c r="DQ149" s="161">
        <f t="shared" si="106"/>
        <v>0</v>
      </c>
      <c r="DR149" s="161">
        <f t="shared" si="107"/>
        <v>0</v>
      </c>
      <c r="DS149" s="161">
        <f t="shared" si="108"/>
        <v>0</v>
      </c>
      <c r="DT149" s="161">
        <f t="shared" si="109"/>
        <v>0</v>
      </c>
      <c r="DU149" s="161">
        <f t="shared" si="110"/>
        <v>0</v>
      </c>
      <c r="DV149" s="161">
        <f t="shared" si="111"/>
        <v>0</v>
      </c>
      <c r="DW149" s="161">
        <f t="shared" si="112"/>
        <v>0</v>
      </c>
      <c r="DX149" s="161">
        <f t="shared" si="113"/>
        <v>0</v>
      </c>
      <c r="DY149" s="161">
        <f t="shared" si="114"/>
        <v>0</v>
      </c>
      <c r="DZ149" s="161">
        <f t="shared" si="115"/>
        <v>0</v>
      </c>
      <c r="EA149" s="161">
        <f t="shared" si="116"/>
        <v>0</v>
      </c>
      <c r="EB149" s="161">
        <f t="shared" si="117"/>
        <v>0</v>
      </c>
      <c r="EC149" s="161">
        <f t="shared" si="118"/>
        <v>0</v>
      </c>
      <c r="ED149" s="161">
        <f t="shared" si="119"/>
        <v>0</v>
      </c>
      <c r="EE149" s="161">
        <f t="shared" si="120"/>
        <v>0</v>
      </c>
      <c r="EF149" s="161">
        <f t="shared" si="121"/>
        <v>0</v>
      </c>
      <c r="EG149" s="161">
        <f t="shared" si="122"/>
        <v>0</v>
      </c>
      <c r="EH149" s="161">
        <f t="shared" si="123"/>
        <v>0</v>
      </c>
      <c r="EI149" s="161">
        <f t="shared" si="124"/>
        <v>0</v>
      </c>
      <c r="EJ149" s="161">
        <f t="shared" si="125"/>
        <v>0</v>
      </c>
      <c r="EK149" s="147">
        <f t="shared" si="133"/>
        <v>0</v>
      </c>
      <c r="EL149" s="149"/>
      <c r="EN149" s="151"/>
      <c r="EO149" s="151"/>
      <c r="EP149" s="139">
        <f t="shared" si="134"/>
        <v>0</v>
      </c>
      <c r="EQ149" s="139">
        <f t="shared" si="135"/>
        <v>0</v>
      </c>
      <c r="ER149" s="139">
        <f t="shared" si="136"/>
        <v>0</v>
      </c>
      <c r="ES149" s="139">
        <f t="shared" si="137"/>
        <v>0</v>
      </c>
      <c r="ET149" s="139">
        <f t="shared" si="138"/>
        <v>0</v>
      </c>
      <c r="EU149" s="139">
        <f t="shared" si="139"/>
        <v>0</v>
      </c>
      <c r="EV149" s="139">
        <f t="shared" si="140"/>
        <v>0</v>
      </c>
      <c r="EW149" s="139">
        <f t="shared" si="141"/>
        <v>0</v>
      </c>
      <c r="EX149" s="139">
        <f t="shared" si="142"/>
        <v>0</v>
      </c>
      <c r="EY149" s="139">
        <f t="shared" si="143"/>
        <v>0</v>
      </c>
      <c r="EZ149" s="139">
        <f t="shared" si="144"/>
        <v>0</v>
      </c>
      <c r="FA149" s="139">
        <f t="shared" si="145"/>
        <v>0</v>
      </c>
      <c r="FB149" s="139">
        <f t="shared" si="146"/>
        <v>0</v>
      </c>
      <c r="FC149" s="139">
        <f t="shared" si="147"/>
        <v>0</v>
      </c>
      <c r="FD149" s="139">
        <f t="shared" si="148"/>
        <v>0</v>
      </c>
      <c r="FE149" s="139">
        <f t="shared" si="149"/>
        <v>0</v>
      </c>
      <c r="FF149" s="139">
        <f t="shared" si="150"/>
        <v>0</v>
      </c>
      <c r="FG149" s="139">
        <f t="shared" si="151"/>
        <v>0</v>
      </c>
      <c r="FH149" s="139">
        <f t="shared" si="152"/>
        <v>0</v>
      </c>
      <c r="FI149" s="139">
        <f t="shared" si="153"/>
        <v>0</v>
      </c>
      <c r="FJ149" s="139">
        <f t="shared" si="154"/>
        <v>0</v>
      </c>
      <c r="FK149" s="139">
        <f t="shared" si="155"/>
        <v>0</v>
      </c>
      <c r="FL149" s="139">
        <f t="shared" si="156"/>
        <v>0</v>
      </c>
      <c r="FM149" s="139">
        <f t="shared" si="157"/>
        <v>0</v>
      </c>
      <c r="FN149" s="139">
        <f t="shared" si="158"/>
        <v>0</v>
      </c>
      <c r="FO149" s="139">
        <f t="shared" si="159"/>
        <v>0</v>
      </c>
      <c r="FP149" s="139">
        <f t="shared" si="160"/>
        <v>0</v>
      </c>
      <c r="FQ149" s="139">
        <f t="shared" si="161"/>
        <v>0</v>
      </c>
      <c r="FR149" s="139">
        <f t="shared" si="162"/>
        <v>0</v>
      </c>
      <c r="FS149" s="139">
        <f t="shared" si="163"/>
        <v>0</v>
      </c>
      <c r="FT149" s="139">
        <f t="shared" si="164"/>
        <v>0</v>
      </c>
      <c r="FU149" s="148">
        <f t="shared" si="165"/>
        <v>0</v>
      </c>
      <c r="FV149" s="149"/>
      <c r="FY149" s="211">
        <v>144</v>
      </c>
      <c r="FZ149">
        <v>0.91795309353538501</v>
      </c>
      <c r="GA149">
        <v>0.38735017759921181</v>
      </c>
      <c r="GB149">
        <v>6.282592274279708E-2</v>
      </c>
      <c r="GC149">
        <v>0.10445782487688358</v>
      </c>
      <c r="GD149">
        <v>5.3449107547347455E-2</v>
      </c>
      <c r="GE149">
        <v>0</v>
      </c>
      <c r="GF149">
        <v>0</v>
      </c>
      <c r="GG149">
        <v>0</v>
      </c>
      <c r="GH149">
        <v>0</v>
      </c>
      <c r="GI149">
        <v>0.18218231588412617</v>
      </c>
      <c r="GJ149"/>
      <c r="GK149">
        <v>0.926583589335918</v>
      </c>
      <c r="GL149">
        <v>0.33331521555783822</v>
      </c>
      <c r="GM149">
        <v>0.10493806523239137</v>
      </c>
      <c r="GN149">
        <v>0.31481419569717412</v>
      </c>
      <c r="GO149">
        <v>0.20987613046478273</v>
      </c>
      <c r="GP149">
        <v>0</v>
      </c>
      <c r="GQ149">
        <v>0</v>
      </c>
      <c r="GR149">
        <v>0</v>
      </c>
      <c r="GS149">
        <v>0</v>
      </c>
      <c r="GT149">
        <v>0.24827955700661841</v>
      </c>
      <c r="GU149"/>
      <c r="GV149"/>
      <c r="GW149"/>
      <c r="GX149"/>
      <c r="GY149"/>
      <c r="GZ149"/>
      <c r="HA149"/>
      <c r="HB149"/>
      <c r="HC149"/>
    </row>
    <row r="150" spans="1:211" s="7" customFormat="1">
      <c r="A150" s="77"/>
      <c r="B150" s="76">
        <f t="shared" ca="1" si="132"/>
        <v>0.67733582816857041</v>
      </c>
      <c r="C150">
        <v>10</v>
      </c>
      <c r="D150">
        <v>39847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1.40625</v>
      </c>
      <c r="AO150">
        <v>0.29161070942473655</v>
      </c>
      <c r="AP150">
        <v>13.692573768416871</v>
      </c>
      <c r="AQ150">
        <v>2.1540857116563243</v>
      </c>
      <c r="AR150">
        <v>0.31729552784821047</v>
      </c>
      <c r="AS150">
        <v>1.5581789088926448</v>
      </c>
      <c r="AT150" t="e">
        <v>#DIV/0!</v>
      </c>
      <c r="AU150" t="e">
        <v>#DIV/0!</v>
      </c>
      <c r="AV150"/>
      <c r="AW150"/>
      <c r="AX150" s="151"/>
      <c r="AY150" s="76">
        <f t="shared" ca="1" si="88"/>
        <v>0.89215319327937515</v>
      </c>
      <c r="AZ150">
        <v>3</v>
      </c>
      <c r="BA150" s="129">
        <f t="shared" si="171"/>
        <v>39847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 s="147"/>
      <c r="CH150" s="176"/>
      <c r="CJ150" s="151"/>
      <c r="CK150" s="76">
        <f t="shared" ca="1" si="90"/>
        <v>0.47860589859363678</v>
      </c>
      <c r="CL150" s="179">
        <f t="shared" si="91"/>
        <v>3</v>
      </c>
      <c r="CM150" s="180">
        <f t="shared" si="92"/>
        <v>39847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 s="160"/>
      <c r="CW150">
        <v>1</v>
      </c>
      <c r="CX150">
        <v>1</v>
      </c>
      <c r="CY150" s="160"/>
      <c r="CZ150" s="177">
        <f t="shared" si="93"/>
        <v>9.6000000000000002E-2</v>
      </c>
      <c r="DB150" s="151"/>
      <c r="DC150" s="76">
        <f t="shared" ca="1" si="51"/>
        <v>0.66099322729583965</v>
      </c>
      <c r="DD150">
        <f t="shared" si="94"/>
        <v>3</v>
      </c>
      <c r="DE150" s="129">
        <f t="shared" si="170"/>
        <v>39847</v>
      </c>
      <c r="DF150" s="161">
        <f t="shared" si="95"/>
        <v>0</v>
      </c>
      <c r="DG150" s="161">
        <f t="shared" si="96"/>
        <v>0</v>
      </c>
      <c r="DH150" s="161">
        <f t="shared" si="97"/>
        <v>0</v>
      </c>
      <c r="DI150" s="161">
        <f t="shared" si="98"/>
        <v>0</v>
      </c>
      <c r="DJ150" s="161">
        <f t="shared" si="99"/>
        <v>0</v>
      </c>
      <c r="DK150" s="161">
        <f t="shared" si="100"/>
        <v>0</v>
      </c>
      <c r="DL150" s="161">
        <f t="shared" si="101"/>
        <v>0</v>
      </c>
      <c r="DM150" s="161">
        <f t="shared" si="102"/>
        <v>0</v>
      </c>
      <c r="DN150" s="161">
        <f t="shared" si="103"/>
        <v>0</v>
      </c>
      <c r="DO150" s="161">
        <f t="shared" si="104"/>
        <v>0</v>
      </c>
      <c r="DP150" s="161">
        <f t="shared" si="105"/>
        <v>0</v>
      </c>
      <c r="DQ150" s="161">
        <f t="shared" si="106"/>
        <v>0</v>
      </c>
      <c r="DR150" s="161">
        <f t="shared" si="107"/>
        <v>0</v>
      </c>
      <c r="DS150" s="161">
        <f t="shared" si="108"/>
        <v>0</v>
      </c>
      <c r="DT150" s="161">
        <f t="shared" si="109"/>
        <v>0</v>
      </c>
      <c r="DU150" s="161">
        <f t="shared" si="110"/>
        <v>0</v>
      </c>
      <c r="DV150" s="161">
        <f t="shared" si="111"/>
        <v>0</v>
      </c>
      <c r="DW150" s="161">
        <f t="shared" si="112"/>
        <v>0</v>
      </c>
      <c r="DX150" s="161">
        <f t="shared" si="113"/>
        <v>0</v>
      </c>
      <c r="DY150" s="161">
        <f t="shared" si="114"/>
        <v>0</v>
      </c>
      <c r="DZ150" s="161">
        <f t="shared" si="115"/>
        <v>0</v>
      </c>
      <c r="EA150" s="161">
        <f t="shared" si="116"/>
        <v>0</v>
      </c>
      <c r="EB150" s="161">
        <f t="shared" si="117"/>
        <v>0</v>
      </c>
      <c r="EC150" s="161">
        <f t="shared" si="118"/>
        <v>0</v>
      </c>
      <c r="ED150" s="161">
        <f t="shared" si="119"/>
        <v>0</v>
      </c>
      <c r="EE150" s="161">
        <f t="shared" si="120"/>
        <v>0</v>
      </c>
      <c r="EF150" s="161">
        <f t="shared" si="121"/>
        <v>0</v>
      </c>
      <c r="EG150" s="161">
        <f t="shared" si="122"/>
        <v>0</v>
      </c>
      <c r="EH150" s="161">
        <f t="shared" si="123"/>
        <v>0</v>
      </c>
      <c r="EI150" s="161">
        <f t="shared" si="124"/>
        <v>0</v>
      </c>
      <c r="EJ150" s="161">
        <f t="shared" si="125"/>
        <v>0</v>
      </c>
      <c r="EK150" s="147">
        <f t="shared" si="133"/>
        <v>0</v>
      </c>
      <c r="EL150" s="149"/>
      <c r="EN150" s="151"/>
      <c r="EO150" s="151"/>
      <c r="EP150" s="139">
        <f t="shared" si="134"/>
        <v>0</v>
      </c>
      <c r="EQ150" s="139">
        <f t="shared" si="135"/>
        <v>0</v>
      </c>
      <c r="ER150" s="139">
        <f t="shared" si="136"/>
        <v>0</v>
      </c>
      <c r="ES150" s="139">
        <f t="shared" si="137"/>
        <v>0</v>
      </c>
      <c r="ET150" s="139">
        <f t="shared" si="138"/>
        <v>0</v>
      </c>
      <c r="EU150" s="139">
        <f t="shared" si="139"/>
        <v>0</v>
      </c>
      <c r="EV150" s="139">
        <f t="shared" si="140"/>
        <v>0</v>
      </c>
      <c r="EW150" s="139">
        <f t="shared" si="141"/>
        <v>0</v>
      </c>
      <c r="EX150" s="139">
        <f t="shared" si="142"/>
        <v>0</v>
      </c>
      <c r="EY150" s="139">
        <f t="shared" si="143"/>
        <v>0</v>
      </c>
      <c r="EZ150" s="139">
        <f t="shared" si="144"/>
        <v>0</v>
      </c>
      <c r="FA150" s="139">
        <f t="shared" si="145"/>
        <v>0</v>
      </c>
      <c r="FB150" s="139">
        <f t="shared" si="146"/>
        <v>0</v>
      </c>
      <c r="FC150" s="139">
        <f t="shared" si="147"/>
        <v>0</v>
      </c>
      <c r="FD150" s="139">
        <f t="shared" si="148"/>
        <v>0</v>
      </c>
      <c r="FE150" s="139">
        <f t="shared" si="149"/>
        <v>0</v>
      </c>
      <c r="FF150" s="139">
        <f t="shared" si="150"/>
        <v>0</v>
      </c>
      <c r="FG150" s="139">
        <f t="shared" si="151"/>
        <v>0</v>
      </c>
      <c r="FH150" s="139">
        <f t="shared" si="152"/>
        <v>0</v>
      </c>
      <c r="FI150" s="139">
        <f t="shared" si="153"/>
        <v>0</v>
      </c>
      <c r="FJ150" s="139">
        <f t="shared" si="154"/>
        <v>0</v>
      </c>
      <c r="FK150" s="139">
        <f t="shared" si="155"/>
        <v>0</v>
      </c>
      <c r="FL150" s="139">
        <f t="shared" si="156"/>
        <v>0</v>
      </c>
      <c r="FM150" s="139">
        <f t="shared" si="157"/>
        <v>0</v>
      </c>
      <c r="FN150" s="139">
        <f t="shared" si="158"/>
        <v>0</v>
      </c>
      <c r="FO150" s="139">
        <f t="shared" si="159"/>
        <v>0</v>
      </c>
      <c r="FP150" s="139">
        <f t="shared" si="160"/>
        <v>0</v>
      </c>
      <c r="FQ150" s="139">
        <f t="shared" si="161"/>
        <v>0</v>
      </c>
      <c r="FR150" s="139">
        <f t="shared" si="162"/>
        <v>0</v>
      </c>
      <c r="FS150" s="139">
        <f t="shared" si="163"/>
        <v>0</v>
      </c>
      <c r="FT150" s="139">
        <f t="shared" si="164"/>
        <v>0</v>
      </c>
      <c r="FU150" s="148">
        <f t="shared" si="165"/>
        <v>0</v>
      </c>
      <c r="FV150" s="149"/>
      <c r="FY150" s="211">
        <v>145</v>
      </c>
      <c r="FZ150">
        <v>1.0483436101813628</v>
      </c>
      <c r="GA150">
        <v>0.38735017759921181</v>
      </c>
      <c r="GB150">
        <v>0.15840797322414965</v>
      </c>
      <c r="GC150">
        <v>8.8277651303840327E-2</v>
      </c>
      <c r="GD150">
        <v>0</v>
      </c>
      <c r="GE150">
        <v>0</v>
      </c>
      <c r="GF150">
        <v>0.66042100116664126</v>
      </c>
      <c r="GG150">
        <v>0.59518473501329594</v>
      </c>
      <c r="GH150">
        <v>0</v>
      </c>
      <c r="GI150">
        <v>0.32202163946975537</v>
      </c>
      <c r="GJ150"/>
      <c r="GK150">
        <v>1.0593916286070693</v>
      </c>
      <c r="GL150">
        <v>0.33331521555783822</v>
      </c>
      <c r="GM150">
        <v>0.26183540241601705</v>
      </c>
      <c r="GN150">
        <v>0.26183540241601705</v>
      </c>
      <c r="GO150">
        <v>0</v>
      </c>
      <c r="GP150">
        <v>0</v>
      </c>
      <c r="GQ150">
        <v>0.90739586192571098</v>
      </c>
      <c r="GR150">
        <v>0.90739586192571098</v>
      </c>
      <c r="GS150">
        <v>0</v>
      </c>
      <c r="GT150">
        <v>0.44572457858975945</v>
      </c>
      <c r="GU150"/>
      <c r="GV150"/>
      <c r="GW150"/>
      <c r="GX150"/>
      <c r="GY150"/>
      <c r="GZ150"/>
      <c r="HA150"/>
      <c r="HB150"/>
      <c r="HC150"/>
    </row>
    <row r="151" spans="1:211" s="7" customFormat="1">
      <c r="A151" s="77"/>
      <c r="B151" s="76">
        <f t="shared" ca="1" si="132"/>
        <v>0.41431277756871321</v>
      </c>
      <c r="C151">
        <v>6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1.8552083333333329</v>
      </c>
      <c r="AO151">
        <v>0.29302381768273084</v>
      </c>
      <c r="AP151">
        <v>4.1256243249652105</v>
      </c>
      <c r="AQ151">
        <v>2.7014206559455198</v>
      </c>
      <c r="AR151">
        <v>0.32566857834033036</v>
      </c>
      <c r="AS151">
        <v>1.783835223892964</v>
      </c>
      <c r="AT151" t="e">
        <v>#DIV/0!</v>
      </c>
      <c r="AU151" t="e">
        <v>#DIV/0!</v>
      </c>
      <c r="AV151"/>
      <c r="AW151"/>
      <c r="AX151" s="151"/>
      <c r="AY151" s="76">
        <f t="shared" ca="1" si="88"/>
        <v>0.98670898950620223</v>
      </c>
      <c r="AZ151">
        <v>4</v>
      </c>
      <c r="BA151" s="129">
        <f t="shared" si="171"/>
        <v>39847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 s="147"/>
      <c r="CH151" s="176"/>
      <c r="CJ151" s="151"/>
      <c r="CK151" s="76">
        <f t="shared" ca="1" si="90"/>
        <v>6.0770444536157209E-2</v>
      </c>
      <c r="CL151" s="179">
        <f t="shared" si="91"/>
        <v>4</v>
      </c>
      <c r="CM151" s="180">
        <f t="shared" si="92"/>
        <v>39847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 s="160"/>
      <c r="CW151">
        <v>1</v>
      </c>
      <c r="CX151">
        <v>1</v>
      </c>
      <c r="CY151" s="160"/>
      <c r="CZ151" s="177">
        <f t="shared" si="93"/>
        <v>9.6000000000000002E-2</v>
      </c>
      <c r="DB151" s="151"/>
      <c r="DC151" s="76">
        <f t="shared" ca="1" si="51"/>
        <v>1.989287142306706E-2</v>
      </c>
      <c r="DD151">
        <f t="shared" si="94"/>
        <v>4</v>
      </c>
      <c r="DE151" s="129">
        <f t="shared" si="170"/>
        <v>39847</v>
      </c>
      <c r="DF151" s="161">
        <f t="shared" si="95"/>
        <v>0</v>
      </c>
      <c r="DG151" s="161">
        <f t="shared" si="96"/>
        <v>0</v>
      </c>
      <c r="DH151" s="161">
        <f t="shared" si="97"/>
        <v>0</v>
      </c>
      <c r="DI151" s="161">
        <f t="shared" si="98"/>
        <v>0</v>
      </c>
      <c r="DJ151" s="161">
        <f t="shared" si="99"/>
        <v>0</v>
      </c>
      <c r="DK151" s="161">
        <f t="shared" si="100"/>
        <v>0</v>
      </c>
      <c r="DL151" s="161">
        <f t="shared" si="101"/>
        <v>0</v>
      </c>
      <c r="DM151" s="161">
        <f t="shared" si="102"/>
        <v>0</v>
      </c>
      <c r="DN151" s="161">
        <f t="shared" si="103"/>
        <v>0</v>
      </c>
      <c r="DO151" s="161">
        <f t="shared" si="104"/>
        <v>0</v>
      </c>
      <c r="DP151" s="161">
        <f t="shared" si="105"/>
        <v>0</v>
      </c>
      <c r="DQ151" s="161">
        <f t="shared" si="106"/>
        <v>0</v>
      </c>
      <c r="DR151" s="161">
        <f t="shared" si="107"/>
        <v>0</v>
      </c>
      <c r="DS151" s="161">
        <f t="shared" si="108"/>
        <v>0</v>
      </c>
      <c r="DT151" s="161">
        <f t="shared" si="109"/>
        <v>0</v>
      </c>
      <c r="DU151" s="161">
        <f t="shared" si="110"/>
        <v>0</v>
      </c>
      <c r="DV151" s="161">
        <f t="shared" si="111"/>
        <v>0</v>
      </c>
      <c r="DW151" s="161">
        <f t="shared" si="112"/>
        <v>0</v>
      </c>
      <c r="DX151" s="161">
        <f t="shared" si="113"/>
        <v>0</v>
      </c>
      <c r="DY151" s="161">
        <f t="shared" si="114"/>
        <v>0</v>
      </c>
      <c r="DZ151" s="161">
        <f t="shared" si="115"/>
        <v>0</v>
      </c>
      <c r="EA151" s="161">
        <f t="shared" si="116"/>
        <v>0</v>
      </c>
      <c r="EB151" s="161">
        <f t="shared" si="117"/>
        <v>0</v>
      </c>
      <c r="EC151" s="161">
        <f t="shared" si="118"/>
        <v>0</v>
      </c>
      <c r="ED151" s="161">
        <f t="shared" si="119"/>
        <v>0</v>
      </c>
      <c r="EE151" s="161">
        <f t="shared" si="120"/>
        <v>0</v>
      </c>
      <c r="EF151" s="161">
        <f t="shared" si="121"/>
        <v>0</v>
      </c>
      <c r="EG151" s="161">
        <f t="shared" si="122"/>
        <v>0</v>
      </c>
      <c r="EH151" s="161">
        <f t="shared" si="123"/>
        <v>0</v>
      </c>
      <c r="EI151" s="161">
        <f t="shared" si="124"/>
        <v>0</v>
      </c>
      <c r="EJ151" s="161">
        <f t="shared" si="125"/>
        <v>0</v>
      </c>
      <c r="EK151" s="147">
        <f t="shared" si="133"/>
        <v>0</v>
      </c>
      <c r="EL151" s="149"/>
      <c r="EN151" s="151"/>
      <c r="EO151" s="151"/>
      <c r="EP151" s="139">
        <f t="shared" si="134"/>
        <v>0</v>
      </c>
      <c r="EQ151" s="139">
        <f t="shared" si="135"/>
        <v>0</v>
      </c>
      <c r="ER151" s="139">
        <f t="shared" si="136"/>
        <v>0</v>
      </c>
      <c r="ES151" s="139">
        <f t="shared" si="137"/>
        <v>0</v>
      </c>
      <c r="ET151" s="139">
        <f t="shared" si="138"/>
        <v>0</v>
      </c>
      <c r="EU151" s="139">
        <f t="shared" si="139"/>
        <v>0</v>
      </c>
      <c r="EV151" s="139">
        <f t="shared" si="140"/>
        <v>0</v>
      </c>
      <c r="EW151" s="139">
        <f t="shared" si="141"/>
        <v>0</v>
      </c>
      <c r="EX151" s="139">
        <f t="shared" si="142"/>
        <v>0</v>
      </c>
      <c r="EY151" s="139">
        <f t="shared" si="143"/>
        <v>0</v>
      </c>
      <c r="EZ151" s="139">
        <f t="shared" si="144"/>
        <v>0</v>
      </c>
      <c r="FA151" s="139">
        <f t="shared" si="145"/>
        <v>0</v>
      </c>
      <c r="FB151" s="139">
        <f t="shared" si="146"/>
        <v>0</v>
      </c>
      <c r="FC151" s="139">
        <f t="shared" si="147"/>
        <v>0</v>
      </c>
      <c r="FD151" s="139">
        <f t="shared" si="148"/>
        <v>0</v>
      </c>
      <c r="FE151" s="139">
        <f t="shared" si="149"/>
        <v>0</v>
      </c>
      <c r="FF151" s="139">
        <f t="shared" si="150"/>
        <v>0</v>
      </c>
      <c r="FG151" s="139">
        <f t="shared" si="151"/>
        <v>0</v>
      </c>
      <c r="FH151" s="139">
        <f t="shared" si="152"/>
        <v>0</v>
      </c>
      <c r="FI151" s="139">
        <f t="shared" si="153"/>
        <v>0</v>
      </c>
      <c r="FJ151" s="139">
        <f t="shared" si="154"/>
        <v>0</v>
      </c>
      <c r="FK151" s="139">
        <f t="shared" si="155"/>
        <v>0</v>
      </c>
      <c r="FL151" s="139">
        <f t="shared" si="156"/>
        <v>0</v>
      </c>
      <c r="FM151" s="139">
        <f t="shared" si="157"/>
        <v>0</v>
      </c>
      <c r="FN151" s="139">
        <f t="shared" si="158"/>
        <v>0</v>
      </c>
      <c r="FO151" s="139">
        <f t="shared" si="159"/>
        <v>0</v>
      </c>
      <c r="FP151" s="139">
        <f t="shared" si="160"/>
        <v>0</v>
      </c>
      <c r="FQ151" s="139">
        <f t="shared" si="161"/>
        <v>0</v>
      </c>
      <c r="FR151" s="139">
        <f t="shared" si="162"/>
        <v>0</v>
      </c>
      <c r="FS151" s="139">
        <f t="shared" si="163"/>
        <v>0</v>
      </c>
      <c r="FT151" s="139">
        <f t="shared" si="164"/>
        <v>0</v>
      </c>
      <c r="FU151" s="148">
        <f t="shared" si="165"/>
        <v>0</v>
      </c>
      <c r="FV151" s="149"/>
      <c r="FY151" s="211">
        <v>146</v>
      </c>
      <c r="FZ151">
        <v>1.2803168063381545</v>
      </c>
      <c r="GA151">
        <v>0.47460065171768845</v>
      </c>
      <c r="GB151">
        <v>0.12565184548559416</v>
      </c>
      <c r="GC151">
        <v>0.10445782487688358</v>
      </c>
      <c r="GD151">
        <v>2.6724553773673727E-2</v>
      </c>
      <c r="GE151">
        <v>0</v>
      </c>
      <c r="GF151">
        <v>0.33021050058332063</v>
      </c>
      <c r="GG151">
        <v>0.29759236750664797</v>
      </c>
      <c r="GH151">
        <v>0</v>
      </c>
      <c r="GI151">
        <v>0.29998211247129936</v>
      </c>
      <c r="GJ151"/>
      <c r="GK151">
        <v>1.2884699016363741</v>
      </c>
      <c r="GL151">
        <v>0.40705572478708768</v>
      </c>
      <c r="GM151">
        <v>0.20987613046478273</v>
      </c>
      <c r="GN151">
        <v>0.31481419569717412</v>
      </c>
      <c r="GO151">
        <v>0.10493806523239137</v>
      </c>
      <c r="GP151">
        <v>0</v>
      </c>
      <c r="GQ151">
        <v>0.45369793096285549</v>
      </c>
      <c r="GR151">
        <v>0.45369793096285549</v>
      </c>
      <c r="GS151">
        <v>0</v>
      </c>
      <c r="GT151">
        <v>0.41139640565928076</v>
      </c>
      <c r="GU151"/>
      <c r="GV151"/>
      <c r="GW151"/>
      <c r="GX151"/>
      <c r="GY151"/>
      <c r="GZ151"/>
      <c r="HA151"/>
      <c r="HB151"/>
      <c r="HC151"/>
    </row>
    <row r="152" spans="1:211" s="7" customFormat="1">
      <c r="A152" s="77"/>
      <c r="B152" s="76">
        <f t="shared" ref="B152:B183" ca="1" si="172">IF(C152="", "", RAND())</f>
        <v>0.85729362885297333</v>
      </c>
      <c r="C152">
        <v>9</v>
      </c>
      <c r="D152">
        <v>39847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2.0552083333333329</v>
      </c>
      <c r="AO152">
        <v>0.37384456272774547</v>
      </c>
      <c r="AP152">
        <v>8.8501006989723425</v>
      </c>
      <c r="AQ152">
        <v>2.8242489434487195</v>
      </c>
      <c r="AR152">
        <v>0.40532667910372161</v>
      </c>
      <c r="AS152">
        <v>2.1137263021318269</v>
      </c>
      <c r="AT152" t="e">
        <v>#DIV/0!</v>
      </c>
      <c r="AU152" t="e">
        <v>#DIV/0!</v>
      </c>
      <c r="AV152"/>
      <c r="AW152"/>
      <c r="AX152" s="151"/>
      <c r="AY152" s="76">
        <f t="shared" ref="AY152:AY207" ca="1" si="173">IF(AZ152="", "", RAND())</f>
        <v>0.81573321928396769</v>
      </c>
      <c r="AZ152">
        <v>5</v>
      </c>
      <c r="BA152" s="129">
        <f t="shared" si="171"/>
        <v>39847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 s="147"/>
      <c r="CH152" s="176"/>
      <c r="CJ152" s="151"/>
      <c r="CK152" s="76">
        <f t="shared" ca="1" si="90"/>
        <v>0.50208241897398076</v>
      </c>
      <c r="CL152" s="179">
        <f t="shared" si="91"/>
        <v>5</v>
      </c>
      <c r="CM152" s="180">
        <f t="shared" si="92"/>
        <v>39847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 s="160"/>
      <c r="CW152">
        <v>1</v>
      </c>
      <c r="CX152">
        <v>1</v>
      </c>
      <c r="CY152" s="160"/>
      <c r="CZ152" s="177">
        <f t="shared" si="93"/>
        <v>9.6000000000000002E-2</v>
      </c>
      <c r="DB152" s="151"/>
      <c r="DC152" s="76">
        <f t="shared" ref="DC152:DC207" ca="1" si="174">IF(DD152="", "", RAND())</f>
        <v>0.68753921761925807</v>
      </c>
      <c r="DD152">
        <f t="shared" si="94"/>
        <v>5</v>
      </c>
      <c r="DE152" s="129">
        <f t="shared" si="170"/>
        <v>39847</v>
      </c>
      <c r="DF152" s="161">
        <f t="shared" si="95"/>
        <v>0</v>
      </c>
      <c r="DG152" s="161">
        <f t="shared" si="96"/>
        <v>0</v>
      </c>
      <c r="DH152" s="161">
        <f t="shared" si="97"/>
        <v>0</v>
      </c>
      <c r="DI152" s="161">
        <f t="shared" si="98"/>
        <v>0</v>
      </c>
      <c r="DJ152" s="161">
        <f t="shared" si="99"/>
        <v>0</v>
      </c>
      <c r="DK152" s="161">
        <f t="shared" si="100"/>
        <v>0</v>
      </c>
      <c r="DL152" s="161">
        <f t="shared" si="101"/>
        <v>0</v>
      </c>
      <c r="DM152" s="161">
        <f t="shared" si="102"/>
        <v>0</v>
      </c>
      <c r="DN152" s="161">
        <f t="shared" si="103"/>
        <v>0</v>
      </c>
      <c r="DO152" s="161">
        <f t="shared" si="104"/>
        <v>0</v>
      </c>
      <c r="DP152" s="161">
        <f t="shared" si="105"/>
        <v>0</v>
      </c>
      <c r="DQ152" s="161">
        <f t="shared" si="106"/>
        <v>0</v>
      </c>
      <c r="DR152" s="161">
        <f t="shared" si="107"/>
        <v>0</v>
      </c>
      <c r="DS152" s="161">
        <f t="shared" si="108"/>
        <v>0</v>
      </c>
      <c r="DT152" s="161">
        <f t="shared" si="109"/>
        <v>0</v>
      </c>
      <c r="DU152" s="161">
        <f t="shared" si="110"/>
        <v>0</v>
      </c>
      <c r="DV152" s="161">
        <f t="shared" si="111"/>
        <v>0</v>
      </c>
      <c r="DW152" s="161">
        <f t="shared" si="112"/>
        <v>0</v>
      </c>
      <c r="DX152" s="161">
        <f t="shared" si="113"/>
        <v>0</v>
      </c>
      <c r="DY152" s="161">
        <f t="shared" si="114"/>
        <v>0</v>
      </c>
      <c r="DZ152" s="161">
        <f t="shared" si="115"/>
        <v>0</v>
      </c>
      <c r="EA152" s="161">
        <f t="shared" si="116"/>
        <v>0</v>
      </c>
      <c r="EB152" s="161">
        <f t="shared" si="117"/>
        <v>0</v>
      </c>
      <c r="EC152" s="161">
        <f t="shared" si="118"/>
        <v>0</v>
      </c>
      <c r="ED152" s="161">
        <f t="shared" si="119"/>
        <v>0</v>
      </c>
      <c r="EE152" s="161">
        <f t="shared" si="120"/>
        <v>0</v>
      </c>
      <c r="EF152" s="161">
        <f t="shared" si="121"/>
        <v>0</v>
      </c>
      <c r="EG152" s="161">
        <f t="shared" si="122"/>
        <v>0</v>
      </c>
      <c r="EH152" s="161">
        <f t="shared" si="123"/>
        <v>0</v>
      </c>
      <c r="EI152" s="161">
        <f t="shared" si="124"/>
        <v>0</v>
      </c>
      <c r="EJ152" s="161">
        <f t="shared" si="125"/>
        <v>0</v>
      </c>
      <c r="EK152" s="147">
        <f t="shared" ref="EK152:EK183" si="175">IF(DF152="", "", SUM(DF152:EJ152))</f>
        <v>0</v>
      </c>
      <c r="EL152" s="149"/>
      <c r="EN152" s="151"/>
      <c r="EO152" s="151"/>
      <c r="EP152" s="139">
        <f t="shared" ref="EP152:EP183" si="176">IF(DF152="", "", DF152*G$36)</f>
        <v>0</v>
      </c>
      <c r="EQ152" s="139">
        <f t="shared" ref="EQ152:EQ183" si="177">IF(DG152="", "", DG152*H$36)</f>
        <v>0</v>
      </c>
      <c r="ER152" s="139">
        <f t="shared" ref="ER152:ER183" si="178">IF(DH152="", "", DH152*I$36)</f>
        <v>0</v>
      </c>
      <c r="ES152" s="139">
        <f t="shared" ref="ES152:ES183" si="179">IF(DI152="", "", DI152*J$36)</f>
        <v>0</v>
      </c>
      <c r="ET152" s="139">
        <f t="shared" ref="ET152:ET183" si="180">IF(DJ152="", "", DJ152*K$36)</f>
        <v>0</v>
      </c>
      <c r="EU152" s="139">
        <f t="shared" ref="EU152:EU183" si="181">IF(DK152="", "", DK152*L$36)</f>
        <v>0</v>
      </c>
      <c r="EV152" s="139">
        <f t="shared" ref="EV152:EV183" si="182">IF(DL152="", "", DL152*M$36)</f>
        <v>0</v>
      </c>
      <c r="EW152" s="139">
        <f t="shared" ref="EW152:EW183" si="183">IF(DM152="", "", DM152*N$36)</f>
        <v>0</v>
      </c>
      <c r="EX152" s="139">
        <f t="shared" ref="EX152:EX183" si="184">IF(DN152="", "", DN152*O$36)</f>
        <v>0</v>
      </c>
      <c r="EY152" s="139">
        <f t="shared" ref="EY152:EY183" si="185">IF(DO152="", "", DO152*P$36)</f>
        <v>0</v>
      </c>
      <c r="EZ152" s="139">
        <f t="shared" ref="EZ152:EZ183" si="186">IF(DP152="", "", DP152*Q$36)</f>
        <v>0</v>
      </c>
      <c r="FA152" s="139">
        <f t="shared" ref="FA152:FA183" si="187">IF(DQ152="", "", DQ152*R$36)</f>
        <v>0</v>
      </c>
      <c r="FB152" s="139">
        <f t="shared" ref="FB152:FB183" si="188">IF(DR152="", "", DR152*S$36)</f>
        <v>0</v>
      </c>
      <c r="FC152" s="139">
        <f t="shared" ref="FC152:FC183" si="189">IF(DS152="", "", DS152*T$36)</f>
        <v>0</v>
      </c>
      <c r="FD152" s="139">
        <f t="shared" ref="FD152:FD183" si="190">IF(DT152="", "", DT152*U$36)</f>
        <v>0</v>
      </c>
      <c r="FE152" s="139">
        <f t="shared" ref="FE152:FE183" si="191">IF(DU152="", "", DU152*V$36)</f>
        <v>0</v>
      </c>
      <c r="FF152" s="139">
        <f t="shared" ref="FF152:FF183" si="192">IF(DV152="", "", DV152*W$36)</f>
        <v>0</v>
      </c>
      <c r="FG152" s="139">
        <f t="shared" ref="FG152:FG183" si="193">IF(DW152="", "", DW152*X$36)</f>
        <v>0</v>
      </c>
      <c r="FH152" s="139">
        <f t="shared" ref="FH152:FH183" si="194">IF(DX152="", "", DX152*Y$36)</f>
        <v>0</v>
      </c>
      <c r="FI152" s="139">
        <f t="shared" ref="FI152:FI183" si="195">IF(DY152="", "", DY152*Z$36)</f>
        <v>0</v>
      </c>
      <c r="FJ152" s="139">
        <f t="shared" ref="FJ152:FJ183" si="196">IF(DZ152="", "", DZ152*AA$36)</f>
        <v>0</v>
      </c>
      <c r="FK152" s="139">
        <f t="shared" ref="FK152:FK183" si="197">IF(EA152="", "", EA152*AB$36)</f>
        <v>0</v>
      </c>
      <c r="FL152" s="139">
        <f t="shared" ref="FL152:FL183" si="198">IF(EB152="", "", EB152*AC$36)</f>
        <v>0</v>
      </c>
      <c r="FM152" s="139">
        <f t="shared" ref="FM152:FM183" si="199">IF(EC152="", "", EC152*AD$36)</f>
        <v>0</v>
      </c>
      <c r="FN152" s="139">
        <f t="shared" ref="FN152:FN183" si="200">IF(ED152="", "", ED152*AE$36)</f>
        <v>0</v>
      </c>
      <c r="FO152" s="139">
        <f t="shared" ref="FO152:FO183" si="201">IF(EE152="", "", EE152*AF$36)</f>
        <v>0</v>
      </c>
      <c r="FP152" s="139">
        <f t="shared" ref="FP152:FP183" si="202">IF(EF152="", "", EF152*AG$36)</f>
        <v>0</v>
      </c>
      <c r="FQ152" s="139">
        <f t="shared" ref="FQ152:FQ183" si="203">IF(EG152="", "", EG152*AH$36)</f>
        <v>0</v>
      </c>
      <c r="FR152" s="139">
        <f t="shared" ref="FR152:FR183" si="204">IF(EH152="", "", EH152*AI$36)</f>
        <v>0</v>
      </c>
      <c r="FS152" s="139">
        <f t="shared" ref="FS152:FS183" si="205">IF(EI152="", "", EI152*AJ$36)</f>
        <v>0</v>
      </c>
      <c r="FT152" s="139">
        <f t="shared" ref="FT152:FT183" si="206">IF(EJ152="", "", EJ152*AK$36)</f>
        <v>0</v>
      </c>
      <c r="FU152" s="148">
        <f t="shared" ref="FU152:FU183" si="207">IF(EP152="","",SUM(EP152:FT152))</f>
        <v>0</v>
      </c>
      <c r="FV152" s="149"/>
      <c r="FY152" s="211">
        <v>147</v>
      </c>
      <c r="FZ152">
        <v>1.7764047661150077</v>
      </c>
      <c r="GA152">
        <v>1.2493010069161121</v>
      </c>
      <c r="GB152">
        <v>0.14202990935487192</v>
      </c>
      <c r="GC152">
        <v>0.11377737556984255</v>
      </c>
      <c r="GD152">
        <v>2.6724553773673727E-2</v>
      </c>
      <c r="GE152">
        <v>0</v>
      </c>
      <c r="GF152">
        <v>0.66042100116664126</v>
      </c>
      <c r="GG152">
        <v>0.59518473501329594</v>
      </c>
      <c r="GH152">
        <v>0</v>
      </c>
      <c r="GI152">
        <v>0.44126187009141798</v>
      </c>
      <c r="GJ152"/>
      <c r="GK152">
        <v>1.7938339987662462</v>
      </c>
      <c r="GL152">
        <v>1.073686155902764</v>
      </c>
      <c r="GM152">
        <v>0.23585576644039991</v>
      </c>
      <c r="GN152">
        <v>0.34079383167279126</v>
      </c>
      <c r="GO152">
        <v>0.10493806523239137</v>
      </c>
      <c r="GP152">
        <v>0</v>
      </c>
      <c r="GQ152">
        <v>0.90739586192571098</v>
      </c>
      <c r="GR152">
        <v>0.90739586192571098</v>
      </c>
      <c r="GS152">
        <v>0</v>
      </c>
      <c r="GT152">
        <v>0.60840473847294974</v>
      </c>
      <c r="GU152"/>
      <c r="GV152"/>
      <c r="GW152"/>
      <c r="GX152"/>
      <c r="GY152"/>
      <c r="GZ152"/>
      <c r="HA152"/>
      <c r="HB152"/>
      <c r="HC152"/>
    </row>
    <row r="153" spans="1:211" s="7" customFormat="1">
      <c r="A153" s="77"/>
      <c r="B153" s="76">
        <f t="shared" ca="1" si="172"/>
        <v>0.92056656878074827</v>
      </c>
      <c r="C153">
        <v>5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3.2020833333333329</v>
      </c>
      <c r="AO153">
        <v>0.36725014901809033</v>
      </c>
      <c r="AP153">
        <v>4.7408730912050521</v>
      </c>
      <c r="AQ153">
        <v>3.4677406166134461</v>
      </c>
      <c r="AR153">
        <v>0.39815653396889272</v>
      </c>
      <c r="AS153">
        <v>2.2016465538140877</v>
      </c>
      <c r="AT153" t="e">
        <v>#DIV/0!</v>
      </c>
      <c r="AU153" t="e">
        <v>#DIV/0!</v>
      </c>
      <c r="AV153"/>
      <c r="AW153"/>
      <c r="AX153" s="151"/>
      <c r="AY153" s="76">
        <f t="shared" ca="1" si="173"/>
        <v>0.45080309018065368</v>
      </c>
      <c r="AZ153">
        <v>6</v>
      </c>
      <c r="BA153" s="129">
        <f t="shared" si="171"/>
        <v>39847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 s="147"/>
      <c r="CH153" s="176"/>
      <c r="CJ153" s="151"/>
      <c r="CK153" s="76">
        <f t="shared" ref="CK153:CK207" ca="1" si="208">IF(AZ153="", "", RAND())</f>
        <v>0.61930695897578647</v>
      </c>
      <c r="CL153" s="179">
        <f t="shared" ref="CL153:CL207" si="209">IF(AZ153="", "", AZ153)</f>
        <v>6</v>
      </c>
      <c r="CM153" s="180">
        <f t="shared" ref="CM153:CM207" si="210">IF(AZ153="", "", BA153)</f>
        <v>39847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 s="160"/>
      <c r="CW153">
        <v>1</v>
      </c>
      <c r="CX153">
        <v>1</v>
      </c>
      <c r="CY153" s="160"/>
      <c r="CZ153" s="177">
        <f t="shared" ref="CZ153:CZ207" si="211">IF(AZ153="", "", $G$15)</f>
        <v>9.6000000000000002E-2</v>
      </c>
      <c r="DB153" s="151"/>
      <c r="DC153" s="76">
        <f t="shared" ca="1" si="174"/>
        <v>0.50763753702941194</v>
      </c>
      <c r="DD153">
        <f t="shared" ref="DD153:DD207" si="212">IF(AZ153="", "", AZ153)</f>
        <v>6</v>
      </c>
      <c r="DE153" s="129">
        <f t="shared" si="170"/>
        <v>39847</v>
      </c>
      <c r="DF153" s="161">
        <f t="shared" ref="DF153:DF187" si="213">IF($AZ153="", "", ((BB153*$CW153)+(CN153*$CX153))/$CZ153)</f>
        <v>0</v>
      </c>
      <c r="DG153" s="161">
        <f t="shared" ref="DG153:DG187" si="214">IF($AZ153="", "", ((BC153*$CW153)+(CO153*$CX153))/$CZ153)</f>
        <v>0</v>
      </c>
      <c r="DH153" s="161">
        <f t="shared" ref="DH153:DH187" si="215">IF($AZ153="", "", ((BD153*$CW153)+(CP153*$CX153))/$CZ153)</f>
        <v>0</v>
      </c>
      <c r="DI153" s="161">
        <f t="shared" ref="DI153:DI187" si="216">IF($AZ153="", "", ((BE153*$CW153)+(CQ153*$CX153))/$CZ153)</f>
        <v>0</v>
      </c>
      <c r="DJ153" s="161">
        <f t="shared" ref="DJ153:DJ187" si="217">IF($AZ153="", "", ((BF153*$CW153)+(CR153*$CX153))/$CZ153)</f>
        <v>0</v>
      </c>
      <c r="DK153" s="161">
        <f t="shared" ref="DK153:DK187" si="218">IF($AZ153="", "", ((BG153*$CW153)+(CS153*$CX153))/$CZ153)</f>
        <v>0</v>
      </c>
      <c r="DL153" s="161">
        <f t="shared" ref="DL153:DL187" si="219">IF($AZ153="", "", ((BH153*$CW153)+(CT153*$CX153))/$CZ153)</f>
        <v>0</v>
      </c>
      <c r="DM153" s="161">
        <f t="shared" ref="DM153:DM187" si="220">IF($AZ153="", "", ((BI153*$CW153)+(CU153*$CX153))/$CZ153)</f>
        <v>0</v>
      </c>
      <c r="DN153" s="161">
        <f t="shared" ref="DN153:DN187" si="221">IF($AZ153="", "", (BJ153*$CW153)/$CZ153)</f>
        <v>0</v>
      </c>
      <c r="DO153" s="161">
        <f t="shared" ref="DO153:DO187" si="222">IF($AZ153="", "", (BK153*$CW153)/$CZ153)</f>
        <v>0</v>
      </c>
      <c r="DP153" s="161">
        <f t="shared" ref="DP153:DP187" si="223">IF($AZ153="", "", (BL153*$CW153)/$CZ153)</f>
        <v>0</v>
      </c>
      <c r="DQ153" s="161">
        <f t="shared" ref="DQ153:DQ187" si="224">IF($AZ153="", "", (BM153*$CW153)/$CZ153)</f>
        <v>0</v>
      </c>
      <c r="DR153" s="161">
        <f t="shared" ref="DR153:DR187" si="225">IF($AZ153="", "", (BN153*$CW153)/$CZ153)</f>
        <v>0</v>
      </c>
      <c r="DS153" s="161">
        <f t="shared" ref="DS153:DS187" si="226">IF($AZ153="", "", (BO153*$CW153)/$CZ153)</f>
        <v>0</v>
      </c>
      <c r="DT153" s="161">
        <f t="shared" ref="DT153:DT187" si="227">IF($AZ153="", "", (BP153*$CW153)/$CZ153)</f>
        <v>0</v>
      </c>
      <c r="DU153" s="161">
        <f t="shared" ref="DU153:DU187" si="228">IF($AZ153="", "", (BQ153*$CW153)/$CZ153)</f>
        <v>0</v>
      </c>
      <c r="DV153" s="161">
        <f t="shared" ref="DV153:DV187" si="229">IF($AZ153="", "", (BR153*$CW153)/$CZ153)</f>
        <v>0</v>
      </c>
      <c r="DW153" s="161">
        <f t="shared" ref="DW153:DW187" si="230">IF($AZ153="", "", (BS153*$CW153)/$CZ153)</f>
        <v>0</v>
      </c>
      <c r="DX153" s="161">
        <f t="shared" ref="DX153:DX187" si="231">IF($AZ153="", "", (BT153*$CW153)/$CZ153)</f>
        <v>0</v>
      </c>
      <c r="DY153" s="161">
        <f t="shared" ref="DY153:DY187" si="232">IF($AZ153="", "", (BU153*$CW153)/$CZ153)</f>
        <v>0</v>
      </c>
      <c r="DZ153" s="161">
        <f t="shared" ref="DZ153:DZ187" si="233">IF($AZ153="", "", (BV153*$CW153)/$CZ153)</f>
        <v>0</v>
      </c>
      <c r="EA153" s="161">
        <f t="shared" ref="EA153:EA187" si="234">IF($AZ153="", "", (BW153*$CW153)/$CZ153)</f>
        <v>0</v>
      </c>
      <c r="EB153" s="161">
        <f t="shared" ref="EB153:EB187" si="235">IF($AZ153="", "", (BX153*$CW153)/$CZ153)</f>
        <v>0</v>
      </c>
      <c r="EC153" s="161">
        <f t="shared" ref="EC153:EC187" si="236">IF($AZ153="", "", (BY153*$CW153)/$CZ153)</f>
        <v>0</v>
      </c>
      <c r="ED153" s="161">
        <f t="shared" ref="ED153:ED187" si="237">IF($AZ153="", "", (BZ153*$CW153)/$CZ153)</f>
        <v>0</v>
      </c>
      <c r="EE153" s="161">
        <f t="shared" ref="EE153:EE187" si="238">IF($AZ153="", "", (CA153*$CW153)/$CZ153)</f>
        <v>0</v>
      </c>
      <c r="EF153" s="161">
        <f t="shared" ref="EF153:EF187" si="239">IF($AZ153="", "", (CB153*$CW153)/$CZ153)</f>
        <v>0</v>
      </c>
      <c r="EG153" s="161">
        <f t="shared" ref="EG153:EG187" si="240">IF($AZ153="", "", (CC153*$CW153)/$CZ153)</f>
        <v>0</v>
      </c>
      <c r="EH153" s="161">
        <f t="shared" ref="EH153:EH187" si="241">IF($AZ153="", "", (CD153*$CW153)/$CZ153)</f>
        <v>0</v>
      </c>
      <c r="EI153" s="161">
        <f t="shared" ref="EI153:EI187" si="242">IF($AZ153="", "", (CE153*$CW153)/$CZ153)</f>
        <v>0</v>
      </c>
      <c r="EJ153" s="161">
        <f t="shared" ref="EJ153:EJ187" si="243">IF($AZ153="", "", (CF153*$CW153)/$CZ153)</f>
        <v>0</v>
      </c>
      <c r="EK153" s="147">
        <f t="shared" si="175"/>
        <v>0</v>
      </c>
      <c r="EL153" s="149"/>
      <c r="EN153" s="151"/>
      <c r="EO153" s="151"/>
      <c r="EP153" s="139">
        <f t="shared" si="176"/>
        <v>0</v>
      </c>
      <c r="EQ153" s="139">
        <f t="shared" si="177"/>
        <v>0</v>
      </c>
      <c r="ER153" s="139">
        <f t="shared" si="178"/>
        <v>0</v>
      </c>
      <c r="ES153" s="139">
        <f t="shared" si="179"/>
        <v>0</v>
      </c>
      <c r="ET153" s="139">
        <f t="shared" si="180"/>
        <v>0</v>
      </c>
      <c r="EU153" s="139">
        <f t="shared" si="181"/>
        <v>0</v>
      </c>
      <c r="EV153" s="139">
        <f t="shared" si="182"/>
        <v>0</v>
      </c>
      <c r="EW153" s="139">
        <f t="shared" si="183"/>
        <v>0</v>
      </c>
      <c r="EX153" s="139">
        <f t="shared" si="184"/>
        <v>0</v>
      </c>
      <c r="EY153" s="139">
        <f t="shared" si="185"/>
        <v>0</v>
      </c>
      <c r="EZ153" s="139">
        <f t="shared" si="186"/>
        <v>0</v>
      </c>
      <c r="FA153" s="139">
        <f t="shared" si="187"/>
        <v>0</v>
      </c>
      <c r="FB153" s="139">
        <f t="shared" si="188"/>
        <v>0</v>
      </c>
      <c r="FC153" s="139">
        <f t="shared" si="189"/>
        <v>0</v>
      </c>
      <c r="FD153" s="139">
        <f t="shared" si="190"/>
        <v>0</v>
      </c>
      <c r="FE153" s="139">
        <f t="shared" si="191"/>
        <v>0</v>
      </c>
      <c r="FF153" s="139">
        <f t="shared" si="192"/>
        <v>0</v>
      </c>
      <c r="FG153" s="139">
        <f t="shared" si="193"/>
        <v>0</v>
      </c>
      <c r="FH153" s="139">
        <f t="shared" si="194"/>
        <v>0</v>
      </c>
      <c r="FI153" s="139">
        <f t="shared" si="195"/>
        <v>0</v>
      </c>
      <c r="FJ153" s="139">
        <f t="shared" si="196"/>
        <v>0</v>
      </c>
      <c r="FK153" s="139">
        <f t="shared" si="197"/>
        <v>0</v>
      </c>
      <c r="FL153" s="139">
        <f t="shared" si="198"/>
        <v>0</v>
      </c>
      <c r="FM153" s="139">
        <f t="shared" si="199"/>
        <v>0</v>
      </c>
      <c r="FN153" s="139">
        <f t="shared" si="200"/>
        <v>0</v>
      </c>
      <c r="FO153" s="139">
        <f t="shared" si="201"/>
        <v>0</v>
      </c>
      <c r="FP153" s="139">
        <f t="shared" si="202"/>
        <v>0</v>
      </c>
      <c r="FQ153" s="139">
        <f t="shared" si="203"/>
        <v>0</v>
      </c>
      <c r="FR153" s="139">
        <f t="shared" si="204"/>
        <v>0</v>
      </c>
      <c r="FS153" s="139">
        <f t="shared" si="205"/>
        <v>0</v>
      </c>
      <c r="FT153" s="139">
        <f t="shared" si="206"/>
        <v>0</v>
      </c>
      <c r="FU153" s="148">
        <f t="shared" si="207"/>
        <v>0</v>
      </c>
      <c r="FV153" s="149"/>
      <c r="FY153" s="211">
        <v>148</v>
      </c>
      <c r="FZ153">
        <v>1.5371240178558458</v>
      </c>
      <c r="GA153">
        <v>0.9492013034353769</v>
      </c>
      <c r="GB153">
        <v>0.28405981870974384</v>
      </c>
      <c r="GC153">
        <v>0.1579162012217627</v>
      </c>
      <c r="GD153">
        <v>0</v>
      </c>
      <c r="GE153">
        <v>0</v>
      </c>
      <c r="GF153">
        <v>0.33021050058332063</v>
      </c>
      <c r="GG153">
        <v>0.29759236750664797</v>
      </c>
      <c r="GH153">
        <v>0</v>
      </c>
      <c r="GI153">
        <v>0.36134609616578378</v>
      </c>
      <c r="GJ153"/>
      <c r="GK153">
        <v>1.5470530096883579</v>
      </c>
      <c r="GL153">
        <v>0.81411144957417536</v>
      </c>
      <c r="GM153">
        <v>0.47171153288079981</v>
      </c>
      <c r="GN153">
        <v>0.47171153288079981</v>
      </c>
      <c r="GO153">
        <v>0</v>
      </c>
      <c r="GP153">
        <v>0</v>
      </c>
      <c r="GQ153">
        <v>0.45369793096285549</v>
      </c>
      <c r="GR153">
        <v>0.45369793096285549</v>
      </c>
      <c r="GS153">
        <v>0</v>
      </c>
      <c r="GT153">
        <v>0.49449249470640266</v>
      </c>
      <c r="GU153"/>
      <c r="GV153"/>
      <c r="GW153"/>
      <c r="GX153"/>
      <c r="GY153"/>
      <c r="GZ153"/>
      <c r="HA153"/>
      <c r="HB153"/>
      <c r="HC153"/>
    </row>
    <row r="154" spans="1:211" s="7" customFormat="1">
      <c r="A154" s="77"/>
      <c r="B154" s="76">
        <f t="shared" ca="1" si="172"/>
        <v>0.92912901636844092</v>
      </c>
      <c r="C154">
        <v>1</v>
      </c>
      <c r="D154">
        <v>39847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3.385416666666667</v>
      </c>
      <c r="AO154">
        <v>0.26579481566885926</v>
      </c>
      <c r="AP154">
        <v>6.2267032045694037</v>
      </c>
      <c r="AQ154">
        <v>1.7898938436939895</v>
      </c>
      <c r="AR154">
        <v>0.31710333068562668</v>
      </c>
      <c r="AS154">
        <v>2.2367229108292861</v>
      </c>
      <c r="AT154" t="e">
        <v>#DIV/0!</v>
      </c>
      <c r="AU154" t="e">
        <v>#DIV/0!</v>
      </c>
      <c r="AV154"/>
      <c r="AW154"/>
      <c r="AX154" s="151"/>
      <c r="AY154" s="76">
        <f t="shared" ca="1" si="173"/>
        <v>0.52163870873672402</v>
      </c>
      <c r="AZ154">
        <v>7</v>
      </c>
      <c r="BA154" s="129">
        <f t="shared" si="171"/>
        <v>39847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 s="147"/>
      <c r="CH154" s="176"/>
      <c r="CJ154" s="151"/>
      <c r="CK154" s="76">
        <f t="shared" ca="1" si="208"/>
        <v>0.7908055449118101</v>
      </c>
      <c r="CL154" s="179">
        <f t="shared" si="209"/>
        <v>7</v>
      </c>
      <c r="CM154" s="180">
        <f t="shared" si="210"/>
        <v>39847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 s="160"/>
      <c r="CW154">
        <v>1</v>
      </c>
      <c r="CX154">
        <v>1</v>
      </c>
      <c r="CY154" s="165"/>
      <c r="CZ154" s="177">
        <f t="shared" si="211"/>
        <v>9.6000000000000002E-2</v>
      </c>
      <c r="DB154" s="151"/>
      <c r="DC154" s="76">
        <f t="shared" ca="1" si="174"/>
        <v>0.96070083280066521</v>
      </c>
      <c r="DD154">
        <f t="shared" si="212"/>
        <v>7</v>
      </c>
      <c r="DE154" s="129">
        <f t="shared" si="170"/>
        <v>39847</v>
      </c>
      <c r="DF154" s="161">
        <f t="shared" si="213"/>
        <v>0</v>
      </c>
      <c r="DG154" s="161">
        <f t="shared" si="214"/>
        <v>0</v>
      </c>
      <c r="DH154" s="161">
        <f t="shared" si="215"/>
        <v>0</v>
      </c>
      <c r="DI154" s="161">
        <f t="shared" si="216"/>
        <v>0</v>
      </c>
      <c r="DJ154" s="161">
        <f t="shared" si="217"/>
        <v>0</v>
      </c>
      <c r="DK154" s="161">
        <f t="shared" si="218"/>
        <v>0</v>
      </c>
      <c r="DL154" s="161">
        <f t="shared" si="219"/>
        <v>0</v>
      </c>
      <c r="DM154" s="161">
        <f t="shared" si="220"/>
        <v>0</v>
      </c>
      <c r="DN154" s="161">
        <f t="shared" si="221"/>
        <v>0</v>
      </c>
      <c r="DO154" s="161">
        <f t="shared" si="222"/>
        <v>0</v>
      </c>
      <c r="DP154" s="161">
        <f t="shared" si="223"/>
        <v>0</v>
      </c>
      <c r="DQ154" s="161">
        <f t="shared" si="224"/>
        <v>0</v>
      </c>
      <c r="DR154" s="161">
        <f t="shared" si="225"/>
        <v>0</v>
      </c>
      <c r="DS154" s="161">
        <f t="shared" si="226"/>
        <v>0</v>
      </c>
      <c r="DT154" s="161">
        <f t="shared" si="227"/>
        <v>0</v>
      </c>
      <c r="DU154" s="161">
        <f t="shared" si="228"/>
        <v>0</v>
      </c>
      <c r="DV154" s="161">
        <f t="shared" si="229"/>
        <v>0</v>
      </c>
      <c r="DW154" s="161">
        <f t="shared" si="230"/>
        <v>0</v>
      </c>
      <c r="DX154" s="161">
        <f t="shared" si="231"/>
        <v>0</v>
      </c>
      <c r="DY154" s="161">
        <f t="shared" si="232"/>
        <v>0</v>
      </c>
      <c r="DZ154" s="161">
        <f t="shared" si="233"/>
        <v>0</v>
      </c>
      <c r="EA154" s="161">
        <f t="shared" si="234"/>
        <v>0</v>
      </c>
      <c r="EB154" s="161">
        <f t="shared" si="235"/>
        <v>0</v>
      </c>
      <c r="EC154" s="161">
        <f t="shared" si="236"/>
        <v>0</v>
      </c>
      <c r="ED154" s="161">
        <f t="shared" si="237"/>
        <v>0</v>
      </c>
      <c r="EE154" s="161">
        <f t="shared" si="238"/>
        <v>0</v>
      </c>
      <c r="EF154" s="161">
        <f t="shared" si="239"/>
        <v>0</v>
      </c>
      <c r="EG154" s="161">
        <f t="shared" si="240"/>
        <v>0</v>
      </c>
      <c r="EH154" s="161">
        <f t="shared" si="241"/>
        <v>0</v>
      </c>
      <c r="EI154" s="161">
        <f t="shared" si="242"/>
        <v>0</v>
      </c>
      <c r="EJ154" s="161">
        <f t="shared" si="243"/>
        <v>0</v>
      </c>
      <c r="EK154" s="147">
        <f t="shared" si="175"/>
        <v>0</v>
      </c>
      <c r="EL154" s="149"/>
      <c r="EN154" s="151"/>
      <c r="EO154" s="151"/>
      <c r="EP154" s="139">
        <f t="shared" si="176"/>
        <v>0</v>
      </c>
      <c r="EQ154" s="139">
        <f t="shared" si="177"/>
        <v>0</v>
      </c>
      <c r="ER154" s="139">
        <f t="shared" si="178"/>
        <v>0</v>
      </c>
      <c r="ES154" s="139">
        <f t="shared" si="179"/>
        <v>0</v>
      </c>
      <c r="ET154" s="139">
        <f t="shared" si="180"/>
        <v>0</v>
      </c>
      <c r="EU154" s="139">
        <f t="shared" si="181"/>
        <v>0</v>
      </c>
      <c r="EV154" s="139">
        <f t="shared" si="182"/>
        <v>0</v>
      </c>
      <c r="EW154" s="139">
        <f t="shared" si="183"/>
        <v>0</v>
      </c>
      <c r="EX154" s="139">
        <f t="shared" si="184"/>
        <v>0</v>
      </c>
      <c r="EY154" s="139">
        <f t="shared" si="185"/>
        <v>0</v>
      </c>
      <c r="EZ154" s="139">
        <f t="shared" si="186"/>
        <v>0</v>
      </c>
      <c r="FA154" s="139">
        <f t="shared" si="187"/>
        <v>0</v>
      </c>
      <c r="FB154" s="139">
        <f t="shared" si="188"/>
        <v>0</v>
      </c>
      <c r="FC154" s="139">
        <f t="shared" si="189"/>
        <v>0</v>
      </c>
      <c r="FD154" s="139">
        <f t="shared" si="190"/>
        <v>0</v>
      </c>
      <c r="FE154" s="139">
        <f t="shared" si="191"/>
        <v>0</v>
      </c>
      <c r="FF154" s="139">
        <f t="shared" si="192"/>
        <v>0</v>
      </c>
      <c r="FG154" s="139">
        <f t="shared" si="193"/>
        <v>0</v>
      </c>
      <c r="FH154" s="139">
        <f t="shared" si="194"/>
        <v>0</v>
      </c>
      <c r="FI154" s="139">
        <f t="shared" si="195"/>
        <v>0</v>
      </c>
      <c r="FJ154" s="139">
        <f t="shared" si="196"/>
        <v>0</v>
      </c>
      <c r="FK154" s="139">
        <f t="shared" si="197"/>
        <v>0</v>
      </c>
      <c r="FL154" s="139">
        <f t="shared" si="198"/>
        <v>0</v>
      </c>
      <c r="FM154" s="139">
        <f t="shared" si="199"/>
        <v>0</v>
      </c>
      <c r="FN154" s="139">
        <f t="shared" si="200"/>
        <v>0</v>
      </c>
      <c r="FO154" s="139">
        <f t="shared" si="201"/>
        <v>0</v>
      </c>
      <c r="FP154" s="139">
        <f t="shared" si="202"/>
        <v>0</v>
      </c>
      <c r="FQ154" s="139">
        <f t="shared" si="203"/>
        <v>0</v>
      </c>
      <c r="FR154" s="139">
        <f t="shared" si="204"/>
        <v>0</v>
      </c>
      <c r="FS154" s="139">
        <f t="shared" si="205"/>
        <v>0</v>
      </c>
      <c r="FT154" s="139">
        <f t="shared" si="206"/>
        <v>0</v>
      </c>
      <c r="FU154" s="148">
        <f t="shared" si="207"/>
        <v>0</v>
      </c>
      <c r="FV154" s="149"/>
      <c r="FY154" s="211">
        <v>149</v>
      </c>
      <c r="FZ154">
        <v>1.0257856900072553</v>
      </c>
      <c r="GA154">
        <v>0.56185112583616514</v>
      </c>
      <c r="GB154">
        <v>0.28405981870974384</v>
      </c>
      <c r="GC154">
        <v>0.1927354761807239</v>
      </c>
      <c r="GD154">
        <v>2.6724553773673727E-2</v>
      </c>
      <c r="GE154">
        <v>0</v>
      </c>
      <c r="GF154">
        <v>0.66042100116664126</v>
      </c>
      <c r="GG154">
        <v>0.59518473501329594</v>
      </c>
      <c r="GH154">
        <v>0</v>
      </c>
      <c r="GI154">
        <v>0.36528169960898715</v>
      </c>
      <c r="GJ154"/>
      <c r="GK154">
        <v>1.0289990505583664</v>
      </c>
      <c r="GL154">
        <v>0.48079623401633714</v>
      </c>
      <c r="GM154">
        <v>0.47171153288079981</v>
      </c>
      <c r="GN154">
        <v>0.57664959811319116</v>
      </c>
      <c r="GO154">
        <v>0.10493806523239137</v>
      </c>
      <c r="GP154">
        <v>0</v>
      </c>
      <c r="GQ154">
        <v>0.90739586192571098</v>
      </c>
      <c r="GR154">
        <v>0.90739586192571098</v>
      </c>
      <c r="GS154">
        <v>0</v>
      </c>
      <c r="GT154">
        <v>0.50260890211945375</v>
      </c>
      <c r="GU154"/>
      <c r="GV154"/>
      <c r="GW154"/>
      <c r="GX154"/>
      <c r="GY154"/>
      <c r="GZ154"/>
      <c r="HA154"/>
      <c r="HB154"/>
      <c r="HC154"/>
    </row>
    <row r="155" spans="1:211" s="7" customFormat="1">
      <c r="A155" s="77"/>
      <c r="B155" s="76">
        <f t="shared" ca="1" si="172"/>
        <v>0.95514330423146632</v>
      </c>
      <c r="C155">
        <v>4</v>
      </c>
      <c r="D155">
        <v>39847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2.536458333333333</v>
      </c>
      <c r="AO155">
        <v>0.40361582279771946</v>
      </c>
      <c r="AP155">
        <v>15.338009084680497</v>
      </c>
      <c r="AQ155">
        <v>2.9634227641746782</v>
      </c>
      <c r="AR155">
        <v>0.45237133752490721</v>
      </c>
      <c r="AS155">
        <v>2.3927938341646571</v>
      </c>
      <c r="AT155" t="e">
        <v>#DIV/0!</v>
      </c>
      <c r="AU155" t="e">
        <v>#DIV/0!</v>
      </c>
      <c r="AV155"/>
      <c r="AW155"/>
      <c r="AX155" s="151"/>
      <c r="AY155" s="76">
        <f t="shared" ca="1" si="173"/>
        <v>0.44973554604721433</v>
      </c>
      <c r="AZ155">
        <v>8</v>
      </c>
      <c r="BA155" s="129">
        <f t="shared" si="171"/>
        <v>39847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 s="147"/>
      <c r="CH155" s="176"/>
      <c r="CJ155" s="151"/>
      <c r="CK155" s="76">
        <f t="shared" ca="1" si="208"/>
        <v>0.16478538838974277</v>
      </c>
      <c r="CL155" s="179">
        <f t="shared" si="209"/>
        <v>8</v>
      </c>
      <c r="CM155" s="180">
        <f t="shared" si="210"/>
        <v>39847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 s="160"/>
      <c r="CW155">
        <v>1</v>
      </c>
      <c r="CX155">
        <f>360/54</f>
        <v>6.666666666666667</v>
      </c>
      <c r="CY155" s="165"/>
      <c r="CZ155" s="177">
        <f t="shared" si="211"/>
        <v>9.6000000000000002E-2</v>
      </c>
      <c r="DB155" s="151"/>
      <c r="DC155" s="76">
        <f t="shared" ca="1" si="174"/>
        <v>0.76869201084000238</v>
      </c>
      <c r="DD155">
        <f t="shared" si="212"/>
        <v>8</v>
      </c>
      <c r="DE155" s="129">
        <f t="shared" si="170"/>
        <v>39847</v>
      </c>
      <c r="DF155" s="161">
        <f t="shared" si="213"/>
        <v>0</v>
      </c>
      <c r="DG155" s="161">
        <f t="shared" si="214"/>
        <v>0</v>
      </c>
      <c r="DH155" s="161">
        <f t="shared" si="215"/>
        <v>0</v>
      </c>
      <c r="DI155" s="161">
        <f t="shared" si="216"/>
        <v>0</v>
      </c>
      <c r="DJ155" s="161">
        <f t="shared" si="217"/>
        <v>0</v>
      </c>
      <c r="DK155" s="161">
        <f t="shared" si="218"/>
        <v>0</v>
      </c>
      <c r="DL155" s="161">
        <f t="shared" si="219"/>
        <v>0</v>
      </c>
      <c r="DM155" s="161">
        <f t="shared" si="220"/>
        <v>0</v>
      </c>
      <c r="DN155" s="161">
        <f t="shared" si="221"/>
        <v>0</v>
      </c>
      <c r="DO155" s="161">
        <f t="shared" si="222"/>
        <v>0</v>
      </c>
      <c r="DP155" s="161">
        <f t="shared" si="223"/>
        <v>0</v>
      </c>
      <c r="DQ155" s="161">
        <f t="shared" si="224"/>
        <v>0</v>
      </c>
      <c r="DR155" s="161">
        <f t="shared" si="225"/>
        <v>0</v>
      </c>
      <c r="DS155" s="161">
        <f t="shared" si="226"/>
        <v>0</v>
      </c>
      <c r="DT155" s="161">
        <f t="shared" si="227"/>
        <v>0</v>
      </c>
      <c r="DU155" s="161">
        <f t="shared" si="228"/>
        <v>0</v>
      </c>
      <c r="DV155" s="161">
        <f t="shared" si="229"/>
        <v>0</v>
      </c>
      <c r="DW155" s="161">
        <f t="shared" si="230"/>
        <v>0</v>
      </c>
      <c r="DX155" s="161">
        <f t="shared" si="231"/>
        <v>0</v>
      </c>
      <c r="DY155" s="161">
        <f t="shared" si="232"/>
        <v>0</v>
      </c>
      <c r="DZ155" s="161">
        <f t="shared" si="233"/>
        <v>0</v>
      </c>
      <c r="EA155" s="161">
        <f t="shared" si="234"/>
        <v>0</v>
      </c>
      <c r="EB155" s="161">
        <f t="shared" si="235"/>
        <v>0</v>
      </c>
      <c r="EC155" s="161">
        <f t="shared" si="236"/>
        <v>0</v>
      </c>
      <c r="ED155" s="161">
        <f t="shared" si="237"/>
        <v>0</v>
      </c>
      <c r="EE155" s="161">
        <f t="shared" si="238"/>
        <v>0</v>
      </c>
      <c r="EF155" s="161">
        <f t="shared" si="239"/>
        <v>0</v>
      </c>
      <c r="EG155" s="161">
        <f t="shared" si="240"/>
        <v>0</v>
      </c>
      <c r="EH155" s="161">
        <f t="shared" si="241"/>
        <v>0</v>
      </c>
      <c r="EI155" s="161">
        <f t="shared" si="242"/>
        <v>0</v>
      </c>
      <c r="EJ155" s="161">
        <f t="shared" si="243"/>
        <v>0</v>
      </c>
      <c r="EK155" s="147">
        <f t="shared" si="175"/>
        <v>0</v>
      </c>
      <c r="EL155" s="149"/>
      <c r="EN155" s="151"/>
      <c r="EO155" s="151"/>
      <c r="EP155" s="139">
        <f t="shared" si="176"/>
        <v>0</v>
      </c>
      <c r="EQ155" s="139">
        <f t="shared" si="177"/>
        <v>0</v>
      </c>
      <c r="ER155" s="139">
        <f t="shared" si="178"/>
        <v>0</v>
      </c>
      <c r="ES155" s="139">
        <f t="shared" si="179"/>
        <v>0</v>
      </c>
      <c r="ET155" s="139">
        <f t="shared" si="180"/>
        <v>0</v>
      </c>
      <c r="EU155" s="139">
        <f t="shared" si="181"/>
        <v>0</v>
      </c>
      <c r="EV155" s="139">
        <f t="shared" si="182"/>
        <v>0</v>
      </c>
      <c r="EW155" s="139">
        <f t="shared" si="183"/>
        <v>0</v>
      </c>
      <c r="EX155" s="139">
        <f t="shared" si="184"/>
        <v>0</v>
      </c>
      <c r="EY155" s="139">
        <f t="shared" si="185"/>
        <v>0</v>
      </c>
      <c r="EZ155" s="139">
        <f t="shared" si="186"/>
        <v>0</v>
      </c>
      <c r="FA155" s="139">
        <f t="shared" si="187"/>
        <v>0</v>
      </c>
      <c r="FB155" s="139">
        <f t="shared" si="188"/>
        <v>0</v>
      </c>
      <c r="FC155" s="139">
        <f t="shared" si="189"/>
        <v>0</v>
      </c>
      <c r="FD155" s="139">
        <f t="shared" si="190"/>
        <v>0</v>
      </c>
      <c r="FE155" s="139">
        <f t="shared" si="191"/>
        <v>0</v>
      </c>
      <c r="FF155" s="139">
        <f t="shared" si="192"/>
        <v>0</v>
      </c>
      <c r="FG155" s="139">
        <f t="shared" si="193"/>
        <v>0</v>
      </c>
      <c r="FH155" s="139">
        <f t="shared" si="194"/>
        <v>0</v>
      </c>
      <c r="FI155" s="139">
        <f t="shared" si="195"/>
        <v>0</v>
      </c>
      <c r="FJ155" s="139">
        <f t="shared" si="196"/>
        <v>0</v>
      </c>
      <c r="FK155" s="139">
        <f t="shared" si="197"/>
        <v>0</v>
      </c>
      <c r="FL155" s="139">
        <f t="shared" si="198"/>
        <v>0</v>
      </c>
      <c r="FM155" s="139">
        <f t="shared" si="199"/>
        <v>0</v>
      </c>
      <c r="FN155" s="139">
        <f t="shared" si="200"/>
        <v>0</v>
      </c>
      <c r="FO155" s="139">
        <f t="shared" si="201"/>
        <v>0</v>
      </c>
      <c r="FP155" s="139">
        <f t="shared" si="202"/>
        <v>0</v>
      </c>
      <c r="FQ155" s="139">
        <f t="shared" si="203"/>
        <v>0</v>
      </c>
      <c r="FR155" s="139">
        <f t="shared" si="204"/>
        <v>0</v>
      </c>
      <c r="FS155" s="139">
        <f t="shared" si="205"/>
        <v>0</v>
      </c>
      <c r="FT155" s="139">
        <f t="shared" si="206"/>
        <v>0</v>
      </c>
      <c r="FU155" s="148">
        <f t="shared" si="207"/>
        <v>0</v>
      </c>
      <c r="FV155" s="149"/>
      <c r="FY155" s="211">
        <v>150</v>
      </c>
      <c r="FZ155">
        <v>0.5874224933667187</v>
      </c>
      <c r="GA155">
        <v>0</v>
      </c>
      <c r="GB155">
        <v>7.9203986612074825E-2</v>
      </c>
      <c r="GC155">
        <v>4.4138825651920163E-2</v>
      </c>
      <c r="GD155">
        <v>0</v>
      </c>
      <c r="GE155">
        <v>0</v>
      </c>
      <c r="GF155">
        <v>0.33021050058332063</v>
      </c>
      <c r="GG155">
        <v>0.29759236750664797</v>
      </c>
      <c r="GH155">
        <v>0</v>
      </c>
      <c r="GI155">
        <v>0.17050180641951782</v>
      </c>
      <c r="GJ155"/>
      <c r="GK155">
        <v>0.58903641017395336</v>
      </c>
      <c r="GL155">
        <v>0</v>
      </c>
      <c r="GM155">
        <v>0.13091770120800852</v>
      </c>
      <c r="GN155">
        <v>0.13091770120800852</v>
      </c>
      <c r="GO155">
        <v>0</v>
      </c>
      <c r="GP155">
        <v>0</v>
      </c>
      <c r="GQ155">
        <v>0.45369793096285549</v>
      </c>
      <c r="GR155">
        <v>0.45369793096285549</v>
      </c>
      <c r="GS155">
        <v>0</v>
      </c>
      <c r="GT155">
        <v>0.23473040846896348</v>
      </c>
      <c r="GU155"/>
      <c r="GV155"/>
      <c r="GW155"/>
      <c r="GX155"/>
      <c r="GY155"/>
      <c r="GZ155"/>
      <c r="HA155"/>
      <c r="HB155"/>
      <c r="HC155"/>
    </row>
    <row r="156" spans="1:211" s="7" customFormat="1">
      <c r="A156" s="77"/>
      <c r="B156" s="76">
        <f t="shared" ca="1" si="172"/>
        <v>0.79685539737682087</v>
      </c>
      <c r="C156">
        <v>8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3.1156249999999996</v>
      </c>
      <c r="AO156">
        <v>0.49233758731154775</v>
      </c>
      <c r="AP156">
        <v>14.312803039938489</v>
      </c>
      <c r="AQ156">
        <v>3.5407464366592958</v>
      </c>
      <c r="AR156">
        <v>0.4895938922003662</v>
      </c>
      <c r="AS156">
        <v>2.3364472208929294</v>
      </c>
      <c r="AT156" t="e">
        <v>#DIV/0!</v>
      </c>
      <c r="AU156" t="e">
        <v>#DIV/0!</v>
      </c>
      <c r="AV156"/>
      <c r="AW156"/>
      <c r="AX156" s="151"/>
      <c r="AY156" s="76">
        <f t="shared" ca="1" si="173"/>
        <v>0.85793321963231683</v>
      </c>
      <c r="AZ156">
        <v>9</v>
      </c>
      <c r="BA156" s="129">
        <f t="shared" si="171"/>
        <v>39847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 s="147"/>
      <c r="CH156" s="176"/>
      <c r="CJ156" s="151"/>
      <c r="CK156" s="76">
        <f t="shared" ca="1" si="208"/>
        <v>4.6721718045728444E-2</v>
      </c>
      <c r="CL156" s="179">
        <f t="shared" si="209"/>
        <v>9</v>
      </c>
      <c r="CM156" s="180">
        <f t="shared" si="210"/>
        <v>39847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 s="160"/>
      <c r="CW156">
        <v>1</v>
      </c>
      <c r="CX156">
        <f>350/56</f>
        <v>6.25</v>
      </c>
      <c r="CY156" s="165"/>
      <c r="CZ156" s="177">
        <f t="shared" si="211"/>
        <v>9.6000000000000002E-2</v>
      </c>
      <c r="DB156" s="151"/>
      <c r="DC156" s="76">
        <f t="shared" ca="1" si="174"/>
        <v>0.33662793070721664</v>
      </c>
      <c r="DD156">
        <f t="shared" si="212"/>
        <v>9</v>
      </c>
      <c r="DE156" s="129">
        <f t="shared" si="170"/>
        <v>39847</v>
      </c>
      <c r="DF156" s="161">
        <f t="shared" si="213"/>
        <v>0</v>
      </c>
      <c r="DG156" s="161">
        <f t="shared" si="214"/>
        <v>0</v>
      </c>
      <c r="DH156" s="161">
        <f t="shared" si="215"/>
        <v>0</v>
      </c>
      <c r="DI156" s="161">
        <f t="shared" si="216"/>
        <v>0</v>
      </c>
      <c r="DJ156" s="161">
        <f t="shared" si="217"/>
        <v>0</v>
      </c>
      <c r="DK156" s="161">
        <f t="shared" si="218"/>
        <v>0</v>
      </c>
      <c r="DL156" s="161">
        <f t="shared" si="219"/>
        <v>0</v>
      </c>
      <c r="DM156" s="161">
        <f t="shared" si="220"/>
        <v>0</v>
      </c>
      <c r="DN156" s="161">
        <f t="shared" si="221"/>
        <v>0</v>
      </c>
      <c r="DO156" s="161">
        <f t="shared" si="222"/>
        <v>0</v>
      </c>
      <c r="DP156" s="161">
        <f t="shared" si="223"/>
        <v>0</v>
      </c>
      <c r="DQ156" s="161">
        <f t="shared" si="224"/>
        <v>0</v>
      </c>
      <c r="DR156" s="161">
        <f t="shared" si="225"/>
        <v>0</v>
      </c>
      <c r="DS156" s="161">
        <f t="shared" si="226"/>
        <v>0</v>
      </c>
      <c r="DT156" s="161">
        <f t="shared" si="227"/>
        <v>0</v>
      </c>
      <c r="DU156" s="161">
        <f t="shared" si="228"/>
        <v>0</v>
      </c>
      <c r="DV156" s="161">
        <f t="shared" si="229"/>
        <v>0</v>
      </c>
      <c r="DW156" s="161">
        <f t="shared" si="230"/>
        <v>0</v>
      </c>
      <c r="DX156" s="161">
        <f t="shared" si="231"/>
        <v>0</v>
      </c>
      <c r="DY156" s="161">
        <f t="shared" si="232"/>
        <v>0</v>
      </c>
      <c r="DZ156" s="161">
        <f t="shared" si="233"/>
        <v>0</v>
      </c>
      <c r="EA156" s="161">
        <f t="shared" si="234"/>
        <v>0</v>
      </c>
      <c r="EB156" s="161">
        <f t="shared" si="235"/>
        <v>0</v>
      </c>
      <c r="EC156" s="161">
        <f t="shared" si="236"/>
        <v>0</v>
      </c>
      <c r="ED156" s="161">
        <f t="shared" si="237"/>
        <v>0</v>
      </c>
      <c r="EE156" s="161">
        <f t="shared" si="238"/>
        <v>0</v>
      </c>
      <c r="EF156" s="161">
        <f t="shared" si="239"/>
        <v>0</v>
      </c>
      <c r="EG156" s="161">
        <f t="shared" si="240"/>
        <v>0</v>
      </c>
      <c r="EH156" s="161">
        <f t="shared" si="241"/>
        <v>0</v>
      </c>
      <c r="EI156" s="161">
        <f t="shared" si="242"/>
        <v>0</v>
      </c>
      <c r="EJ156" s="161">
        <f t="shared" si="243"/>
        <v>0</v>
      </c>
      <c r="EK156" s="147">
        <f t="shared" si="175"/>
        <v>0</v>
      </c>
      <c r="EL156" s="149"/>
      <c r="EN156" s="151"/>
      <c r="EO156" s="151"/>
      <c r="EP156" s="139">
        <f t="shared" si="176"/>
        <v>0</v>
      </c>
      <c r="EQ156" s="139">
        <f t="shared" si="177"/>
        <v>0</v>
      </c>
      <c r="ER156" s="139">
        <f t="shared" si="178"/>
        <v>0</v>
      </c>
      <c r="ES156" s="139">
        <f t="shared" si="179"/>
        <v>0</v>
      </c>
      <c r="ET156" s="139">
        <f t="shared" si="180"/>
        <v>0</v>
      </c>
      <c r="EU156" s="139">
        <f t="shared" si="181"/>
        <v>0</v>
      </c>
      <c r="EV156" s="139">
        <f t="shared" si="182"/>
        <v>0</v>
      </c>
      <c r="EW156" s="139">
        <f t="shared" si="183"/>
        <v>0</v>
      </c>
      <c r="EX156" s="139">
        <f t="shared" si="184"/>
        <v>0</v>
      </c>
      <c r="EY156" s="139">
        <f t="shared" si="185"/>
        <v>0</v>
      </c>
      <c r="EZ156" s="139">
        <f t="shared" si="186"/>
        <v>0</v>
      </c>
      <c r="FA156" s="139">
        <f t="shared" si="187"/>
        <v>0</v>
      </c>
      <c r="FB156" s="139">
        <f t="shared" si="188"/>
        <v>0</v>
      </c>
      <c r="FC156" s="139">
        <f t="shared" si="189"/>
        <v>0</v>
      </c>
      <c r="FD156" s="139">
        <f t="shared" si="190"/>
        <v>0</v>
      </c>
      <c r="FE156" s="139">
        <f t="shared" si="191"/>
        <v>0</v>
      </c>
      <c r="FF156" s="139">
        <f t="shared" si="192"/>
        <v>0</v>
      </c>
      <c r="FG156" s="139">
        <f t="shared" si="193"/>
        <v>0</v>
      </c>
      <c r="FH156" s="139">
        <f t="shared" si="194"/>
        <v>0</v>
      </c>
      <c r="FI156" s="139">
        <f t="shared" si="195"/>
        <v>0</v>
      </c>
      <c r="FJ156" s="139">
        <f t="shared" si="196"/>
        <v>0</v>
      </c>
      <c r="FK156" s="139">
        <f t="shared" si="197"/>
        <v>0</v>
      </c>
      <c r="FL156" s="139">
        <f t="shared" si="198"/>
        <v>0</v>
      </c>
      <c r="FM156" s="139">
        <f t="shared" si="199"/>
        <v>0</v>
      </c>
      <c r="FN156" s="139">
        <f t="shared" si="200"/>
        <v>0</v>
      </c>
      <c r="FO156" s="139">
        <f t="shared" si="201"/>
        <v>0</v>
      </c>
      <c r="FP156" s="139">
        <f t="shared" si="202"/>
        <v>0</v>
      </c>
      <c r="FQ156" s="139">
        <f t="shared" si="203"/>
        <v>0</v>
      </c>
      <c r="FR156" s="139">
        <f t="shared" si="204"/>
        <v>0</v>
      </c>
      <c r="FS156" s="139">
        <f t="shared" si="205"/>
        <v>0</v>
      </c>
      <c r="FT156" s="139">
        <f t="shared" si="206"/>
        <v>0</v>
      </c>
      <c r="FU156" s="148">
        <f t="shared" si="207"/>
        <v>0</v>
      </c>
      <c r="FV156" s="149"/>
      <c r="FY156" s="211">
        <v>151</v>
      </c>
      <c r="FZ156">
        <v>0.62043262490758622</v>
      </c>
      <c r="GA156">
        <v>0</v>
      </c>
      <c r="GB156">
        <v>7.9203986612074825E-2</v>
      </c>
      <c r="GC156">
        <v>7.8958100610881349E-2</v>
      </c>
      <c r="GD156">
        <v>2.6724553773673727E-2</v>
      </c>
      <c r="GE156">
        <v>0</v>
      </c>
      <c r="GF156">
        <v>0.66042100116664126</v>
      </c>
      <c r="GG156">
        <v>0.59518473501329594</v>
      </c>
      <c r="GH156">
        <v>0</v>
      </c>
      <c r="GI156">
        <v>0.25493536966250874</v>
      </c>
      <c r="GJ156"/>
      <c r="GK156">
        <v>0.62172666849273306</v>
      </c>
      <c r="GL156">
        <v>0</v>
      </c>
      <c r="GM156">
        <v>0.13091770120800852</v>
      </c>
      <c r="GN156">
        <v>0.23585576644039991</v>
      </c>
      <c r="GO156">
        <v>0.10493806523239137</v>
      </c>
      <c r="GP156">
        <v>0</v>
      </c>
      <c r="GQ156">
        <v>0.90739586192571098</v>
      </c>
      <c r="GR156">
        <v>0.90739586192571098</v>
      </c>
      <c r="GS156">
        <v>0</v>
      </c>
      <c r="GT156">
        <v>0.3529956593717688</v>
      </c>
      <c r="GU156"/>
      <c r="GV156"/>
      <c r="GW156"/>
      <c r="GX156"/>
      <c r="GY156"/>
      <c r="GZ156"/>
      <c r="HA156"/>
      <c r="HB156"/>
      <c r="HC156"/>
    </row>
    <row r="157" spans="1:211" s="7" customFormat="1">
      <c r="A157" s="77"/>
      <c r="B157" s="76">
        <f t="shared" ca="1" si="172"/>
        <v>0.82823693834642076</v>
      </c>
      <c r="C157">
        <v>7</v>
      </c>
      <c r="D157">
        <v>39847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2.6281249999999998</v>
      </c>
      <c r="AO157">
        <v>0.31746406037732233</v>
      </c>
      <c r="AP157">
        <v>10.662053488489111</v>
      </c>
      <c r="AQ157">
        <v>2.4714260952096074</v>
      </c>
      <c r="AR157">
        <v>0.32884885272508146</v>
      </c>
      <c r="AS157">
        <v>1.9736199239264589</v>
      </c>
      <c r="AT157" t="e">
        <v>#DIV/0!</v>
      </c>
      <c r="AU157" t="e">
        <v>#DIV/0!</v>
      </c>
      <c r="AV157"/>
      <c r="AW157"/>
      <c r="AX157" s="151"/>
      <c r="AY157" s="76">
        <f t="shared" ca="1" si="173"/>
        <v>0.90815752292847973</v>
      </c>
      <c r="AZ157">
        <v>10</v>
      </c>
      <c r="BA157" s="129">
        <f t="shared" si="171"/>
        <v>39847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 s="147"/>
      <c r="CH157" s="176"/>
      <c r="CJ157" s="151"/>
      <c r="CK157" s="76">
        <f t="shared" ca="1" si="208"/>
        <v>0.24918049856878777</v>
      </c>
      <c r="CL157" s="179">
        <f t="shared" si="209"/>
        <v>10</v>
      </c>
      <c r="CM157" s="180">
        <f t="shared" si="210"/>
        <v>39847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 s="160"/>
      <c r="CW157">
        <v>1</v>
      </c>
      <c r="CX157">
        <v>1</v>
      </c>
      <c r="CY157" s="165"/>
      <c r="CZ157" s="177">
        <f t="shared" si="211"/>
        <v>9.6000000000000002E-2</v>
      </c>
      <c r="DB157" s="151"/>
      <c r="DC157" s="76">
        <f t="shared" ca="1" si="174"/>
        <v>0.30201563829816491</v>
      </c>
      <c r="DD157">
        <f t="shared" si="212"/>
        <v>10</v>
      </c>
      <c r="DE157" s="129">
        <f t="shared" si="170"/>
        <v>39847</v>
      </c>
      <c r="DF157" s="161">
        <f t="shared" si="213"/>
        <v>0</v>
      </c>
      <c r="DG157" s="161">
        <f t="shared" si="214"/>
        <v>0</v>
      </c>
      <c r="DH157" s="161">
        <f t="shared" si="215"/>
        <v>0</v>
      </c>
      <c r="DI157" s="161">
        <f t="shared" si="216"/>
        <v>0</v>
      </c>
      <c r="DJ157" s="161">
        <f t="shared" si="217"/>
        <v>0</v>
      </c>
      <c r="DK157" s="161">
        <f t="shared" si="218"/>
        <v>0</v>
      </c>
      <c r="DL157" s="161">
        <f t="shared" si="219"/>
        <v>0</v>
      </c>
      <c r="DM157" s="161">
        <f t="shared" si="220"/>
        <v>0</v>
      </c>
      <c r="DN157" s="161">
        <f t="shared" si="221"/>
        <v>0</v>
      </c>
      <c r="DO157" s="161">
        <f t="shared" si="222"/>
        <v>0</v>
      </c>
      <c r="DP157" s="161">
        <f t="shared" si="223"/>
        <v>0</v>
      </c>
      <c r="DQ157" s="161">
        <f t="shared" si="224"/>
        <v>0</v>
      </c>
      <c r="DR157" s="161">
        <f t="shared" si="225"/>
        <v>0</v>
      </c>
      <c r="DS157" s="161">
        <f t="shared" si="226"/>
        <v>0</v>
      </c>
      <c r="DT157" s="161">
        <f t="shared" si="227"/>
        <v>0</v>
      </c>
      <c r="DU157" s="161">
        <f t="shared" si="228"/>
        <v>0</v>
      </c>
      <c r="DV157" s="161">
        <f t="shared" si="229"/>
        <v>0</v>
      </c>
      <c r="DW157" s="161">
        <f t="shared" si="230"/>
        <v>0</v>
      </c>
      <c r="DX157" s="161">
        <f t="shared" si="231"/>
        <v>0</v>
      </c>
      <c r="DY157" s="161">
        <f t="shared" si="232"/>
        <v>0</v>
      </c>
      <c r="DZ157" s="161">
        <f t="shared" si="233"/>
        <v>0</v>
      </c>
      <c r="EA157" s="161">
        <f t="shared" si="234"/>
        <v>0</v>
      </c>
      <c r="EB157" s="161">
        <f t="shared" si="235"/>
        <v>0</v>
      </c>
      <c r="EC157" s="161">
        <f t="shared" si="236"/>
        <v>0</v>
      </c>
      <c r="ED157" s="161">
        <f t="shared" si="237"/>
        <v>0</v>
      </c>
      <c r="EE157" s="161">
        <f t="shared" si="238"/>
        <v>0</v>
      </c>
      <c r="EF157" s="161">
        <f t="shared" si="239"/>
        <v>0</v>
      </c>
      <c r="EG157" s="161">
        <f t="shared" si="240"/>
        <v>0</v>
      </c>
      <c r="EH157" s="161">
        <f t="shared" si="241"/>
        <v>0</v>
      </c>
      <c r="EI157" s="161">
        <f t="shared" si="242"/>
        <v>0</v>
      </c>
      <c r="EJ157" s="161">
        <f t="shared" si="243"/>
        <v>0</v>
      </c>
      <c r="EK157" s="147">
        <f t="shared" si="175"/>
        <v>0</v>
      </c>
      <c r="EL157" s="149"/>
      <c r="EN157" s="151"/>
      <c r="EO157" s="151"/>
      <c r="EP157" s="139">
        <f t="shared" si="176"/>
        <v>0</v>
      </c>
      <c r="EQ157" s="139">
        <f t="shared" si="177"/>
        <v>0</v>
      </c>
      <c r="ER157" s="139">
        <f t="shared" si="178"/>
        <v>0</v>
      </c>
      <c r="ES157" s="139">
        <f t="shared" si="179"/>
        <v>0</v>
      </c>
      <c r="ET157" s="139">
        <f t="shared" si="180"/>
        <v>0</v>
      </c>
      <c r="EU157" s="139">
        <f t="shared" si="181"/>
        <v>0</v>
      </c>
      <c r="EV157" s="139">
        <f t="shared" si="182"/>
        <v>0</v>
      </c>
      <c r="EW157" s="139">
        <f t="shared" si="183"/>
        <v>0</v>
      </c>
      <c r="EX157" s="139">
        <f t="shared" si="184"/>
        <v>0</v>
      </c>
      <c r="EY157" s="139">
        <f t="shared" si="185"/>
        <v>0</v>
      </c>
      <c r="EZ157" s="139">
        <f t="shared" si="186"/>
        <v>0</v>
      </c>
      <c r="FA157" s="139">
        <f t="shared" si="187"/>
        <v>0</v>
      </c>
      <c r="FB157" s="139">
        <f t="shared" si="188"/>
        <v>0</v>
      </c>
      <c r="FC157" s="139">
        <f t="shared" si="189"/>
        <v>0</v>
      </c>
      <c r="FD157" s="139">
        <f t="shared" si="190"/>
        <v>0</v>
      </c>
      <c r="FE157" s="139">
        <f t="shared" si="191"/>
        <v>0</v>
      </c>
      <c r="FF157" s="139">
        <f t="shared" si="192"/>
        <v>0</v>
      </c>
      <c r="FG157" s="139">
        <f t="shared" si="193"/>
        <v>0</v>
      </c>
      <c r="FH157" s="139">
        <f t="shared" si="194"/>
        <v>0</v>
      </c>
      <c r="FI157" s="139">
        <f t="shared" si="195"/>
        <v>0</v>
      </c>
      <c r="FJ157" s="139">
        <f t="shared" si="196"/>
        <v>0</v>
      </c>
      <c r="FK157" s="139">
        <f t="shared" si="197"/>
        <v>0</v>
      </c>
      <c r="FL157" s="139">
        <f t="shared" si="198"/>
        <v>0</v>
      </c>
      <c r="FM157" s="139">
        <f t="shared" si="199"/>
        <v>0</v>
      </c>
      <c r="FN157" s="139">
        <f t="shared" si="200"/>
        <v>0</v>
      </c>
      <c r="FO157" s="139">
        <f t="shared" si="201"/>
        <v>0</v>
      </c>
      <c r="FP157" s="139">
        <f t="shared" si="202"/>
        <v>0</v>
      </c>
      <c r="FQ157" s="139">
        <f t="shared" si="203"/>
        <v>0</v>
      </c>
      <c r="FR157" s="139">
        <f t="shared" si="204"/>
        <v>0</v>
      </c>
      <c r="FS157" s="139">
        <f t="shared" si="205"/>
        <v>0</v>
      </c>
      <c r="FT157" s="139">
        <f t="shared" si="206"/>
        <v>0</v>
      </c>
      <c r="FU157" s="148">
        <f t="shared" si="207"/>
        <v>0</v>
      </c>
      <c r="FV157" s="149"/>
      <c r="FY157" s="211">
        <v>152</v>
      </c>
      <c r="FZ157">
        <v>0.77055107086319685</v>
      </c>
      <c r="GA157">
        <v>0</v>
      </c>
      <c r="GB157">
        <v>0.14202990935487192</v>
      </c>
      <c r="GC157">
        <v>0.14859665052880375</v>
      </c>
      <c r="GD157">
        <v>5.3449107547347455E-2</v>
      </c>
      <c r="GE157">
        <v>0</v>
      </c>
      <c r="GF157">
        <v>0</v>
      </c>
      <c r="GG157">
        <v>0</v>
      </c>
      <c r="GH157">
        <v>0</v>
      </c>
      <c r="GI157">
        <v>0.17987147514999924</v>
      </c>
      <c r="GJ157"/>
      <c r="GK157">
        <v>0.77464790611050893</v>
      </c>
      <c r="GL157">
        <v>0</v>
      </c>
      <c r="GM157">
        <v>0.23585576644039991</v>
      </c>
      <c r="GN157">
        <v>0.44573189690518267</v>
      </c>
      <c r="GO157">
        <v>0.20987613046478273</v>
      </c>
      <c r="GP157">
        <v>0</v>
      </c>
      <c r="GQ157">
        <v>0</v>
      </c>
      <c r="GR157">
        <v>0</v>
      </c>
      <c r="GS157">
        <v>0</v>
      </c>
      <c r="GT157">
        <v>0.24407596060313835</v>
      </c>
      <c r="GU157"/>
      <c r="GV157"/>
      <c r="GW157"/>
      <c r="GX157"/>
      <c r="GY157"/>
      <c r="GZ157"/>
      <c r="HA157"/>
      <c r="HB157"/>
      <c r="HC157"/>
    </row>
    <row r="158" spans="1:211" s="7" customFormat="1">
      <c r="A158" s="128"/>
      <c r="B158" s="76">
        <f t="shared" ca="1" si="172"/>
        <v>0.53217150031852833</v>
      </c>
      <c r="C158">
        <v>9</v>
      </c>
      <c r="D158">
        <v>39910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2.1229166666666668</v>
      </c>
      <c r="AO158">
        <v>0.44119828109891274</v>
      </c>
      <c r="AP158">
        <v>18.656553263787458</v>
      </c>
      <c r="AQ158">
        <v>3.3447254197945555</v>
      </c>
      <c r="AR158">
        <v>0.44629649389112724</v>
      </c>
      <c r="AS158">
        <v>2.1489655788974771</v>
      </c>
      <c r="AT158" t="e">
        <v>#DIV/0!</v>
      </c>
      <c r="AU158" t="e">
        <v>#DIV/0!</v>
      </c>
      <c r="AV158"/>
      <c r="AW158"/>
      <c r="AX158" s="128"/>
      <c r="AY158" s="76">
        <f t="shared" ca="1" si="173"/>
        <v>0.80649962646176698</v>
      </c>
      <c r="AZ158">
        <v>1</v>
      </c>
      <c r="BA158" s="129">
        <f>IF(AZ158="", "",$C$11)</f>
        <v>39910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 s="147"/>
      <c r="CH158" s="176"/>
      <c r="CJ158" s="128"/>
      <c r="CK158" s="76">
        <f t="shared" ca="1" si="208"/>
        <v>0.30255535487022067</v>
      </c>
      <c r="CL158" s="179">
        <f t="shared" si="209"/>
        <v>1</v>
      </c>
      <c r="CM158" s="180">
        <f t="shared" si="210"/>
        <v>39910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 s="160"/>
      <c r="CW158">
        <v>1</v>
      </c>
      <c r="CX158">
        <v>1</v>
      </c>
      <c r="CY158" s="160"/>
      <c r="CZ158" s="177">
        <f t="shared" si="211"/>
        <v>9.6000000000000002E-2</v>
      </c>
      <c r="DB158" s="128"/>
      <c r="DC158" s="76">
        <f t="shared" ca="1" si="174"/>
        <v>5.0968870195660765E-2</v>
      </c>
      <c r="DD158">
        <f t="shared" si="212"/>
        <v>1</v>
      </c>
      <c r="DE158" s="129">
        <f t="shared" ref="DE158:DE167" si="244">IF((DD158)="", "", $C$11)</f>
        <v>39910</v>
      </c>
      <c r="DF158" s="161">
        <f t="shared" si="213"/>
        <v>0</v>
      </c>
      <c r="DG158" s="161">
        <f t="shared" si="214"/>
        <v>0</v>
      </c>
      <c r="DH158" s="161">
        <f t="shared" si="215"/>
        <v>0</v>
      </c>
      <c r="DI158" s="161">
        <f t="shared" si="216"/>
        <v>0</v>
      </c>
      <c r="DJ158" s="161">
        <f t="shared" si="217"/>
        <v>0</v>
      </c>
      <c r="DK158" s="161">
        <f t="shared" si="218"/>
        <v>0</v>
      </c>
      <c r="DL158" s="161">
        <f t="shared" si="219"/>
        <v>0</v>
      </c>
      <c r="DM158" s="161">
        <f t="shared" si="220"/>
        <v>0</v>
      </c>
      <c r="DN158" s="161">
        <f t="shared" si="221"/>
        <v>0</v>
      </c>
      <c r="DO158" s="161">
        <f t="shared" si="222"/>
        <v>0</v>
      </c>
      <c r="DP158" s="161">
        <f t="shared" si="223"/>
        <v>0</v>
      </c>
      <c r="DQ158" s="161">
        <f t="shared" si="224"/>
        <v>0</v>
      </c>
      <c r="DR158" s="161">
        <f t="shared" si="225"/>
        <v>0</v>
      </c>
      <c r="DS158" s="161">
        <f t="shared" si="226"/>
        <v>0</v>
      </c>
      <c r="DT158" s="161">
        <f t="shared" si="227"/>
        <v>0</v>
      </c>
      <c r="DU158" s="161">
        <f t="shared" si="228"/>
        <v>0</v>
      </c>
      <c r="DV158" s="161">
        <f t="shared" si="229"/>
        <v>0</v>
      </c>
      <c r="DW158" s="161">
        <f t="shared" si="230"/>
        <v>0</v>
      </c>
      <c r="DX158" s="161">
        <f t="shared" si="231"/>
        <v>0</v>
      </c>
      <c r="DY158" s="161">
        <f t="shared" si="232"/>
        <v>0</v>
      </c>
      <c r="DZ158" s="161">
        <f t="shared" si="233"/>
        <v>0</v>
      </c>
      <c r="EA158" s="161">
        <f t="shared" si="234"/>
        <v>0</v>
      </c>
      <c r="EB158" s="161">
        <f t="shared" si="235"/>
        <v>0</v>
      </c>
      <c r="EC158" s="161">
        <f t="shared" si="236"/>
        <v>0</v>
      </c>
      <c r="ED158" s="161">
        <f t="shared" si="237"/>
        <v>0</v>
      </c>
      <c r="EE158" s="161">
        <f t="shared" si="238"/>
        <v>0</v>
      </c>
      <c r="EF158" s="161">
        <f t="shared" si="239"/>
        <v>0</v>
      </c>
      <c r="EG158" s="161">
        <f t="shared" si="240"/>
        <v>0</v>
      </c>
      <c r="EH158" s="161">
        <f t="shared" si="241"/>
        <v>0</v>
      </c>
      <c r="EI158" s="161">
        <f t="shared" si="242"/>
        <v>0</v>
      </c>
      <c r="EJ158" s="161">
        <f t="shared" si="243"/>
        <v>0</v>
      </c>
      <c r="EK158" s="147">
        <f t="shared" si="175"/>
        <v>0</v>
      </c>
      <c r="EL158" s="149"/>
      <c r="EN158" s="146"/>
      <c r="EO158" s="146"/>
      <c r="EP158" s="139">
        <f t="shared" si="176"/>
        <v>0</v>
      </c>
      <c r="EQ158" s="139">
        <f t="shared" si="177"/>
        <v>0</v>
      </c>
      <c r="ER158" s="139">
        <f t="shared" si="178"/>
        <v>0</v>
      </c>
      <c r="ES158" s="139">
        <f t="shared" si="179"/>
        <v>0</v>
      </c>
      <c r="ET158" s="139">
        <f t="shared" si="180"/>
        <v>0</v>
      </c>
      <c r="EU158" s="139">
        <f t="shared" si="181"/>
        <v>0</v>
      </c>
      <c r="EV158" s="139">
        <f t="shared" si="182"/>
        <v>0</v>
      </c>
      <c r="EW158" s="139">
        <f t="shared" si="183"/>
        <v>0</v>
      </c>
      <c r="EX158" s="139">
        <f t="shared" si="184"/>
        <v>0</v>
      </c>
      <c r="EY158" s="139">
        <f t="shared" si="185"/>
        <v>0</v>
      </c>
      <c r="EZ158" s="139">
        <f t="shared" si="186"/>
        <v>0</v>
      </c>
      <c r="FA158" s="139">
        <f t="shared" si="187"/>
        <v>0</v>
      </c>
      <c r="FB158" s="139">
        <f t="shared" si="188"/>
        <v>0</v>
      </c>
      <c r="FC158" s="139">
        <f t="shared" si="189"/>
        <v>0</v>
      </c>
      <c r="FD158" s="139">
        <f t="shared" si="190"/>
        <v>0</v>
      </c>
      <c r="FE158" s="139">
        <f t="shared" si="191"/>
        <v>0</v>
      </c>
      <c r="FF158" s="139">
        <f t="shared" si="192"/>
        <v>0</v>
      </c>
      <c r="FG158" s="139">
        <f t="shared" si="193"/>
        <v>0</v>
      </c>
      <c r="FH158" s="139">
        <f t="shared" si="194"/>
        <v>0</v>
      </c>
      <c r="FI158" s="139">
        <f t="shared" si="195"/>
        <v>0</v>
      </c>
      <c r="FJ158" s="139">
        <f t="shared" si="196"/>
        <v>0</v>
      </c>
      <c r="FK158" s="139">
        <f t="shared" si="197"/>
        <v>0</v>
      </c>
      <c r="FL158" s="139">
        <f t="shared" si="198"/>
        <v>0</v>
      </c>
      <c r="FM158" s="139">
        <f t="shared" si="199"/>
        <v>0</v>
      </c>
      <c r="FN158" s="139">
        <f t="shared" si="200"/>
        <v>0</v>
      </c>
      <c r="FO158" s="139">
        <f t="shared" si="201"/>
        <v>0</v>
      </c>
      <c r="FP158" s="139">
        <f t="shared" si="202"/>
        <v>0</v>
      </c>
      <c r="FQ158" s="139">
        <f t="shared" si="203"/>
        <v>0</v>
      </c>
      <c r="FR158" s="139">
        <f t="shared" si="204"/>
        <v>0</v>
      </c>
      <c r="FS158" s="139">
        <f t="shared" si="205"/>
        <v>0</v>
      </c>
      <c r="FT158" s="139">
        <f t="shared" si="206"/>
        <v>0</v>
      </c>
      <c r="FU158" s="148">
        <f t="shared" si="207"/>
        <v>0</v>
      </c>
      <c r="FV158" s="149"/>
      <c r="FY158" s="211">
        <v>153</v>
      </c>
      <c r="FZ158">
        <v>1.2396412137533552</v>
      </c>
      <c r="GA158">
        <v>0.86195082931690026</v>
      </c>
      <c r="GB158">
        <v>0.204855832097669</v>
      </c>
      <c r="GC158">
        <v>0.14859665052880375</v>
      </c>
      <c r="GD158">
        <v>2.6724553773673727E-2</v>
      </c>
      <c r="GE158">
        <v>0</v>
      </c>
      <c r="GF158">
        <v>0</v>
      </c>
      <c r="GG158">
        <v>0</v>
      </c>
      <c r="GH158">
        <v>0</v>
      </c>
      <c r="GI158">
        <v>0.24921635970072076</v>
      </c>
      <c r="GJ158"/>
      <c r="GK158">
        <v>1.2500588629989893</v>
      </c>
      <c r="GL158">
        <v>0.7403709403449259</v>
      </c>
      <c r="GM158">
        <v>0.34079383167279126</v>
      </c>
      <c r="GN158">
        <v>0.44573189690518267</v>
      </c>
      <c r="GO158">
        <v>0.10493806523239137</v>
      </c>
      <c r="GP158">
        <v>0</v>
      </c>
      <c r="GQ158">
        <v>0</v>
      </c>
      <c r="GR158">
        <v>0</v>
      </c>
      <c r="GS158">
        <v>0</v>
      </c>
      <c r="GT158">
        <v>0.33915815198083438</v>
      </c>
      <c r="GU158"/>
      <c r="GV158"/>
      <c r="GW158"/>
      <c r="GX158"/>
      <c r="GY158"/>
      <c r="GZ158"/>
      <c r="HA158"/>
      <c r="HB158"/>
      <c r="HC158"/>
    </row>
    <row r="159" spans="1:211" s="7" customFormat="1">
      <c r="A159" s="1"/>
      <c r="B159" s="76">
        <f t="shared" ca="1" si="172"/>
        <v>0.6419778311587323</v>
      </c>
      <c r="C159">
        <v>7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2.953125</v>
      </c>
      <c r="AO159">
        <v>0.3660399240855699</v>
      </c>
      <c r="AP159">
        <v>11.854608431865138</v>
      </c>
      <c r="AQ159">
        <v>2.5074476363855305</v>
      </c>
      <c r="AR159">
        <v>0.41289212888227139</v>
      </c>
      <c r="AS159">
        <v>2.2441417673462651</v>
      </c>
      <c r="AT159" t="e">
        <v>#DIV/0!</v>
      </c>
      <c r="AU159" t="e">
        <v>#DIV/0!</v>
      </c>
      <c r="AV159"/>
      <c r="AW159"/>
      <c r="AX159" s="146"/>
      <c r="AY159" s="76">
        <f t="shared" ca="1" si="173"/>
        <v>0.35453736430338356</v>
      </c>
      <c r="AZ159">
        <v>2</v>
      </c>
      <c r="BA159" s="129">
        <f t="shared" ref="BA159:BA167" si="245">IF(AZ159="", "",$C$11)</f>
        <v>39910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 s="147"/>
      <c r="CH159" s="176"/>
      <c r="CJ159" s="146"/>
      <c r="CK159" s="76">
        <f t="shared" ca="1" si="208"/>
        <v>0.71930358964424479</v>
      </c>
      <c r="CL159" s="179">
        <f t="shared" si="209"/>
        <v>2</v>
      </c>
      <c r="CM159" s="180">
        <f t="shared" si="210"/>
        <v>39910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 s="160"/>
      <c r="CW159">
        <v>1</v>
      </c>
      <c r="CX159">
        <f>256/23</f>
        <v>11.130434782608695</v>
      </c>
      <c r="CY159" s="160"/>
      <c r="CZ159" s="177">
        <f t="shared" si="211"/>
        <v>9.6000000000000002E-2</v>
      </c>
      <c r="DB159" s="146"/>
      <c r="DC159" s="76">
        <f t="shared" ca="1" si="174"/>
        <v>0.83126660390967921</v>
      </c>
      <c r="DD159">
        <f t="shared" si="212"/>
        <v>2</v>
      </c>
      <c r="DE159" s="129">
        <f t="shared" si="244"/>
        <v>39910</v>
      </c>
      <c r="DF159" s="161">
        <f t="shared" si="213"/>
        <v>0</v>
      </c>
      <c r="DG159" s="161">
        <f t="shared" si="214"/>
        <v>0</v>
      </c>
      <c r="DH159" s="161">
        <f t="shared" si="215"/>
        <v>0</v>
      </c>
      <c r="DI159" s="161">
        <f t="shared" si="216"/>
        <v>0</v>
      </c>
      <c r="DJ159" s="161">
        <f t="shared" si="217"/>
        <v>0</v>
      </c>
      <c r="DK159" s="161">
        <f t="shared" si="218"/>
        <v>0</v>
      </c>
      <c r="DL159" s="161">
        <f t="shared" si="219"/>
        <v>0</v>
      </c>
      <c r="DM159" s="161">
        <f t="shared" si="220"/>
        <v>0</v>
      </c>
      <c r="DN159" s="161">
        <f t="shared" si="221"/>
        <v>0</v>
      </c>
      <c r="DO159" s="161">
        <f t="shared" si="222"/>
        <v>0</v>
      </c>
      <c r="DP159" s="161">
        <f t="shared" si="223"/>
        <v>0</v>
      </c>
      <c r="DQ159" s="161">
        <f t="shared" si="224"/>
        <v>0</v>
      </c>
      <c r="DR159" s="161">
        <f t="shared" si="225"/>
        <v>0</v>
      </c>
      <c r="DS159" s="161">
        <f t="shared" si="226"/>
        <v>0</v>
      </c>
      <c r="DT159" s="161">
        <f t="shared" si="227"/>
        <v>0</v>
      </c>
      <c r="DU159" s="161">
        <f t="shared" si="228"/>
        <v>0</v>
      </c>
      <c r="DV159" s="161">
        <f t="shared" si="229"/>
        <v>0</v>
      </c>
      <c r="DW159" s="161">
        <f t="shared" si="230"/>
        <v>0</v>
      </c>
      <c r="DX159" s="161">
        <f t="shared" si="231"/>
        <v>0</v>
      </c>
      <c r="DY159" s="161">
        <f t="shared" si="232"/>
        <v>0</v>
      </c>
      <c r="DZ159" s="161">
        <f t="shared" si="233"/>
        <v>0</v>
      </c>
      <c r="EA159" s="161">
        <f t="shared" si="234"/>
        <v>0</v>
      </c>
      <c r="EB159" s="161">
        <f t="shared" si="235"/>
        <v>0</v>
      </c>
      <c r="EC159" s="161">
        <f t="shared" si="236"/>
        <v>0</v>
      </c>
      <c r="ED159" s="161">
        <f t="shared" si="237"/>
        <v>0</v>
      </c>
      <c r="EE159" s="161">
        <f t="shared" si="238"/>
        <v>0</v>
      </c>
      <c r="EF159" s="161">
        <f t="shared" si="239"/>
        <v>0</v>
      </c>
      <c r="EG159" s="161">
        <f t="shared" si="240"/>
        <v>0</v>
      </c>
      <c r="EH159" s="161">
        <f t="shared" si="241"/>
        <v>0</v>
      </c>
      <c r="EI159" s="161">
        <f t="shared" si="242"/>
        <v>0</v>
      </c>
      <c r="EJ159" s="161">
        <f t="shared" si="243"/>
        <v>0</v>
      </c>
      <c r="EK159" s="147">
        <f t="shared" si="175"/>
        <v>0</v>
      </c>
      <c r="EL159" s="149"/>
      <c r="EN159" s="146"/>
      <c r="EO159" s="146"/>
      <c r="EP159" s="139">
        <f t="shared" si="176"/>
        <v>0</v>
      </c>
      <c r="EQ159" s="139">
        <f t="shared" si="177"/>
        <v>0</v>
      </c>
      <c r="ER159" s="139">
        <f t="shared" si="178"/>
        <v>0</v>
      </c>
      <c r="ES159" s="139">
        <f t="shared" si="179"/>
        <v>0</v>
      </c>
      <c r="ET159" s="139">
        <f t="shared" si="180"/>
        <v>0</v>
      </c>
      <c r="EU159" s="139">
        <f t="shared" si="181"/>
        <v>0</v>
      </c>
      <c r="EV159" s="139">
        <f t="shared" si="182"/>
        <v>0</v>
      </c>
      <c r="EW159" s="139">
        <f t="shared" si="183"/>
        <v>0</v>
      </c>
      <c r="EX159" s="139">
        <f t="shared" si="184"/>
        <v>0</v>
      </c>
      <c r="EY159" s="139">
        <f t="shared" si="185"/>
        <v>0</v>
      </c>
      <c r="EZ159" s="139">
        <f t="shared" si="186"/>
        <v>0</v>
      </c>
      <c r="FA159" s="139">
        <f t="shared" si="187"/>
        <v>0</v>
      </c>
      <c r="FB159" s="139">
        <f t="shared" si="188"/>
        <v>0</v>
      </c>
      <c r="FC159" s="139">
        <f t="shared" si="189"/>
        <v>0</v>
      </c>
      <c r="FD159" s="139">
        <f t="shared" si="190"/>
        <v>0</v>
      </c>
      <c r="FE159" s="139">
        <f t="shared" si="191"/>
        <v>0</v>
      </c>
      <c r="FF159" s="139">
        <f t="shared" si="192"/>
        <v>0</v>
      </c>
      <c r="FG159" s="139">
        <f t="shared" si="193"/>
        <v>0</v>
      </c>
      <c r="FH159" s="139">
        <f t="shared" si="194"/>
        <v>0</v>
      </c>
      <c r="FI159" s="139">
        <f t="shared" si="195"/>
        <v>0</v>
      </c>
      <c r="FJ159" s="139">
        <f t="shared" si="196"/>
        <v>0</v>
      </c>
      <c r="FK159" s="139">
        <f t="shared" si="197"/>
        <v>0</v>
      </c>
      <c r="FL159" s="139">
        <f t="shared" si="198"/>
        <v>0</v>
      </c>
      <c r="FM159" s="139">
        <f t="shared" si="199"/>
        <v>0</v>
      </c>
      <c r="FN159" s="139">
        <f t="shared" si="200"/>
        <v>0</v>
      </c>
      <c r="FO159" s="139">
        <f t="shared" si="201"/>
        <v>0</v>
      </c>
      <c r="FP159" s="139">
        <f t="shared" si="202"/>
        <v>0</v>
      </c>
      <c r="FQ159" s="139">
        <f t="shared" si="203"/>
        <v>0</v>
      </c>
      <c r="FR159" s="139">
        <f t="shared" si="204"/>
        <v>0</v>
      </c>
      <c r="FS159" s="139">
        <f t="shared" si="205"/>
        <v>0</v>
      </c>
      <c r="FT159" s="139">
        <f t="shared" si="206"/>
        <v>0</v>
      </c>
      <c r="FU159" s="148">
        <f t="shared" si="207"/>
        <v>0</v>
      </c>
      <c r="FV159" s="149"/>
      <c r="FY159" s="211">
        <v>154</v>
      </c>
      <c r="FZ159">
        <v>1.7101297580772632</v>
      </c>
      <c r="GA159">
        <v>1.4238019551530652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0.25305300646943435</v>
      </c>
      <c r="GJ159"/>
      <c r="GK159">
        <v>1.724810742542485</v>
      </c>
      <c r="GL159">
        <v>1.2211671743612631</v>
      </c>
      <c r="GM159">
        <v>0</v>
      </c>
      <c r="GN159">
        <v>0</v>
      </c>
      <c r="GO159">
        <v>0</v>
      </c>
      <c r="GP159">
        <v>0</v>
      </c>
      <c r="GQ159">
        <v>0</v>
      </c>
      <c r="GR159">
        <v>0</v>
      </c>
      <c r="GS159">
        <v>0</v>
      </c>
      <c r="GT159">
        <v>0.34496214850849699</v>
      </c>
      <c r="GU159"/>
      <c r="GV159"/>
      <c r="GW159"/>
      <c r="GX159"/>
      <c r="GY159"/>
      <c r="GZ159"/>
      <c r="HA159"/>
      <c r="HB159"/>
      <c r="HC159"/>
    </row>
    <row r="160" spans="1:211" s="7" customFormat="1">
      <c r="A160" s="1"/>
      <c r="B160" s="76">
        <f t="shared" ca="1" si="172"/>
        <v>0.65619798057670087</v>
      </c>
      <c r="C160">
        <v>6</v>
      </c>
      <c r="D160">
        <v>39910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1.5499999999999998</v>
      </c>
      <c r="AO160">
        <v>0.21378067532947229</v>
      </c>
      <c r="AP160">
        <v>2.7718282327136294</v>
      </c>
      <c r="AQ160">
        <v>1.7082184421857511</v>
      </c>
      <c r="AR160">
        <v>0.24827955700661841</v>
      </c>
      <c r="AS160">
        <v>1.4680333495097255</v>
      </c>
      <c r="AT160" t="e">
        <v>#DIV/0!</v>
      </c>
      <c r="AU160" t="e">
        <v>#DIV/0!</v>
      </c>
      <c r="AV160"/>
      <c r="AW160"/>
      <c r="AX160" s="146"/>
      <c r="AY160" s="76">
        <f t="shared" ca="1" si="173"/>
        <v>0.4073942921080187</v>
      </c>
      <c r="AZ160">
        <v>3</v>
      </c>
      <c r="BA160" s="129">
        <f t="shared" si="245"/>
        <v>39910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 s="147"/>
      <c r="CH160" s="176"/>
      <c r="CJ160" s="146"/>
      <c r="CK160" s="76">
        <f t="shared" ca="1" si="208"/>
        <v>0.83000245782983217</v>
      </c>
      <c r="CL160" s="179">
        <f t="shared" si="209"/>
        <v>3</v>
      </c>
      <c r="CM160" s="180">
        <f t="shared" si="210"/>
        <v>39910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11"/>
        <v>9.6000000000000002E-2</v>
      </c>
      <c r="DB160" s="146"/>
      <c r="DC160" s="76">
        <f t="shared" ca="1" si="174"/>
        <v>0.23614867145744789</v>
      </c>
      <c r="DD160">
        <f t="shared" si="212"/>
        <v>3</v>
      </c>
      <c r="DE160" s="129">
        <f t="shared" si="244"/>
        <v>39910</v>
      </c>
      <c r="DF160" s="161">
        <f t="shared" si="213"/>
        <v>0</v>
      </c>
      <c r="DG160" s="161">
        <f t="shared" si="214"/>
        <v>0</v>
      </c>
      <c r="DH160" s="161">
        <f t="shared" si="215"/>
        <v>0</v>
      </c>
      <c r="DI160" s="161">
        <f t="shared" si="216"/>
        <v>0</v>
      </c>
      <c r="DJ160" s="161">
        <f t="shared" si="217"/>
        <v>0</v>
      </c>
      <c r="DK160" s="161">
        <f t="shared" si="218"/>
        <v>0</v>
      </c>
      <c r="DL160" s="161">
        <f t="shared" si="219"/>
        <v>0</v>
      </c>
      <c r="DM160" s="161">
        <f t="shared" si="220"/>
        <v>0</v>
      </c>
      <c r="DN160" s="161">
        <f t="shared" si="221"/>
        <v>0</v>
      </c>
      <c r="DO160" s="161">
        <f t="shared" si="222"/>
        <v>0</v>
      </c>
      <c r="DP160" s="161">
        <f t="shared" si="223"/>
        <v>0</v>
      </c>
      <c r="DQ160" s="161">
        <f t="shared" si="224"/>
        <v>0</v>
      </c>
      <c r="DR160" s="161">
        <f t="shared" si="225"/>
        <v>0</v>
      </c>
      <c r="DS160" s="161">
        <f t="shared" si="226"/>
        <v>0</v>
      </c>
      <c r="DT160" s="161">
        <f t="shared" si="227"/>
        <v>0</v>
      </c>
      <c r="DU160" s="161">
        <f t="shared" si="228"/>
        <v>0</v>
      </c>
      <c r="DV160" s="161">
        <f t="shared" si="229"/>
        <v>0</v>
      </c>
      <c r="DW160" s="161">
        <f t="shared" si="230"/>
        <v>0</v>
      </c>
      <c r="DX160" s="161">
        <f t="shared" si="231"/>
        <v>0</v>
      </c>
      <c r="DY160" s="161">
        <f t="shared" si="232"/>
        <v>0</v>
      </c>
      <c r="DZ160" s="161">
        <f t="shared" si="233"/>
        <v>0</v>
      </c>
      <c r="EA160" s="161">
        <f t="shared" si="234"/>
        <v>0</v>
      </c>
      <c r="EB160" s="161">
        <f t="shared" si="235"/>
        <v>0</v>
      </c>
      <c r="EC160" s="161">
        <f t="shared" si="236"/>
        <v>0</v>
      </c>
      <c r="ED160" s="161">
        <f t="shared" si="237"/>
        <v>0</v>
      </c>
      <c r="EE160" s="161">
        <f t="shared" si="238"/>
        <v>0</v>
      </c>
      <c r="EF160" s="161">
        <f t="shared" si="239"/>
        <v>0</v>
      </c>
      <c r="EG160" s="161">
        <f t="shared" si="240"/>
        <v>0</v>
      </c>
      <c r="EH160" s="161">
        <f t="shared" si="241"/>
        <v>0</v>
      </c>
      <c r="EI160" s="161">
        <f t="shared" si="242"/>
        <v>0</v>
      </c>
      <c r="EJ160" s="161">
        <f t="shared" si="243"/>
        <v>0</v>
      </c>
      <c r="EK160" s="147">
        <f t="shared" si="175"/>
        <v>0</v>
      </c>
      <c r="EL160" s="149"/>
      <c r="EN160" s="146"/>
      <c r="EO160" s="146"/>
      <c r="EP160" s="139">
        <f t="shared" si="176"/>
        <v>0</v>
      </c>
      <c r="EQ160" s="139">
        <f t="shared" si="177"/>
        <v>0</v>
      </c>
      <c r="ER160" s="139">
        <f t="shared" si="178"/>
        <v>0</v>
      </c>
      <c r="ES160" s="139">
        <f t="shared" si="179"/>
        <v>0</v>
      </c>
      <c r="ET160" s="139">
        <f t="shared" si="180"/>
        <v>0</v>
      </c>
      <c r="EU160" s="139">
        <f t="shared" si="181"/>
        <v>0</v>
      </c>
      <c r="EV160" s="139">
        <f t="shared" si="182"/>
        <v>0</v>
      </c>
      <c r="EW160" s="139">
        <f t="shared" si="183"/>
        <v>0</v>
      </c>
      <c r="EX160" s="139">
        <f t="shared" si="184"/>
        <v>0</v>
      </c>
      <c r="EY160" s="139">
        <f t="shared" si="185"/>
        <v>0</v>
      </c>
      <c r="EZ160" s="139">
        <f t="shared" si="186"/>
        <v>0</v>
      </c>
      <c r="FA160" s="139">
        <f t="shared" si="187"/>
        <v>0</v>
      </c>
      <c r="FB160" s="139">
        <f t="shared" si="188"/>
        <v>0</v>
      </c>
      <c r="FC160" s="139">
        <f t="shared" si="189"/>
        <v>0</v>
      </c>
      <c r="FD160" s="139">
        <f t="shared" si="190"/>
        <v>0</v>
      </c>
      <c r="FE160" s="139">
        <f t="shared" si="191"/>
        <v>0</v>
      </c>
      <c r="FF160" s="139">
        <f t="shared" si="192"/>
        <v>0</v>
      </c>
      <c r="FG160" s="139">
        <f t="shared" si="193"/>
        <v>0</v>
      </c>
      <c r="FH160" s="139">
        <f t="shared" si="194"/>
        <v>0</v>
      </c>
      <c r="FI160" s="139">
        <f t="shared" si="195"/>
        <v>0</v>
      </c>
      <c r="FJ160" s="139">
        <f t="shared" si="196"/>
        <v>0</v>
      </c>
      <c r="FK160" s="139">
        <f t="shared" si="197"/>
        <v>0</v>
      </c>
      <c r="FL160" s="139">
        <f t="shared" si="198"/>
        <v>0</v>
      </c>
      <c r="FM160" s="139">
        <f t="shared" si="199"/>
        <v>0</v>
      </c>
      <c r="FN160" s="139">
        <f t="shared" si="200"/>
        <v>0</v>
      </c>
      <c r="FO160" s="139">
        <f t="shared" si="201"/>
        <v>0</v>
      </c>
      <c r="FP160" s="139">
        <f t="shared" si="202"/>
        <v>0</v>
      </c>
      <c r="FQ160" s="139">
        <f t="shared" si="203"/>
        <v>0</v>
      </c>
      <c r="FR160" s="139">
        <f t="shared" si="204"/>
        <v>0</v>
      </c>
      <c r="FS160" s="139">
        <f t="shared" si="205"/>
        <v>0</v>
      </c>
      <c r="FT160" s="139">
        <f t="shared" si="206"/>
        <v>0</v>
      </c>
      <c r="FU160" s="148">
        <f t="shared" si="207"/>
        <v>0</v>
      </c>
      <c r="FV160" s="149"/>
      <c r="FY160" s="211">
        <v>155</v>
      </c>
      <c r="FZ160">
        <v>1.4245565016139503</v>
      </c>
      <c r="GA160">
        <v>1.0364517775538535</v>
      </c>
      <c r="GB160">
        <v>0.14202990935487192</v>
      </c>
      <c r="GC160">
        <v>0.11377737556984255</v>
      </c>
      <c r="GD160">
        <v>2.6724553773673727E-2</v>
      </c>
      <c r="GE160">
        <v>0</v>
      </c>
      <c r="GF160">
        <v>0.66042100116664126</v>
      </c>
      <c r="GG160">
        <v>0.59518473501329594</v>
      </c>
      <c r="GH160">
        <v>0</v>
      </c>
      <c r="GI160">
        <v>0.38941231930389852</v>
      </c>
      <c r="GJ160"/>
      <c r="GK160">
        <v>1.4317070274542347</v>
      </c>
      <c r="GL160">
        <v>0.88785195880342482</v>
      </c>
      <c r="GM160">
        <v>0.23585576644039991</v>
      </c>
      <c r="GN160">
        <v>0.34079383167279126</v>
      </c>
      <c r="GO160">
        <v>0.10493806523239137</v>
      </c>
      <c r="GP160">
        <v>0</v>
      </c>
      <c r="GQ160">
        <v>0.90739586192571098</v>
      </c>
      <c r="GR160">
        <v>0.90739586192571098</v>
      </c>
      <c r="GS160">
        <v>0</v>
      </c>
      <c r="GT160">
        <v>0.53597934421054738</v>
      </c>
      <c r="GU160"/>
      <c r="GV160"/>
      <c r="GW160"/>
      <c r="GX160"/>
      <c r="GY160"/>
      <c r="GZ160"/>
      <c r="HA160"/>
      <c r="HB160"/>
      <c r="HC160"/>
    </row>
    <row r="161" spans="1:211" s="7" customFormat="1">
      <c r="A161" s="1"/>
      <c r="B161" s="76">
        <f t="shared" ca="1" si="172"/>
        <v>0.93188842985344378</v>
      </c>
      <c r="C161">
        <v>8</v>
      </c>
      <c r="D161">
        <v>39910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2.0083333333333337</v>
      </c>
      <c r="AO161">
        <v>0.41768939514381226</v>
      </c>
      <c r="AP161">
        <v>16.916585982459431</v>
      </c>
      <c r="AQ161">
        <v>3.260006787958257</v>
      </c>
      <c r="AR161">
        <v>0.44572457858975945</v>
      </c>
      <c r="AS161">
        <v>1.9142310233381745</v>
      </c>
      <c r="AT161" t="e">
        <v>#DIV/0!</v>
      </c>
      <c r="AU161" t="e">
        <v>#DIV/0!</v>
      </c>
      <c r="AV161"/>
      <c r="AW161"/>
      <c r="AX161" s="146"/>
      <c r="AY161" s="76">
        <f t="shared" ca="1" si="173"/>
        <v>0.37470428459010163</v>
      </c>
      <c r="AZ161">
        <v>4</v>
      </c>
      <c r="BA161" s="129">
        <f t="shared" si="245"/>
        <v>39910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 s="147"/>
      <c r="CH161" s="176"/>
      <c r="CJ161" s="146"/>
      <c r="CK161" s="76">
        <f t="shared" ca="1" si="208"/>
        <v>0.46730382734604259</v>
      </c>
      <c r="CL161" s="179">
        <f t="shared" si="209"/>
        <v>4</v>
      </c>
      <c r="CM161" s="180">
        <f t="shared" si="210"/>
        <v>39910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 s="160"/>
      <c r="CW161">
        <v>1</v>
      </c>
      <c r="CX161">
        <f>310/93</f>
        <v>3.3333333333333335</v>
      </c>
      <c r="CY161" s="160"/>
      <c r="CZ161" s="177">
        <f t="shared" si="211"/>
        <v>9.6000000000000002E-2</v>
      </c>
      <c r="DB161" s="146"/>
      <c r="DC161" s="76">
        <f t="shared" ca="1" si="174"/>
        <v>0.14952288849673878</v>
      </c>
      <c r="DD161">
        <f t="shared" si="212"/>
        <v>4</v>
      </c>
      <c r="DE161" s="129">
        <f t="shared" si="244"/>
        <v>39910</v>
      </c>
      <c r="DF161" s="161">
        <f t="shared" si="213"/>
        <v>0</v>
      </c>
      <c r="DG161" s="161">
        <f t="shared" si="214"/>
        <v>0</v>
      </c>
      <c r="DH161" s="161">
        <f t="shared" si="215"/>
        <v>0</v>
      </c>
      <c r="DI161" s="161">
        <f t="shared" si="216"/>
        <v>0</v>
      </c>
      <c r="DJ161" s="161">
        <f t="shared" si="217"/>
        <v>0</v>
      </c>
      <c r="DK161" s="161">
        <f t="shared" si="218"/>
        <v>0</v>
      </c>
      <c r="DL161" s="161">
        <f t="shared" si="219"/>
        <v>0</v>
      </c>
      <c r="DM161" s="161">
        <f t="shared" si="220"/>
        <v>0</v>
      </c>
      <c r="DN161" s="161">
        <f t="shared" si="221"/>
        <v>0</v>
      </c>
      <c r="DO161" s="161">
        <f t="shared" si="222"/>
        <v>0</v>
      </c>
      <c r="DP161" s="161">
        <f t="shared" si="223"/>
        <v>0</v>
      </c>
      <c r="DQ161" s="161">
        <f t="shared" si="224"/>
        <v>0</v>
      </c>
      <c r="DR161" s="161">
        <f t="shared" si="225"/>
        <v>0</v>
      </c>
      <c r="DS161" s="161">
        <f t="shared" si="226"/>
        <v>0</v>
      </c>
      <c r="DT161" s="161">
        <f t="shared" si="227"/>
        <v>0</v>
      </c>
      <c r="DU161" s="161">
        <f t="shared" si="228"/>
        <v>0</v>
      </c>
      <c r="DV161" s="161">
        <f t="shared" si="229"/>
        <v>0</v>
      </c>
      <c r="DW161" s="161">
        <f t="shared" si="230"/>
        <v>0</v>
      </c>
      <c r="DX161" s="161">
        <f t="shared" si="231"/>
        <v>0</v>
      </c>
      <c r="DY161" s="161">
        <f t="shared" si="232"/>
        <v>0</v>
      </c>
      <c r="DZ161" s="161">
        <f t="shared" si="233"/>
        <v>0</v>
      </c>
      <c r="EA161" s="161">
        <f t="shared" si="234"/>
        <v>0</v>
      </c>
      <c r="EB161" s="161">
        <f t="shared" si="235"/>
        <v>0</v>
      </c>
      <c r="EC161" s="161">
        <f t="shared" si="236"/>
        <v>0</v>
      </c>
      <c r="ED161" s="161">
        <f t="shared" si="237"/>
        <v>0</v>
      </c>
      <c r="EE161" s="161">
        <f t="shared" si="238"/>
        <v>0</v>
      </c>
      <c r="EF161" s="161">
        <f t="shared" si="239"/>
        <v>0</v>
      </c>
      <c r="EG161" s="161">
        <f t="shared" si="240"/>
        <v>0</v>
      </c>
      <c r="EH161" s="161">
        <f t="shared" si="241"/>
        <v>0</v>
      </c>
      <c r="EI161" s="161">
        <f t="shared" si="242"/>
        <v>0</v>
      </c>
      <c r="EJ161" s="161">
        <f t="shared" si="243"/>
        <v>0</v>
      </c>
      <c r="EK161" s="147">
        <f t="shared" si="175"/>
        <v>0</v>
      </c>
      <c r="EL161" s="149"/>
      <c r="EN161" s="146"/>
      <c r="EO161" s="146"/>
      <c r="EP161" s="139">
        <f t="shared" si="176"/>
        <v>0</v>
      </c>
      <c r="EQ161" s="139">
        <f t="shared" si="177"/>
        <v>0</v>
      </c>
      <c r="ER161" s="139">
        <f t="shared" si="178"/>
        <v>0</v>
      </c>
      <c r="ES161" s="139">
        <f t="shared" si="179"/>
        <v>0</v>
      </c>
      <c r="ET161" s="139">
        <f t="shared" si="180"/>
        <v>0</v>
      </c>
      <c r="EU161" s="139">
        <f t="shared" si="181"/>
        <v>0</v>
      </c>
      <c r="EV161" s="139">
        <f t="shared" si="182"/>
        <v>0</v>
      </c>
      <c r="EW161" s="139">
        <f t="shared" si="183"/>
        <v>0</v>
      </c>
      <c r="EX161" s="139">
        <f t="shared" si="184"/>
        <v>0</v>
      </c>
      <c r="EY161" s="139">
        <f t="shared" si="185"/>
        <v>0</v>
      </c>
      <c r="EZ161" s="139">
        <f t="shared" si="186"/>
        <v>0</v>
      </c>
      <c r="FA161" s="139">
        <f t="shared" si="187"/>
        <v>0</v>
      </c>
      <c r="FB161" s="139">
        <f t="shared" si="188"/>
        <v>0</v>
      </c>
      <c r="FC161" s="139">
        <f t="shared" si="189"/>
        <v>0</v>
      </c>
      <c r="FD161" s="139">
        <f t="shared" si="190"/>
        <v>0</v>
      </c>
      <c r="FE161" s="139">
        <f t="shared" si="191"/>
        <v>0</v>
      </c>
      <c r="FF161" s="139">
        <f t="shared" si="192"/>
        <v>0</v>
      </c>
      <c r="FG161" s="139">
        <f t="shared" si="193"/>
        <v>0</v>
      </c>
      <c r="FH161" s="139">
        <f t="shared" si="194"/>
        <v>0</v>
      </c>
      <c r="FI161" s="139">
        <f t="shared" si="195"/>
        <v>0</v>
      </c>
      <c r="FJ161" s="139">
        <f t="shared" si="196"/>
        <v>0</v>
      </c>
      <c r="FK161" s="139">
        <f t="shared" si="197"/>
        <v>0</v>
      </c>
      <c r="FL161" s="139">
        <f t="shared" si="198"/>
        <v>0</v>
      </c>
      <c r="FM161" s="139">
        <f t="shared" si="199"/>
        <v>0</v>
      </c>
      <c r="FN161" s="139">
        <f t="shared" si="200"/>
        <v>0</v>
      </c>
      <c r="FO161" s="139">
        <f t="shared" si="201"/>
        <v>0</v>
      </c>
      <c r="FP161" s="139">
        <f t="shared" si="202"/>
        <v>0</v>
      </c>
      <c r="FQ161" s="139">
        <f t="shared" si="203"/>
        <v>0</v>
      </c>
      <c r="FR161" s="139">
        <f t="shared" si="204"/>
        <v>0</v>
      </c>
      <c r="FS161" s="139">
        <f t="shared" si="205"/>
        <v>0</v>
      </c>
      <c r="FT161" s="139">
        <f t="shared" si="206"/>
        <v>0</v>
      </c>
      <c r="FU161" s="148">
        <f t="shared" si="207"/>
        <v>0</v>
      </c>
      <c r="FV161" s="149"/>
      <c r="FY161" s="211">
        <v>156</v>
      </c>
      <c r="FZ161">
        <v>0.52533129742948659</v>
      </c>
      <c r="GA161">
        <v>0</v>
      </c>
      <c r="GB161">
        <v>0</v>
      </c>
      <c r="GC161">
        <v>6.9638549917922385E-2</v>
      </c>
      <c r="GD161">
        <v>5.3449107547347455E-2</v>
      </c>
      <c r="GE161">
        <v>0</v>
      </c>
      <c r="GF161">
        <v>0.66042100116664126</v>
      </c>
      <c r="GG161">
        <v>0.59518473501329594</v>
      </c>
      <c r="GH161">
        <v>0</v>
      </c>
      <c r="GI161">
        <v>0.23694912989433645</v>
      </c>
      <c r="GJ161"/>
      <c r="GK161">
        <v>0.52469640503215964</v>
      </c>
      <c r="GL161">
        <v>0</v>
      </c>
      <c r="GM161">
        <v>0</v>
      </c>
      <c r="GN161">
        <v>0.20987613046478273</v>
      </c>
      <c r="GO161">
        <v>0.20987613046478273</v>
      </c>
      <c r="GP161">
        <v>0</v>
      </c>
      <c r="GQ161">
        <v>0.90739586192571098</v>
      </c>
      <c r="GR161">
        <v>0.90739586192571098</v>
      </c>
      <c r="GS161">
        <v>0</v>
      </c>
      <c r="GT161">
        <v>0.32839367948453069</v>
      </c>
      <c r="GU161"/>
      <c r="GV161"/>
      <c r="GW161"/>
      <c r="GX161"/>
      <c r="GY161"/>
      <c r="GZ161"/>
      <c r="HA161"/>
      <c r="HB161"/>
      <c r="HC161"/>
    </row>
    <row r="162" spans="1:211" s="7" customFormat="1">
      <c r="A162" s="1"/>
      <c r="B162" s="76">
        <f t="shared" ca="1" si="172"/>
        <v>0.28449740737339324</v>
      </c>
      <c r="C162">
        <v>3</v>
      </c>
      <c r="D162">
        <v>39910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2.6437499999999998</v>
      </c>
      <c r="AO162">
        <v>0.3643946285402801</v>
      </c>
      <c r="AP162">
        <v>10.346664338431102</v>
      </c>
      <c r="AQ162">
        <v>2.9395366627532624</v>
      </c>
      <c r="AR162">
        <v>0.41139640565928076</v>
      </c>
      <c r="AS162">
        <v>2.1097718243152124</v>
      </c>
      <c r="AT162" t="e">
        <v>#DIV/0!</v>
      </c>
      <c r="AU162" t="e">
        <v>#DIV/0!</v>
      </c>
      <c r="AV162"/>
      <c r="AW162"/>
      <c r="AX162" s="146"/>
      <c r="AY162" s="76">
        <f t="shared" ca="1" si="173"/>
        <v>0.63520496410287586</v>
      </c>
      <c r="AZ162">
        <v>5</v>
      </c>
      <c r="BA162" s="129">
        <f t="shared" si="245"/>
        <v>39910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 s="147"/>
      <c r="CH162" s="176"/>
      <c r="CJ162" s="146"/>
      <c r="CK162" s="76">
        <f t="shared" ca="1" si="208"/>
        <v>0.56975310437301951</v>
      </c>
      <c r="CL162" s="179">
        <f t="shared" si="209"/>
        <v>5</v>
      </c>
      <c r="CM162" s="180">
        <f t="shared" si="210"/>
        <v>39910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 s="160"/>
      <c r="CW162">
        <v>1</v>
      </c>
      <c r="CX162">
        <v>1</v>
      </c>
      <c r="CY162" s="160"/>
      <c r="CZ162" s="177">
        <f t="shared" si="211"/>
        <v>9.6000000000000002E-2</v>
      </c>
      <c r="DB162" s="146"/>
      <c r="DC162" s="76">
        <f t="shared" ca="1" si="174"/>
        <v>0.2796846361826022</v>
      </c>
      <c r="DD162">
        <f t="shared" si="212"/>
        <v>5</v>
      </c>
      <c r="DE162" s="129">
        <f t="shared" si="244"/>
        <v>39910</v>
      </c>
      <c r="DF162" s="161">
        <f t="shared" si="213"/>
        <v>0</v>
      </c>
      <c r="DG162" s="161">
        <f t="shared" si="214"/>
        <v>0</v>
      </c>
      <c r="DH162" s="161">
        <f t="shared" si="215"/>
        <v>0</v>
      </c>
      <c r="DI162" s="161">
        <f t="shared" si="216"/>
        <v>0</v>
      </c>
      <c r="DJ162" s="161">
        <f t="shared" si="217"/>
        <v>0</v>
      </c>
      <c r="DK162" s="161">
        <f t="shared" si="218"/>
        <v>0</v>
      </c>
      <c r="DL162" s="161">
        <f t="shared" si="219"/>
        <v>0</v>
      </c>
      <c r="DM162" s="161">
        <f t="shared" si="220"/>
        <v>0</v>
      </c>
      <c r="DN162" s="161">
        <f t="shared" si="221"/>
        <v>0</v>
      </c>
      <c r="DO162" s="161">
        <f t="shared" si="222"/>
        <v>0</v>
      </c>
      <c r="DP162" s="161">
        <f t="shared" si="223"/>
        <v>0</v>
      </c>
      <c r="DQ162" s="161">
        <f t="shared" si="224"/>
        <v>0</v>
      </c>
      <c r="DR162" s="161">
        <f t="shared" si="225"/>
        <v>0</v>
      </c>
      <c r="DS162" s="161">
        <f t="shared" si="226"/>
        <v>0</v>
      </c>
      <c r="DT162" s="161">
        <f t="shared" si="227"/>
        <v>0</v>
      </c>
      <c r="DU162" s="161">
        <f t="shared" si="228"/>
        <v>0</v>
      </c>
      <c r="DV162" s="161">
        <f t="shared" si="229"/>
        <v>0</v>
      </c>
      <c r="DW162" s="161">
        <f t="shared" si="230"/>
        <v>0</v>
      </c>
      <c r="DX162" s="161">
        <f t="shared" si="231"/>
        <v>0</v>
      </c>
      <c r="DY162" s="161">
        <f t="shared" si="232"/>
        <v>0</v>
      </c>
      <c r="DZ162" s="161">
        <f t="shared" si="233"/>
        <v>0</v>
      </c>
      <c r="EA162" s="161">
        <f t="shared" si="234"/>
        <v>0</v>
      </c>
      <c r="EB162" s="161">
        <f t="shared" si="235"/>
        <v>0</v>
      </c>
      <c r="EC162" s="161">
        <f t="shared" si="236"/>
        <v>0</v>
      </c>
      <c r="ED162" s="161">
        <f t="shared" si="237"/>
        <v>0</v>
      </c>
      <c r="EE162" s="161">
        <f t="shared" si="238"/>
        <v>0</v>
      </c>
      <c r="EF162" s="161">
        <f t="shared" si="239"/>
        <v>0</v>
      </c>
      <c r="EG162" s="161">
        <f t="shared" si="240"/>
        <v>0</v>
      </c>
      <c r="EH162" s="161">
        <f t="shared" si="241"/>
        <v>0</v>
      </c>
      <c r="EI162" s="161">
        <f t="shared" si="242"/>
        <v>0</v>
      </c>
      <c r="EJ162" s="161">
        <f t="shared" si="243"/>
        <v>0</v>
      </c>
      <c r="EK162" s="147">
        <f t="shared" si="175"/>
        <v>0</v>
      </c>
      <c r="EL162" s="149"/>
      <c r="EN162" s="146"/>
      <c r="EO162" s="146"/>
      <c r="EP162" s="139">
        <f t="shared" si="176"/>
        <v>0</v>
      </c>
      <c r="EQ162" s="139">
        <f t="shared" si="177"/>
        <v>0</v>
      </c>
      <c r="ER162" s="139">
        <f t="shared" si="178"/>
        <v>0</v>
      </c>
      <c r="ES162" s="139">
        <f t="shared" si="179"/>
        <v>0</v>
      </c>
      <c r="ET162" s="139">
        <f t="shared" si="180"/>
        <v>0</v>
      </c>
      <c r="EU162" s="139">
        <f t="shared" si="181"/>
        <v>0</v>
      </c>
      <c r="EV162" s="139">
        <f t="shared" si="182"/>
        <v>0</v>
      </c>
      <c r="EW162" s="139">
        <f t="shared" si="183"/>
        <v>0</v>
      </c>
      <c r="EX162" s="139">
        <f t="shared" si="184"/>
        <v>0</v>
      </c>
      <c r="EY162" s="139">
        <f t="shared" si="185"/>
        <v>0</v>
      </c>
      <c r="EZ162" s="139">
        <f t="shared" si="186"/>
        <v>0</v>
      </c>
      <c r="FA162" s="139">
        <f t="shared" si="187"/>
        <v>0</v>
      </c>
      <c r="FB162" s="139">
        <f t="shared" si="188"/>
        <v>0</v>
      </c>
      <c r="FC162" s="139">
        <f t="shared" si="189"/>
        <v>0</v>
      </c>
      <c r="FD162" s="139">
        <f t="shared" si="190"/>
        <v>0</v>
      </c>
      <c r="FE162" s="139">
        <f t="shared" si="191"/>
        <v>0</v>
      </c>
      <c r="FF162" s="139">
        <f t="shared" si="192"/>
        <v>0</v>
      </c>
      <c r="FG162" s="139">
        <f t="shared" si="193"/>
        <v>0</v>
      </c>
      <c r="FH162" s="139">
        <f t="shared" si="194"/>
        <v>0</v>
      </c>
      <c r="FI162" s="139">
        <f t="shared" si="195"/>
        <v>0</v>
      </c>
      <c r="FJ162" s="139">
        <f t="shared" si="196"/>
        <v>0</v>
      </c>
      <c r="FK162" s="139">
        <f t="shared" si="197"/>
        <v>0</v>
      </c>
      <c r="FL162" s="139">
        <f t="shared" si="198"/>
        <v>0</v>
      </c>
      <c r="FM162" s="139">
        <f t="shared" si="199"/>
        <v>0</v>
      </c>
      <c r="FN162" s="139">
        <f t="shared" si="200"/>
        <v>0</v>
      </c>
      <c r="FO162" s="139">
        <f t="shared" si="201"/>
        <v>0</v>
      </c>
      <c r="FP162" s="139">
        <f t="shared" si="202"/>
        <v>0</v>
      </c>
      <c r="FQ162" s="139">
        <f t="shared" si="203"/>
        <v>0</v>
      </c>
      <c r="FR162" s="139">
        <f t="shared" si="204"/>
        <v>0</v>
      </c>
      <c r="FS162" s="139">
        <f t="shared" si="205"/>
        <v>0</v>
      </c>
      <c r="FT162" s="139">
        <f t="shared" si="206"/>
        <v>0</v>
      </c>
      <c r="FU162" s="148">
        <f t="shared" si="207"/>
        <v>0</v>
      </c>
      <c r="FV162" s="149"/>
      <c r="FY162" s="211">
        <v>157</v>
      </c>
      <c r="FZ162">
        <v>0.94730738519294988</v>
      </c>
      <c r="GA162">
        <v>0.38735017759921181</v>
      </c>
      <c r="GB162">
        <v>0.30043788257902154</v>
      </c>
      <c r="GC162">
        <v>0.27169357679160522</v>
      </c>
      <c r="GD162">
        <v>8.0173661321021189E-2</v>
      </c>
      <c r="GE162">
        <v>0</v>
      </c>
      <c r="GF162">
        <v>0</v>
      </c>
      <c r="GG162">
        <v>0</v>
      </c>
      <c r="GH162">
        <v>0</v>
      </c>
      <c r="GI162">
        <v>0.26027971516266063</v>
      </c>
      <c r="GJ162"/>
      <c r="GK162">
        <v>0.95334527746894904</v>
      </c>
      <c r="GL162">
        <v>0.33331521555783822</v>
      </c>
      <c r="GM162">
        <v>0.4976911688564169</v>
      </c>
      <c r="GN162">
        <v>0.81250536455359101</v>
      </c>
      <c r="GO162">
        <v>0.31481419569717417</v>
      </c>
      <c r="GP162">
        <v>0</v>
      </c>
      <c r="GQ162">
        <v>0</v>
      </c>
      <c r="GR162">
        <v>0</v>
      </c>
      <c r="GS162">
        <v>0</v>
      </c>
      <c r="GT162">
        <v>0.35317012840450801</v>
      </c>
      <c r="GU162"/>
      <c r="GV162"/>
      <c r="GW162"/>
      <c r="GX162"/>
      <c r="GY162"/>
      <c r="GZ162"/>
      <c r="HA162"/>
      <c r="HB162"/>
      <c r="HC162"/>
    </row>
    <row r="163" spans="1:211" s="7" customFormat="1">
      <c r="A163" s="1"/>
      <c r="B163" s="76">
        <f t="shared" ca="1" si="172"/>
        <v>0.77141060836611275</v>
      </c>
      <c r="C163">
        <v>5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2.4677083333333334</v>
      </c>
      <c r="AO163">
        <v>0.59723042803389625</v>
      </c>
      <c r="AP163">
        <v>17.1981679675221</v>
      </c>
      <c r="AQ163">
        <v>5.0051052180008639</v>
      </c>
      <c r="AR163">
        <v>0.60840473847294974</v>
      </c>
      <c r="AS163">
        <v>2.9120562460652315</v>
      </c>
      <c r="AT163" t="e">
        <v>#DIV/0!</v>
      </c>
      <c r="AU163" t="e">
        <v>#DIV/0!</v>
      </c>
      <c r="AV163"/>
      <c r="AW163"/>
      <c r="AX163" s="146"/>
      <c r="AY163" s="76">
        <f t="shared" ca="1" si="173"/>
        <v>7.4286712612044115E-2</v>
      </c>
      <c r="AZ163">
        <v>6</v>
      </c>
      <c r="BA163" s="129">
        <f t="shared" si="245"/>
        <v>39910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 s="147"/>
      <c r="CH163" s="176"/>
      <c r="CJ163" s="146"/>
      <c r="CK163" s="76">
        <f t="shared" ca="1" si="208"/>
        <v>0.58833681862090081</v>
      </c>
      <c r="CL163" s="179">
        <f t="shared" si="209"/>
        <v>6</v>
      </c>
      <c r="CM163" s="180">
        <f t="shared" si="210"/>
        <v>39910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 s="160"/>
      <c r="CW163">
        <v>1</v>
      </c>
      <c r="CX163">
        <v>1</v>
      </c>
      <c r="CY163" s="160"/>
      <c r="CZ163" s="177">
        <f t="shared" si="211"/>
        <v>9.6000000000000002E-2</v>
      </c>
      <c r="DB163" s="146"/>
      <c r="DC163" s="76">
        <f t="shared" ca="1" si="174"/>
        <v>0.45615038375937589</v>
      </c>
      <c r="DD163">
        <f t="shared" si="212"/>
        <v>6</v>
      </c>
      <c r="DE163" s="129">
        <f t="shared" si="244"/>
        <v>39910</v>
      </c>
      <c r="DF163" s="161">
        <f t="shared" si="213"/>
        <v>0</v>
      </c>
      <c r="DG163" s="161">
        <f t="shared" si="214"/>
        <v>0</v>
      </c>
      <c r="DH163" s="161">
        <f t="shared" si="215"/>
        <v>0</v>
      </c>
      <c r="DI163" s="161">
        <f t="shared" si="216"/>
        <v>0</v>
      </c>
      <c r="DJ163" s="161">
        <f t="shared" si="217"/>
        <v>0</v>
      </c>
      <c r="DK163" s="161">
        <f t="shared" si="218"/>
        <v>0</v>
      </c>
      <c r="DL163" s="161">
        <f t="shared" si="219"/>
        <v>0</v>
      </c>
      <c r="DM163" s="161">
        <f t="shared" si="220"/>
        <v>0</v>
      </c>
      <c r="DN163" s="161">
        <f t="shared" si="221"/>
        <v>0</v>
      </c>
      <c r="DO163" s="161">
        <f t="shared" si="222"/>
        <v>0</v>
      </c>
      <c r="DP163" s="161">
        <f t="shared" si="223"/>
        <v>0</v>
      </c>
      <c r="DQ163" s="161">
        <f t="shared" si="224"/>
        <v>0</v>
      </c>
      <c r="DR163" s="161">
        <f t="shared" si="225"/>
        <v>0</v>
      </c>
      <c r="DS163" s="161">
        <f t="shared" si="226"/>
        <v>0</v>
      </c>
      <c r="DT163" s="161">
        <f t="shared" si="227"/>
        <v>0</v>
      </c>
      <c r="DU163" s="161">
        <f t="shared" si="228"/>
        <v>0</v>
      </c>
      <c r="DV163" s="161">
        <f t="shared" si="229"/>
        <v>0</v>
      </c>
      <c r="DW163" s="161">
        <f t="shared" si="230"/>
        <v>0</v>
      </c>
      <c r="DX163" s="161">
        <f t="shared" si="231"/>
        <v>0</v>
      </c>
      <c r="DY163" s="161">
        <f t="shared" si="232"/>
        <v>0</v>
      </c>
      <c r="DZ163" s="161">
        <f t="shared" si="233"/>
        <v>0</v>
      </c>
      <c r="EA163" s="161">
        <f t="shared" si="234"/>
        <v>0</v>
      </c>
      <c r="EB163" s="161">
        <f t="shared" si="235"/>
        <v>0</v>
      </c>
      <c r="EC163" s="161">
        <f t="shared" si="236"/>
        <v>0</v>
      </c>
      <c r="ED163" s="161">
        <f t="shared" si="237"/>
        <v>0</v>
      </c>
      <c r="EE163" s="161">
        <f t="shared" si="238"/>
        <v>0</v>
      </c>
      <c r="EF163" s="161">
        <f t="shared" si="239"/>
        <v>0</v>
      </c>
      <c r="EG163" s="161">
        <f t="shared" si="240"/>
        <v>0</v>
      </c>
      <c r="EH163" s="161">
        <f t="shared" si="241"/>
        <v>0</v>
      </c>
      <c r="EI163" s="161">
        <f t="shared" si="242"/>
        <v>0</v>
      </c>
      <c r="EJ163" s="161">
        <f t="shared" si="243"/>
        <v>0</v>
      </c>
      <c r="EK163" s="147">
        <f t="shared" si="175"/>
        <v>0</v>
      </c>
      <c r="EL163" s="149"/>
      <c r="EN163" s="146"/>
      <c r="EO163" s="146"/>
      <c r="EP163" s="139">
        <f t="shared" si="176"/>
        <v>0</v>
      </c>
      <c r="EQ163" s="139">
        <f t="shared" si="177"/>
        <v>0</v>
      </c>
      <c r="ER163" s="139">
        <f t="shared" si="178"/>
        <v>0</v>
      </c>
      <c r="ES163" s="139">
        <f t="shared" si="179"/>
        <v>0</v>
      </c>
      <c r="ET163" s="139">
        <f t="shared" si="180"/>
        <v>0</v>
      </c>
      <c r="EU163" s="139">
        <f t="shared" si="181"/>
        <v>0</v>
      </c>
      <c r="EV163" s="139">
        <f t="shared" si="182"/>
        <v>0</v>
      </c>
      <c r="EW163" s="139">
        <f t="shared" si="183"/>
        <v>0</v>
      </c>
      <c r="EX163" s="139">
        <f t="shared" si="184"/>
        <v>0</v>
      </c>
      <c r="EY163" s="139">
        <f t="shared" si="185"/>
        <v>0</v>
      </c>
      <c r="EZ163" s="139">
        <f t="shared" si="186"/>
        <v>0</v>
      </c>
      <c r="FA163" s="139">
        <f t="shared" si="187"/>
        <v>0</v>
      </c>
      <c r="FB163" s="139">
        <f t="shared" si="188"/>
        <v>0</v>
      </c>
      <c r="FC163" s="139">
        <f t="shared" si="189"/>
        <v>0</v>
      </c>
      <c r="FD163" s="139">
        <f t="shared" si="190"/>
        <v>0</v>
      </c>
      <c r="FE163" s="139">
        <f t="shared" si="191"/>
        <v>0</v>
      </c>
      <c r="FF163" s="139">
        <f t="shared" si="192"/>
        <v>0</v>
      </c>
      <c r="FG163" s="139">
        <f t="shared" si="193"/>
        <v>0</v>
      </c>
      <c r="FH163" s="139">
        <f t="shared" si="194"/>
        <v>0</v>
      </c>
      <c r="FI163" s="139">
        <f t="shared" si="195"/>
        <v>0</v>
      </c>
      <c r="FJ163" s="139">
        <f t="shared" si="196"/>
        <v>0</v>
      </c>
      <c r="FK163" s="139">
        <f t="shared" si="197"/>
        <v>0</v>
      </c>
      <c r="FL163" s="139">
        <f t="shared" si="198"/>
        <v>0</v>
      </c>
      <c r="FM163" s="139">
        <f t="shared" si="199"/>
        <v>0</v>
      </c>
      <c r="FN163" s="139">
        <f t="shared" si="200"/>
        <v>0</v>
      </c>
      <c r="FO163" s="139">
        <f t="shared" si="201"/>
        <v>0</v>
      </c>
      <c r="FP163" s="139">
        <f t="shared" si="202"/>
        <v>0</v>
      </c>
      <c r="FQ163" s="139">
        <f t="shared" si="203"/>
        <v>0</v>
      </c>
      <c r="FR163" s="139">
        <f t="shared" si="204"/>
        <v>0</v>
      </c>
      <c r="FS163" s="139">
        <f t="shared" si="205"/>
        <v>0</v>
      </c>
      <c r="FT163" s="139">
        <f t="shared" si="206"/>
        <v>0</v>
      </c>
      <c r="FU163" s="148">
        <f t="shared" si="207"/>
        <v>0</v>
      </c>
      <c r="FV163" s="149"/>
      <c r="FY163" s="211">
        <v>158</v>
      </c>
      <c r="FZ163">
        <v>0.82527147776310683</v>
      </c>
      <c r="GA163">
        <v>8.725047411847664E-2</v>
      </c>
      <c r="GB163">
        <v>0.204855832097669</v>
      </c>
      <c r="GC163">
        <v>0.14859665052880375</v>
      </c>
      <c r="GD163">
        <v>2.6724553773673727E-2</v>
      </c>
      <c r="GE163">
        <v>0</v>
      </c>
      <c r="GF163">
        <v>0.33021050058332063</v>
      </c>
      <c r="GG163">
        <v>0.29759236750664797</v>
      </c>
      <c r="GH163">
        <v>0</v>
      </c>
      <c r="GI163">
        <v>0.25222007440814986</v>
      </c>
      <c r="GJ163"/>
      <c r="GK163">
        <v>0.82382353448535173</v>
      </c>
      <c r="GL163">
        <v>7.3740509229249462E-2</v>
      </c>
      <c r="GM163">
        <v>0.34079383167279126</v>
      </c>
      <c r="GN163">
        <v>0.44573189690518267</v>
      </c>
      <c r="GO163">
        <v>0.10493806523239137</v>
      </c>
      <c r="GP163">
        <v>0</v>
      </c>
      <c r="GQ163">
        <v>0.45369793096285549</v>
      </c>
      <c r="GR163">
        <v>0.45369793096285549</v>
      </c>
      <c r="GS163">
        <v>0</v>
      </c>
      <c r="GT163">
        <v>0.34465067247067799</v>
      </c>
      <c r="GU163"/>
      <c r="GV163"/>
      <c r="GW163"/>
      <c r="GX163"/>
      <c r="GY163"/>
      <c r="GZ163"/>
      <c r="HA163"/>
      <c r="HB163"/>
      <c r="HC163"/>
    </row>
    <row r="164" spans="1:211" s="7" customFormat="1">
      <c r="A164" s="1"/>
      <c r="B164" s="76">
        <f t="shared" ca="1" si="172"/>
        <v>0.62633867513430275</v>
      </c>
      <c r="C164">
        <v>2</v>
      </c>
      <c r="D164">
        <v>39910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3.5374999999999992</v>
      </c>
      <c r="AO164">
        <v>0.47064758816562458</v>
      </c>
      <c r="AP164">
        <v>13.93769059479582</v>
      </c>
      <c r="AQ164">
        <v>3.9174503054784817</v>
      </c>
      <c r="AR164">
        <v>0.49449249470640266</v>
      </c>
      <c r="AS164">
        <v>2.6511781875912761</v>
      </c>
      <c r="AT164" t="e">
        <v>#DIV/0!</v>
      </c>
      <c r="AU164" t="e">
        <v>#DIV/0!</v>
      </c>
      <c r="AV164"/>
      <c r="AW164"/>
      <c r="AX164" s="146"/>
      <c r="AY164" s="76">
        <f t="shared" ca="1" si="173"/>
        <v>0.97351657038511497</v>
      </c>
      <c r="AZ164">
        <v>7</v>
      </c>
      <c r="BA164" s="129">
        <f t="shared" si="245"/>
        <v>39910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 s="147"/>
      <c r="CH164" s="176"/>
      <c r="CJ164" s="146"/>
      <c r="CK164" s="76">
        <f t="shared" ca="1" si="208"/>
        <v>0.47259336271785735</v>
      </c>
      <c r="CL164" s="179">
        <f t="shared" si="209"/>
        <v>7</v>
      </c>
      <c r="CM164" s="180">
        <f t="shared" si="210"/>
        <v>39910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 s="160"/>
      <c r="CW164">
        <v>1</v>
      </c>
      <c r="CX164">
        <v>1</v>
      </c>
      <c r="CY164" s="165"/>
      <c r="CZ164" s="177">
        <f t="shared" si="211"/>
        <v>9.6000000000000002E-2</v>
      </c>
      <c r="DB164" s="146"/>
      <c r="DC164" s="76">
        <f t="shared" ca="1" si="174"/>
        <v>0.71952600986806825</v>
      </c>
      <c r="DD164">
        <f t="shared" si="212"/>
        <v>7</v>
      </c>
      <c r="DE164" s="129">
        <f t="shared" si="244"/>
        <v>39910</v>
      </c>
      <c r="DF164" s="161">
        <f t="shared" si="213"/>
        <v>0</v>
      </c>
      <c r="DG164" s="161">
        <f t="shared" si="214"/>
        <v>0</v>
      </c>
      <c r="DH164" s="161">
        <f t="shared" si="215"/>
        <v>0</v>
      </c>
      <c r="DI164" s="161">
        <f t="shared" si="216"/>
        <v>0</v>
      </c>
      <c r="DJ164" s="161">
        <f t="shared" si="217"/>
        <v>0</v>
      </c>
      <c r="DK164" s="161">
        <f t="shared" si="218"/>
        <v>0</v>
      </c>
      <c r="DL164" s="161">
        <f t="shared" si="219"/>
        <v>0</v>
      </c>
      <c r="DM164" s="161">
        <f t="shared" si="220"/>
        <v>0</v>
      </c>
      <c r="DN164" s="161">
        <f t="shared" si="221"/>
        <v>0</v>
      </c>
      <c r="DO164" s="161">
        <f t="shared" si="222"/>
        <v>0</v>
      </c>
      <c r="DP164" s="161">
        <f t="shared" si="223"/>
        <v>0</v>
      </c>
      <c r="DQ164" s="161">
        <f t="shared" si="224"/>
        <v>0</v>
      </c>
      <c r="DR164" s="161">
        <f t="shared" si="225"/>
        <v>0</v>
      </c>
      <c r="DS164" s="161">
        <f t="shared" si="226"/>
        <v>0</v>
      </c>
      <c r="DT164" s="161">
        <f t="shared" si="227"/>
        <v>0</v>
      </c>
      <c r="DU164" s="161">
        <f t="shared" si="228"/>
        <v>0</v>
      </c>
      <c r="DV164" s="161">
        <f t="shared" si="229"/>
        <v>0</v>
      </c>
      <c r="DW164" s="161">
        <f t="shared" si="230"/>
        <v>0</v>
      </c>
      <c r="DX164" s="161">
        <f t="shared" si="231"/>
        <v>0</v>
      </c>
      <c r="DY164" s="161">
        <f t="shared" si="232"/>
        <v>0</v>
      </c>
      <c r="DZ164" s="161">
        <f t="shared" si="233"/>
        <v>0</v>
      </c>
      <c r="EA164" s="161">
        <f t="shared" si="234"/>
        <v>0</v>
      </c>
      <c r="EB164" s="161">
        <f t="shared" si="235"/>
        <v>0</v>
      </c>
      <c r="EC164" s="161">
        <f t="shared" si="236"/>
        <v>0</v>
      </c>
      <c r="ED164" s="161">
        <f t="shared" si="237"/>
        <v>0</v>
      </c>
      <c r="EE164" s="161">
        <f t="shared" si="238"/>
        <v>0</v>
      </c>
      <c r="EF164" s="161">
        <f t="shared" si="239"/>
        <v>0</v>
      </c>
      <c r="EG164" s="161">
        <f t="shared" si="240"/>
        <v>0</v>
      </c>
      <c r="EH164" s="161">
        <f t="shared" si="241"/>
        <v>0</v>
      </c>
      <c r="EI164" s="161">
        <f t="shared" si="242"/>
        <v>0</v>
      </c>
      <c r="EJ164" s="161">
        <f t="shared" si="243"/>
        <v>0</v>
      </c>
      <c r="EK164" s="147">
        <f t="shared" si="175"/>
        <v>0</v>
      </c>
      <c r="EL164" s="149"/>
      <c r="EN164" s="146"/>
      <c r="EO164" s="146"/>
      <c r="EP164" s="139">
        <f t="shared" si="176"/>
        <v>0</v>
      </c>
      <c r="EQ164" s="139">
        <f t="shared" si="177"/>
        <v>0</v>
      </c>
      <c r="ER164" s="139">
        <f t="shared" si="178"/>
        <v>0</v>
      </c>
      <c r="ES164" s="139">
        <f t="shared" si="179"/>
        <v>0</v>
      </c>
      <c r="ET164" s="139">
        <f t="shared" si="180"/>
        <v>0</v>
      </c>
      <c r="EU164" s="139">
        <f t="shared" si="181"/>
        <v>0</v>
      </c>
      <c r="EV164" s="139">
        <f t="shared" si="182"/>
        <v>0</v>
      </c>
      <c r="EW164" s="139">
        <f t="shared" si="183"/>
        <v>0</v>
      </c>
      <c r="EX164" s="139">
        <f t="shared" si="184"/>
        <v>0</v>
      </c>
      <c r="EY164" s="139">
        <f t="shared" si="185"/>
        <v>0</v>
      </c>
      <c r="EZ164" s="139">
        <f t="shared" si="186"/>
        <v>0</v>
      </c>
      <c r="FA164" s="139">
        <f t="shared" si="187"/>
        <v>0</v>
      </c>
      <c r="FB164" s="139">
        <f t="shared" si="188"/>
        <v>0</v>
      </c>
      <c r="FC164" s="139">
        <f t="shared" si="189"/>
        <v>0</v>
      </c>
      <c r="FD164" s="139">
        <f t="shared" si="190"/>
        <v>0</v>
      </c>
      <c r="FE164" s="139">
        <f t="shared" si="191"/>
        <v>0</v>
      </c>
      <c r="FF164" s="139">
        <f t="shared" si="192"/>
        <v>0</v>
      </c>
      <c r="FG164" s="139">
        <f t="shared" si="193"/>
        <v>0</v>
      </c>
      <c r="FH164" s="139">
        <f t="shared" si="194"/>
        <v>0</v>
      </c>
      <c r="FI164" s="139">
        <f t="shared" si="195"/>
        <v>0</v>
      </c>
      <c r="FJ164" s="139">
        <f t="shared" si="196"/>
        <v>0</v>
      </c>
      <c r="FK164" s="139">
        <f t="shared" si="197"/>
        <v>0</v>
      </c>
      <c r="FL164" s="139">
        <f t="shared" si="198"/>
        <v>0</v>
      </c>
      <c r="FM164" s="139">
        <f t="shared" si="199"/>
        <v>0</v>
      </c>
      <c r="FN164" s="139">
        <f t="shared" si="200"/>
        <v>0</v>
      </c>
      <c r="FO164" s="139">
        <f t="shared" si="201"/>
        <v>0</v>
      </c>
      <c r="FP164" s="139">
        <f t="shared" si="202"/>
        <v>0</v>
      </c>
      <c r="FQ164" s="139">
        <f t="shared" si="203"/>
        <v>0</v>
      </c>
      <c r="FR164" s="139">
        <f t="shared" si="204"/>
        <v>0</v>
      </c>
      <c r="FS164" s="139">
        <f t="shared" si="205"/>
        <v>0</v>
      </c>
      <c r="FT164" s="139">
        <f t="shared" si="206"/>
        <v>0</v>
      </c>
      <c r="FU164" s="148">
        <f t="shared" si="207"/>
        <v>0</v>
      </c>
      <c r="FV164" s="149"/>
      <c r="FY164" s="211">
        <v>159</v>
      </c>
      <c r="FZ164">
        <v>1.2705089885138365</v>
      </c>
      <c r="GA164">
        <v>0.86195082931690026</v>
      </c>
      <c r="GB164">
        <v>7.9203986612074825E-2</v>
      </c>
      <c r="GC164">
        <v>7.8958100610881349E-2</v>
      </c>
      <c r="GD164">
        <v>2.6724553773673727E-2</v>
      </c>
      <c r="GE164">
        <v>0</v>
      </c>
      <c r="GF164">
        <v>0.66042100116664126</v>
      </c>
      <c r="GG164">
        <v>0.59518473501329594</v>
      </c>
      <c r="GH164">
        <v>0</v>
      </c>
      <c r="GI164">
        <v>0.35111842680473404</v>
      </c>
      <c r="GJ164"/>
      <c r="GK164">
        <v>1.2777452783406931</v>
      </c>
      <c r="GL164">
        <v>0.7403709403449259</v>
      </c>
      <c r="GM164">
        <v>0.13091770120800852</v>
      </c>
      <c r="GN164">
        <v>0.23585576644039991</v>
      </c>
      <c r="GO164">
        <v>0.10493806523239137</v>
      </c>
      <c r="GP164">
        <v>0</v>
      </c>
      <c r="GQ164">
        <v>0.90739586192571098</v>
      </c>
      <c r="GR164">
        <v>0.90739586192571098</v>
      </c>
      <c r="GS164">
        <v>0</v>
      </c>
      <c r="GT164">
        <v>0.48419938134136087</v>
      </c>
      <c r="GU164"/>
      <c r="GV164"/>
      <c r="GW164"/>
      <c r="GX164"/>
      <c r="GY164"/>
      <c r="GZ164"/>
      <c r="HA164"/>
      <c r="HB164"/>
      <c r="HC164"/>
    </row>
    <row r="165" spans="1:211" s="7" customFormat="1">
      <c r="A165" s="1"/>
      <c r="B165" s="76">
        <f t="shared" ca="1" si="172"/>
        <v>0.23084158184007331</v>
      </c>
      <c r="C165">
        <v>4</v>
      </c>
      <c r="D165">
        <v>39910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3.1854166666666668</v>
      </c>
      <c r="AO165">
        <v>0.49804951067719616</v>
      </c>
      <c r="AP165">
        <v>19.455461004302514</v>
      </c>
      <c r="AQ165">
        <v>3.7120441002964863</v>
      </c>
      <c r="AR165">
        <v>0.50260890211945375</v>
      </c>
      <c r="AS165">
        <v>2.8315842938447666</v>
      </c>
      <c r="AT165" t="e">
        <v>#DIV/0!</v>
      </c>
      <c r="AU165" t="e">
        <v>#DIV/0!</v>
      </c>
      <c r="AV165"/>
      <c r="AW165"/>
      <c r="AX165" s="146"/>
      <c r="AY165" s="76">
        <f t="shared" ca="1" si="173"/>
        <v>0.4188787009807331</v>
      </c>
      <c r="AZ165">
        <v>8</v>
      </c>
      <c r="BA165" s="129">
        <f t="shared" si="245"/>
        <v>39910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 s="147"/>
      <c r="CH165" s="176"/>
      <c r="CJ165" s="146"/>
      <c r="CK165" s="76">
        <f t="shared" ca="1" si="208"/>
        <v>0.26257093346892812</v>
      </c>
      <c r="CL165" s="179">
        <f t="shared" si="209"/>
        <v>8</v>
      </c>
      <c r="CM165" s="180">
        <f t="shared" si="210"/>
        <v>39910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 s="160"/>
      <c r="CW165">
        <v>1</v>
      </c>
      <c r="CX165">
        <v>1</v>
      </c>
      <c r="CY165" s="165"/>
      <c r="CZ165" s="177">
        <f t="shared" si="211"/>
        <v>9.6000000000000002E-2</v>
      </c>
      <c r="DB165" s="146"/>
      <c r="DC165" s="76">
        <f t="shared" ca="1" si="174"/>
        <v>0.48461766953120744</v>
      </c>
      <c r="DD165">
        <f t="shared" si="212"/>
        <v>8</v>
      </c>
      <c r="DE165" s="129">
        <f t="shared" si="244"/>
        <v>39910</v>
      </c>
      <c r="DF165" s="161">
        <f t="shared" si="213"/>
        <v>0</v>
      </c>
      <c r="DG165" s="161">
        <f t="shared" si="214"/>
        <v>0</v>
      </c>
      <c r="DH165" s="161">
        <f t="shared" si="215"/>
        <v>0</v>
      </c>
      <c r="DI165" s="161">
        <f t="shared" si="216"/>
        <v>0</v>
      </c>
      <c r="DJ165" s="161">
        <f t="shared" si="217"/>
        <v>0</v>
      </c>
      <c r="DK165" s="161">
        <f t="shared" si="218"/>
        <v>0</v>
      </c>
      <c r="DL165" s="161">
        <f t="shared" si="219"/>
        <v>0</v>
      </c>
      <c r="DM165" s="161">
        <f t="shared" si="220"/>
        <v>0</v>
      </c>
      <c r="DN165" s="161">
        <f t="shared" si="221"/>
        <v>0</v>
      </c>
      <c r="DO165" s="161">
        <f t="shared" si="222"/>
        <v>0</v>
      </c>
      <c r="DP165" s="161">
        <f t="shared" si="223"/>
        <v>0</v>
      </c>
      <c r="DQ165" s="161">
        <f t="shared" si="224"/>
        <v>0</v>
      </c>
      <c r="DR165" s="161">
        <f t="shared" si="225"/>
        <v>0</v>
      </c>
      <c r="DS165" s="161">
        <f t="shared" si="226"/>
        <v>0</v>
      </c>
      <c r="DT165" s="161">
        <f t="shared" si="227"/>
        <v>0</v>
      </c>
      <c r="DU165" s="161">
        <f t="shared" si="228"/>
        <v>0</v>
      </c>
      <c r="DV165" s="161">
        <f t="shared" si="229"/>
        <v>0</v>
      </c>
      <c r="DW165" s="161">
        <f t="shared" si="230"/>
        <v>0</v>
      </c>
      <c r="DX165" s="161">
        <f t="shared" si="231"/>
        <v>0</v>
      </c>
      <c r="DY165" s="161">
        <f t="shared" si="232"/>
        <v>0</v>
      </c>
      <c r="DZ165" s="161">
        <f t="shared" si="233"/>
        <v>0</v>
      </c>
      <c r="EA165" s="161">
        <f t="shared" si="234"/>
        <v>0</v>
      </c>
      <c r="EB165" s="161">
        <f t="shared" si="235"/>
        <v>0</v>
      </c>
      <c r="EC165" s="161">
        <f t="shared" si="236"/>
        <v>0</v>
      </c>
      <c r="ED165" s="161">
        <f t="shared" si="237"/>
        <v>0</v>
      </c>
      <c r="EE165" s="161">
        <f t="shared" si="238"/>
        <v>0</v>
      </c>
      <c r="EF165" s="161">
        <f t="shared" si="239"/>
        <v>0</v>
      </c>
      <c r="EG165" s="161">
        <f t="shared" si="240"/>
        <v>0</v>
      </c>
      <c r="EH165" s="161">
        <f t="shared" si="241"/>
        <v>0</v>
      </c>
      <c r="EI165" s="161">
        <f t="shared" si="242"/>
        <v>0</v>
      </c>
      <c r="EJ165" s="161">
        <f t="shared" si="243"/>
        <v>0</v>
      </c>
      <c r="EK165" s="147">
        <f t="shared" si="175"/>
        <v>0</v>
      </c>
      <c r="EL165" s="149"/>
      <c r="EN165" s="146"/>
      <c r="EO165" s="146"/>
      <c r="EP165" s="139">
        <f t="shared" si="176"/>
        <v>0</v>
      </c>
      <c r="EQ165" s="139">
        <f t="shared" si="177"/>
        <v>0</v>
      </c>
      <c r="ER165" s="139">
        <f t="shared" si="178"/>
        <v>0</v>
      </c>
      <c r="ES165" s="139">
        <f t="shared" si="179"/>
        <v>0</v>
      </c>
      <c r="ET165" s="139">
        <f t="shared" si="180"/>
        <v>0</v>
      </c>
      <c r="EU165" s="139">
        <f t="shared" si="181"/>
        <v>0</v>
      </c>
      <c r="EV165" s="139">
        <f t="shared" si="182"/>
        <v>0</v>
      </c>
      <c r="EW165" s="139">
        <f t="shared" si="183"/>
        <v>0</v>
      </c>
      <c r="EX165" s="139">
        <f t="shared" si="184"/>
        <v>0</v>
      </c>
      <c r="EY165" s="139">
        <f t="shared" si="185"/>
        <v>0</v>
      </c>
      <c r="EZ165" s="139">
        <f t="shared" si="186"/>
        <v>0</v>
      </c>
      <c r="FA165" s="139">
        <f t="shared" si="187"/>
        <v>0</v>
      </c>
      <c r="FB165" s="139">
        <f t="shared" si="188"/>
        <v>0</v>
      </c>
      <c r="FC165" s="139">
        <f t="shared" si="189"/>
        <v>0</v>
      </c>
      <c r="FD165" s="139">
        <f t="shared" si="190"/>
        <v>0</v>
      </c>
      <c r="FE165" s="139">
        <f t="shared" si="191"/>
        <v>0</v>
      </c>
      <c r="FF165" s="139">
        <f t="shared" si="192"/>
        <v>0</v>
      </c>
      <c r="FG165" s="139">
        <f t="shared" si="193"/>
        <v>0</v>
      </c>
      <c r="FH165" s="139">
        <f t="shared" si="194"/>
        <v>0</v>
      </c>
      <c r="FI165" s="139">
        <f t="shared" si="195"/>
        <v>0</v>
      </c>
      <c r="FJ165" s="139">
        <f t="shared" si="196"/>
        <v>0</v>
      </c>
      <c r="FK165" s="139">
        <f t="shared" si="197"/>
        <v>0</v>
      </c>
      <c r="FL165" s="139">
        <f t="shared" si="198"/>
        <v>0</v>
      </c>
      <c r="FM165" s="139">
        <f t="shared" si="199"/>
        <v>0</v>
      </c>
      <c r="FN165" s="139">
        <f t="shared" si="200"/>
        <v>0</v>
      </c>
      <c r="FO165" s="139">
        <f t="shared" si="201"/>
        <v>0</v>
      </c>
      <c r="FP165" s="139">
        <f t="shared" si="202"/>
        <v>0</v>
      </c>
      <c r="FQ165" s="139">
        <f t="shared" si="203"/>
        <v>0</v>
      </c>
      <c r="FR165" s="139">
        <f t="shared" si="204"/>
        <v>0</v>
      </c>
      <c r="FS165" s="139">
        <f t="shared" si="205"/>
        <v>0</v>
      </c>
      <c r="FT165" s="139">
        <f t="shared" si="206"/>
        <v>0</v>
      </c>
      <c r="FU165" s="148">
        <f t="shared" si="207"/>
        <v>0</v>
      </c>
      <c r="FV165" s="149"/>
      <c r="FY165" s="211">
        <v>160</v>
      </c>
      <c r="FZ165">
        <v>1.9435602905064726</v>
      </c>
      <c r="GA165">
        <v>0.9492013034353769</v>
      </c>
      <c r="GB165">
        <v>0.36326380532181862</v>
      </c>
      <c r="GC165">
        <v>0.27169357679160522</v>
      </c>
      <c r="GD165">
        <v>5.3449107547347455E-2</v>
      </c>
      <c r="GE165">
        <v>0</v>
      </c>
      <c r="GF165">
        <v>0</v>
      </c>
      <c r="GG165">
        <v>0</v>
      </c>
      <c r="GH165">
        <v>0</v>
      </c>
      <c r="GI165">
        <v>0.40777710315249804</v>
      </c>
      <c r="GJ165"/>
      <c r="GK165">
        <v>1.9554817669028317</v>
      </c>
      <c r="GL165">
        <v>0.81411144957417536</v>
      </c>
      <c r="GM165">
        <v>0.60262923408880831</v>
      </c>
      <c r="GN165">
        <v>0.81250536455359101</v>
      </c>
      <c r="GO165">
        <v>0.20987613046478273</v>
      </c>
      <c r="GP165">
        <v>0</v>
      </c>
      <c r="GQ165">
        <v>0</v>
      </c>
      <c r="GR165">
        <v>0</v>
      </c>
      <c r="GS165">
        <v>0</v>
      </c>
      <c r="GT165">
        <v>0.5535974262912845</v>
      </c>
      <c r="GU165"/>
      <c r="GV165"/>
      <c r="GW165"/>
      <c r="GX165"/>
      <c r="GY165"/>
      <c r="GZ165"/>
      <c r="HA165"/>
      <c r="HB165"/>
      <c r="HC165"/>
    </row>
    <row r="166" spans="1:211" s="7" customFormat="1">
      <c r="A166" s="1"/>
      <c r="B166" s="76">
        <f t="shared" ca="1" si="172"/>
        <v>0.2430743482169575</v>
      </c>
      <c r="C166">
        <v>10</v>
      </c>
      <c r="D166">
        <v>39910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10.416666666666666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1.7760416666666672</v>
      </c>
      <c r="AO166">
        <v>0.19929980829846447</v>
      </c>
      <c r="AP166">
        <v>7.7134159692770314</v>
      </c>
      <c r="AQ166">
        <v>1.5090699801402001</v>
      </c>
      <c r="AR166">
        <v>0.23473040846896348</v>
      </c>
      <c r="AS166">
        <v>1.214199524080432</v>
      </c>
      <c r="AT166" t="e">
        <v>#DIV/0!</v>
      </c>
      <c r="AU166" t="e">
        <v>#DIV/0!</v>
      </c>
      <c r="AV166"/>
      <c r="AW166"/>
      <c r="AX166" s="146"/>
      <c r="AY166" s="76">
        <f t="shared" ca="1" si="173"/>
        <v>8.1907750750007446E-2</v>
      </c>
      <c r="AZ166">
        <v>9</v>
      </c>
      <c r="BA166" s="129">
        <f t="shared" si="245"/>
        <v>39910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 s="147"/>
      <c r="CH166" s="176"/>
      <c r="CJ166" s="146"/>
      <c r="CK166" s="76">
        <f t="shared" ca="1" si="208"/>
        <v>0.16040921710229394</v>
      </c>
      <c r="CL166" s="179">
        <f t="shared" si="209"/>
        <v>9</v>
      </c>
      <c r="CM166" s="180">
        <f t="shared" si="210"/>
        <v>39910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 s="160"/>
      <c r="CW166">
        <f>33/10</f>
        <v>3.3</v>
      </c>
      <c r="CX166">
        <f>350/36</f>
        <v>9.7222222222222214</v>
      </c>
      <c r="CY166" s="165"/>
      <c r="CZ166" s="177">
        <f t="shared" si="211"/>
        <v>9.6000000000000002E-2</v>
      </c>
      <c r="DB166" s="146"/>
      <c r="DC166" s="76">
        <f t="shared" ca="1" si="174"/>
        <v>0.50521527555877466</v>
      </c>
      <c r="DD166">
        <f t="shared" si="212"/>
        <v>9</v>
      </c>
      <c r="DE166" s="129">
        <f t="shared" si="244"/>
        <v>39910</v>
      </c>
      <c r="DF166" s="161">
        <f t="shared" si="213"/>
        <v>0</v>
      </c>
      <c r="DG166" s="161">
        <f t="shared" si="214"/>
        <v>0</v>
      </c>
      <c r="DH166" s="161">
        <f t="shared" si="215"/>
        <v>0</v>
      </c>
      <c r="DI166" s="161">
        <f t="shared" si="216"/>
        <v>0</v>
      </c>
      <c r="DJ166" s="161">
        <f t="shared" si="217"/>
        <v>0</v>
      </c>
      <c r="DK166" s="161">
        <f t="shared" si="218"/>
        <v>0</v>
      </c>
      <c r="DL166" s="161">
        <f t="shared" si="219"/>
        <v>0</v>
      </c>
      <c r="DM166" s="161">
        <f t="shared" si="220"/>
        <v>0</v>
      </c>
      <c r="DN166" s="161">
        <f t="shared" si="221"/>
        <v>0</v>
      </c>
      <c r="DO166" s="161">
        <f t="shared" si="222"/>
        <v>0</v>
      </c>
      <c r="DP166" s="161">
        <f t="shared" si="223"/>
        <v>0</v>
      </c>
      <c r="DQ166" s="161">
        <f t="shared" si="224"/>
        <v>0</v>
      </c>
      <c r="DR166" s="161">
        <f t="shared" si="225"/>
        <v>0</v>
      </c>
      <c r="DS166" s="161">
        <f t="shared" si="226"/>
        <v>0</v>
      </c>
      <c r="DT166" s="161">
        <f t="shared" si="227"/>
        <v>0</v>
      </c>
      <c r="DU166" s="161">
        <f t="shared" si="228"/>
        <v>0</v>
      </c>
      <c r="DV166" s="161">
        <f t="shared" si="229"/>
        <v>0</v>
      </c>
      <c r="DW166" s="161">
        <f t="shared" si="230"/>
        <v>0</v>
      </c>
      <c r="DX166" s="161">
        <f t="shared" si="231"/>
        <v>0</v>
      </c>
      <c r="DY166" s="161">
        <f t="shared" si="232"/>
        <v>0</v>
      </c>
      <c r="DZ166" s="161">
        <f t="shared" si="233"/>
        <v>0</v>
      </c>
      <c r="EA166" s="161">
        <f t="shared" si="234"/>
        <v>0</v>
      </c>
      <c r="EB166" s="161">
        <f t="shared" si="235"/>
        <v>0</v>
      </c>
      <c r="EC166" s="161">
        <f t="shared" si="236"/>
        <v>0</v>
      </c>
      <c r="ED166" s="161">
        <f t="shared" si="237"/>
        <v>0</v>
      </c>
      <c r="EE166" s="161">
        <f t="shared" si="238"/>
        <v>0</v>
      </c>
      <c r="EF166" s="161">
        <f t="shared" si="239"/>
        <v>0</v>
      </c>
      <c r="EG166" s="161">
        <f t="shared" si="240"/>
        <v>0</v>
      </c>
      <c r="EH166" s="161">
        <f t="shared" si="241"/>
        <v>0</v>
      </c>
      <c r="EI166" s="161">
        <f t="shared" si="242"/>
        <v>0</v>
      </c>
      <c r="EJ166" s="161">
        <f t="shared" si="243"/>
        <v>0</v>
      </c>
      <c r="EK166" s="147">
        <f t="shared" si="175"/>
        <v>0</v>
      </c>
      <c r="EL166" s="149"/>
      <c r="EN166" s="146"/>
      <c r="EO166" s="146"/>
      <c r="EP166" s="139">
        <f t="shared" si="176"/>
        <v>0</v>
      </c>
      <c r="EQ166" s="139">
        <f t="shared" si="177"/>
        <v>0</v>
      </c>
      <c r="ER166" s="139">
        <f t="shared" si="178"/>
        <v>0</v>
      </c>
      <c r="ES166" s="139">
        <f t="shared" si="179"/>
        <v>0</v>
      </c>
      <c r="ET166" s="139">
        <f t="shared" si="180"/>
        <v>0</v>
      </c>
      <c r="EU166" s="139">
        <f t="shared" si="181"/>
        <v>0</v>
      </c>
      <c r="EV166" s="139">
        <f t="shared" si="182"/>
        <v>0</v>
      </c>
      <c r="EW166" s="139">
        <f t="shared" si="183"/>
        <v>0</v>
      </c>
      <c r="EX166" s="139">
        <f t="shared" si="184"/>
        <v>0</v>
      </c>
      <c r="EY166" s="139">
        <f t="shared" si="185"/>
        <v>0</v>
      </c>
      <c r="EZ166" s="139">
        <f t="shared" si="186"/>
        <v>0</v>
      </c>
      <c r="FA166" s="139">
        <f t="shared" si="187"/>
        <v>0</v>
      </c>
      <c r="FB166" s="139">
        <f t="shared" si="188"/>
        <v>0</v>
      </c>
      <c r="FC166" s="139">
        <f t="shared" si="189"/>
        <v>0</v>
      </c>
      <c r="FD166" s="139">
        <f t="shared" si="190"/>
        <v>0</v>
      </c>
      <c r="FE166" s="139">
        <f t="shared" si="191"/>
        <v>0</v>
      </c>
      <c r="FF166" s="139">
        <f t="shared" si="192"/>
        <v>0</v>
      </c>
      <c r="FG166" s="139">
        <f t="shared" si="193"/>
        <v>0</v>
      </c>
      <c r="FH166" s="139">
        <f t="shared" si="194"/>
        <v>0</v>
      </c>
      <c r="FI166" s="139">
        <f t="shared" si="195"/>
        <v>0</v>
      </c>
      <c r="FJ166" s="139">
        <f t="shared" si="196"/>
        <v>0</v>
      </c>
      <c r="FK166" s="139">
        <f t="shared" si="197"/>
        <v>0</v>
      </c>
      <c r="FL166" s="139">
        <f t="shared" si="198"/>
        <v>0</v>
      </c>
      <c r="FM166" s="139">
        <f t="shared" si="199"/>
        <v>0</v>
      </c>
      <c r="FN166" s="139">
        <f t="shared" si="200"/>
        <v>0</v>
      </c>
      <c r="FO166" s="139">
        <f t="shared" si="201"/>
        <v>0</v>
      </c>
      <c r="FP166" s="139">
        <f t="shared" si="202"/>
        <v>0</v>
      </c>
      <c r="FQ166" s="139">
        <f t="shared" si="203"/>
        <v>0</v>
      </c>
      <c r="FR166" s="139">
        <f t="shared" si="204"/>
        <v>0</v>
      </c>
      <c r="FS166" s="139">
        <f t="shared" si="205"/>
        <v>0</v>
      </c>
      <c r="FT166" s="139">
        <f t="shared" si="206"/>
        <v>0</v>
      </c>
      <c r="FU166" s="148">
        <f t="shared" si="207"/>
        <v>0</v>
      </c>
      <c r="FV166" s="149"/>
      <c r="FY166" s="211">
        <v>161</v>
      </c>
      <c r="FZ166">
        <v>1.2077918813393533</v>
      </c>
      <c r="GA166">
        <v>0.38735017759921181</v>
      </c>
      <c r="GB166">
        <v>0.12565184548559416</v>
      </c>
      <c r="GC166">
        <v>0.10445782487688358</v>
      </c>
      <c r="GD166">
        <v>2.6724553773673727E-2</v>
      </c>
      <c r="GE166">
        <v>0</v>
      </c>
      <c r="GF166">
        <v>0.66042100116664126</v>
      </c>
      <c r="GG166">
        <v>0.59518473501329594</v>
      </c>
      <c r="GH166">
        <v>0</v>
      </c>
      <c r="GI166">
        <v>0.35338382517925965</v>
      </c>
      <c r="GJ166"/>
      <c r="GK166">
        <v>1.2133014179483186</v>
      </c>
      <c r="GL166">
        <v>0.33331521555783822</v>
      </c>
      <c r="GM166">
        <v>0.20987613046478273</v>
      </c>
      <c r="GN166">
        <v>0.31481419569717412</v>
      </c>
      <c r="GO166">
        <v>0.10493806523239137</v>
      </c>
      <c r="GP166">
        <v>0</v>
      </c>
      <c r="GQ166">
        <v>0.90739586192571098</v>
      </c>
      <c r="GR166">
        <v>0.90739586192571098</v>
      </c>
      <c r="GS166">
        <v>0</v>
      </c>
      <c r="GT166">
        <v>0.48710229511424075</v>
      </c>
      <c r="GU166"/>
      <c r="GV166"/>
      <c r="GW166"/>
      <c r="GX166"/>
      <c r="GY166"/>
      <c r="GZ166"/>
      <c r="HA166"/>
      <c r="HB166"/>
      <c r="HC166"/>
    </row>
    <row r="167" spans="1:211" s="7" customFormat="1">
      <c r="A167" s="1"/>
      <c r="B167" s="76">
        <f t="shared" ca="1" si="172"/>
        <v>0.41807021050882032</v>
      </c>
      <c r="C167">
        <v>1</v>
      </c>
      <c r="D167">
        <v>39910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2.5052083333333335</v>
      </c>
      <c r="AO167">
        <v>0.32612255845967236</v>
      </c>
      <c r="AP167">
        <v>14.082816400523456</v>
      </c>
      <c r="AQ167">
        <v>2.3158603717466621</v>
      </c>
      <c r="AR167">
        <v>0.3529956593717688</v>
      </c>
      <c r="AS167">
        <v>1.6476801105843262</v>
      </c>
      <c r="AT167" t="e">
        <v>#DIV/0!</v>
      </c>
      <c r="AU167" t="e">
        <v>#DIV/0!</v>
      </c>
      <c r="AV167"/>
      <c r="AW167"/>
      <c r="AX167" s="146"/>
      <c r="AY167" s="76">
        <f t="shared" ca="1" si="173"/>
        <v>0.81464377819754352</v>
      </c>
      <c r="AZ167">
        <v>10</v>
      </c>
      <c r="BA167" s="129">
        <f t="shared" si="245"/>
        <v>39910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1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 s="147"/>
      <c r="CH167" s="176"/>
      <c r="CJ167" s="146"/>
      <c r="CK167" s="76">
        <f t="shared" ca="1" si="208"/>
        <v>0.1347482856042419</v>
      </c>
      <c r="CL167" s="179">
        <f t="shared" si="209"/>
        <v>10</v>
      </c>
      <c r="CM167" s="180">
        <f t="shared" si="210"/>
        <v>39910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 s="160"/>
      <c r="CW167">
        <v>1</v>
      </c>
      <c r="CX167">
        <f>350/35</f>
        <v>10</v>
      </c>
      <c r="CY167" s="165"/>
      <c r="CZ167" s="177">
        <f t="shared" si="211"/>
        <v>9.6000000000000002E-2</v>
      </c>
      <c r="DB167" s="146"/>
      <c r="DC167" s="76">
        <f t="shared" ca="1" si="174"/>
        <v>0.61686673974418937</v>
      </c>
      <c r="DD167">
        <f t="shared" si="212"/>
        <v>10</v>
      </c>
      <c r="DE167" s="129">
        <f t="shared" si="244"/>
        <v>39910</v>
      </c>
      <c r="DF167" s="161">
        <f t="shared" si="213"/>
        <v>0</v>
      </c>
      <c r="DG167" s="161">
        <f t="shared" si="214"/>
        <v>0</v>
      </c>
      <c r="DH167" s="161">
        <f t="shared" si="215"/>
        <v>0</v>
      </c>
      <c r="DI167" s="161">
        <f t="shared" si="216"/>
        <v>0</v>
      </c>
      <c r="DJ167" s="161">
        <f t="shared" si="217"/>
        <v>0</v>
      </c>
      <c r="DK167" s="161">
        <f t="shared" si="218"/>
        <v>0</v>
      </c>
      <c r="DL167" s="161">
        <f t="shared" si="219"/>
        <v>0</v>
      </c>
      <c r="DM167" s="161">
        <f t="shared" si="220"/>
        <v>0</v>
      </c>
      <c r="DN167" s="161">
        <f t="shared" si="221"/>
        <v>10.416666666666666</v>
      </c>
      <c r="DO167" s="161">
        <f t="shared" si="222"/>
        <v>0</v>
      </c>
      <c r="DP167" s="161">
        <f t="shared" si="223"/>
        <v>0</v>
      </c>
      <c r="DQ167" s="161">
        <f t="shared" si="224"/>
        <v>0</v>
      </c>
      <c r="DR167" s="161">
        <f t="shared" si="225"/>
        <v>0</v>
      </c>
      <c r="DS167" s="161">
        <f t="shared" si="226"/>
        <v>0</v>
      </c>
      <c r="DT167" s="161">
        <f t="shared" si="227"/>
        <v>0</v>
      </c>
      <c r="DU167" s="161">
        <f t="shared" si="228"/>
        <v>0</v>
      </c>
      <c r="DV167" s="161">
        <f t="shared" si="229"/>
        <v>0</v>
      </c>
      <c r="DW167" s="161">
        <f t="shared" si="230"/>
        <v>0</v>
      </c>
      <c r="DX167" s="161">
        <f t="shared" si="231"/>
        <v>0</v>
      </c>
      <c r="DY167" s="161">
        <f t="shared" si="232"/>
        <v>0</v>
      </c>
      <c r="DZ167" s="161">
        <f t="shared" si="233"/>
        <v>0</v>
      </c>
      <c r="EA167" s="161">
        <f t="shared" si="234"/>
        <v>0</v>
      </c>
      <c r="EB167" s="161">
        <f t="shared" si="235"/>
        <v>0</v>
      </c>
      <c r="EC167" s="161">
        <f t="shared" si="236"/>
        <v>0</v>
      </c>
      <c r="ED167" s="161">
        <f t="shared" si="237"/>
        <v>0</v>
      </c>
      <c r="EE167" s="161">
        <f t="shared" si="238"/>
        <v>0</v>
      </c>
      <c r="EF167" s="161">
        <f t="shared" si="239"/>
        <v>0</v>
      </c>
      <c r="EG167" s="161">
        <f t="shared" si="240"/>
        <v>0</v>
      </c>
      <c r="EH167" s="161">
        <f t="shared" si="241"/>
        <v>0</v>
      </c>
      <c r="EI167" s="161">
        <f t="shared" si="242"/>
        <v>0</v>
      </c>
      <c r="EJ167" s="161">
        <f t="shared" si="243"/>
        <v>0</v>
      </c>
      <c r="EK167" s="147">
        <f t="shared" si="175"/>
        <v>10.416666666666666</v>
      </c>
      <c r="EL167" s="149"/>
      <c r="EN167" s="146"/>
      <c r="EO167" s="146"/>
      <c r="EP167" s="139">
        <f t="shared" si="176"/>
        <v>0</v>
      </c>
      <c r="EQ167" s="139">
        <f t="shared" si="177"/>
        <v>0</v>
      </c>
      <c r="ER167" s="139">
        <f t="shared" si="178"/>
        <v>0</v>
      </c>
      <c r="ES167" s="139">
        <f t="shared" si="179"/>
        <v>0</v>
      </c>
      <c r="ET167" s="139">
        <f t="shared" si="180"/>
        <v>0</v>
      </c>
      <c r="EU167" s="139">
        <f t="shared" si="181"/>
        <v>0</v>
      </c>
      <c r="EV167" s="139">
        <f t="shared" si="182"/>
        <v>0</v>
      </c>
      <c r="EW167" s="139">
        <f t="shared" si="183"/>
        <v>0</v>
      </c>
      <c r="EX167" s="139">
        <f t="shared" si="184"/>
        <v>9.0739586192571107</v>
      </c>
      <c r="EY167" s="139">
        <f t="shared" si="185"/>
        <v>0</v>
      </c>
      <c r="EZ167" s="139">
        <f t="shared" si="186"/>
        <v>0</v>
      </c>
      <c r="FA167" s="139">
        <f t="shared" si="187"/>
        <v>0</v>
      </c>
      <c r="FB167" s="139">
        <f t="shared" si="188"/>
        <v>0</v>
      </c>
      <c r="FC167" s="139">
        <f t="shared" si="189"/>
        <v>0</v>
      </c>
      <c r="FD167" s="139">
        <f t="shared" si="190"/>
        <v>0</v>
      </c>
      <c r="FE167" s="139">
        <f t="shared" si="191"/>
        <v>0</v>
      </c>
      <c r="FF167" s="139">
        <f t="shared" si="192"/>
        <v>0</v>
      </c>
      <c r="FG167" s="139">
        <f t="shared" si="193"/>
        <v>0</v>
      </c>
      <c r="FH167" s="139">
        <f t="shared" si="194"/>
        <v>0</v>
      </c>
      <c r="FI167" s="139">
        <f t="shared" si="195"/>
        <v>0</v>
      </c>
      <c r="FJ167" s="139">
        <f t="shared" si="196"/>
        <v>0</v>
      </c>
      <c r="FK167" s="139">
        <f t="shared" si="197"/>
        <v>0</v>
      </c>
      <c r="FL167" s="139">
        <f t="shared" si="198"/>
        <v>0</v>
      </c>
      <c r="FM167" s="139">
        <f t="shared" si="199"/>
        <v>0</v>
      </c>
      <c r="FN167" s="139">
        <f t="shared" si="200"/>
        <v>0</v>
      </c>
      <c r="FO167" s="139">
        <f t="shared" si="201"/>
        <v>0</v>
      </c>
      <c r="FP167" s="139">
        <f t="shared" si="202"/>
        <v>0</v>
      </c>
      <c r="FQ167" s="139">
        <f t="shared" si="203"/>
        <v>0</v>
      </c>
      <c r="FR167" s="139">
        <f t="shared" si="204"/>
        <v>0</v>
      </c>
      <c r="FS167" s="139">
        <f t="shared" si="205"/>
        <v>0</v>
      </c>
      <c r="FT167" s="139">
        <f t="shared" si="206"/>
        <v>0</v>
      </c>
      <c r="FU167" s="148">
        <f t="shared" si="207"/>
        <v>9.0739586192571107</v>
      </c>
      <c r="FV167" s="149"/>
      <c r="FY167" s="211">
        <v>162</v>
      </c>
      <c r="FZ167">
        <v>0.53885110196760577</v>
      </c>
      <c r="GA167">
        <v>8.725047411847664E-2</v>
      </c>
      <c r="GB167">
        <v>6.282592274279708E-2</v>
      </c>
      <c r="GC167">
        <v>6.9638549917922385E-2</v>
      </c>
      <c r="GD167">
        <v>2.6724553773673727E-2</v>
      </c>
      <c r="GE167">
        <v>0</v>
      </c>
      <c r="GF167">
        <v>0.99063150174996206</v>
      </c>
      <c r="GG167">
        <v>0.89277710251994391</v>
      </c>
      <c r="GH167">
        <v>0</v>
      </c>
      <c r="GI167">
        <v>0.30295399232768516</v>
      </c>
      <c r="GJ167"/>
      <c r="GK167">
        <v>0.54068157439122078</v>
      </c>
      <c r="GL167">
        <v>7.3740509229249462E-2</v>
      </c>
      <c r="GM167">
        <v>0.10493806523239137</v>
      </c>
      <c r="GN167">
        <v>0.20987613046478273</v>
      </c>
      <c r="GO167">
        <v>0.10493806523239137</v>
      </c>
      <c r="GP167">
        <v>0</v>
      </c>
      <c r="GQ167">
        <v>1.3610937928885667</v>
      </c>
      <c r="GR167">
        <v>1.3610937928885667</v>
      </c>
      <c r="GS167">
        <v>0</v>
      </c>
      <c r="GT167">
        <v>0.42233029954891405</v>
      </c>
      <c r="GU167"/>
      <c r="GV167"/>
      <c r="GW167"/>
      <c r="GX167"/>
      <c r="GY167"/>
      <c r="GZ167"/>
      <c r="HA167"/>
      <c r="HB167"/>
      <c r="HC167"/>
    </row>
    <row r="168" spans="1:211" s="7" customFormat="1">
      <c r="A168" s="128"/>
      <c r="B168" s="76">
        <f t="shared" ca="1" si="172"/>
        <v>0.66607920801405918</v>
      </c>
      <c r="C168">
        <v>2</v>
      </c>
      <c r="D168">
        <v>39949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1.7552083333333328</v>
      </c>
      <c r="AO168">
        <v>0.19101876605240126</v>
      </c>
      <c r="AP168">
        <v>2.9735696270952192</v>
      </c>
      <c r="AQ168">
        <v>1.2944982134442193</v>
      </c>
      <c r="AR168">
        <v>0.24407596060313835</v>
      </c>
      <c r="AS168">
        <v>1.5342514479033182</v>
      </c>
      <c r="AT168" t="e">
        <v>#DIV/0!</v>
      </c>
      <c r="AU168" t="e">
        <v>#DIV/0!</v>
      </c>
      <c r="AV168"/>
      <c r="AW168"/>
      <c r="AX168" s="128"/>
      <c r="AY168" s="76">
        <f t="shared" ca="1" si="173"/>
        <v>0.50133659925510488</v>
      </c>
      <c r="AZ168">
        <v>1</v>
      </c>
      <c r="BA168" s="129">
        <f>IF(AZ168="", "",$C$12)</f>
        <v>39949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 s="147"/>
      <c r="CH168" s="176"/>
      <c r="CJ168" s="128"/>
      <c r="CK168" s="76">
        <f t="shared" ca="1" si="208"/>
        <v>0.29448041625766397</v>
      </c>
      <c r="CL168" s="179">
        <f t="shared" si="209"/>
        <v>1</v>
      </c>
      <c r="CM168" s="180">
        <f t="shared" si="210"/>
        <v>39949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 s="160"/>
      <c r="CW168">
        <v>1</v>
      </c>
      <c r="CX168">
        <f>325/83</f>
        <v>3.9156626506024095</v>
      </c>
      <c r="CY168" s="160"/>
      <c r="CZ168" s="177">
        <f t="shared" si="211"/>
        <v>9.6000000000000002E-2</v>
      </c>
      <c r="DB168" s="128"/>
      <c r="DC168" s="76">
        <f t="shared" ca="1" si="174"/>
        <v>0.63400037239195783</v>
      </c>
      <c r="DD168">
        <f t="shared" si="212"/>
        <v>1</v>
      </c>
      <c r="DE168" s="129">
        <f t="shared" ref="DE168:DE177" si="246">IF((DD168)="", "", $C$12)</f>
        <v>39949</v>
      </c>
      <c r="DF168" s="161">
        <f t="shared" si="213"/>
        <v>0</v>
      </c>
      <c r="DG168" s="161">
        <f t="shared" si="214"/>
        <v>0</v>
      </c>
      <c r="DH168" s="161">
        <f t="shared" si="215"/>
        <v>0</v>
      </c>
      <c r="DI168" s="161">
        <f t="shared" si="216"/>
        <v>0</v>
      </c>
      <c r="DJ168" s="161">
        <f t="shared" si="217"/>
        <v>0</v>
      </c>
      <c r="DK168" s="161">
        <f t="shared" si="218"/>
        <v>0</v>
      </c>
      <c r="DL168" s="161">
        <f t="shared" si="219"/>
        <v>0</v>
      </c>
      <c r="DM168" s="161">
        <f t="shared" si="220"/>
        <v>0</v>
      </c>
      <c r="DN168" s="161">
        <f t="shared" si="221"/>
        <v>0</v>
      </c>
      <c r="DO168" s="161">
        <f t="shared" si="222"/>
        <v>0</v>
      </c>
      <c r="DP168" s="161">
        <f t="shared" si="223"/>
        <v>0</v>
      </c>
      <c r="DQ168" s="161">
        <f t="shared" si="224"/>
        <v>0</v>
      </c>
      <c r="DR168" s="161">
        <f t="shared" si="225"/>
        <v>0</v>
      </c>
      <c r="DS168" s="161">
        <f t="shared" si="226"/>
        <v>0</v>
      </c>
      <c r="DT168" s="161">
        <f t="shared" si="227"/>
        <v>0</v>
      </c>
      <c r="DU168" s="161">
        <f t="shared" si="228"/>
        <v>0</v>
      </c>
      <c r="DV168" s="161">
        <f t="shared" si="229"/>
        <v>0</v>
      </c>
      <c r="DW168" s="161">
        <f t="shared" si="230"/>
        <v>0</v>
      </c>
      <c r="DX168" s="161">
        <f t="shared" si="231"/>
        <v>0</v>
      </c>
      <c r="DY168" s="161">
        <f t="shared" si="232"/>
        <v>0</v>
      </c>
      <c r="DZ168" s="161">
        <f t="shared" si="233"/>
        <v>0</v>
      </c>
      <c r="EA168" s="161">
        <f t="shared" si="234"/>
        <v>0</v>
      </c>
      <c r="EB168" s="161">
        <f t="shared" si="235"/>
        <v>0</v>
      </c>
      <c r="EC168" s="161">
        <f t="shared" si="236"/>
        <v>0</v>
      </c>
      <c r="ED168" s="161">
        <f t="shared" si="237"/>
        <v>0</v>
      </c>
      <c r="EE168" s="161">
        <f t="shared" si="238"/>
        <v>0</v>
      </c>
      <c r="EF168" s="161">
        <f t="shared" si="239"/>
        <v>0</v>
      </c>
      <c r="EG168" s="161">
        <f t="shared" si="240"/>
        <v>0</v>
      </c>
      <c r="EH168" s="161">
        <f t="shared" si="241"/>
        <v>0</v>
      </c>
      <c r="EI168" s="161">
        <f t="shared" si="242"/>
        <v>0</v>
      </c>
      <c r="EJ168" s="161">
        <f t="shared" si="243"/>
        <v>0</v>
      </c>
      <c r="EK168" s="147">
        <f t="shared" si="175"/>
        <v>0</v>
      </c>
      <c r="EL168" s="149"/>
      <c r="EN168" s="146"/>
      <c r="EO168" s="146"/>
      <c r="EP168" s="139">
        <f t="shared" si="176"/>
        <v>0</v>
      </c>
      <c r="EQ168" s="139">
        <f t="shared" si="177"/>
        <v>0</v>
      </c>
      <c r="ER168" s="139">
        <f t="shared" si="178"/>
        <v>0</v>
      </c>
      <c r="ES168" s="139">
        <f t="shared" si="179"/>
        <v>0</v>
      </c>
      <c r="ET168" s="139">
        <f t="shared" si="180"/>
        <v>0</v>
      </c>
      <c r="EU168" s="139">
        <f t="shared" si="181"/>
        <v>0</v>
      </c>
      <c r="EV168" s="139">
        <f t="shared" si="182"/>
        <v>0</v>
      </c>
      <c r="EW168" s="139">
        <f t="shared" si="183"/>
        <v>0</v>
      </c>
      <c r="EX168" s="139">
        <f t="shared" si="184"/>
        <v>0</v>
      </c>
      <c r="EY168" s="139">
        <f t="shared" si="185"/>
        <v>0</v>
      </c>
      <c r="EZ168" s="139">
        <f t="shared" si="186"/>
        <v>0</v>
      </c>
      <c r="FA168" s="139">
        <f t="shared" si="187"/>
        <v>0</v>
      </c>
      <c r="FB168" s="139">
        <f t="shared" si="188"/>
        <v>0</v>
      </c>
      <c r="FC168" s="139">
        <f t="shared" si="189"/>
        <v>0</v>
      </c>
      <c r="FD168" s="139">
        <f t="shared" si="190"/>
        <v>0</v>
      </c>
      <c r="FE168" s="139">
        <f t="shared" si="191"/>
        <v>0</v>
      </c>
      <c r="FF168" s="139">
        <f t="shared" si="192"/>
        <v>0</v>
      </c>
      <c r="FG168" s="139">
        <f t="shared" si="193"/>
        <v>0</v>
      </c>
      <c r="FH168" s="139">
        <f t="shared" si="194"/>
        <v>0</v>
      </c>
      <c r="FI168" s="139">
        <f t="shared" si="195"/>
        <v>0</v>
      </c>
      <c r="FJ168" s="139">
        <f t="shared" si="196"/>
        <v>0</v>
      </c>
      <c r="FK168" s="139">
        <f t="shared" si="197"/>
        <v>0</v>
      </c>
      <c r="FL168" s="139">
        <f t="shared" si="198"/>
        <v>0</v>
      </c>
      <c r="FM168" s="139">
        <f t="shared" si="199"/>
        <v>0</v>
      </c>
      <c r="FN168" s="139">
        <f t="shared" si="200"/>
        <v>0</v>
      </c>
      <c r="FO168" s="139">
        <f t="shared" si="201"/>
        <v>0</v>
      </c>
      <c r="FP168" s="139">
        <f t="shared" si="202"/>
        <v>0</v>
      </c>
      <c r="FQ168" s="139">
        <f t="shared" si="203"/>
        <v>0</v>
      </c>
      <c r="FR168" s="139">
        <f t="shared" si="204"/>
        <v>0</v>
      </c>
      <c r="FS168" s="139">
        <f t="shared" si="205"/>
        <v>0</v>
      </c>
      <c r="FT168" s="139">
        <f t="shared" si="206"/>
        <v>0</v>
      </c>
      <c r="FU168" s="148">
        <f t="shared" si="207"/>
        <v>0</v>
      </c>
      <c r="FV168" s="149"/>
      <c r="FY168" s="211">
        <v>163</v>
      </c>
      <c r="FZ168">
        <v>0.74936580528114627</v>
      </c>
      <c r="GA168">
        <v>0.47460065171768845</v>
      </c>
      <c r="GB168">
        <v>0.30043788257902154</v>
      </c>
      <c r="GC168">
        <v>0.23687430183264407</v>
      </c>
      <c r="GD168">
        <v>5.3449107547347455E-2</v>
      </c>
      <c r="GE168">
        <v>0</v>
      </c>
      <c r="GF168">
        <v>0.33021050058332063</v>
      </c>
      <c r="GG168">
        <v>0.29759236750664797</v>
      </c>
      <c r="GH168">
        <v>0</v>
      </c>
      <c r="GI168">
        <v>0.27962855375865109</v>
      </c>
      <c r="GJ168"/>
      <c r="GK168">
        <v>0.75294195643284256</v>
      </c>
      <c r="GL168">
        <v>0.40705572478708768</v>
      </c>
      <c r="GM168">
        <v>0.4976911688564169</v>
      </c>
      <c r="GN168">
        <v>0.70756729932119966</v>
      </c>
      <c r="GO168">
        <v>0.20987613046478273</v>
      </c>
      <c r="GP168">
        <v>0</v>
      </c>
      <c r="GQ168">
        <v>0.45369793096285549</v>
      </c>
      <c r="GR168">
        <v>0.45369793096285549</v>
      </c>
      <c r="GS168">
        <v>0</v>
      </c>
      <c r="GT168">
        <v>0.38284143734337955</v>
      </c>
      <c r="GU168"/>
      <c r="GV168"/>
      <c r="GW168"/>
      <c r="GX168"/>
      <c r="GY168"/>
      <c r="GZ168"/>
      <c r="HA168"/>
      <c r="HB168"/>
      <c r="HC168"/>
    </row>
    <row r="169" spans="1:211" s="7" customFormat="1">
      <c r="A169" s="1"/>
      <c r="B169" s="76">
        <f t="shared" ca="1" si="172"/>
        <v>1.3497911549881891E-2</v>
      </c>
      <c r="C169">
        <v>6</v>
      </c>
      <c r="D169">
        <v>39949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2.1468749999999996</v>
      </c>
      <c r="AO169">
        <v>0.32210517491351143</v>
      </c>
      <c r="AP169">
        <v>5.8086265562322419</v>
      </c>
      <c r="AQ169">
        <v>2.7309854391711226</v>
      </c>
      <c r="AR169">
        <v>0.33915815198083443</v>
      </c>
      <c r="AS169">
        <v>1.9166321786284544</v>
      </c>
      <c r="AT169" t="e">
        <v>#DIV/0!</v>
      </c>
      <c r="AU169" t="e">
        <v>#DIV/0!</v>
      </c>
      <c r="AV169"/>
      <c r="AW169"/>
      <c r="AX169" s="146"/>
      <c r="AY169" s="76">
        <f t="shared" ca="1" si="173"/>
        <v>0.27195485573433498</v>
      </c>
      <c r="AZ169">
        <v>2</v>
      </c>
      <c r="BA169" s="129">
        <f t="shared" ref="BA169:BA177" si="247">IF(AZ169="", "",$C$12)</f>
        <v>39949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 s="147"/>
      <c r="CH169" s="176"/>
      <c r="CJ169" s="146"/>
      <c r="CK169" s="76">
        <f t="shared" ca="1" si="208"/>
        <v>0.43809107701574046</v>
      </c>
      <c r="CL169" s="179">
        <f t="shared" si="209"/>
        <v>2</v>
      </c>
      <c r="CM169" s="180">
        <f t="shared" si="210"/>
        <v>39949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 s="160"/>
      <c r="CW169">
        <v>1</v>
      </c>
      <c r="CX169">
        <v>1</v>
      </c>
      <c r="CY169" s="160"/>
      <c r="CZ169" s="177">
        <f t="shared" si="211"/>
        <v>9.6000000000000002E-2</v>
      </c>
      <c r="DB169" s="146"/>
      <c r="DC169" s="76">
        <f t="shared" ca="1" si="174"/>
        <v>0.32649634141335682</v>
      </c>
      <c r="DD169">
        <f t="shared" si="212"/>
        <v>2</v>
      </c>
      <c r="DE169" s="129">
        <f t="shared" si="246"/>
        <v>39949</v>
      </c>
      <c r="DF169" s="161">
        <f t="shared" si="213"/>
        <v>0</v>
      </c>
      <c r="DG169" s="161">
        <f t="shared" si="214"/>
        <v>0</v>
      </c>
      <c r="DH169" s="161">
        <f t="shared" si="215"/>
        <v>0</v>
      </c>
      <c r="DI169" s="161">
        <f t="shared" si="216"/>
        <v>0</v>
      </c>
      <c r="DJ169" s="161">
        <f t="shared" si="217"/>
        <v>0</v>
      </c>
      <c r="DK169" s="161">
        <f t="shared" si="218"/>
        <v>0</v>
      </c>
      <c r="DL169" s="161">
        <f t="shared" si="219"/>
        <v>0</v>
      </c>
      <c r="DM169" s="161">
        <f t="shared" si="220"/>
        <v>0</v>
      </c>
      <c r="DN169" s="161">
        <f t="shared" si="221"/>
        <v>0</v>
      </c>
      <c r="DO169" s="161">
        <f t="shared" si="222"/>
        <v>0</v>
      </c>
      <c r="DP169" s="161">
        <f t="shared" si="223"/>
        <v>0</v>
      </c>
      <c r="DQ169" s="161">
        <f t="shared" si="224"/>
        <v>0</v>
      </c>
      <c r="DR169" s="161">
        <f t="shared" si="225"/>
        <v>0</v>
      </c>
      <c r="DS169" s="161">
        <f t="shared" si="226"/>
        <v>0</v>
      </c>
      <c r="DT169" s="161">
        <f t="shared" si="227"/>
        <v>0</v>
      </c>
      <c r="DU169" s="161">
        <f t="shared" si="228"/>
        <v>0</v>
      </c>
      <c r="DV169" s="161">
        <f t="shared" si="229"/>
        <v>0</v>
      </c>
      <c r="DW169" s="161">
        <f t="shared" si="230"/>
        <v>0</v>
      </c>
      <c r="DX169" s="161">
        <f t="shared" si="231"/>
        <v>0</v>
      </c>
      <c r="DY169" s="161">
        <f t="shared" si="232"/>
        <v>0</v>
      </c>
      <c r="DZ169" s="161">
        <f t="shared" si="233"/>
        <v>0</v>
      </c>
      <c r="EA169" s="161">
        <f t="shared" si="234"/>
        <v>0</v>
      </c>
      <c r="EB169" s="161">
        <f t="shared" si="235"/>
        <v>0</v>
      </c>
      <c r="EC169" s="161">
        <f t="shared" si="236"/>
        <v>0</v>
      </c>
      <c r="ED169" s="161">
        <f t="shared" si="237"/>
        <v>0</v>
      </c>
      <c r="EE169" s="161">
        <f t="shared" si="238"/>
        <v>0</v>
      </c>
      <c r="EF169" s="161">
        <f t="shared" si="239"/>
        <v>0</v>
      </c>
      <c r="EG169" s="161">
        <f t="shared" si="240"/>
        <v>0</v>
      </c>
      <c r="EH169" s="161">
        <f t="shared" si="241"/>
        <v>0</v>
      </c>
      <c r="EI169" s="161">
        <f t="shared" si="242"/>
        <v>0</v>
      </c>
      <c r="EJ169" s="161">
        <f t="shared" si="243"/>
        <v>0</v>
      </c>
      <c r="EK169" s="147">
        <f t="shared" si="175"/>
        <v>0</v>
      </c>
      <c r="EL169" s="149"/>
      <c r="EN169" s="146"/>
      <c r="EO169" s="146"/>
      <c r="EP169" s="139">
        <f t="shared" si="176"/>
        <v>0</v>
      </c>
      <c r="EQ169" s="139">
        <f t="shared" si="177"/>
        <v>0</v>
      </c>
      <c r="ER169" s="139">
        <f t="shared" si="178"/>
        <v>0</v>
      </c>
      <c r="ES169" s="139">
        <f t="shared" si="179"/>
        <v>0</v>
      </c>
      <c r="ET169" s="139">
        <f t="shared" si="180"/>
        <v>0</v>
      </c>
      <c r="EU169" s="139">
        <f t="shared" si="181"/>
        <v>0</v>
      </c>
      <c r="EV169" s="139">
        <f t="shared" si="182"/>
        <v>0</v>
      </c>
      <c r="EW169" s="139">
        <f t="shared" si="183"/>
        <v>0</v>
      </c>
      <c r="EX169" s="139">
        <f t="shared" si="184"/>
        <v>0</v>
      </c>
      <c r="EY169" s="139">
        <f t="shared" si="185"/>
        <v>0</v>
      </c>
      <c r="EZ169" s="139">
        <f t="shared" si="186"/>
        <v>0</v>
      </c>
      <c r="FA169" s="139">
        <f t="shared" si="187"/>
        <v>0</v>
      </c>
      <c r="FB169" s="139">
        <f t="shared" si="188"/>
        <v>0</v>
      </c>
      <c r="FC169" s="139">
        <f t="shared" si="189"/>
        <v>0</v>
      </c>
      <c r="FD169" s="139">
        <f t="shared" si="190"/>
        <v>0</v>
      </c>
      <c r="FE169" s="139">
        <f t="shared" si="191"/>
        <v>0</v>
      </c>
      <c r="FF169" s="139">
        <f t="shared" si="192"/>
        <v>0</v>
      </c>
      <c r="FG169" s="139">
        <f t="shared" si="193"/>
        <v>0</v>
      </c>
      <c r="FH169" s="139">
        <f t="shared" si="194"/>
        <v>0</v>
      </c>
      <c r="FI169" s="139">
        <f t="shared" si="195"/>
        <v>0</v>
      </c>
      <c r="FJ169" s="139">
        <f t="shared" si="196"/>
        <v>0</v>
      </c>
      <c r="FK169" s="139">
        <f t="shared" si="197"/>
        <v>0</v>
      </c>
      <c r="FL169" s="139">
        <f t="shared" si="198"/>
        <v>0</v>
      </c>
      <c r="FM169" s="139">
        <f t="shared" si="199"/>
        <v>0</v>
      </c>
      <c r="FN169" s="139">
        <f t="shared" si="200"/>
        <v>0</v>
      </c>
      <c r="FO169" s="139">
        <f t="shared" si="201"/>
        <v>0</v>
      </c>
      <c r="FP169" s="139">
        <f t="shared" si="202"/>
        <v>0</v>
      </c>
      <c r="FQ169" s="139">
        <f t="shared" si="203"/>
        <v>0</v>
      </c>
      <c r="FR169" s="139">
        <f t="shared" si="204"/>
        <v>0</v>
      </c>
      <c r="FS169" s="139">
        <f t="shared" si="205"/>
        <v>0</v>
      </c>
      <c r="FT169" s="139">
        <f t="shared" si="206"/>
        <v>0</v>
      </c>
      <c r="FU169" s="148">
        <f t="shared" si="207"/>
        <v>0</v>
      </c>
      <c r="FV169" s="149"/>
      <c r="FY169" s="211">
        <v>164</v>
      </c>
      <c r="FZ169">
        <v>1.9860246330263807</v>
      </c>
      <c r="GA169">
        <v>1.0364517775538535</v>
      </c>
      <c r="GB169">
        <v>0.204855832097669</v>
      </c>
      <c r="GC169">
        <v>0.11377737556984255</v>
      </c>
      <c r="GD169">
        <v>0</v>
      </c>
      <c r="GE169">
        <v>0</v>
      </c>
      <c r="GF169">
        <v>0</v>
      </c>
      <c r="GG169">
        <v>0</v>
      </c>
      <c r="GH169">
        <v>0</v>
      </c>
      <c r="GI169">
        <v>0.3441078297847846</v>
      </c>
      <c r="GJ169"/>
      <c r="GK169">
        <v>2.0060884162896118</v>
      </c>
      <c r="GL169">
        <v>0.88785195880342482</v>
      </c>
      <c r="GM169">
        <v>0.34079383167279126</v>
      </c>
      <c r="GN169">
        <v>0.34079383167279126</v>
      </c>
      <c r="GO169">
        <v>0</v>
      </c>
      <c r="GP169">
        <v>0</v>
      </c>
      <c r="GQ169">
        <v>0</v>
      </c>
      <c r="GR169">
        <v>0</v>
      </c>
      <c r="GS169">
        <v>0</v>
      </c>
      <c r="GT169">
        <v>0.46937644959248065</v>
      </c>
      <c r="GU169"/>
      <c r="GV169"/>
      <c r="GW169"/>
      <c r="GX169"/>
      <c r="GY169"/>
      <c r="GZ169"/>
      <c r="HA169"/>
      <c r="HB169"/>
      <c r="HC169"/>
    </row>
    <row r="170" spans="1:211" s="7" customFormat="1">
      <c r="A170" s="1"/>
      <c r="B170" s="76">
        <f t="shared" ca="1" si="172"/>
        <v>0.81500921188835385</v>
      </c>
      <c r="C170">
        <v>5</v>
      </c>
      <c r="D170">
        <v>39949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2.1187499999999999</v>
      </c>
      <c r="AO170">
        <v>0.3290940065412245</v>
      </c>
      <c r="AP170">
        <v>1.7541835292765533</v>
      </c>
      <c r="AQ170">
        <v>3.3869847196997629</v>
      </c>
      <c r="AR170">
        <v>0.34496214850849694</v>
      </c>
      <c r="AS170">
        <v>1.7322413547603615</v>
      </c>
      <c r="AT170" t="e">
        <v>#DIV/0!</v>
      </c>
      <c r="AU170" t="e">
        <v>#DIV/0!</v>
      </c>
      <c r="AV170"/>
      <c r="AW170"/>
      <c r="AX170" s="146"/>
      <c r="AY170" s="76">
        <f t="shared" ca="1" si="173"/>
        <v>0.575194749292959</v>
      </c>
      <c r="AZ170">
        <v>3</v>
      </c>
      <c r="BA170" s="129">
        <f t="shared" si="247"/>
        <v>39949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 s="147"/>
      <c r="CH170" s="176"/>
      <c r="CJ170" s="146"/>
      <c r="CK170" s="76">
        <f t="shared" ca="1" si="208"/>
        <v>0.76996216235275305</v>
      </c>
      <c r="CL170" s="179">
        <f t="shared" si="209"/>
        <v>3</v>
      </c>
      <c r="CM170" s="180">
        <f t="shared" si="210"/>
        <v>39949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 s="160"/>
      <c r="CW170">
        <v>1</v>
      </c>
      <c r="CX170">
        <f>350/45</f>
        <v>7.7777777777777777</v>
      </c>
      <c r="CY170" s="160"/>
      <c r="CZ170" s="177">
        <f t="shared" si="211"/>
        <v>9.6000000000000002E-2</v>
      </c>
      <c r="DB170" s="146"/>
      <c r="DC170" s="76">
        <f t="shared" ca="1" si="174"/>
        <v>0.10891981765455938</v>
      </c>
      <c r="DD170">
        <f t="shared" si="212"/>
        <v>3</v>
      </c>
      <c r="DE170" s="129">
        <f t="shared" si="246"/>
        <v>39949</v>
      </c>
      <c r="DF170" s="161">
        <f t="shared" si="213"/>
        <v>0</v>
      </c>
      <c r="DG170" s="161">
        <f t="shared" si="214"/>
        <v>0</v>
      </c>
      <c r="DH170" s="161">
        <f t="shared" si="215"/>
        <v>0</v>
      </c>
      <c r="DI170" s="161">
        <f t="shared" si="216"/>
        <v>0</v>
      </c>
      <c r="DJ170" s="161">
        <f t="shared" si="217"/>
        <v>0</v>
      </c>
      <c r="DK170" s="161">
        <f t="shared" si="218"/>
        <v>0</v>
      </c>
      <c r="DL170" s="161">
        <f t="shared" si="219"/>
        <v>0</v>
      </c>
      <c r="DM170" s="161">
        <f t="shared" si="220"/>
        <v>0</v>
      </c>
      <c r="DN170" s="161">
        <f t="shared" si="221"/>
        <v>0</v>
      </c>
      <c r="DO170" s="161">
        <f t="shared" si="222"/>
        <v>0</v>
      </c>
      <c r="DP170" s="161">
        <f t="shared" si="223"/>
        <v>0</v>
      </c>
      <c r="DQ170" s="161">
        <f t="shared" si="224"/>
        <v>0</v>
      </c>
      <c r="DR170" s="161">
        <f t="shared" si="225"/>
        <v>0</v>
      </c>
      <c r="DS170" s="161">
        <f t="shared" si="226"/>
        <v>0</v>
      </c>
      <c r="DT170" s="161">
        <f t="shared" si="227"/>
        <v>0</v>
      </c>
      <c r="DU170" s="161">
        <f t="shared" si="228"/>
        <v>0</v>
      </c>
      <c r="DV170" s="161">
        <f t="shared" si="229"/>
        <v>0</v>
      </c>
      <c r="DW170" s="161">
        <f t="shared" si="230"/>
        <v>0</v>
      </c>
      <c r="DX170" s="161">
        <f t="shared" si="231"/>
        <v>0</v>
      </c>
      <c r="DY170" s="161">
        <f t="shared" si="232"/>
        <v>0</v>
      </c>
      <c r="DZ170" s="161">
        <f t="shared" si="233"/>
        <v>0</v>
      </c>
      <c r="EA170" s="161">
        <f t="shared" si="234"/>
        <v>0</v>
      </c>
      <c r="EB170" s="161">
        <f t="shared" si="235"/>
        <v>0</v>
      </c>
      <c r="EC170" s="161">
        <f t="shared" si="236"/>
        <v>0</v>
      </c>
      <c r="ED170" s="161">
        <f t="shared" si="237"/>
        <v>0</v>
      </c>
      <c r="EE170" s="161">
        <f t="shared" si="238"/>
        <v>0</v>
      </c>
      <c r="EF170" s="161">
        <f t="shared" si="239"/>
        <v>0</v>
      </c>
      <c r="EG170" s="161">
        <f t="shared" si="240"/>
        <v>0</v>
      </c>
      <c r="EH170" s="161">
        <f t="shared" si="241"/>
        <v>0</v>
      </c>
      <c r="EI170" s="161">
        <f t="shared" si="242"/>
        <v>0</v>
      </c>
      <c r="EJ170" s="161">
        <f t="shared" si="243"/>
        <v>0</v>
      </c>
      <c r="EK170" s="147">
        <f t="shared" si="175"/>
        <v>0</v>
      </c>
      <c r="EL170" s="149"/>
      <c r="EN170" s="146"/>
      <c r="EO170" s="146"/>
      <c r="EP170" s="139">
        <f t="shared" si="176"/>
        <v>0</v>
      </c>
      <c r="EQ170" s="139">
        <f t="shared" si="177"/>
        <v>0</v>
      </c>
      <c r="ER170" s="139">
        <f t="shared" si="178"/>
        <v>0</v>
      </c>
      <c r="ES170" s="139">
        <f t="shared" si="179"/>
        <v>0</v>
      </c>
      <c r="ET170" s="139">
        <f t="shared" si="180"/>
        <v>0</v>
      </c>
      <c r="EU170" s="139">
        <f t="shared" si="181"/>
        <v>0</v>
      </c>
      <c r="EV170" s="139">
        <f t="shared" si="182"/>
        <v>0</v>
      </c>
      <c r="EW170" s="139">
        <f t="shared" si="183"/>
        <v>0</v>
      </c>
      <c r="EX170" s="139">
        <f t="shared" si="184"/>
        <v>0</v>
      </c>
      <c r="EY170" s="139">
        <f t="shared" si="185"/>
        <v>0</v>
      </c>
      <c r="EZ170" s="139">
        <f t="shared" si="186"/>
        <v>0</v>
      </c>
      <c r="FA170" s="139">
        <f t="shared" si="187"/>
        <v>0</v>
      </c>
      <c r="FB170" s="139">
        <f t="shared" si="188"/>
        <v>0</v>
      </c>
      <c r="FC170" s="139">
        <f t="shared" si="189"/>
        <v>0</v>
      </c>
      <c r="FD170" s="139">
        <f t="shared" si="190"/>
        <v>0</v>
      </c>
      <c r="FE170" s="139">
        <f t="shared" si="191"/>
        <v>0</v>
      </c>
      <c r="FF170" s="139">
        <f t="shared" si="192"/>
        <v>0</v>
      </c>
      <c r="FG170" s="139">
        <f t="shared" si="193"/>
        <v>0</v>
      </c>
      <c r="FH170" s="139">
        <f t="shared" si="194"/>
        <v>0</v>
      </c>
      <c r="FI170" s="139">
        <f t="shared" si="195"/>
        <v>0</v>
      </c>
      <c r="FJ170" s="139">
        <f t="shared" si="196"/>
        <v>0</v>
      </c>
      <c r="FK170" s="139">
        <f t="shared" si="197"/>
        <v>0</v>
      </c>
      <c r="FL170" s="139">
        <f t="shared" si="198"/>
        <v>0</v>
      </c>
      <c r="FM170" s="139">
        <f t="shared" si="199"/>
        <v>0</v>
      </c>
      <c r="FN170" s="139">
        <f t="shared" si="200"/>
        <v>0</v>
      </c>
      <c r="FO170" s="139">
        <f t="shared" si="201"/>
        <v>0</v>
      </c>
      <c r="FP170" s="139">
        <f t="shared" si="202"/>
        <v>0</v>
      </c>
      <c r="FQ170" s="139">
        <f t="shared" si="203"/>
        <v>0</v>
      </c>
      <c r="FR170" s="139">
        <f t="shared" si="204"/>
        <v>0</v>
      </c>
      <c r="FS170" s="139">
        <f t="shared" si="205"/>
        <v>0</v>
      </c>
      <c r="FT170" s="139">
        <f t="shared" si="206"/>
        <v>0</v>
      </c>
      <c r="FU170" s="148">
        <f t="shared" si="207"/>
        <v>0</v>
      </c>
      <c r="FV170" s="149"/>
      <c r="FY170" s="211">
        <v>165</v>
      </c>
      <c r="FZ170">
        <v>0.52134312101426683</v>
      </c>
      <c r="GA170">
        <v>0</v>
      </c>
      <c r="GB170">
        <v>0.14202990935487192</v>
      </c>
      <c r="GC170">
        <v>0.11377737556984255</v>
      </c>
      <c r="GD170">
        <v>2.6724553773673727E-2</v>
      </c>
      <c r="GE170">
        <v>0</v>
      </c>
      <c r="GF170">
        <v>0</v>
      </c>
      <c r="GG170">
        <v>0</v>
      </c>
      <c r="GH170">
        <v>0</v>
      </c>
      <c r="GI170">
        <v>0.12762525556661283</v>
      </c>
      <c r="GJ170"/>
      <c r="GK170">
        <v>0.52034865714094047</v>
      </c>
      <c r="GL170">
        <v>0</v>
      </c>
      <c r="GM170">
        <v>0.23585576644039991</v>
      </c>
      <c r="GN170">
        <v>0.34079383167279126</v>
      </c>
      <c r="GO170">
        <v>0.10493806523239137</v>
      </c>
      <c r="GP170">
        <v>0</v>
      </c>
      <c r="GQ170">
        <v>0</v>
      </c>
      <c r="GR170">
        <v>0</v>
      </c>
      <c r="GS170">
        <v>0</v>
      </c>
      <c r="GT170">
        <v>0.17222849776274635</v>
      </c>
      <c r="GU170"/>
      <c r="GV170"/>
      <c r="GW170"/>
      <c r="GX170"/>
      <c r="GY170"/>
      <c r="GZ170"/>
      <c r="HA170"/>
      <c r="HB170"/>
      <c r="HC170"/>
    </row>
    <row r="171" spans="1:211" s="7" customFormat="1">
      <c r="A171" s="1"/>
      <c r="B171" s="76">
        <f t="shared" ca="1" si="172"/>
        <v>0.81947513751817636</v>
      </c>
      <c r="C171">
        <v>4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3.6572916666666671</v>
      </c>
      <c r="AO171">
        <v>0.53519177176652111</v>
      </c>
      <c r="AP171">
        <v>17.62251949586966</v>
      </c>
      <c r="AQ171">
        <v>4.3885581733500274</v>
      </c>
      <c r="AR171">
        <v>0.53597934421054738</v>
      </c>
      <c r="AS171">
        <v>2.8548716064974902</v>
      </c>
      <c r="AT171" t="e">
        <v>#DIV/0!</v>
      </c>
      <c r="AU171" t="e">
        <v>#DIV/0!</v>
      </c>
      <c r="AV171"/>
      <c r="AW171"/>
      <c r="AX171" s="146"/>
      <c r="AY171" s="76">
        <f t="shared" ca="1" si="173"/>
        <v>0.86286711824982998</v>
      </c>
      <c r="AZ171">
        <v>4</v>
      </c>
      <c r="BA171" s="129">
        <f t="shared" si="247"/>
        <v>39949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 s="147"/>
      <c r="CH171" s="176"/>
      <c r="CJ171" s="146"/>
      <c r="CK171" s="76">
        <f t="shared" ca="1" si="208"/>
        <v>0.57074998364451424</v>
      </c>
      <c r="CL171" s="179">
        <f t="shared" si="209"/>
        <v>4</v>
      </c>
      <c r="CM171" s="180">
        <f t="shared" si="210"/>
        <v>39949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 s="160"/>
      <c r="CW171">
        <v>1</v>
      </c>
      <c r="CX171">
        <f>320/73</f>
        <v>4.3835616438356162</v>
      </c>
      <c r="CY171" s="160"/>
      <c r="CZ171" s="177">
        <f t="shared" si="211"/>
        <v>9.6000000000000002E-2</v>
      </c>
      <c r="DB171" s="146"/>
      <c r="DC171" s="76">
        <f t="shared" ca="1" si="174"/>
        <v>0.49990876390771999</v>
      </c>
      <c r="DD171">
        <f t="shared" si="212"/>
        <v>4</v>
      </c>
      <c r="DE171" s="129">
        <f t="shared" si="246"/>
        <v>39949</v>
      </c>
      <c r="DF171" s="161">
        <f t="shared" si="213"/>
        <v>0</v>
      </c>
      <c r="DG171" s="161">
        <f t="shared" si="214"/>
        <v>0</v>
      </c>
      <c r="DH171" s="161">
        <f t="shared" si="215"/>
        <v>0</v>
      </c>
      <c r="DI171" s="161">
        <f t="shared" si="216"/>
        <v>0</v>
      </c>
      <c r="DJ171" s="161">
        <f t="shared" si="217"/>
        <v>0</v>
      </c>
      <c r="DK171" s="161">
        <f t="shared" si="218"/>
        <v>0</v>
      </c>
      <c r="DL171" s="161">
        <f t="shared" si="219"/>
        <v>0</v>
      </c>
      <c r="DM171" s="161">
        <f t="shared" si="220"/>
        <v>0</v>
      </c>
      <c r="DN171" s="161">
        <f t="shared" si="221"/>
        <v>0</v>
      </c>
      <c r="DO171" s="161">
        <f t="shared" si="222"/>
        <v>0</v>
      </c>
      <c r="DP171" s="161">
        <f t="shared" si="223"/>
        <v>0</v>
      </c>
      <c r="DQ171" s="161">
        <f t="shared" si="224"/>
        <v>0</v>
      </c>
      <c r="DR171" s="161">
        <f t="shared" si="225"/>
        <v>0</v>
      </c>
      <c r="DS171" s="161">
        <f t="shared" si="226"/>
        <v>0</v>
      </c>
      <c r="DT171" s="161">
        <f t="shared" si="227"/>
        <v>0</v>
      </c>
      <c r="DU171" s="161">
        <f t="shared" si="228"/>
        <v>0</v>
      </c>
      <c r="DV171" s="161">
        <f t="shared" si="229"/>
        <v>0</v>
      </c>
      <c r="DW171" s="161">
        <f t="shared" si="230"/>
        <v>0</v>
      </c>
      <c r="DX171" s="161">
        <f t="shared" si="231"/>
        <v>0</v>
      </c>
      <c r="DY171" s="161">
        <f t="shared" si="232"/>
        <v>0</v>
      </c>
      <c r="DZ171" s="161">
        <f t="shared" si="233"/>
        <v>0</v>
      </c>
      <c r="EA171" s="161">
        <f t="shared" si="234"/>
        <v>0</v>
      </c>
      <c r="EB171" s="161">
        <f t="shared" si="235"/>
        <v>0</v>
      </c>
      <c r="EC171" s="161">
        <f t="shared" si="236"/>
        <v>0</v>
      </c>
      <c r="ED171" s="161">
        <f t="shared" si="237"/>
        <v>0</v>
      </c>
      <c r="EE171" s="161">
        <f t="shared" si="238"/>
        <v>0</v>
      </c>
      <c r="EF171" s="161">
        <f t="shared" si="239"/>
        <v>0</v>
      </c>
      <c r="EG171" s="161">
        <f t="shared" si="240"/>
        <v>0</v>
      </c>
      <c r="EH171" s="161">
        <f t="shared" si="241"/>
        <v>0</v>
      </c>
      <c r="EI171" s="161">
        <f t="shared" si="242"/>
        <v>0</v>
      </c>
      <c r="EJ171" s="161">
        <f t="shared" si="243"/>
        <v>0</v>
      </c>
      <c r="EK171" s="147">
        <f t="shared" si="175"/>
        <v>0</v>
      </c>
      <c r="EL171" s="149"/>
      <c r="EN171" s="146"/>
      <c r="EO171" s="146"/>
      <c r="EP171" s="139">
        <f t="shared" si="176"/>
        <v>0</v>
      </c>
      <c r="EQ171" s="139">
        <f t="shared" si="177"/>
        <v>0</v>
      </c>
      <c r="ER171" s="139">
        <f t="shared" si="178"/>
        <v>0</v>
      </c>
      <c r="ES171" s="139">
        <f t="shared" si="179"/>
        <v>0</v>
      </c>
      <c r="ET171" s="139">
        <f t="shared" si="180"/>
        <v>0</v>
      </c>
      <c r="EU171" s="139">
        <f t="shared" si="181"/>
        <v>0</v>
      </c>
      <c r="EV171" s="139">
        <f t="shared" si="182"/>
        <v>0</v>
      </c>
      <c r="EW171" s="139">
        <f t="shared" si="183"/>
        <v>0</v>
      </c>
      <c r="EX171" s="139">
        <f t="shared" si="184"/>
        <v>0</v>
      </c>
      <c r="EY171" s="139">
        <f t="shared" si="185"/>
        <v>0</v>
      </c>
      <c r="EZ171" s="139">
        <f t="shared" si="186"/>
        <v>0</v>
      </c>
      <c r="FA171" s="139">
        <f t="shared" si="187"/>
        <v>0</v>
      </c>
      <c r="FB171" s="139">
        <f t="shared" si="188"/>
        <v>0</v>
      </c>
      <c r="FC171" s="139">
        <f t="shared" si="189"/>
        <v>0</v>
      </c>
      <c r="FD171" s="139">
        <f t="shared" si="190"/>
        <v>0</v>
      </c>
      <c r="FE171" s="139">
        <f t="shared" si="191"/>
        <v>0</v>
      </c>
      <c r="FF171" s="139">
        <f t="shared" si="192"/>
        <v>0</v>
      </c>
      <c r="FG171" s="139">
        <f t="shared" si="193"/>
        <v>0</v>
      </c>
      <c r="FH171" s="139">
        <f t="shared" si="194"/>
        <v>0</v>
      </c>
      <c r="FI171" s="139">
        <f t="shared" si="195"/>
        <v>0</v>
      </c>
      <c r="FJ171" s="139">
        <f t="shared" si="196"/>
        <v>0</v>
      </c>
      <c r="FK171" s="139">
        <f t="shared" si="197"/>
        <v>0</v>
      </c>
      <c r="FL171" s="139">
        <f t="shared" si="198"/>
        <v>0</v>
      </c>
      <c r="FM171" s="139">
        <f t="shared" si="199"/>
        <v>0</v>
      </c>
      <c r="FN171" s="139">
        <f t="shared" si="200"/>
        <v>0</v>
      </c>
      <c r="FO171" s="139">
        <f t="shared" si="201"/>
        <v>0</v>
      </c>
      <c r="FP171" s="139">
        <f t="shared" si="202"/>
        <v>0</v>
      </c>
      <c r="FQ171" s="139">
        <f t="shared" si="203"/>
        <v>0</v>
      </c>
      <c r="FR171" s="139">
        <f t="shared" si="204"/>
        <v>0</v>
      </c>
      <c r="FS171" s="139">
        <f t="shared" si="205"/>
        <v>0</v>
      </c>
      <c r="FT171" s="139">
        <f t="shared" si="206"/>
        <v>0</v>
      </c>
      <c r="FU171" s="148">
        <f t="shared" si="207"/>
        <v>0</v>
      </c>
      <c r="FV171" s="149"/>
      <c r="FY171" s="211">
        <v>166</v>
      </c>
      <c r="FZ171">
        <v>0.4899055818470327</v>
      </c>
      <c r="GA171">
        <v>8.725047411847664E-2</v>
      </c>
      <c r="GB171">
        <v>0.22123389596694673</v>
      </c>
      <c r="GC171">
        <v>0.1927354761807239</v>
      </c>
      <c r="GD171">
        <v>5.3449107547347455E-2</v>
      </c>
      <c r="GE171">
        <v>0</v>
      </c>
      <c r="GF171">
        <v>0.33021050058332063</v>
      </c>
      <c r="GG171">
        <v>0.29759236750664797</v>
      </c>
      <c r="GH171">
        <v>0</v>
      </c>
      <c r="GI171">
        <v>0.22181255849848311</v>
      </c>
      <c r="GJ171"/>
      <c r="GK171">
        <v>0.49189036242628714</v>
      </c>
      <c r="GL171">
        <v>7.3740509229249462E-2</v>
      </c>
      <c r="GM171">
        <v>0.3667734676484084</v>
      </c>
      <c r="GN171">
        <v>0.57664959811319116</v>
      </c>
      <c r="GO171">
        <v>0.20987613046478273</v>
      </c>
      <c r="GP171">
        <v>0</v>
      </c>
      <c r="GQ171">
        <v>0.45369793096285549</v>
      </c>
      <c r="GR171">
        <v>0.45369793096285549</v>
      </c>
      <c r="GS171">
        <v>0</v>
      </c>
      <c r="GT171">
        <v>0.30444757830046676</v>
      </c>
      <c r="GU171"/>
      <c r="GV171"/>
      <c r="GW171"/>
      <c r="GX171"/>
      <c r="GY171"/>
      <c r="GZ171"/>
      <c r="HA171"/>
      <c r="HB171"/>
      <c r="HC171"/>
    </row>
    <row r="172" spans="1:211" s="7" customFormat="1">
      <c r="A172" s="1"/>
      <c r="B172" s="76">
        <f t="shared" ca="1" si="172"/>
        <v>0.43670500590057038</v>
      </c>
      <c r="C172">
        <v>9</v>
      </c>
      <c r="D172">
        <v>39949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1.5833333333333328</v>
      </c>
      <c r="AO172">
        <v>0.30876340692976778</v>
      </c>
      <c r="AP172">
        <v>14.974229663733501</v>
      </c>
      <c r="AQ172">
        <v>2.1409738209690299</v>
      </c>
      <c r="AR172">
        <v>0.32839367948453069</v>
      </c>
      <c r="AS172">
        <v>1.6817451734240072</v>
      </c>
      <c r="AT172" t="e">
        <v>#DIV/0!</v>
      </c>
      <c r="AU172" t="e">
        <v>#DIV/0!</v>
      </c>
      <c r="AV172"/>
      <c r="AW172"/>
      <c r="AX172" s="146"/>
      <c r="AY172" s="76">
        <f t="shared" ca="1" si="173"/>
        <v>0.68857457053109039</v>
      </c>
      <c r="AZ172">
        <v>5</v>
      </c>
      <c r="BA172" s="129">
        <f t="shared" si="247"/>
        <v>39949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 s="147"/>
      <c r="CH172" s="176"/>
      <c r="CJ172" s="146"/>
      <c r="CK172" s="76">
        <f t="shared" ca="1" si="208"/>
        <v>0.57955054352161817</v>
      </c>
      <c r="CL172" s="179">
        <f t="shared" si="209"/>
        <v>5</v>
      </c>
      <c r="CM172" s="180">
        <f t="shared" si="210"/>
        <v>39949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 s="160"/>
      <c r="CW172">
        <v>1</v>
      </c>
      <c r="CX172">
        <v>1</v>
      </c>
      <c r="CY172" s="160"/>
      <c r="CZ172" s="177">
        <f t="shared" si="211"/>
        <v>9.6000000000000002E-2</v>
      </c>
      <c r="DB172" s="146"/>
      <c r="DC172" s="76">
        <f t="shared" ca="1" si="174"/>
        <v>0.72740504305892828</v>
      </c>
      <c r="DD172">
        <f t="shared" si="212"/>
        <v>5</v>
      </c>
      <c r="DE172" s="129">
        <f t="shared" si="246"/>
        <v>39949</v>
      </c>
      <c r="DF172" s="161">
        <f t="shared" si="213"/>
        <v>0</v>
      </c>
      <c r="DG172" s="161">
        <f t="shared" si="214"/>
        <v>0</v>
      </c>
      <c r="DH172" s="161">
        <f t="shared" si="215"/>
        <v>0</v>
      </c>
      <c r="DI172" s="161">
        <f t="shared" si="216"/>
        <v>0</v>
      </c>
      <c r="DJ172" s="161">
        <f t="shared" si="217"/>
        <v>0</v>
      </c>
      <c r="DK172" s="161">
        <f t="shared" si="218"/>
        <v>0</v>
      </c>
      <c r="DL172" s="161">
        <f t="shared" si="219"/>
        <v>0</v>
      </c>
      <c r="DM172" s="161">
        <f t="shared" si="220"/>
        <v>0</v>
      </c>
      <c r="DN172" s="161">
        <f t="shared" si="221"/>
        <v>0</v>
      </c>
      <c r="DO172" s="161">
        <f t="shared" si="222"/>
        <v>0</v>
      </c>
      <c r="DP172" s="161">
        <f t="shared" si="223"/>
        <v>0</v>
      </c>
      <c r="DQ172" s="161">
        <f t="shared" si="224"/>
        <v>0</v>
      </c>
      <c r="DR172" s="161">
        <f t="shared" si="225"/>
        <v>0</v>
      </c>
      <c r="DS172" s="161">
        <f t="shared" si="226"/>
        <v>0</v>
      </c>
      <c r="DT172" s="161">
        <f t="shared" si="227"/>
        <v>0</v>
      </c>
      <c r="DU172" s="161">
        <f t="shared" si="228"/>
        <v>0</v>
      </c>
      <c r="DV172" s="161">
        <f t="shared" si="229"/>
        <v>0</v>
      </c>
      <c r="DW172" s="161">
        <f t="shared" si="230"/>
        <v>0</v>
      </c>
      <c r="DX172" s="161">
        <f t="shared" si="231"/>
        <v>0</v>
      </c>
      <c r="DY172" s="161">
        <f t="shared" si="232"/>
        <v>0</v>
      </c>
      <c r="DZ172" s="161">
        <f t="shared" si="233"/>
        <v>0</v>
      </c>
      <c r="EA172" s="161">
        <f t="shared" si="234"/>
        <v>0</v>
      </c>
      <c r="EB172" s="161">
        <f t="shared" si="235"/>
        <v>0</v>
      </c>
      <c r="EC172" s="161">
        <f t="shared" si="236"/>
        <v>0</v>
      </c>
      <c r="ED172" s="161">
        <f t="shared" si="237"/>
        <v>0</v>
      </c>
      <c r="EE172" s="161">
        <f t="shared" si="238"/>
        <v>0</v>
      </c>
      <c r="EF172" s="161">
        <f t="shared" si="239"/>
        <v>0</v>
      </c>
      <c r="EG172" s="161">
        <f t="shared" si="240"/>
        <v>0</v>
      </c>
      <c r="EH172" s="161">
        <f t="shared" si="241"/>
        <v>0</v>
      </c>
      <c r="EI172" s="161">
        <f t="shared" si="242"/>
        <v>0</v>
      </c>
      <c r="EJ172" s="161">
        <f t="shared" si="243"/>
        <v>0</v>
      </c>
      <c r="EK172" s="147">
        <f t="shared" si="175"/>
        <v>0</v>
      </c>
      <c r="EL172" s="149"/>
      <c r="EN172" s="146"/>
      <c r="EO172" s="146"/>
      <c r="EP172" s="139">
        <f t="shared" si="176"/>
        <v>0</v>
      </c>
      <c r="EQ172" s="139">
        <f t="shared" si="177"/>
        <v>0</v>
      </c>
      <c r="ER172" s="139">
        <f t="shared" si="178"/>
        <v>0</v>
      </c>
      <c r="ES172" s="139">
        <f t="shared" si="179"/>
        <v>0</v>
      </c>
      <c r="ET172" s="139">
        <f t="shared" si="180"/>
        <v>0</v>
      </c>
      <c r="EU172" s="139">
        <f t="shared" si="181"/>
        <v>0</v>
      </c>
      <c r="EV172" s="139">
        <f t="shared" si="182"/>
        <v>0</v>
      </c>
      <c r="EW172" s="139">
        <f t="shared" si="183"/>
        <v>0</v>
      </c>
      <c r="EX172" s="139">
        <f t="shared" si="184"/>
        <v>0</v>
      </c>
      <c r="EY172" s="139">
        <f t="shared" si="185"/>
        <v>0</v>
      </c>
      <c r="EZ172" s="139">
        <f t="shared" si="186"/>
        <v>0</v>
      </c>
      <c r="FA172" s="139">
        <f t="shared" si="187"/>
        <v>0</v>
      </c>
      <c r="FB172" s="139">
        <f t="shared" si="188"/>
        <v>0</v>
      </c>
      <c r="FC172" s="139">
        <f t="shared" si="189"/>
        <v>0</v>
      </c>
      <c r="FD172" s="139">
        <f t="shared" si="190"/>
        <v>0</v>
      </c>
      <c r="FE172" s="139">
        <f t="shared" si="191"/>
        <v>0</v>
      </c>
      <c r="FF172" s="139">
        <f t="shared" si="192"/>
        <v>0</v>
      </c>
      <c r="FG172" s="139">
        <f t="shared" si="193"/>
        <v>0</v>
      </c>
      <c r="FH172" s="139">
        <f t="shared" si="194"/>
        <v>0</v>
      </c>
      <c r="FI172" s="139">
        <f t="shared" si="195"/>
        <v>0</v>
      </c>
      <c r="FJ172" s="139">
        <f t="shared" si="196"/>
        <v>0</v>
      </c>
      <c r="FK172" s="139">
        <f t="shared" si="197"/>
        <v>0</v>
      </c>
      <c r="FL172" s="139">
        <f t="shared" si="198"/>
        <v>0</v>
      </c>
      <c r="FM172" s="139">
        <f t="shared" si="199"/>
        <v>0</v>
      </c>
      <c r="FN172" s="139">
        <f t="shared" si="200"/>
        <v>0</v>
      </c>
      <c r="FO172" s="139">
        <f t="shared" si="201"/>
        <v>0</v>
      </c>
      <c r="FP172" s="139">
        <f t="shared" si="202"/>
        <v>0</v>
      </c>
      <c r="FQ172" s="139">
        <f t="shared" si="203"/>
        <v>0</v>
      </c>
      <c r="FR172" s="139">
        <f t="shared" si="204"/>
        <v>0</v>
      </c>
      <c r="FS172" s="139">
        <f t="shared" si="205"/>
        <v>0</v>
      </c>
      <c r="FT172" s="139">
        <f t="shared" si="206"/>
        <v>0</v>
      </c>
      <c r="FU172" s="148">
        <f t="shared" si="207"/>
        <v>0</v>
      </c>
      <c r="FV172" s="149"/>
      <c r="FY172" s="211">
        <v>167</v>
      </c>
      <c r="FZ172">
        <v>0.65572181407546448</v>
      </c>
      <c r="GA172">
        <v>8.725047411847664E-2</v>
      </c>
      <c r="GB172">
        <v>7.9203986612074825E-2</v>
      </c>
      <c r="GC172">
        <v>0.11377737556984255</v>
      </c>
      <c r="GD172">
        <v>5.3449107547347455E-2</v>
      </c>
      <c r="GE172">
        <v>0</v>
      </c>
      <c r="GF172">
        <v>0</v>
      </c>
      <c r="GG172">
        <v>0</v>
      </c>
      <c r="GH172">
        <v>0</v>
      </c>
      <c r="GI172">
        <v>0.14746169606907758</v>
      </c>
      <c r="GJ172"/>
      <c r="GK172">
        <v>0.65750444430331068</v>
      </c>
      <c r="GL172">
        <v>7.3740509229249462E-2</v>
      </c>
      <c r="GM172">
        <v>0.13091770120800852</v>
      </c>
      <c r="GN172">
        <v>0.34079383167279126</v>
      </c>
      <c r="GO172">
        <v>0.20987613046478273</v>
      </c>
      <c r="GP172">
        <v>0</v>
      </c>
      <c r="GQ172">
        <v>0</v>
      </c>
      <c r="GR172">
        <v>0</v>
      </c>
      <c r="GS172">
        <v>0</v>
      </c>
      <c r="GT172">
        <v>0.19965965519522041</v>
      </c>
      <c r="GU172"/>
      <c r="GV172"/>
      <c r="GW172"/>
      <c r="GX172"/>
      <c r="GY172"/>
      <c r="GZ172"/>
      <c r="HA172"/>
      <c r="HB172"/>
      <c r="HC172"/>
    </row>
    <row r="173" spans="1:211" s="7" customFormat="1">
      <c r="A173" s="1"/>
      <c r="B173" s="76">
        <f t="shared" ca="1" si="172"/>
        <v>0.14329725279547301</v>
      </c>
      <c r="C173">
        <v>8</v>
      </c>
      <c r="D173">
        <v>39949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2.8989583333333333</v>
      </c>
      <c r="AO173">
        <v>0.32648413505384777</v>
      </c>
      <c r="AP173">
        <v>8.0569524405583781</v>
      </c>
      <c r="AQ173">
        <v>2.24724239864647</v>
      </c>
      <c r="AR173">
        <v>0.35317012840450801</v>
      </c>
      <c r="AS173">
        <v>1.9919777292633998</v>
      </c>
      <c r="AT173" t="e">
        <v>#DIV/0!</v>
      </c>
      <c r="AU173" t="e">
        <v>#DIV/0!</v>
      </c>
      <c r="AV173"/>
      <c r="AW173"/>
      <c r="AX173" s="146"/>
      <c r="AY173" s="76">
        <f t="shared" ca="1" si="173"/>
        <v>0.60926895151312888</v>
      </c>
      <c r="AZ173">
        <v>6</v>
      </c>
      <c r="BA173" s="129">
        <f t="shared" si="247"/>
        <v>39949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 s="147"/>
      <c r="CH173" s="176"/>
      <c r="CJ173" s="146"/>
      <c r="CK173" s="76">
        <f t="shared" ca="1" si="208"/>
        <v>0.75587702204980567</v>
      </c>
      <c r="CL173" s="179">
        <f t="shared" si="209"/>
        <v>6</v>
      </c>
      <c r="CM173" s="180">
        <f t="shared" si="210"/>
        <v>39949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 s="160"/>
      <c r="CW173">
        <v>1</v>
      </c>
      <c r="CX173">
        <v>1</v>
      </c>
      <c r="CY173" s="160"/>
      <c r="CZ173" s="177">
        <f t="shared" si="211"/>
        <v>9.6000000000000002E-2</v>
      </c>
      <c r="DB173" s="146"/>
      <c r="DC173" s="76">
        <f t="shared" ca="1" si="174"/>
        <v>0.3500181946366725</v>
      </c>
      <c r="DD173">
        <f t="shared" si="212"/>
        <v>6</v>
      </c>
      <c r="DE173" s="129">
        <f t="shared" si="246"/>
        <v>39949</v>
      </c>
      <c r="DF173" s="161">
        <f t="shared" si="213"/>
        <v>0</v>
      </c>
      <c r="DG173" s="161">
        <f t="shared" si="214"/>
        <v>0</v>
      </c>
      <c r="DH173" s="161">
        <f t="shared" si="215"/>
        <v>0</v>
      </c>
      <c r="DI173" s="161">
        <f t="shared" si="216"/>
        <v>0</v>
      </c>
      <c r="DJ173" s="161">
        <f t="shared" si="217"/>
        <v>0</v>
      </c>
      <c r="DK173" s="161">
        <f t="shared" si="218"/>
        <v>0</v>
      </c>
      <c r="DL173" s="161">
        <f t="shared" si="219"/>
        <v>0</v>
      </c>
      <c r="DM173" s="161">
        <f t="shared" si="220"/>
        <v>0</v>
      </c>
      <c r="DN173" s="161">
        <f t="shared" si="221"/>
        <v>0</v>
      </c>
      <c r="DO173" s="161">
        <f t="shared" si="222"/>
        <v>0</v>
      </c>
      <c r="DP173" s="161">
        <f t="shared" si="223"/>
        <v>0</v>
      </c>
      <c r="DQ173" s="161">
        <f t="shared" si="224"/>
        <v>0</v>
      </c>
      <c r="DR173" s="161">
        <f t="shared" si="225"/>
        <v>0</v>
      </c>
      <c r="DS173" s="161">
        <f t="shared" si="226"/>
        <v>0</v>
      </c>
      <c r="DT173" s="161">
        <f t="shared" si="227"/>
        <v>0</v>
      </c>
      <c r="DU173" s="161">
        <f t="shared" si="228"/>
        <v>0</v>
      </c>
      <c r="DV173" s="161">
        <f t="shared" si="229"/>
        <v>0</v>
      </c>
      <c r="DW173" s="161">
        <f t="shared" si="230"/>
        <v>0</v>
      </c>
      <c r="DX173" s="161">
        <f t="shared" si="231"/>
        <v>0</v>
      </c>
      <c r="DY173" s="161">
        <f t="shared" si="232"/>
        <v>0</v>
      </c>
      <c r="DZ173" s="161">
        <f t="shared" si="233"/>
        <v>0</v>
      </c>
      <c r="EA173" s="161">
        <f t="shared" si="234"/>
        <v>0</v>
      </c>
      <c r="EB173" s="161">
        <f t="shared" si="235"/>
        <v>0</v>
      </c>
      <c r="EC173" s="161">
        <f t="shared" si="236"/>
        <v>0</v>
      </c>
      <c r="ED173" s="161">
        <f t="shared" si="237"/>
        <v>0</v>
      </c>
      <c r="EE173" s="161">
        <f t="shared" si="238"/>
        <v>0</v>
      </c>
      <c r="EF173" s="161">
        <f t="shared" si="239"/>
        <v>0</v>
      </c>
      <c r="EG173" s="161">
        <f t="shared" si="240"/>
        <v>0</v>
      </c>
      <c r="EH173" s="161">
        <f t="shared" si="241"/>
        <v>0</v>
      </c>
      <c r="EI173" s="161">
        <f t="shared" si="242"/>
        <v>0</v>
      </c>
      <c r="EJ173" s="161">
        <f t="shared" si="243"/>
        <v>0</v>
      </c>
      <c r="EK173" s="147">
        <f t="shared" si="175"/>
        <v>0</v>
      </c>
      <c r="EL173" s="149"/>
      <c r="EN173" s="146"/>
      <c r="EO173" s="146"/>
      <c r="EP173" s="139">
        <f t="shared" si="176"/>
        <v>0</v>
      </c>
      <c r="EQ173" s="139">
        <f t="shared" si="177"/>
        <v>0</v>
      </c>
      <c r="ER173" s="139">
        <f t="shared" si="178"/>
        <v>0</v>
      </c>
      <c r="ES173" s="139">
        <f t="shared" si="179"/>
        <v>0</v>
      </c>
      <c r="ET173" s="139">
        <f t="shared" si="180"/>
        <v>0</v>
      </c>
      <c r="EU173" s="139">
        <f t="shared" si="181"/>
        <v>0</v>
      </c>
      <c r="EV173" s="139">
        <f t="shared" si="182"/>
        <v>0</v>
      </c>
      <c r="EW173" s="139">
        <f t="shared" si="183"/>
        <v>0</v>
      </c>
      <c r="EX173" s="139">
        <f t="shared" si="184"/>
        <v>0</v>
      </c>
      <c r="EY173" s="139">
        <f t="shared" si="185"/>
        <v>0</v>
      </c>
      <c r="EZ173" s="139">
        <f t="shared" si="186"/>
        <v>0</v>
      </c>
      <c r="FA173" s="139">
        <f t="shared" si="187"/>
        <v>0</v>
      </c>
      <c r="FB173" s="139">
        <f t="shared" si="188"/>
        <v>0</v>
      </c>
      <c r="FC173" s="139">
        <f t="shared" si="189"/>
        <v>0</v>
      </c>
      <c r="FD173" s="139">
        <f t="shared" si="190"/>
        <v>0</v>
      </c>
      <c r="FE173" s="139">
        <f t="shared" si="191"/>
        <v>0</v>
      </c>
      <c r="FF173" s="139">
        <f t="shared" si="192"/>
        <v>0</v>
      </c>
      <c r="FG173" s="139">
        <f t="shared" si="193"/>
        <v>0</v>
      </c>
      <c r="FH173" s="139">
        <f t="shared" si="194"/>
        <v>0</v>
      </c>
      <c r="FI173" s="139">
        <f t="shared" si="195"/>
        <v>0</v>
      </c>
      <c r="FJ173" s="139">
        <f t="shared" si="196"/>
        <v>0</v>
      </c>
      <c r="FK173" s="139">
        <f t="shared" si="197"/>
        <v>0</v>
      </c>
      <c r="FL173" s="139">
        <f t="shared" si="198"/>
        <v>0</v>
      </c>
      <c r="FM173" s="139">
        <f t="shared" si="199"/>
        <v>0</v>
      </c>
      <c r="FN173" s="139">
        <f t="shared" si="200"/>
        <v>0</v>
      </c>
      <c r="FO173" s="139">
        <f t="shared" si="201"/>
        <v>0</v>
      </c>
      <c r="FP173" s="139">
        <f t="shared" si="202"/>
        <v>0</v>
      </c>
      <c r="FQ173" s="139">
        <f t="shared" si="203"/>
        <v>0</v>
      </c>
      <c r="FR173" s="139">
        <f t="shared" si="204"/>
        <v>0</v>
      </c>
      <c r="FS173" s="139">
        <f t="shared" si="205"/>
        <v>0</v>
      </c>
      <c r="FT173" s="139">
        <f t="shared" si="206"/>
        <v>0</v>
      </c>
      <c r="FU173" s="148">
        <f t="shared" si="207"/>
        <v>0</v>
      </c>
      <c r="FV173" s="149"/>
      <c r="FY173" s="211">
        <v>168</v>
      </c>
      <c r="FZ173">
        <v>1.0085742461994687</v>
      </c>
      <c r="GA173">
        <v>0.38735017759921181</v>
      </c>
      <c r="GB173">
        <v>0.12565184548559416</v>
      </c>
      <c r="GC173">
        <v>0.10445782487688358</v>
      </c>
      <c r="GD173">
        <v>2.6724553773673727E-2</v>
      </c>
      <c r="GE173">
        <v>0</v>
      </c>
      <c r="GF173">
        <v>0</v>
      </c>
      <c r="GG173">
        <v>0</v>
      </c>
      <c r="GH173">
        <v>0</v>
      </c>
      <c r="GI173">
        <v>0.19569985581257032</v>
      </c>
      <c r="GJ173"/>
      <c r="GK173">
        <v>1.0143260713710185</v>
      </c>
      <c r="GL173">
        <v>0.33331521555783822</v>
      </c>
      <c r="GM173">
        <v>0.20987613046478273</v>
      </c>
      <c r="GN173">
        <v>0.31481419569717412</v>
      </c>
      <c r="GO173">
        <v>0.10493806523239137</v>
      </c>
      <c r="GP173">
        <v>0</v>
      </c>
      <c r="GQ173">
        <v>0</v>
      </c>
      <c r="GR173">
        <v>0</v>
      </c>
      <c r="GS173">
        <v>0</v>
      </c>
      <c r="GT173">
        <v>0.26582805341363852</v>
      </c>
      <c r="GU173"/>
      <c r="GV173"/>
      <c r="GW173"/>
      <c r="GX173"/>
      <c r="GY173"/>
      <c r="GZ173"/>
      <c r="HA173"/>
      <c r="HB173"/>
      <c r="HC173"/>
    </row>
    <row r="174" spans="1:211" s="7" customFormat="1">
      <c r="A174" s="1"/>
      <c r="B174" s="76">
        <f t="shared" ca="1" si="172"/>
        <v>0.13354778411796175</v>
      </c>
      <c r="C174">
        <v>1</v>
      </c>
      <c r="D174">
        <v>39949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3.161458333333333</v>
      </c>
      <c r="AO174">
        <v>0.30410743719213551</v>
      </c>
      <c r="AP174">
        <v>10.848936619941362</v>
      </c>
      <c r="AQ174">
        <v>2.1727219307798484</v>
      </c>
      <c r="AR174">
        <v>0.34465067247067799</v>
      </c>
      <c r="AS174">
        <v>2.1157513490969517</v>
      </c>
      <c r="AT174" t="e">
        <v>#DIV/0!</v>
      </c>
      <c r="AU174" t="e">
        <v>#DIV/0!</v>
      </c>
      <c r="AV174"/>
      <c r="AW174"/>
      <c r="AX174" s="146"/>
      <c r="AY174" s="76">
        <f t="shared" ca="1" si="173"/>
        <v>0.42806440916197497</v>
      </c>
      <c r="AZ174">
        <v>7</v>
      </c>
      <c r="BA174" s="129">
        <f t="shared" si="247"/>
        <v>39949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 s="147"/>
      <c r="CH174" s="176"/>
      <c r="CJ174" s="146"/>
      <c r="CK174" s="76">
        <f t="shared" ca="1" si="208"/>
        <v>0.80708926473731069</v>
      </c>
      <c r="CL174" s="179">
        <f t="shared" si="209"/>
        <v>7</v>
      </c>
      <c r="CM174" s="180">
        <f t="shared" si="210"/>
        <v>39949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 s="160"/>
      <c r="CW174">
        <v>1</v>
      </c>
      <c r="CX174">
        <v>1</v>
      </c>
      <c r="CY174" s="165"/>
      <c r="CZ174" s="177">
        <f t="shared" si="211"/>
        <v>9.6000000000000002E-2</v>
      </c>
      <c r="DB174" s="146"/>
      <c r="DC174" s="76">
        <f t="shared" ca="1" si="174"/>
        <v>0.30081015830933344</v>
      </c>
      <c r="DD174">
        <f t="shared" si="212"/>
        <v>7</v>
      </c>
      <c r="DE174" s="129">
        <f t="shared" si="246"/>
        <v>39949</v>
      </c>
      <c r="DF174" s="161">
        <f t="shared" si="213"/>
        <v>0</v>
      </c>
      <c r="DG174" s="161">
        <f t="shared" si="214"/>
        <v>0</v>
      </c>
      <c r="DH174" s="161">
        <f t="shared" si="215"/>
        <v>0</v>
      </c>
      <c r="DI174" s="161">
        <f t="shared" si="216"/>
        <v>0</v>
      </c>
      <c r="DJ174" s="161">
        <f t="shared" si="217"/>
        <v>0</v>
      </c>
      <c r="DK174" s="161">
        <f t="shared" si="218"/>
        <v>0</v>
      </c>
      <c r="DL174" s="161">
        <f t="shared" si="219"/>
        <v>0</v>
      </c>
      <c r="DM174" s="161">
        <f t="shared" si="220"/>
        <v>0</v>
      </c>
      <c r="DN174" s="161">
        <f t="shared" si="221"/>
        <v>0</v>
      </c>
      <c r="DO174" s="161">
        <f t="shared" si="222"/>
        <v>0</v>
      </c>
      <c r="DP174" s="161">
        <f t="shared" si="223"/>
        <v>0</v>
      </c>
      <c r="DQ174" s="161">
        <f t="shared" si="224"/>
        <v>0</v>
      </c>
      <c r="DR174" s="161">
        <f t="shared" si="225"/>
        <v>0</v>
      </c>
      <c r="DS174" s="161">
        <f t="shared" si="226"/>
        <v>0</v>
      </c>
      <c r="DT174" s="161">
        <f t="shared" si="227"/>
        <v>0</v>
      </c>
      <c r="DU174" s="161">
        <f t="shared" si="228"/>
        <v>0</v>
      </c>
      <c r="DV174" s="161">
        <f t="shared" si="229"/>
        <v>0</v>
      </c>
      <c r="DW174" s="161">
        <f t="shared" si="230"/>
        <v>0</v>
      </c>
      <c r="DX174" s="161">
        <f t="shared" si="231"/>
        <v>0</v>
      </c>
      <c r="DY174" s="161">
        <f t="shared" si="232"/>
        <v>0</v>
      </c>
      <c r="DZ174" s="161">
        <f t="shared" si="233"/>
        <v>0</v>
      </c>
      <c r="EA174" s="161">
        <f t="shared" si="234"/>
        <v>0</v>
      </c>
      <c r="EB174" s="161">
        <f t="shared" si="235"/>
        <v>0</v>
      </c>
      <c r="EC174" s="161">
        <f t="shared" si="236"/>
        <v>0</v>
      </c>
      <c r="ED174" s="161">
        <f t="shared" si="237"/>
        <v>0</v>
      </c>
      <c r="EE174" s="161">
        <f t="shared" si="238"/>
        <v>0</v>
      </c>
      <c r="EF174" s="161">
        <f t="shared" si="239"/>
        <v>0</v>
      </c>
      <c r="EG174" s="161">
        <f t="shared" si="240"/>
        <v>0</v>
      </c>
      <c r="EH174" s="161">
        <f t="shared" si="241"/>
        <v>0</v>
      </c>
      <c r="EI174" s="161">
        <f t="shared" si="242"/>
        <v>0</v>
      </c>
      <c r="EJ174" s="161">
        <f t="shared" si="243"/>
        <v>0</v>
      </c>
      <c r="EK174" s="147">
        <f t="shared" si="175"/>
        <v>0</v>
      </c>
      <c r="EL174" s="149"/>
      <c r="EN174" s="146"/>
      <c r="EO174" s="146"/>
      <c r="EP174" s="139">
        <f t="shared" si="176"/>
        <v>0</v>
      </c>
      <c r="EQ174" s="139">
        <f t="shared" si="177"/>
        <v>0</v>
      </c>
      <c r="ER174" s="139">
        <f t="shared" si="178"/>
        <v>0</v>
      </c>
      <c r="ES174" s="139">
        <f t="shared" si="179"/>
        <v>0</v>
      </c>
      <c r="ET174" s="139">
        <f t="shared" si="180"/>
        <v>0</v>
      </c>
      <c r="EU174" s="139">
        <f t="shared" si="181"/>
        <v>0</v>
      </c>
      <c r="EV174" s="139">
        <f t="shared" si="182"/>
        <v>0</v>
      </c>
      <c r="EW174" s="139">
        <f t="shared" si="183"/>
        <v>0</v>
      </c>
      <c r="EX174" s="139">
        <f t="shared" si="184"/>
        <v>0</v>
      </c>
      <c r="EY174" s="139">
        <f t="shared" si="185"/>
        <v>0</v>
      </c>
      <c r="EZ174" s="139">
        <f t="shared" si="186"/>
        <v>0</v>
      </c>
      <c r="FA174" s="139">
        <f t="shared" si="187"/>
        <v>0</v>
      </c>
      <c r="FB174" s="139">
        <f t="shared" si="188"/>
        <v>0</v>
      </c>
      <c r="FC174" s="139">
        <f t="shared" si="189"/>
        <v>0</v>
      </c>
      <c r="FD174" s="139">
        <f t="shared" si="190"/>
        <v>0</v>
      </c>
      <c r="FE174" s="139">
        <f t="shared" si="191"/>
        <v>0</v>
      </c>
      <c r="FF174" s="139">
        <f t="shared" si="192"/>
        <v>0</v>
      </c>
      <c r="FG174" s="139">
        <f t="shared" si="193"/>
        <v>0</v>
      </c>
      <c r="FH174" s="139">
        <f t="shared" si="194"/>
        <v>0</v>
      </c>
      <c r="FI174" s="139">
        <f t="shared" si="195"/>
        <v>0</v>
      </c>
      <c r="FJ174" s="139">
        <f t="shared" si="196"/>
        <v>0</v>
      </c>
      <c r="FK174" s="139">
        <f t="shared" si="197"/>
        <v>0</v>
      </c>
      <c r="FL174" s="139">
        <f t="shared" si="198"/>
        <v>0</v>
      </c>
      <c r="FM174" s="139">
        <f t="shared" si="199"/>
        <v>0</v>
      </c>
      <c r="FN174" s="139">
        <f t="shared" si="200"/>
        <v>0</v>
      </c>
      <c r="FO174" s="139">
        <f t="shared" si="201"/>
        <v>0</v>
      </c>
      <c r="FP174" s="139">
        <f t="shared" si="202"/>
        <v>0</v>
      </c>
      <c r="FQ174" s="139">
        <f t="shared" si="203"/>
        <v>0</v>
      </c>
      <c r="FR174" s="139">
        <f t="shared" si="204"/>
        <v>0</v>
      </c>
      <c r="FS174" s="139">
        <f t="shared" si="205"/>
        <v>0</v>
      </c>
      <c r="FT174" s="139">
        <f t="shared" si="206"/>
        <v>0</v>
      </c>
      <c r="FU174" s="148">
        <f t="shared" si="207"/>
        <v>0</v>
      </c>
      <c r="FV174" s="149"/>
      <c r="FY174" s="211">
        <v>169</v>
      </c>
      <c r="FZ174">
        <v>1.4944241126000455</v>
      </c>
      <c r="GA174">
        <v>1.1620505327976354</v>
      </c>
      <c r="GB174">
        <v>0</v>
      </c>
      <c r="GC174">
        <v>0.10445782487688361</v>
      </c>
      <c r="GD174">
        <v>8.0173661321021189E-2</v>
      </c>
      <c r="GE174">
        <v>0</v>
      </c>
      <c r="GF174">
        <v>0</v>
      </c>
      <c r="GG174">
        <v>0</v>
      </c>
      <c r="GH174">
        <v>0</v>
      </c>
      <c r="GI174">
        <v>0.26744917740874435</v>
      </c>
      <c r="GJ174"/>
      <c r="GK174">
        <v>1.5091971931453769</v>
      </c>
      <c r="GL174">
        <v>0.9999456466735146</v>
      </c>
      <c r="GM174">
        <v>0</v>
      </c>
      <c r="GN174">
        <v>0.31481419569717417</v>
      </c>
      <c r="GO174">
        <v>0.31481419569717417</v>
      </c>
      <c r="GP174">
        <v>0</v>
      </c>
      <c r="GQ174">
        <v>0</v>
      </c>
      <c r="GR174">
        <v>0</v>
      </c>
      <c r="GS174">
        <v>0</v>
      </c>
      <c r="GT174">
        <v>0.36480227776851026</v>
      </c>
      <c r="GU174"/>
      <c r="GV174"/>
      <c r="GW174"/>
      <c r="GX174"/>
      <c r="GY174"/>
      <c r="GZ174"/>
      <c r="HA174"/>
      <c r="HB174"/>
      <c r="HC174"/>
    </row>
    <row r="175" spans="1:211" s="7" customFormat="1">
      <c r="A175" s="1"/>
      <c r="B175" s="76">
        <f t="shared" ca="1" si="172"/>
        <v>0.61480493877915166</v>
      </c>
      <c r="C175">
        <v>10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3.3343750000000001</v>
      </c>
      <c r="AO175">
        <v>0.47888188567592016</v>
      </c>
      <c r="AP175">
        <v>16.758667179175269</v>
      </c>
      <c r="AQ175">
        <v>3.9240706218120387</v>
      </c>
      <c r="AR175">
        <v>0.48419938134136087</v>
      </c>
      <c r="AS175">
        <v>2.4209248174416031</v>
      </c>
      <c r="AT175" t="e">
        <v>#DIV/0!</v>
      </c>
      <c r="AU175" t="e">
        <v>#DIV/0!</v>
      </c>
      <c r="AV175"/>
      <c r="AW175"/>
      <c r="AX175" s="146"/>
      <c r="AY175" s="76">
        <f t="shared" ca="1" si="173"/>
        <v>0.16136252008088015</v>
      </c>
      <c r="AZ175">
        <v>8</v>
      </c>
      <c r="BA175" s="129">
        <f t="shared" si="247"/>
        <v>39949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 s="147"/>
      <c r="CH175" s="176"/>
      <c r="CJ175" s="146"/>
      <c r="CK175" s="76">
        <f t="shared" ca="1" si="208"/>
        <v>0.63736494873926564</v>
      </c>
      <c r="CL175" s="179">
        <f t="shared" si="209"/>
        <v>8</v>
      </c>
      <c r="CM175" s="180">
        <f t="shared" si="210"/>
        <v>39949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 s="160"/>
      <c r="CW175">
        <v>1</v>
      </c>
      <c r="CX175">
        <v>1</v>
      </c>
      <c r="CY175" s="165"/>
      <c r="CZ175" s="177">
        <f t="shared" si="211"/>
        <v>9.6000000000000002E-2</v>
      </c>
      <c r="DB175" s="146"/>
      <c r="DC175" s="76">
        <f t="shared" ca="1" si="174"/>
        <v>0.25318838266276034</v>
      </c>
      <c r="DD175">
        <f t="shared" si="212"/>
        <v>8</v>
      </c>
      <c r="DE175" s="129">
        <f t="shared" si="246"/>
        <v>39949</v>
      </c>
      <c r="DF175" s="161">
        <f t="shared" si="213"/>
        <v>0</v>
      </c>
      <c r="DG175" s="161">
        <f t="shared" si="214"/>
        <v>0</v>
      </c>
      <c r="DH175" s="161">
        <f t="shared" si="215"/>
        <v>0</v>
      </c>
      <c r="DI175" s="161">
        <f t="shared" si="216"/>
        <v>0</v>
      </c>
      <c r="DJ175" s="161">
        <f t="shared" si="217"/>
        <v>0</v>
      </c>
      <c r="DK175" s="161">
        <f t="shared" si="218"/>
        <v>0</v>
      </c>
      <c r="DL175" s="161">
        <f t="shared" si="219"/>
        <v>0</v>
      </c>
      <c r="DM175" s="161">
        <f t="shared" si="220"/>
        <v>0</v>
      </c>
      <c r="DN175" s="161">
        <f t="shared" si="221"/>
        <v>0</v>
      </c>
      <c r="DO175" s="161">
        <f t="shared" si="222"/>
        <v>0</v>
      </c>
      <c r="DP175" s="161">
        <f t="shared" si="223"/>
        <v>0</v>
      </c>
      <c r="DQ175" s="161">
        <f t="shared" si="224"/>
        <v>0</v>
      </c>
      <c r="DR175" s="161">
        <f t="shared" si="225"/>
        <v>0</v>
      </c>
      <c r="DS175" s="161">
        <f t="shared" si="226"/>
        <v>0</v>
      </c>
      <c r="DT175" s="161">
        <f t="shared" si="227"/>
        <v>0</v>
      </c>
      <c r="DU175" s="161">
        <f t="shared" si="228"/>
        <v>0</v>
      </c>
      <c r="DV175" s="161">
        <f t="shared" si="229"/>
        <v>0</v>
      </c>
      <c r="DW175" s="161">
        <f t="shared" si="230"/>
        <v>0</v>
      </c>
      <c r="DX175" s="161">
        <f t="shared" si="231"/>
        <v>0</v>
      </c>
      <c r="DY175" s="161">
        <f t="shared" si="232"/>
        <v>0</v>
      </c>
      <c r="DZ175" s="161">
        <f t="shared" si="233"/>
        <v>0</v>
      </c>
      <c r="EA175" s="161">
        <f t="shared" si="234"/>
        <v>0</v>
      </c>
      <c r="EB175" s="161">
        <f t="shared" si="235"/>
        <v>0</v>
      </c>
      <c r="EC175" s="161">
        <f t="shared" si="236"/>
        <v>0</v>
      </c>
      <c r="ED175" s="161">
        <f t="shared" si="237"/>
        <v>0</v>
      </c>
      <c r="EE175" s="161">
        <f t="shared" si="238"/>
        <v>0</v>
      </c>
      <c r="EF175" s="161">
        <f t="shared" si="239"/>
        <v>0</v>
      </c>
      <c r="EG175" s="161">
        <f t="shared" si="240"/>
        <v>0</v>
      </c>
      <c r="EH175" s="161">
        <f t="shared" si="241"/>
        <v>0</v>
      </c>
      <c r="EI175" s="161">
        <f t="shared" si="242"/>
        <v>0</v>
      </c>
      <c r="EJ175" s="161">
        <f t="shared" si="243"/>
        <v>0</v>
      </c>
      <c r="EK175" s="147">
        <f t="shared" si="175"/>
        <v>0</v>
      </c>
      <c r="EL175" s="149"/>
      <c r="EN175" s="146"/>
      <c r="EO175" s="146"/>
      <c r="EP175" s="139">
        <f t="shared" si="176"/>
        <v>0</v>
      </c>
      <c r="EQ175" s="139">
        <f t="shared" si="177"/>
        <v>0</v>
      </c>
      <c r="ER175" s="139">
        <f t="shared" si="178"/>
        <v>0</v>
      </c>
      <c r="ES175" s="139">
        <f t="shared" si="179"/>
        <v>0</v>
      </c>
      <c r="ET175" s="139">
        <f t="shared" si="180"/>
        <v>0</v>
      </c>
      <c r="EU175" s="139">
        <f t="shared" si="181"/>
        <v>0</v>
      </c>
      <c r="EV175" s="139">
        <f t="shared" si="182"/>
        <v>0</v>
      </c>
      <c r="EW175" s="139">
        <f t="shared" si="183"/>
        <v>0</v>
      </c>
      <c r="EX175" s="139">
        <f t="shared" si="184"/>
        <v>0</v>
      </c>
      <c r="EY175" s="139">
        <f t="shared" si="185"/>
        <v>0</v>
      </c>
      <c r="EZ175" s="139">
        <f t="shared" si="186"/>
        <v>0</v>
      </c>
      <c r="FA175" s="139">
        <f t="shared" si="187"/>
        <v>0</v>
      </c>
      <c r="FB175" s="139">
        <f t="shared" si="188"/>
        <v>0</v>
      </c>
      <c r="FC175" s="139">
        <f t="shared" si="189"/>
        <v>0</v>
      </c>
      <c r="FD175" s="139">
        <f t="shared" si="190"/>
        <v>0</v>
      </c>
      <c r="FE175" s="139">
        <f t="shared" si="191"/>
        <v>0</v>
      </c>
      <c r="FF175" s="139">
        <f t="shared" si="192"/>
        <v>0</v>
      </c>
      <c r="FG175" s="139">
        <f t="shared" si="193"/>
        <v>0</v>
      </c>
      <c r="FH175" s="139">
        <f t="shared" si="194"/>
        <v>0</v>
      </c>
      <c r="FI175" s="139">
        <f t="shared" si="195"/>
        <v>0</v>
      </c>
      <c r="FJ175" s="139">
        <f t="shared" si="196"/>
        <v>0</v>
      </c>
      <c r="FK175" s="139">
        <f t="shared" si="197"/>
        <v>0</v>
      </c>
      <c r="FL175" s="139">
        <f t="shared" si="198"/>
        <v>0</v>
      </c>
      <c r="FM175" s="139">
        <f t="shared" si="199"/>
        <v>0</v>
      </c>
      <c r="FN175" s="139">
        <f t="shared" si="200"/>
        <v>0</v>
      </c>
      <c r="FO175" s="139">
        <f t="shared" si="201"/>
        <v>0</v>
      </c>
      <c r="FP175" s="139">
        <f t="shared" si="202"/>
        <v>0</v>
      </c>
      <c r="FQ175" s="139">
        <f t="shared" si="203"/>
        <v>0</v>
      </c>
      <c r="FR175" s="139">
        <f t="shared" si="204"/>
        <v>0</v>
      </c>
      <c r="FS175" s="139">
        <f t="shared" si="205"/>
        <v>0</v>
      </c>
      <c r="FT175" s="139">
        <f t="shared" si="206"/>
        <v>0</v>
      </c>
      <c r="FU175" s="148">
        <f t="shared" si="207"/>
        <v>0</v>
      </c>
      <c r="FV175" s="149"/>
      <c r="FY175" s="211">
        <v>170</v>
      </c>
      <c r="FZ175">
        <v>0.56175984097882137</v>
      </c>
      <c r="GA175">
        <v>8.725047411847664E-2</v>
      </c>
      <c r="GB175">
        <v>0.3168159464482993</v>
      </c>
      <c r="GC175">
        <v>0.21137457756664185</v>
      </c>
      <c r="GD175">
        <v>2.6724553773673727E-2</v>
      </c>
      <c r="GE175">
        <v>0</v>
      </c>
      <c r="GF175">
        <v>0</v>
      </c>
      <c r="GG175">
        <v>0</v>
      </c>
      <c r="GH175">
        <v>0</v>
      </c>
      <c r="GI175">
        <v>0.17636514614346813</v>
      </c>
      <c r="GJ175"/>
      <c r="GK175">
        <v>0.56096253186920908</v>
      </c>
      <c r="GL175">
        <v>7.3740509229249462E-2</v>
      </c>
      <c r="GM175">
        <v>0.5236708048320341</v>
      </c>
      <c r="GN175">
        <v>0.62860887006442545</v>
      </c>
      <c r="GO175">
        <v>0.10493806523239137</v>
      </c>
      <c r="GP175">
        <v>0</v>
      </c>
      <c r="GQ175">
        <v>0</v>
      </c>
      <c r="GR175">
        <v>0</v>
      </c>
      <c r="GS175">
        <v>0</v>
      </c>
      <c r="GT175">
        <v>0.23791428038672691</v>
      </c>
      <c r="GU175"/>
      <c r="GV175"/>
      <c r="GW175"/>
      <c r="GX175"/>
      <c r="GY175"/>
      <c r="GZ175"/>
      <c r="HA175"/>
      <c r="HB175"/>
      <c r="HC175"/>
    </row>
    <row r="176" spans="1:211" s="7" customFormat="1">
      <c r="A176" s="1"/>
      <c r="B176" s="76">
        <f t="shared" ca="1" si="172"/>
        <v>0.22741119901340401</v>
      </c>
      <c r="C176">
        <v>3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4.8760416666666666</v>
      </c>
      <c r="AO176">
        <v>0.49482013718754736</v>
      </c>
      <c r="AP176">
        <v>10.194044066315241</v>
      </c>
      <c r="AQ176">
        <v>3.9889451867551187</v>
      </c>
      <c r="AR176">
        <v>0.5535974262912845</v>
      </c>
      <c r="AS176">
        <v>3.1716902570812797</v>
      </c>
      <c r="AT176" t="e">
        <v>#DIV/0!</v>
      </c>
      <c r="AU176" t="e">
        <v>#DIV/0!</v>
      </c>
      <c r="AV176"/>
      <c r="AW176"/>
      <c r="AX176" s="146"/>
      <c r="AY176" s="76">
        <f t="shared" ca="1" si="173"/>
        <v>0.10347643211560165</v>
      </c>
      <c r="AZ176">
        <v>9</v>
      </c>
      <c r="BA176" s="129">
        <f t="shared" si="247"/>
        <v>39949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 s="147"/>
      <c r="CH176" s="176"/>
      <c r="CJ176" s="146"/>
      <c r="CK176" s="76">
        <f t="shared" ca="1" si="208"/>
        <v>0.75071485706385443</v>
      </c>
      <c r="CL176" s="179">
        <f t="shared" si="209"/>
        <v>9</v>
      </c>
      <c r="CM176" s="180">
        <f t="shared" si="210"/>
        <v>39949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 s="160"/>
      <c r="CW176">
        <v>1</v>
      </c>
      <c r="CX176">
        <v>1</v>
      </c>
      <c r="CY176" s="165"/>
      <c r="CZ176" s="177">
        <f t="shared" si="211"/>
        <v>9.6000000000000002E-2</v>
      </c>
      <c r="DB176" s="146"/>
      <c r="DC176" s="76">
        <f t="shared" ca="1" si="174"/>
        <v>0.18541933357907925</v>
      </c>
      <c r="DD176">
        <f t="shared" si="212"/>
        <v>9</v>
      </c>
      <c r="DE176" s="129">
        <f t="shared" si="246"/>
        <v>39949</v>
      </c>
      <c r="DF176" s="161">
        <f t="shared" si="213"/>
        <v>0</v>
      </c>
      <c r="DG176" s="161">
        <f t="shared" si="214"/>
        <v>0</v>
      </c>
      <c r="DH176" s="161">
        <f t="shared" si="215"/>
        <v>0</v>
      </c>
      <c r="DI176" s="161">
        <f t="shared" si="216"/>
        <v>0</v>
      </c>
      <c r="DJ176" s="161">
        <f t="shared" si="217"/>
        <v>0</v>
      </c>
      <c r="DK176" s="161">
        <f t="shared" si="218"/>
        <v>0</v>
      </c>
      <c r="DL176" s="161">
        <f t="shared" si="219"/>
        <v>0</v>
      </c>
      <c r="DM176" s="161">
        <f t="shared" si="220"/>
        <v>0</v>
      </c>
      <c r="DN176" s="161">
        <f t="shared" si="221"/>
        <v>0</v>
      </c>
      <c r="DO176" s="161">
        <f t="shared" si="222"/>
        <v>0</v>
      </c>
      <c r="DP176" s="161">
        <f t="shared" si="223"/>
        <v>0</v>
      </c>
      <c r="DQ176" s="161">
        <f t="shared" si="224"/>
        <v>0</v>
      </c>
      <c r="DR176" s="161">
        <f t="shared" si="225"/>
        <v>0</v>
      </c>
      <c r="DS176" s="161">
        <f t="shared" si="226"/>
        <v>0</v>
      </c>
      <c r="DT176" s="161">
        <f t="shared" si="227"/>
        <v>0</v>
      </c>
      <c r="DU176" s="161">
        <f t="shared" si="228"/>
        <v>0</v>
      </c>
      <c r="DV176" s="161">
        <f t="shared" si="229"/>
        <v>0</v>
      </c>
      <c r="DW176" s="161">
        <f t="shared" si="230"/>
        <v>0</v>
      </c>
      <c r="DX176" s="161">
        <f t="shared" si="231"/>
        <v>0</v>
      </c>
      <c r="DY176" s="161">
        <f t="shared" si="232"/>
        <v>0</v>
      </c>
      <c r="DZ176" s="161">
        <f t="shared" si="233"/>
        <v>0</v>
      </c>
      <c r="EA176" s="161">
        <f t="shared" si="234"/>
        <v>0</v>
      </c>
      <c r="EB176" s="161">
        <f t="shared" si="235"/>
        <v>0</v>
      </c>
      <c r="EC176" s="161">
        <f t="shared" si="236"/>
        <v>0</v>
      </c>
      <c r="ED176" s="161">
        <f t="shared" si="237"/>
        <v>0</v>
      </c>
      <c r="EE176" s="161">
        <f t="shared" si="238"/>
        <v>0</v>
      </c>
      <c r="EF176" s="161">
        <f t="shared" si="239"/>
        <v>0</v>
      </c>
      <c r="EG176" s="161">
        <f t="shared" si="240"/>
        <v>0</v>
      </c>
      <c r="EH176" s="161">
        <f t="shared" si="241"/>
        <v>0</v>
      </c>
      <c r="EI176" s="161">
        <f t="shared" si="242"/>
        <v>0</v>
      </c>
      <c r="EJ176" s="161">
        <f t="shared" si="243"/>
        <v>0</v>
      </c>
      <c r="EK176" s="147">
        <f t="shared" si="175"/>
        <v>0</v>
      </c>
      <c r="EL176" s="149"/>
      <c r="EN176" s="146"/>
      <c r="EO176" s="146"/>
      <c r="EP176" s="139">
        <f t="shared" si="176"/>
        <v>0</v>
      </c>
      <c r="EQ176" s="139">
        <f t="shared" si="177"/>
        <v>0</v>
      </c>
      <c r="ER176" s="139">
        <f t="shared" si="178"/>
        <v>0</v>
      </c>
      <c r="ES176" s="139">
        <f t="shared" si="179"/>
        <v>0</v>
      </c>
      <c r="ET176" s="139">
        <f t="shared" si="180"/>
        <v>0</v>
      </c>
      <c r="EU176" s="139">
        <f t="shared" si="181"/>
        <v>0</v>
      </c>
      <c r="EV176" s="139">
        <f t="shared" si="182"/>
        <v>0</v>
      </c>
      <c r="EW176" s="139">
        <f t="shared" si="183"/>
        <v>0</v>
      </c>
      <c r="EX176" s="139">
        <f t="shared" si="184"/>
        <v>0</v>
      </c>
      <c r="EY176" s="139">
        <f t="shared" si="185"/>
        <v>0</v>
      </c>
      <c r="EZ176" s="139">
        <f t="shared" si="186"/>
        <v>0</v>
      </c>
      <c r="FA176" s="139">
        <f t="shared" si="187"/>
        <v>0</v>
      </c>
      <c r="FB176" s="139">
        <f t="shared" si="188"/>
        <v>0</v>
      </c>
      <c r="FC176" s="139">
        <f t="shared" si="189"/>
        <v>0</v>
      </c>
      <c r="FD176" s="139">
        <f t="shared" si="190"/>
        <v>0</v>
      </c>
      <c r="FE176" s="139">
        <f t="shared" si="191"/>
        <v>0</v>
      </c>
      <c r="FF176" s="139">
        <f t="shared" si="192"/>
        <v>0</v>
      </c>
      <c r="FG176" s="139">
        <f t="shared" si="193"/>
        <v>0</v>
      </c>
      <c r="FH176" s="139">
        <f t="shared" si="194"/>
        <v>0</v>
      </c>
      <c r="FI176" s="139">
        <f t="shared" si="195"/>
        <v>0</v>
      </c>
      <c r="FJ176" s="139">
        <f t="shared" si="196"/>
        <v>0</v>
      </c>
      <c r="FK176" s="139">
        <f t="shared" si="197"/>
        <v>0</v>
      </c>
      <c r="FL176" s="139">
        <f t="shared" si="198"/>
        <v>0</v>
      </c>
      <c r="FM176" s="139">
        <f t="shared" si="199"/>
        <v>0</v>
      </c>
      <c r="FN176" s="139">
        <f t="shared" si="200"/>
        <v>0</v>
      </c>
      <c r="FO176" s="139">
        <f t="shared" si="201"/>
        <v>0</v>
      </c>
      <c r="FP176" s="139">
        <f t="shared" si="202"/>
        <v>0</v>
      </c>
      <c r="FQ176" s="139">
        <f t="shared" si="203"/>
        <v>0</v>
      </c>
      <c r="FR176" s="139">
        <f t="shared" si="204"/>
        <v>0</v>
      </c>
      <c r="FS176" s="139">
        <f t="shared" si="205"/>
        <v>0</v>
      </c>
      <c r="FT176" s="139">
        <f t="shared" si="206"/>
        <v>0</v>
      </c>
      <c r="FU176" s="148">
        <f t="shared" si="207"/>
        <v>0</v>
      </c>
      <c r="FV176" s="149"/>
      <c r="FY176" s="211">
        <v>171</v>
      </c>
      <c r="FZ176">
        <v>0.56820539362517053</v>
      </c>
      <c r="GA176">
        <v>0</v>
      </c>
      <c r="GB176">
        <v>0.15840797322414965</v>
      </c>
      <c r="GC176">
        <v>0.12309692626280153</v>
      </c>
      <c r="GD176">
        <v>2.6724553773673727E-2</v>
      </c>
      <c r="GE176">
        <v>0</v>
      </c>
      <c r="GF176">
        <v>0.33021050058332063</v>
      </c>
      <c r="GG176">
        <v>0.29759236750664797</v>
      </c>
      <c r="GH176">
        <v>0</v>
      </c>
      <c r="GI176">
        <v>0.20258503821230356</v>
      </c>
      <c r="GJ176"/>
      <c r="GK176">
        <v>0.5674432625242517</v>
      </c>
      <c r="GL176">
        <v>0</v>
      </c>
      <c r="GM176">
        <v>0.26183540241601705</v>
      </c>
      <c r="GN176">
        <v>0.3667734676484084</v>
      </c>
      <c r="GO176">
        <v>0.10493806523239137</v>
      </c>
      <c r="GP176">
        <v>0</v>
      </c>
      <c r="GQ176">
        <v>0.45369793096285549</v>
      </c>
      <c r="GR176">
        <v>0.45369793096285549</v>
      </c>
      <c r="GS176">
        <v>0</v>
      </c>
      <c r="GT176">
        <v>0.27758293222710312</v>
      </c>
      <c r="GU176"/>
      <c r="GV176"/>
      <c r="GW176"/>
      <c r="GX176"/>
      <c r="GY176"/>
      <c r="GZ176"/>
      <c r="HA176"/>
      <c r="HB176"/>
      <c r="HC176"/>
    </row>
    <row r="177" spans="1:211" s="7" customFormat="1">
      <c r="A177" s="1"/>
      <c r="B177" s="76">
        <f t="shared" ca="1" si="172"/>
        <v>0.35097323237767242</v>
      </c>
      <c r="C177">
        <v>7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3.0916666666666668</v>
      </c>
      <c r="AO177">
        <v>0.44781390438661683</v>
      </c>
      <c r="AP177">
        <v>17.464304731425575</v>
      </c>
      <c r="AQ177">
        <v>3.4609658444339133</v>
      </c>
      <c r="AR177">
        <v>0.48710229511424075</v>
      </c>
      <c r="AS177">
        <v>2.4957336848862837</v>
      </c>
      <c r="AT177" t="e">
        <v>#DIV/0!</v>
      </c>
      <c r="AU177" t="e">
        <v>#DIV/0!</v>
      </c>
      <c r="AV177"/>
      <c r="AW177"/>
      <c r="AX177" s="146"/>
      <c r="AY177" s="76">
        <f t="shared" ca="1" si="173"/>
        <v>0.40985277653274954</v>
      </c>
      <c r="AZ177">
        <v>10</v>
      </c>
      <c r="BA177" s="129">
        <f t="shared" si="247"/>
        <v>39949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 s="147"/>
      <c r="CH177" s="176"/>
      <c r="CJ177" s="146"/>
      <c r="CK177" s="76">
        <f t="shared" ca="1" si="208"/>
        <v>0.42695240272404655</v>
      </c>
      <c r="CL177" s="179">
        <f t="shared" si="209"/>
        <v>10</v>
      </c>
      <c r="CM177" s="180">
        <f t="shared" si="210"/>
        <v>39949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 s="160"/>
      <c r="CW177">
        <v>1</v>
      </c>
      <c r="CX177">
        <f>500/87</f>
        <v>5.7471264367816088</v>
      </c>
      <c r="CY177" s="165"/>
      <c r="CZ177" s="177">
        <f t="shared" si="211"/>
        <v>9.6000000000000002E-2</v>
      </c>
      <c r="DB177" s="146"/>
      <c r="DC177" s="76">
        <f t="shared" ca="1" si="174"/>
        <v>0.26655521098412205</v>
      </c>
      <c r="DD177">
        <f t="shared" si="212"/>
        <v>10</v>
      </c>
      <c r="DE177" s="129">
        <f t="shared" si="246"/>
        <v>39949</v>
      </c>
      <c r="DF177" s="161">
        <f t="shared" si="213"/>
        <v>0</v>
      </c>
      <c r="DG177" s="161">
        <f t="shared" si="214"/>
        <v>0</v>
      </c>
      <c r="DH177" s="161">
        <f t="shared" si="215"/>
        <v>0</v>
      </c>
      <c r="DI177" s="161">
        <f t="shared" si="216"/>
        <v>0</v>
      </c>
      <c r="DJ177" s="161">
        <f t="shared" si="217"/>
        <v>0</v>
      </c>
      <c r="DK177" s="161">
        <f t="shared" si="218"/>
        <v>0</v>
      </c>
      <c r="DL177" s="161">
        <f t="shared" si="219"/>
        <v>0</v>
      </c>
      <c r="DM177" s="161">
        <f t="shared" si="220"/>
        <v>0</v>
      </c>
      <c r="DN177" s="161">
        <f t="shared" si="221"/>
        <v>0</v>
      </c>
      <c r="DO177" s="161">
        <f t="shared" si="222"/>
        <v>0</v>
      </c>
      <c r="DP177" s="161">
        <f t="shared" si="223"/>
        <v>0</v>
      </c>
      <c r="DQ177" s="161">
        <f t="shared" si="224"/>
        <v>0</v>
      </c>
      <c r="DR177" s="161">
        <f t="shared" si="225"/>
        <v>0</v>
      </c>
      <c r="DS177" s="161">
        <f t="shared" si="226"/>
        <v>0</v>
      </c>
      <c r="DT177" s="161">
        <f t="shared" si="227"/>
        <v>0</v>
      </c>
      <c r="DU177" s="161">
        <f t="shared" si="228"/>
        <v>0</v>
      </c>
      <c r="DV177" s="161">
        <f t="shared" si="229"/>
        <v>0</v>
      </c>
      <c r="DW177" s="161">
        <f t="shared" si="230"/>
        <v>0</v>
      </c>
      <c r="DX177" s="161">
        <f t="shared" si="231"/>
        <v>0</v>
      </c>
      <c r="DY177" s="161">
        <f t="shared" si="232"/>
        <v>0</v>
      </c>
      <c r="DZ177" s="161">
        <f t="shared" si="233"/>
        <v>0</v>
      </c>
      <c r="EA177" s="161">
        <f t="shared" si="234"/>
        <v>0</v>
      </c>
      <c r="EB177" s="161">
        <f t="shared" si="235"/>
        <v>0</v>
      </c>
      <c r="EC177" s="161">
        <f t="shared" si="236"/>
        <v>0</v>
      </c>
      <c r="ED177" s="161">
        <f t="shared" si="237"/>
        <v>0</v>
      </c>
      <c r="EE177" s="161">
        <f t="shared" si="238"/>
        <v>0</v>
      </c>
      <c r="EF177" s="161">
        <f t="shared" si="239"/>
        <v>0</v>
      </c>
      <c r="EG177" s="161">
        <f t="shared" si="240"/>
        <v>0</v>
      </c>
      <c r="EH177" s="161">
        <f t="shared" si="241"/>
        <v>0</v>
      </c>
      <c r="EI177" s="161">
        <f t="shared" si="242"/>
        <v>0</v>
      </c>
      <c r="EJ177" s="161">
        <f t="shared" si="243"/>
        <v>0</v>
      </c>
      <c r="EK177" s="147">
        <f t="shared" si="175"/>
        <v>0</v>
      </c>
      <c r="EL177" s="149"/>
      <c r="EN177" s="146"/>
      <c r="EO177" s="146"/>
      <c r="EP177" s="139">
        <f t="shared" si="176"/>
        <v>0</v>
      </c>
      <c r="EQ177" s="139">
        <f t="shared" si="177"/>
        <v>0</v>
      </c>
      <c r="ER177" s="139">
        <f t="shared" si="178"/>
        <v>0</v>
      </c>
      <c r="ES177" s="139">
        <f t="shared" si="179"/>
        <v>0</v>
      </c>
      <c r="ET177" s="139">
        <f t="shared" si="180"/>
        <v>0</v>
      </c>
      <c r="EU177" s="139">
        <f t="shared" si="181"/>
        <v>0</v>
      </c>
      <c r="EV177" s="139">
        <f t="shared" si="182"/>
        <v>0</v>
      </c>
      <c r="EW177" s="139">
        <f t="shared" si="183"/>
        <v>0</v>
      </c>
      <c r="EX177" s="139">
        <f t="shared" si="184"/>
        <v>0</v>
      </c>
      <c r="EY177" s="139">
        <f t="shared" si="185"/>
        <v>0</v>
      </c>
      <c r="EZ177" s="139">
        <f t="shared" si="186"/>
        <v>0</v>
      </c>
      <c r="FA177" s="139">
        <f t="shared" si="187"/>
        <v>0</v>
      </c>
      <c r="FB177" s="139">
        <f t="shared" si="188"/>
        <v>0</v>
      </c>
      <c r="FC177" s="139">
        <f t="shared" si="189"/>
        <v>0</v>
      </c>
      <c r="FD177" s="139">
        <f t="shared" si="190"/>
        <v>0</v>
      </c>
      <c r="FE177" s="139">
        <f t="shared" si="191"/>
        <v>0</v>
      </c>
      <c r="FF177" s="139">
        <f t="shared" si="192"/>
        <v>0</v>
      </c>
      <c r="FG177" s="139">
        <f t="shared" si="193"/>
        <v>0</v>
      </c>
      <c r="FH177" s="139">
        <f t="shared" si="194"/>
        <v>0</v>
      </c>
      <c r="FI177" s="139">
        <f t="shared" si="195"/>
        <v>0</v>
      </c>
      <c r="FJ177" s="139">
        <f t="shared" si="196"/>
        <v>0</v>
      </c>
      <c r="FK177" s="139">
        <f t="shared" si="197"/>
        <v>0</v>
      </c>
      <c r="FL177" s="139">
        <f t="shared" si="198"/>
        <v>0</v>
      </c>
      <c r="FM177" s="139">
        <f t="shared" si="199"/>
        <v>0</v>
      </c>
      <c r="FN177" s="139">
        <f t="shared" si="200"/>
        <v>0</v>
      </c>
      <c r="FO177" s="139">
        <f t="shared" si="201"/>
        <v>0</v>
      </c>
      <c r="FP177" s="139">
        <f t="shared" si="202"/>
        <v>0</v>
      </c>
      <c r="FQ177" s="139">
        <f t="shared" si="203"/>
        <v>0</v>
      </c>
      <c r="FR177" s="139">
        <f t="shared" si="204"/>
        <v>0</v>
      </c>
      <c r="FS177" s="139">
        <f t="shared" si="205"/>
        <v>0</v>
      </c>
      <c r="FT177" s="139">
        <f t="shared" si="206"/>
        <v>0</v>
      </c>
      <c r="FU177" s="148">
        <f t="shared" si="207"/>
        <v>0</v>
      </c>
      <c r="FV177" s="149"/>
      <c r="FY177" s="211">
        <v>172</v>
      </c>
      <c r="FZ177">
        <v>1.0231916129295011</v>
      </c>
      <c r="GA177">
        <v>0.47460065171768845</v>
      </c>
      <c r="GB177">
        <v>7.9203986612074825E-2</v>
      </c>
      <c r="GC177">
        <v>4.4138825651920163E-2</v>
      </c>
      <c r="GD177">
        <v>0</v>
      </c>
      <c r="GE177">
        <v>0</v>
      </c>
      <c r="GF177">
        <v>0</v>
      </c>
      <c r="GG177">
        <v>0</v>
      </c>
      <c r="GH177">
        <v>0</v>
      </c>
      <c r="GI177">
        <v>0.17090317181046508</v>
      </c>
      <c r="GJ177"/>
      <c r="GK177">
        <v>1.0287823932798208</v>
      </c>
      <c r="GL177">
        <v>0.40705572478708768</v>
      </c>
      <c r="GM177">
        <v>0.13091770120800852</v>
      </c>
      <c r="GN177">
        <v>0.13091770120800852</v>
      </c>
      <c r="GO177">
        <v>0</v>
      </c>
      <c r="GP177">
        <v>0</v>
      </c>
      <c r="GQ177">
        <v>0</v>
      </c>
      <c r="GR177">
        <v>0</v>
      </c>
      <c r="GS177">
        <v>0</v>
      </c>
      <c r="GT177">
        <v>0.23194001889756583</v>
      </c>
      <c r="GU177"/>
      <c r="GV177"/>
      <c r="GW177"/>
      <c r="GX177"/>
      <c r="GY177"/>
      <c r="GZ177"/>
      <c r="HA177"/>
      <c r="HB177"/>
      <c r="HC177"/>
    </row>
    <row r="178" spans="1:211" s="7" customFormat="1">
      <c r="A178" s="128"/>
      <c r="B178" s="76">
        <f t="shared" ca="1" si="172"/>
        <v>0.78505008248092967</v>
      </c>
      <c r="C178">
        <v>2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1.5520833333333333</v>
      </c>
      <c r="AO178">
        <v>0.41786922298760831</v>
      </c>
      <c r="AP178">
        <v>19.898032704966994</v>
      </c>
      <c r="AQ178">
        <v>2.9716531991180668</v>
      </c>
      <c r="AR178">
        <v>0.42233029954891405</v>
      </c>
      <c r="AS178">
        <v>1.9088930778755222</v>
      </c>
      <c r="AT178" t="e">
        <v>#DIV/0!</v>
      </c>
      <c r="AU178" t="e">
        <v>#DIV/0!</v>
      </c>
      <c r="AV178"/>
      <c r="AW178"/>
      <c r="AX178" s="128"/>
      <c r="AY178" s="76">
        <f t="shared" ca="1" si="173"/>
        <v>0.43868932077355915</v>
      </c>
      <c r="AZ178">
        <v>1</v>
      </c>
      <c r="BA178" s="129">
        <f>IF(AZ178="", "",$C$13)</f>
        <v>39987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 s="147"/>
      <c r="CH178" s="176"/>
      <c r="CJ178" s="128"/>
      <c r="CK178" s="76">
        <f t="shared" ca="1" si="208"/>
        <v>0.48831598634117146</v>
      </c>
      <c r="CL178" s="179">
        <f t="shared" si="209"/>
        <v>1</v>
      </c>
      <c r="CM178" s="180">
        <f t="shared" si="210"/>
        <v>39987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 s="160"/>
      <c r="CW178">
        <v>1</v>
      </c>
      <c r="CX178">
        <f>350/47</f>
        <v>7.4468085106382977</v>
      </c>
      <c r="CY178" s="160"/>
      <c r="CZ178" s="177">
        <f t="shared" si="211"/>
        <v>9.6000000000000002E-2</v>
      </c>
      <c r="DB178" s="128"/>
      <c r="DC178" s="76">
        <f t="shared" ca="1" si="174"/>
        <v>0.47099569164509791</v>
      </c>
      <c r="DD178">
        <f t="shared" si="212"/>
        <v>1</v>
      </c>
      <c r="DE178" s="129">
        <f t="shared" ref="DE178:DE187" si="248">IF((DD178)="", "", $C$13)</f>
        <v>39987</v>
      </c>
      <c r="DF178" s="161">
        <f t="shared" si="213"/>
        <v>0</v>
      </c>
      <c r="DG178" s="161">
        <f t="shared" si="214"/>
        <v>0</v>
      </c>
      <c r="DH178" s="161">
        <f t="shared" si="215"/>
        <v>0</v>
      </c>
      <c r="DI178" s="161">
        <f t="shared" si="216"/>
        <v>0</v>
      </c>
      <c r="DJ178" s="161">
        <f t="shared" si="217"/>
        <v>0</v>
      </c>
      <c r="DK178" s="161">
        <f t="shared" si="218"/>
        <v>0</v>
      </c>
      <c r="DL178" s="161">
        <f t="shared" si="219"/>
        <v>0</v>
      </c>
      <c r="DM178" s="161">
        <f t="shared" si="220"/>
        <v>0</v>
      </c>
      <c r="DN178" s="161">
        <f t="shared" si="221"/>
        <v>0</v>
      </c>
      <c r="DO178" s="161">
        <f t="shared" si="222"/>
        <v>0</v>
      </c>
      <c r="DP178" s="161">
        <f t="shared" si="223"/>
        <v>0</v>
      </c>
      <c r="DQ178" s="161">
        <f t="shared" si="224"/>
        <v>0</v>
      </c>
      <c r="DR178" s="161">
        <f t="shared" si="225"/>
        <v>0</v>
      </c>
      <c r="DS178" s="161">
        <f t="shared" si="226"/>
        <v>0</v>
      </c>
      <c r="DT178" s="161">
        <f t="shared" si="227"/>
        <v>0</v>
      </c>
      <c r="DU178" s="161">
        <f t="shared" si="228"/>
        <v>0</v>
      </c>
      <c r="DV178" s="161">
        <f t="shared" si="229"/>
        <v>0</v>
      </c>
      <c r="DW178" s="161">
        <f t="shared" si="230"/>
        <v>0</v>
      </c>
      <c r="DX178" s="161">
        <f t="shared" si="231"/>
        <v>0</v>
      </c>
      <c r="DY178" s="161">
        <f t="shared" si="232"/>
        <v>0</v>
      </c>
      <c r="DZ178" s="161">
        <f t="shared" si="233"/>
        <v>0</v>
      </c>
      <c r="EA178" s="161">
        <f t="shared" si="234"/>
        <v>0</v>
      </c>
      <c r="EB178" s="161">
        <f t="shared" si="235"/>
        <v>0</v>
      </c>
      <c r="EC178" s="161">
        <f t="shared" si="236"/>
        <v>0</v>
      </c>
      <c r="ED178" s="161">
        <f t="shared" si="237"/>
        <v>0</v>
      </c>
      <c r="EE178" s="161">
        <f t="shared" si="238"/>
        <v>0</v>
      </c>
      <c r="EF178" s="161">
        <f t="shared" si="239"/>
        <v>0</v>
      </c>
      <c r="EG178" s="161">
        <f t="shared" si="240"/>
        <v>0</v>
      </c>
      <c r="EH178" s="161">
        <f t="shared" si="241"/>
        <v>0</v>
      </c>
      <c r="EI178" s="161">
        <f t="shared" si="242"/>
        <v>0</v>
      </c>
      <c r="EJ178" s="161">
        <f t="shared" si="243"/>
        <v>0</v>
      </c>
      <c r="EK178" s="147">
        <f t="shared" si="175"/>
        <v>0</v>
      </c>
      <c r="EL178" s="149"/>
      <c r="EN178" s="146"/>
      <c r="EO178" s="146"/>
      <c r="EP178" s="139">
        <f t="shared" si="176"/>
        <v>0</v>
      </c>
      <c r="EQ178" s="139">
        <f t="shared" si="177"/>
        <v>0</v>
      </c>
      <c r="ER178" s="139">
        <f t="shared" si="178"/>
        <v>0</v>
      </c>
      <c r="ES178" s="139">
        <f t="shared" si="179"/>
        <v>0</v>
      </c>
      <c r="ET178" s="139">
        <f t="shared" si="180"/>
        <v>0</v>
      </c>
      <c r="EU178" s="139">
        <f t="shared" si="181"/>
        <v>0</v>
      </c>
      <c r="EV178" s="139">
        <f t="shared" si="182"/>
        <v>0</v>
      </c>
      <c r="EW178" s="139">
        <f t="shared" si="183"/>
        <v>0</v>
      </c>
      <c r="EX178" s="139">
        <f t="shared" si="184"/>
        <v>0</v>
      </c>
      <c r="EY178" s="139">
        <f t="shared" si="185"/>
        <v>0</v>
      </c>
      <c r="EZ178" s="139">
        <f t="shared" si="186"/>
        <v>0</v>
      </c>
      <c r="FA178" s="139">
        <f t="shared" si="187"/>
        <v>0</v>
      </c>
      <c r="FB178" s="139">
        <f t="shared" si="188"/>
        <v>0</v>
      </c>
      <c r="FC178" s="139">
        <f t="shared" si="189"/>
        <v>0</v>
      </c>
      <c r="FD178" s="139">
        <f t="shared" si="190"/>
        <v>0</v>
      </c>
      <c r="FE178" s="139">
        <f t="shared" si="191"/>
        <v>0</v>
      </c>
      <c r="FF178" s="139">
        <f t="shared" si="192"/>
        <v>0</v>
      </c>
      <c r="FG178" s="139">
        <f t="shared" si="193"/>
        <v>0</v>
      </c>
      <c r="FH178" s="139">
        <f t="shared" si="194"/>
        <v>0</v>
      </c>
      <c r="FI178" s="139">
        <f t="shared" si="195"/>
        <v>0</v>
      </c>
      <c r="FJ178" s="139">
        <f t="shared" si="196"/>
        <v>0</v>
      </c>
      <c r="FK178" s="139">
        <f t="shared" si="197"/>
        <v>0</v>
      </c>
      <c r="FL178" s="139">
        <f t="shared" si="198"/>
        <v>0</v>
      </c>
      <c r="FM178" s="139">
        <f t="shared" si="199"/>
        <v>0</v>
      </c>
      <c r="FN178" s="139">
        <f t="shared" si="200"/>
        <v>0</v>
      </c>
      <c r="FO178" s="139">
        <f t="shared" si="201"/>
        <v>0</v>
      </c>
      <c r="FP178" s="139">
        <f t="shared" si="202"/>
        <v>0</v>
      </c>
      <c r="FQ178" s="139">
        <f t="shared" si="203"/>
        <v>0</v>
      </c>
      <c r="FR178" s="139">
        <f t="shared" si="204"/>
        <v>0</v>
      </c>
      <c r="FS178" s="139">
        <f t="shared" si="205"/>
        <v>0</v>
      </c>
      <c r="FT178" s="139">
        <f t="shared" si="206"/>
        <v>0</v>
      </c>
      <c r="FU178" s="148">
        <f t="shared" si="207"/>
        <v>0</v>
      </c>
      <c r="FV178" s="149"/>
      <c r="FY178" s="211">
        <v>173</v>
      </c>
      <c r="FZ178">
        <v>1.2213116858774722</v>
      </c>
      <c r="GA178">
        <v>0.47460065171768845</v>
      </c>
      <c r="GB178">
        <v>0.14202990935487192</v>
      </c>
      <c r="GC178">
        <v>0.11377737556984255</v>
      </c>
      <c r="GD178">
        <v>2.6724553773673727E-2</v>
      </c>
      <c r="GE178">
        <v>0</v>
      </c>
      <c r="GF178">
        <v>0.33021050058332063</v>
      </c>
      <c r="GG178">
        <v>0.29759236750664797</v>
      </c>
      <c r="GH178">
        <v>0</v>
      </c>
      <c r="GI178">
        <v>0.29518793406715982</v>
      </c>
      <c r="GJ178"/>
      <c r="GK178">
        <v>1.2292865873073797</v>
      </c>
      <c r="GL178">
        <v>0.40705572478708768</v>
      </c>
      <c r="GM178">
        <v>0.23585576644039991</v>
      </c>
      <c r="GN178">
        <v>0.34079383167279126</v>
      </c>
      <c r="GO178">
        <v>0.10493806523239137</v>
      </c>
      <c r="GP178">
        <v>0</v>
      </c>
      <c r="GQ178">
        <v>0.45369793096285549</v>
      </c>
      <c r="GR178">
        <v>0.45369793096285549</v>
      </c>
      <c r="GS178">
        <v>0</v>
      </c>
      <c r="GT178">
        <v>0.40475566998860529</v>
      </c>
      <c r="GU178"/>
      <c r="GV178"/>
      <c r="GW178"/>
      <c r="GX178"/>
      <c r="GY178"/>
      <c r="GZ178"/>
      <c r="HA178"/>
      <c r="HB178"/>
      <c r="HC178"/>
    </row>
    <row r="179" spans="1:211" s="7" customFormat="1">
      <c r="A179" s="1"/>
      <c r="B179" s="76">
        <f t="shared" ca="1" si="172"/>
        <v>0.50545114531102975</v>
      </c>
      <c r="C179">
        <v>6</v>
      </c>
      <c r="D179">
        <v>39987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2.6281249999999998</v>
      </c>
      <c r="AO179">
        <v>0.38653695791314202</v>
      </c>
      <c r="AP179">
        <v>13.510927056167626</v>
      </c>
      <c r="AQ179">
        <v>2.7221591708064676</v>
      </c>
      <c r="AR179">
        <v>0.38284143734337966</v>
      </c>
      <c r="AS179">
        <v>2.229226600215851</v>
      </c>
      <c r="AT179" t="e">
        <v>#DIV/0!</v>
      </c>
      <c r="AU179" t="e">
        <v>#DIV/0!</v>
      </c>
      <c r="AV179"/>
      <c r="AW179"/>
      <c r="AX179" s="146"/>
      <c r="AY179" s="76">
        <f t="shared" ca="1" si="173"/>
        <v>0.81582575203804986</v>
      </c>
      <c r="AZ179">
        <v>2</v>
      </c>
      <c r="BA179" s="129">
        <f t="shared" ref="BA179:BA187" si="249">IF(AZ179="", "",$C$13)</f>
        <v>39987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 s="147"/>
      <c r="CH179" s="176"/>
      <c r="CJ179" s="146"/>
      <c r="CK179" s="76">
        <f t="shared" ca="1" si="208"/>
        <v>0.88236094025442657</v>
      </c>
      <c r="CL179" s="179">
        <f t="shared" si="209"/>
        <v>2</v>
      </c>
      <c r="CM179" s="180">
        <f t="shared" si="210"/>
        <v>39987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 s="160"/>
      <c r="CW179">
        <v>1</v>
      </c>
      <c r="CX179">
        <f>355/64</f>
        <v>5.546875</v>
      </c>
      <c r="CY179" s="160"/>
      <c r="CZ179" s="177">
        <f t="shared" si="211"/>
        <v>9.6000000000000002E-2</v>
      </c>
      <c r="DB179" s="146"/>
      <c r="DC179" s="76">
        <f t="shared" ca="1" si="174"/>
        <v>0.82310625308312702</v>
      </c>
      <c r="DD179">
        <f t="shared" si="212"/>
        <v>2</v>
      </c>
      <c r="DE179" s="129">
        <f t="shared" si="248"/>
        <v>39987</v>
      </c>
      <c r="DF179" s="161">
        <f t="shared" si="213"/>
        <v>0</v>
      </c>
      <c r="DG179" s="161">
        <f t="shared" si="214"/>
        <v>0</v>
      </c>
      <c r="DH179" s="161">
        <f t="shared" si="215"/>
        <v>0</v>
      </c>
      <c r="DI179" s="161">
        <f t="shared" si="216"/>
        <v>0</v>
      </c>
      <c r="DJ179" s="161">
        <f t="shared" si="217"/>
        <v>0</v>
      </c>
      <c r="DK179" s="161">
        <f t="shared" si="218"/>
        <v>0</v>
      </c>
      <c r="DL179" s="161">
        <f t="shared" si="219"/>
        <v>0</v>
      </c>
      <c r="DM179" s="161">
        <f t="shared" si="220"/>
        <v>0</v>
      </c>
      <c r="DN179" s="161">
        <f t="shared" si="221"/>
        <v>0</v>
      </c>
      <c r="DO179" s="161">
        <f t="shared" si="222"/>
        <v>0</v>
      </c>
      <c r="DP179" s="161">
        <f t="shared" si="223"/>
        <v>0</v>
      </c>
      <c r="DQ179" s="161">
        <f t="shared" si="224"/>
        <v>0</v>
      </c>
      <c r="DR179" s="161">
        <f t="shared" si="225"/>
        <v>0</v>
      </c>
      <c r="DS179" s="161">
        <f t="shared" si="226"/>
        <v>0</v>
      </c>
      <c r="DT179" s="161">
        <f t="shared" si="227"/>
        <v>0</v>
      </c>
      <c r="DU179" s="161">
        <f t="shared" si="228"/>
        <v>0</v>
      </c>
      <c r="DV179" s="161">
        <f t="shared" si="229"/>
        <v>0</v>
      </c>
      <c r="DW179" s="161">
        <f t="shared" si="230"/>
        <v>0</v>
      </c>
      <c r="DX179" s="161">
        <f t="shared" si="231"/>
        <v>0</v>
      </c>
      <c r="DY179" s="161">
        <f t="shared" si="232"/>
        <v>0</v>
      </c>
      <c r="DZ179" s="161">
        <f t="shared" si="233"/>
        <v>0</v>
      </c>
      <c r="EA179" s="161">
        <f t="shared" si="234"/>
        <v>0</v>
      </c>
      <c r="EB179" s="161">
        <f t="shared" si="235"/>
        <v>0</v>
      </c>
      <c r="EC179" s="161">
        <f t="shared" si="236"/>
        <v>0</v>
      </c>
      <c r="ED179" s="161">
        <f t="shared" si="237"/>
        <v>0</v>
      </c>
      <c r="EE179" s="161">
        <f t="shared" si="238"/>
        <v>0</v>
      </c>
      <c r="EF179" s="161">
        <f t="shared" si="239"/>
        <v>0</v>
      </c>
      <c r="EG179" s="161">
        <f t="shared" si="240"/>
        <v>0</v>
      </c>
      <c r="EH179" s="161">
        <f t="shared" si="241"/>
        <v>0</v>
      </c>
      <c r="EI179" s="161">
        <f t="shared" si="242"/>
        <v>0</v>
      </c>
      <c r="EJ179" s="161">
        <f t="shared" si="243"/>
        <v>0</v>
      </c>
      <c r="EK179" s="147">
        <f t="shared" si="175"/>
        <v>0</v>
      </c>
      <c r="EL179" s="149"/>
      <c r="EN179" s="146"/>
      <c r="EO179" s="146"/>
      <c r="EP179" s="139">
        <f t="shared" si="176"/>
        <v>0</v>
      </c>
      <c r="EQ179" s="139">
        <f t="shared" si="177"/>
        <v>0</v>
      </c>
      <c r="ER179" s="139">
        <f t="shared" si="178"/>
        <v>0</v>
      </c>
      <c r="ES179" s="139">
        <f t="shared" si="179"/>
        <v>0</v>
      </c>
      <c r="ET179" s="139">
        <f t="shared" si="180"/>
        <v>0</v>
      </c>
      <c r="EU179" s="139">
        <f t="shared" si="181"/>
        <v>0</v>
      </c>
      <c r="EV179" s="139">
        <f t="shared" si="182"/>
        <v>0</v>
      </c>
      <c r="EW179" s="139">
        <f t="shared" si="183"/>
        <v>0</v>
      </c>
      <c r="EX179" s="139">
        <f t="shared" si="184"/>
        <v>0</v>
      </c>
      <c r="EY179" s="139">
        <f t="shared" si="185"/>
        <v>0</v>
      </c>
      <c r="EZ179" s="139">
        <f t="shared" si="186"/>
        <v>0</v>
      </c>
      <c r="FA179" s="139">
        <f t="shared" si="187"/>
        <v>0</v>
      </c>
      <c r="FB179" s="139">
        <f t="shared" si="188"/>
        <v>0</v>
      </c>
      <c r="FC179" s="139">
        <f t="shared" si="189"/>
        <v>0</v>
      </c>
      <c r="FD179" s="139">
        <f t="shared" si="190"/>
        <v>0</v>
      </c>
      <c r="FE179" s="139">
        <f t="shared" si="191"/>
        <v>0</v>
      </c>
      <c r="FF179" s="139">
        <f t="shared" si="192"/>
        <v>0</v>
      </c>
      <c r="FG179" s="139">
        <f t="shared" si="193"/>
        <v>0</v>
      </c>
      <c r="FH179" s="139">
        <f t="shared" si="194"/>
        <v>0</v>
      </c>
      <c r="FI179" s="139">
        <f t="shared" si="195"/>
        <v>0</v>
      </c>
      <c r="FJ179" s="139">
        <f t="shared" si="196"/>
        <v>0</v>
      </c>
      <c r="FK179" s="139">
        <f t="shared" si="197"/>
        <v>0</v>
      </c>
      <c r="FL179" s="139">
        <f t="shared" si="198"/>
        <v>0</v>
      </c>
      <c r="FM179" s="139">
        <f t="shared" si="199"/>
        <v>0</v>
      </c>
      <c r="FN179" s="139">
        <f t="shared" si="200"/>
        <v>0</v>
      </c>
      <c r="FO179" s="139">
        <f t="shared" si="201"/>
        <v>0</v>
      </c>
      <c r="FP179" s="139">
        <f t="shared" si="202"/>
        <v>0</v>
      </c>
      <c r="FQ179" s="139">
        <f t="shared" si="203"/>
        <v>0</v>
      </c>
      <c r="FR179" s="139">
        <f t="shared" si="204"/>
        <v>0</v>
      </c>
      <c r="FS179" s="139">
        <f t="shared" si="205"/>
        <v>0</v>
      </c>
      <c r="FT179" s="139">
        <f t="shared" si="206"/>
        <v>0</v>
      </c>
      <c r="FU179" s="148">
        <f t="shared" si="207"/>
        <v>0</v>
      </c>
      <c r="FV179" s="149"/>
      <c r="FY179" s="211">
        <v>174</v>
      </c>
      <c r="FZ179">
        <v>0.91404250869607273</v>
      </c>
      <c r="GA179">
        <v>0.64910159995464167</v>
      </c>
      <c r="GB179">
        <v>0.15840797322414965</v>
      </c>
      <c r="GC179">
        <v>0.12309692626280153</v>
      </c>
      <c r="GD179">
        <v>2.6724553773673727E-2</v>
      </c>
      <c r="GE179">
        <v>0</v>
      </c>
      <c r="GF179">
        <v>0</v>
      </c>
      <c r="GG179">
        <v>0</v>
      </c>
      <c r="GH179">
        <v>0</v>
      </c>
      <c r="GI179">
        <v>0.18966332059620858</v>
      </c>
      <c r="GJ179"/>
      <c r="GK179">
        <v>0.91701227956396725</v>
      </c>
      <c r="GL179">
        <v>0.55453674324558655</v>
      </c>
      <c r="GM179">
        <v>0.26183540241601705</v>
      </c>
      <c r="GN179">
        <v>0.3667734676484084</v>
      </c>
      <c r="GO179">
        <v>0.10493806523239137</v>
      </c>
      <c r="GP179">
        <v>0</v>
      </c>
      <c r="GQ179">
        <v>0</v>
      </c>
      <c r="GR179">
        <v>0</v>
      </c>
      <c r="GS179">
        <v>0</v>
      </c>
      <c r="GT179">
        <v>0.25675714944247519</v>
      </c>
      <c r="GU179"/>
      <c r="GV179"/>
      <c r="GW179"/>
      <c r="GX179"/>
      <c r="GY179"/>
      <c r="GZ179"/>
      <c r="HA179"/>
      <c r="HB179"/>
      <c r="HC179"/>
    </row>
    <row r="180" spans="1:211" s="7" customFormat="1">
      <c r="A180" s="1"/>
      <c r="B180" s="76">
        <f t="shared" ca="1" si="172"/>
        <v>9.5564754990919543E-2</v>
      </c>
      <c r="C180">
        <v>9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2.4906249999999996</v>
      </c>
      <c r="AO180">
        <v>0.40449044880310997</v>
      </c>
      <c r="AP180">
        <v>4.3451866980720739</v>
      </c>
      <c r="AQ180">
        <v>3.6852174480325304</v>
      </c>
      <c r="AR180">
        <v>0.4693764495924807</v>
      </c>
      <c r="AS180">
        <v>2.224150153381534</v>
      </c>
      <c r="AT180" t="e">
        <v>#DIV/0!</v>
      </c>
      <c r="AU180" t="e">
        <v>#DIV/0!</v>
      </c>
      <c r="AV180"/>
      <c r="AW180"/>
      <c r="AX180" s="146"/>
      <c r="AY180" s="76">
        <f t="shared" ca="1" si="173"/>
        <v>0.90151514415750977</v>
      </c>
      <c r="AZ180">
        <v>3</v>
      </c>
      <c r="BA180" s="129">
        <f t="shared" si="249"/>
        <v>39987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 s="147"/>
      <c r="CH180" s="176"/>
      <c r="CJ180" s="146"/>
      <c r="CK180" s="76">
        <f t="shared" ca="1" si="208"/>
        <v>4.5606911505036152E-2</v>
      </c>
      <c r="CL180" s="179">
        <f t="shared" si="209"/>
        <v>3</v>
      </c>
      <c r="CM180" s="180">
        <f t="shared" si="210"/>
        <v>39987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 s="160"/>
      <c r="CW180">
        <v>1</v>
      </c>
      <c r="CX180">
        <f>350/54</f>
        <v>6.4814814814814818</v>
      </c>
      <c r="CY180" s="160"/>
      <c r="CZ180" s="177">
        <f t="shared" si="211"/>
        <v>9.6000000000000002E-2</v>
      </c>
      <c r="DB180" s="146"/>
      <c r="DC180" s="76">
        <f t="shared" ca="1" si="174"/>
        <v>0.40870227139246396</v>
      </c>
      <c r="DD180">
        <f t="shared" si="212"/>
        <v>3</v>
      </c>
      <c r="DE180" s="129">
        <f t="shared" si="248"/>
        <v>39987</v>
      </c>
      <c r="DF180" s="161">
        <f t="shared" si="213"/>
        <v>0</v>
      </c>
      <c r="DG180" s="161">
        <f t="shared" si="214"/>
        <v>0</v>
      </c>
      <c r="DH180" s="161">
        <f t="shared" si="215"/>
        <v>0</v>
      </c>
      <c r="DI180" s="161">
        <f t="shared" si="216"/>
        <v>0</v>
      </c>
      <c r="DJ180" s="161">
        <f t="shared" si="217"/>
        <v>0</v>
      </c>
      <c r="DK180" s="161">
        <f t="shared" si="218"/>
        <v>0</v>
      </c>
      <c r="DL180" s="161">
        <f t="shared" si="219"/>
        <v>0</v>
      </c>
      <c r="DM180" s="161">
        <f t="shared" si="220"/>
        <v>0</v>
      </c>
      <c r="DN180" s="161">
        <f t="shared" si="221"/>
        <v>0</v>
      </c>
      <c r="DO180" s="161">
        <f t="shared" si="222"/>
        <v>0</v>
      </c>
      <c r="DP180" s="161">
        <f t="shared" si="223"/>
        <v>0</v>
      </c>
      <c r="DQ180" s="161">
        <f t="shared" si="224"/>
        <v>0</v>
      </c>
      <c r="DR180" s="161">
        <f t="shared" si="225"/>
        <v>0</v>
      </c>
      <c r="DS180" s="161">
        <f t="shared" si="226"/>
        <v>0</v>
      </c>
      <c r="DT180" s="161">
        <f t="shared" si="227"/>
        <v>0</v>
      </c>
      <c r="DU180" s="161">
        <f t="shared" si="228"/>
        <v>0</v>
      </c>
      <c r="DV180" s="161">
        <f t="shared" si="229"/>
        <v>0</v>
      </c>
      <c r="DW180" s="161">
        <f t="shared" si="230"/>
        <v>0</v>
      </c>
      <c r="DX180" s="161">
        <f t="shared" si="231"/>
        <v>0</v>
      </c>
      <c r="DY180" s="161">
        <f t="shared" si="232"/>
        <v>0</v>
      </c>
      <c r="DZ180" s="161">
        <f t="shared" si="233"/>
        <v>0</v>
      </c>
      <c r="EA180" s="161">
        <f t="shared" si="234"/>
        <v>0</v>
      </c>
      <c r="EB180" s="161">
        <f t="shared" si="235"/>
        <v>0</v>
      </c>
      <c r="EC180" s="161">
        <f t="shared" si="236"/>
        <v>0</v>
      </c>
      <c r="ED180" s="161">
        <f t="shared" si="237"/>
        <v>0</v>
      </c>
      <c r="EE180" s="161">
        <f t="shared" si="238"/>
        <v>0</v>
      </c>
      <c r="EF180" s="161">
        <f t="shared" si="239"/>
        <v>0</v>
      </c>
      <c r="EG180" s="161">
        <f t="shared" si="240"/>
        <v>0</v>
      </c>
      <c r="EH180" s="161">
        <f t="shared" si="241"/>
        <v>0</v>
      </c>
      <c r="EI180" s="161">
        <f t="shared" si="242"/>
        <v>0</v>
      </c>
      <c r="EJ180" s="161">
        <f t="shared" si="243"/>
        <v>0</v>
      </c>
      <c r="EK180" s="147">
        <f t="shared" si="175"/>
        <v>0</v>
      </c>
      <c r="EL180" s="149"/>
      <c r="EN180" s="146"/>
      <c r="EO180" s="146"/>
      <c r="EP180" s="139">
        <f t="shared" si="176"/>
        <v>0</v>
      </c>
      <c r="EQ180" s="139">
        <f t="shared" si="177"/>
        <v>0</v>
      </c>
      <c r="ER180" s="139">
        <f t="shared" si="178"/>
        <v>0</v>
      </c>
      <c r="ES180" s="139">
        <f t="shared" si="179"/>
        <v>0</v>
      </c>
      <c r="ET180" s="139">
        <f t="shared" si="180"/>
        <v>0</v>
      </c>
      <c r="EU180" s="139">
        <f t="shared" si="181"/>
        <v>0</v>
      </c>
      <c r="EV180" s="139">
        <f t="shared" si="182"/>
        <v>0</v>
      </c>
      <c r="EW180" s="139">
        <f t="shared" si="183"/>
        <v>0</v>
      </c>
      <c r="EX180" s="139">
        <f t="shared" si="184"/>
        <v>0</v>
      </c>
      <c r="EY180" s="139">
        <f t="shared" si="185"/>
        <v>0</v>
      </c>
      <c r="EZ180" s="139">
        <f t="shared" si="186"/>
        <v>0</v>
      </c>
      <c r="FA180" s="139">
        <f t="shared" si="187"/>
        <v>0</v>
      </c>
      <c r="FB180" s="139">
        <f t="shared" si="188"/>
        <v>0</v>
      </c>
      <c r="FC180" s="139">
        <f t="shared" si="189"/>
        <v>0</v>
      </c>
      <c r="FD180" s="139">
        <f t="shared" si="190"/>
        <v>0</v>
      </c>
      <c r="FE180" s="139">
        <f t="shared" si="191"/>
        <v>0</v>
      </c>
      <c r="FF180" s="139">
        <f t="shared" si="192"/>
        <v>0</v>
      </c>
      <c r="FG180" s="139">
        <f t="shared" si="193"/>
        <v>0</v>
      </c>
      <c r="FH180" s="139">
        <f t="shared" si="194"/>
        <v>0</v>
      </c>
      <c r="FI180" s="139">
        <f t="shared" si="195"/>
        <v>0</v>
      </c>
      <c r="FJ180" s="139">
        <f t="shared" si="196"/>
        <v>0</v>
      </c>
      <c r="FK180" s="139">
        <f t="shared" si="197"/>
        <v>0</v>
      </c>
      <c r="FL180" s="139">
        <f t="shared" si="198"/>
        <v>0</v>
      </c>
      <c r="FM180" s="139">
        <f t="shared" si="199"/>
        <v>0</v>
      </c>
      <c r="FN180" s="139">
        <f t="shared" si="200"/>
        <v>0</v>
      </c>
      <c r="FO180" s="139">
        <f t="shared" si="201"/>
        <v>0</v>
      </c>
      <c r="FP180" s="139">
        <f t="shared" si="202"/>
        <v>0</v>
      </c>
      <c r="FQ180" s="139">
        <f t="shared" si="203"/>
        <v>0</v>
      </c>
      <c r="FR180" s="139">
        <f t="shared" si="204"/>
        <v>0</v>
      </c>
      <c r="FS180" s="139">
        <f t="shared" si="205"/>
        <v>0</v>
      </c>
      <c r="FT180" s="139">
        <f t="shared" si="206"/>
        <v>0</v>
      </c>
      <c r="FU180" s="148">
        <f t="shared" si="207"/>
        <v>0</v>
      </c>
      <c r="FV180" s="149"/>
      <c r="FY180" s="211">
        <v>175</v>
      </c>
      <c r="FZ180">
        <v>0.56578980958358427</v>
      </c>
      <c r="GA180">
        <v>8.725047411847664E-2</v>
      </c>
      <c r="GB180">
        <v>7.9203986612074825E-2</v>
      </c>
      <c r="GC180">
        <v>4.4138825651920163E-2</v>
      </c>
      <c r="GD180">
        <v>0</v>
      </c>
      <c r="GE180">
        <v>0</v>
      </c>
      <c r="GF180">
        <v>0.33021050058332063</v>
      </c>
      <c r="GG180">
        <v>0.29759236750664797</v>
      </c>
      <c r="GH180">
        <v>0</v>
      </c>
      <c r="GI180">
        <v>0.16729751887457592</v>
      </c>
      <c r="GJ180"/>
      <c r="GK180">
        <v>0.5673274782371589</v>
      </c>
      <c r="GL180">
        <v>7.3740509229249462E-2</v>
      </c>
      <c r="GM180">
        <v>0.13091770120800852</v>
      </c>
      <c r="GN180">
        <v>0.13091770120800852</v>
      </c>
      <c r="GO180">
        <v>0</v>
      </c>
      <c r="GP180">
        <v>0</v>
      </c>
      <c r="GQ180">
        <v>0.45369793096285549</v>
      </c>
      <c r="GR180">
        <v>0.45369793096285549</v>
      </c>
      <c r="GS180">
        <v>0</v>
      </c>
      <c r="GT180">
        <v>0.2303886220816046</v>
      </c>
      <c r="GU180"/>
      <c r="GV180"/>
      <c r="GW180"/>
      <c r="GX180"/>
      <c r="GY180"/>
      <c r="GZ180"/>
      <c r="HA180"/>
      <c r="HB180"/>
      <c r="HC180"/>
    </row>
    <row r="181" spans="1:211" s="7" customFormat="1">
      <c r="A181" s="1"/>
      <c r="B181" s="76">
        <f t="shared" ca="1" si="172"/>
        <v>0.27856367606481425</v>
      </c>
      <c r="C181">
        <v>10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2.078125</v>
      </c>
      <c r="AO181">
        <v>0.13741648182492694</v>
      </c>
      <c r="AP181">
        <v>2.9270912115802536</v>
      </c>
      <c r="AQ181">
        <v>0.93150021527926796</v>
      </c>
      <c r="AR181">
        <v>0.17222849776274635</v>
      </c>
      <c r="AS181">
        <v>1.2542088041694055</v>
      </c>
      <c r="AT181" t="e">
        <v>#DIV/0!</v>
      </c>
      <c r="AU181" t="e">
        <v>#DIV/0!</v>
      </c>
      <c r="AV181"/>
      <c r="AW181"/>
      <c r="AX181" s="146"/>
      <c r="AY181" s="76">
        <f t="shared" ca="1" si="173"/>
        <v>0.21400459492523805</v>
      </c>
      <c r="AZ181">
        <v>4</v>
      </c>
      <c r="BA181" s="129">
        <f t="shared" si="249"/>
        <v>39987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 s="147"/>
      <c r="CH181" s="176"/>
      <c r="CJ181" s="146"/>
      <c r="CK181" s="76">
        <f t="shared" ca="1" si="208"/>
        <v>0.44951605655459193</v>
      </c>
      <c r="CL181" s="179">
        <f t="shared" si="209"/>
        <v>4</v>
      </c>
      <c r="CM181" s="180">
        <f t="shared" si="210"/>
        <v>39987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 s="160"/>
      <c r="CW181">
        <v>1</v>
      </c>
      <c r="CX181">
        <f>350/41</f>
        <v>8.536585365853659</v>
      </c>
      <c r="CY181" s="160"/>
      <c r="CZ181" s="177">
        <f t="shared" si="211"/>
        <v>9.6000000000000002E-2</v>
      </c>
      <c r="DB181" s="146"/>
      <c r="DC181" s="76">
        <f t="shared" ca="1" si="174"/>
        <v>0.42521266376342481</v>
      </c>
      <c r="DD181">
        <f t="shared" si="212"/>
        <v>4</v>
      </c>
      <c r="DE181" s="129">
        <f t="shared" si="248"/>
        <v>39987</v>
      </c>
      <c r="DF181" s="161">
        <f t="shared" si="213"/>
        <v>0</v>
      </c>
      <c r="DG181" s="161">
        <f t="shared" si="214"/>
        <v>0</v>
      </c>
      <c r="DH181" s="161">
        <f t="shared" si="215"/>
        <v>0</v>
      </c>
      <c r="DI181" s="161">
        <f t="shared" si="216"/>
        <v>0</v>
      </c>
      <c r="DJ181" s="161">
        <f t="shared" si="217"/>
        <v>0</v>
      </c>
      <c r="DK181" s="161">
        <f t="shared" si="218"/>
        <v>0</v>
      </c>
      <c r="DL181" s="161">
        <f t="shared" si="219"/>
        <v>0</v>
      </c>
      <c r="DM181" s="161">
        <f t="shared" si="220"/>
        <v>0</v>
      </c>
      <c r="DN181" s="161">
        <f t="shared" si="221"/>
        <v>0</v>
      </c>
      <c r="DO181" s="161">
        <f t="shared" si="222"/>
        <v>0</v>
      </c>
      <c r="DP181" s="161">
        <f t="shared" si="223"/>
        <v>0</v>
      </c>
      <c r="DQ181" s="161">
        <f t="shared" si="224"/>
        <v>0</v>
      </c>
      <c r="DR181" s="161">
        <f t="shared" si="225"/>
        <v>0</v>
      </c>
      <c r="DS181" s="161">
        <f t="shared" si="226"/>
        <v>0</v>
      </c>
      <c r="DT181" s="161">
        <f t="shared" si="227"/>
        <v>0</v>
      </c>
      <c r="DU181" s="161">
        <f t="shared" si="228"/>
        <v>0</v>
      </c>
      <c r="DV181" s="161">
        <f t="shared" si="229"/>
        <v>0</v>
      </c>
      <c r="DW181" s="161">
        <f t="shared" si="230"/>
        <v>0</v>
      </c>
      <c r="DX181" s="161">
        <f t="shared" si="231"/>
        <v>0</v>
      </c>
      <c r="DY181" s="161">
        <f t="shared" si="232"/>
        <v>0</v>
      </c>
      <c r="DZ181" s="161">
        <f t="shared" si="233"/>
        <v>0</v>
      </c>
      <c r="EA181" s="161">
        <f t="shared" si="234"/>
        <v>0</v>
      </c>
      <c r="EB181" s="161">
        <f t="shared" si="235"/>
        <v>0</v>
      </c>
      <c r="EC181" s="161">
        <f t="shared" si="236"/>
        <v>0</v>
      </c>
      <c r="ED181" s="161">
        <f t="shared" si="237"/>
        <v>0</v>
      </c>
      <c r="EE181" s="161">
        <f t="shared" si="238"/>
        <v>0</v>
      </c>
      <c r="EF181" s="161">
        <f t="shared" si="239"/>
        <v>0</v>
      </c>
      <c r="EG181" s="161">
        <f t="shared" si="240"/>
        <v>0</v>
      </c>
      <c r="EH181" s="161">
        <f t="shared" si="241"/>
        <v>0</v>
      </c>
      <c r="EI181" s="161">
        <f t="shared" si="242"/>
        <v>0</v>
      </c>
      <c r="EJ181" s="161">
        <f t="shared" si="243"/>
        <v>0</v>
      </c>
      <c r="EK181" s="147">
        <f t="shared" si="175"/>
        <v>0</v>
      </c>
      <c r="EL181" s="149"/>
      <c r="EN181" s="146"/>
      <c r="EO181" s="146"/>
      <c r="EP181" s="139">
        <f t="shared" si="176"/>
        <v>0</v>
      </c>
      <c r="EQ181" s="139">
        <f t="shared" si="177"/>
        <v>0</v>
      </c>
      <c r="ER181" s="139">
        <f t="shared" si="178"/>
        <v>0</v>
      </c>
      <c r="ES181" s="139">
        <f t="shared" si="179"/>
        <v>0</v>
      </c>
      <c r="ET181" s="139">
        <f t="shared" si="180"/>
        <v>0</v>
      </c>
      <c r="EU181" s="139">
        <f t="shared" si="181"/>
        <v>0</v>
      </c>
      <c r="EV181" s="139">
        <f t="shared" si="182"/>
        <v>0</v>
      </c>
      <c r="EW181" s="139">
        <f t="shared" si="183"/>
        <v>0</v>
      </c>
      <c r="EX181" s="139">
        <f t="shared" si="184"/>
        <v>0</v>
      </c>
      <c r="EY181" s="139">
        <f t="shared" si="185"/>
        <v>0</v>
      </c>
      <c r="EZ181" s="139">
        <f t="shared" si="186"/>
        <v>0</v>
      </c>
      <c r="FA181" s="139">
        <f t="shared" si="187"/>
        <v>0</v>
      </c>
      <c r="FB181" s="139">
        <f t="shared" si="188"/>
        <v>0</v>
      </c>
      <c r="FC181" s="139">
        <f t="shared" si="189"/>
        <v>0</v>
      </c>
      <c r="FD181" s="139">
        <f t="shared" si="190"/>
        <v>0</v>
      </c>
      <c r="FE181" s="139">
        <f t="shared" si="191"/>
        <v>0</v>
      </c>
      <c r="FF181" s="139">
        <f t="shared" si="192"/>
        <v>0</v>
      </c>
      <c r="FG181" s="139">
        <f t="shared" si="193"/>
        <v>0</v>
      </c>
      <c r="FH181" s="139">
        <f t="shared" si="194"/>
        <v>0</v>
      </c>
      <c r="FI181" s="139">
        <f t="shared" si="195"/>
        <v>0</v>
      </c>
      <c r="FJ181" s="139">
        <f t="shared" si="196"/>
        <v>0</v>
      </c>
      <c r="FK181" s="139">
        <f t="shared" si="197"/>
        <v>0</v>
      </c>
      <c r="FL181" s="139">
        <f t="shared" si="198"/>
        <v>0</v>
      </c>
      <c r="FM181" s="139">
        <f t="shared" si="199"/>
        <v>0</v>
      </c>
      <c r="FN181" s="139">
        <f t="shared" si="200"/>
        <v>0</v>
      </c>
      <c r="FO181" s="139">
        <f t="shared" si="201"/>
        <v>0</v>
      </c>
      <c r="FP181" s="139">
        <f t="shared" si="202"/>
        <v>0</v>
      </c>
      <c r="FQ181" s="139">
        <f t="shared" si="203"/>
        <v>0</v>
      </c>
      <c r="FR181" s="139">
        <f t="shared" si="204"/>
        <v>0</v>
      </c>
      <c r="FS181" s="139">
        <f t="shared" si="205"/>
        <v>0</v>
      </c>
      <c r="FT181" s="139">
        <f t="shared" si="206"/>
        <v>0</v>
      </c>
      <c r="FU181" s="148">
        <f t="shared" si="207"/>
        <v>0</v>
      </c>
      <c r="FV181" s="149"/>
      <c r="FY181" s="211">
        <v>176</v>
      </c>
      <c r="FZ181">
        <v>0.46290776496033748</v>
      </c>
      <c r="GA181">
        <v>0</v>
      </c>
      <c r="GB181">
        <v>0.18847776822839127</v>
      </c>
      <c r="GC181">
        <v>0.10445782487688361</v>
      </c>
      <c r="GD181">
        <v>0</v>
      </c>
      <c r="GE181">
        <v>0</v>
      </c>
      <c r="GF181">
        <v>0.33021050058332063</v>
      </c>
      <c r="GG181">
        <v>0.29759236750664797</v>
      </c>
      <c r="GH181">
        <v>0</v>
      </c>
      <c r="GI181">
        <v>0.17908990272955674</v>
      </c>
      <c r="GJ181"/>
      <c r="GK181">
        <v>0.46193722218489552</v>
      </c>
      <c r="GL181">
        <v>0</v>
      </c>
      <c r="GM181">
        <v>0.31481419569717417</v>
      </c>
      <c r="GN181">
        <v>0.31481419569717417</v>
      </c>
      <c r="GO181">
        <v>0</v>
      </c>
      <c r="GP181">
        <v>0</v>
      </c>
      <c r="GQ181">
        <v>0.45369793096285549</v>
      </c>
      <c r="GR181">
        <v>0.45369793096285549</v>
      </c>
      <c r="GS181">
        <v>0</v>
      </c>
      <c r="GT181">
        <v>0.246089869768985</v>
      </c>
      <c r="GU181"/>
      <c r="GV181"/>
      <c r="GW181"/>
      <c r="GX181"/>
      <c r="GY181"/>
      <c r="GZ181"/>
      <c r="HA181"/>
      <c r="HB181"/>
      <c r="HC181"/>
    </row>
    <row r="182" spans="1:211" s="7" customFormat="1">
      <c r="A182" s="1"/>
      <c r="B182" s="76">
        <f t="shared" ca="1" si="172"/>
        <v>0.39485700199528129</v>
      </c>
      <c r="C182">
        <v>7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1.8229166666666665</v>
      </c>
      <c r="AO182">
        <v>0.29307735081080966</v>
      </c>
      <c r="AP182">
        <v>10.798442627412921</v>
      </c>
      <c r="AQ182">
        <v>1.8941899622489793</v>
      </c>
      <c r="AR182">
        <v>0.30444757830046676</v>
      </c>
      <c r="AS182">
        <v>1.6430215802174621</v>
      </c>
      <c r="AT182" t="e">
        <v>#DIV/0!</v>
      </c>
      <c r="AU182" t="e">
        <v>#DIV/0!</v>
      </c>
      <c r="AV182"/>
      <c r="AW182"/>
      <c r="AX182" s="146"/>
      <c r="AY182" s="76">
        <f t="shared" ca="1" si="173"/>
        <v>0.92277985759191372</v>
      </c>
      <c r="AZ182">
        <v>5</v>
      </c>
      <c r="BA182" s="129">
        <f t="shared" si="249"/>
        <v>39987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 s="147"/>
      <c r="CH182" s="176"/>
      <c r="CJ182" s="146"/>
      <c r="CK182" s="76">
        <f t="shared" ca="1" si="208"/>
        <v>0.95504168105398057</v>
      </c>
      <c r="CL182" s="179">
        <f t="shared" si="209"/>
        <v>5</v>
      </c>
      <c r="CM182" s="180">
        <f t="shared" si="210"/>
        <v>39987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 s="160"/>
      <c r="CW182">
        <v>1</v>
      </c>
      <c r="CX182">
        <f>350/60</f>
        <v>5.833333333333333</v>
      </c>
      <c r="CY182" s="160"/>
      <c r="CZ182" s="177">
        <f t="shared" si="211"/>
        <v>9.6000000000000002E-2</v>
      </c>
      <c r="DB182" s="146"/>
      <c r="DC182" s="76">
        <f t="shared" ca="1" si="174"/>
        <v>0.62168667778296927</v>
      </c>
      <c r="DD182">
        <f t="shared" si="212"/>
        <v>5</v>
      </c>
      <c r="DE182" s="129">
        <f t="shared" si="248"/>
        <v>39987</v>
      </c>
      <c r="DF182" s="161">
        <f t="shared" si="213"/>
        <v>0</v>
      </c>
      <c r="DG182" s="161">
        <f t="shared" si="214"/>
        <v>0</v>
      </c>
      <c r="DH182" s="161">
        <f t="shared" si="215"/>
        <v>0</v>
      </c>
      <c r="DI182" s="161">
        <f t="shared" si="216"/>
        <v>0</v>
      </c>
      <c r="DJ182" s="161">
        <f t="shared" si="217"/>
        <v>0</v>
      </c>
      <c r="DK182" s="161">
        <f t="shared" si="218"/>
        <v>0</v>
      </c>
      <c r="DL182" s="161">
        <f t="shared" si="219"/>
        <v>0</v>
      </c>
      <c r="DM182" s="161">
        <f t="shared" si="220"/>
        <v>0</v>
      </c>
      <c r="DN182" s="161">
        <f t="shared" si="221"/>
        <v>0</v>
      </c>
      <c r="DO182" s="161">
        <f t="shared" si="222"/>
        <v>0</v>
      </c>
      <c r="DP182" s="161">
        <f t="shared" si="223"/>
        <v>0</v>
      </c>
      <c r="DQ182" s="161">
        <f t="shared" si="224"/>
        <v>0</v>
      </c>
      <c r="DR182" s="161">
        <f t="shared" si="225"/>
        <v>0</v>
      </c>
      <c r="DS182" s="161">
        <f t="shared" si="226"/>
        <v>0</v>
      </c>
      <c r="DT182" s="161">
        <f t="shared" si="227"/>
        <v>0</v>
      </c>
      <c r="DU182" s="161">
        <f t="shared" si="228"/>
        <v>0</v>
      </c>
      <c r="DV182" s="161">
        <f t="shared" si="229"/>
        <v>0</v>
      </c>
      <c r="DW182" s="161">
        <f t="shared" si="230"/>
        <v>0</v>
      </c>
      <c r="DX182" s="161">
        <f t="shared" si="231"/>
        <v>0</v>
      </c>
      <c r="DY182" s="161">
        <f t="shared" si="232"/>
        <v>0</v>
      </c>
      <c r="DZ182" s="161">
        <f t="shared" si="233"/>
        <v>0</v>
      </c>
      <c r="EA182" s="161">
        <f t="shared" si="234"/>
        <v>0</v>
      </c>
      <c r="EB182" s="161">
        <f t="shared" si="235"/>
        <v>0</v>
      </c>
      <c r="EC182" s="161">
        <f t="shared" si="236"/>
        <v>0</v>
      </c>
      <c r="ED182" s="161">
        <f t="shared" si="237"/>
        <v>0</v>
      </c>
      <c r="EE182" s="161">
        <f t="shared" si="238"/>
        <v>0</v>
      </c>
      <c r="EF182" s="161">
        <f t="shared" si="239"/>
        <v>0</v>
      </c>
      <c r="EG182" s="161">
        <f t="shared" si="240"/>
        <v>0</v>
      </c>
      <c r="EH182" s="161">
        <f t="shared" si="241"/>
        <v>0</v>
      </c>
      <c r="EI182" s="161">
        <f t="shared" si="242"/>
        <v>0</v>
      </c>
      <c r="EJ182" s="161">
        <f t="shared" si="243"/>
        <v>0</v>
      </c>
      <c r="EK182" s="147">
        <f t="shared" si="175"/>
        <v>0</v>
      </c>
      <c r="EL182" s="149"/>
      <c r="EN182" s="146"/>
      <c r="EO182" s="146"/>
      <c r="EP182" s="139">
        <f t="shared" si="176"/>
        <v>0</v>
      </c>
      <c r="EQ182" s="139">
        <f t="shared" si="177"/>
        <v>0</v>
      </c>
      <c r="ER182" s="139">
        <f t="shared" si="178"/>
        <v>0</v>
      </c>
      <c r="ES182" s="139">
        <f t="shared" si="179"/>
        <v>0</v>
      </c>
      <c r="ET182" s="139">
        <f t="shared" si="180"/>
        <v>0</v>
      </c>
      <c r="EU182" s="139">
        <f t="shared" si="181"/>
        <v>0</v>
      </c>
      <c r="EV182" s="139">
        <f t="shared" si="182"/>
        <v>0</v>
      </c>
      <c r="EW182" s="139">
        <f t="shared" si="183"/>
        <v>0</v>
      </c>
      <c r="EX182" s="139">
        <f t="shared" si="184"/>
        <v>0</v>
      </c>
      <c r="EY182" s="139">
        <f t="shared" si="185"/>
        <v>0</v>
      </c>
      <c r="EZ182" s="139">
        <f t="shared" si="186"/>
        <v>0</v>
      </c>
      <c r="FA182" s="139">
        <f t="shared" si="187"/>
        <v>0</v>
      </c>
      <c r="FB182" s="139">
        <f t="shared" si="188"/>
        <v>0</v>
      </c>
      <c r="FC182" s="139">
        <f t="shared" si="189"/>
        <v>0</v>
      </c>
      <c r="FD182" s="139">
        <f t="shared" si="190"/>
        <v>0</v>
      </c>
      <c r="FE182" s="139">
        <f t="shared" si="191"/>
        <v>0</v>
      </c>
      <c r="FF182" s="139">
        <f t="shared" si="192"/>
        <v>0</v>
      </c>
      <c r="FG182" s="139">
        <f t="shared" si="193"/>
        <v>0</v>
      </c>
      <c r="FH182" s="139">
        <f t="shared" si="194"/>
        <v>0</v>
      </c>
      <c r="FI182" s="139">
        <f t="shared" si="195"/>
        <v>0</v>
      </c>
      <c r="FJ182" s="139">
        <f t="shared" si="196"/>
        <v>0</v>
      </c>
      <c r="FK182" s="139">
        <f t="shared" si="197"/>
        <v>0</v>
      </c>
      <c r="FL182" s="139">
        <f t="shared" si="198"/>
        <v>0</v>
      </c>
      <c r="FM182" s="139">
        <f t="shared" si="199"/>
        <v>0</v>
      </c>
      <c r="FN182" s="139">
        <f t="shared" si="200"/>
        <v>0</v>
      </c>
      <c r="FO182" s="139">
        <f t="shared" si="201"/>
        <v>0</v>
      </c>
      <c r="FP182" s="139">
        <f t="shared" si="202"/>
        <v>0</v>
      </c>
      <c r="FQ182" s="139">
        <f t="shared" si="203"/>
        <v>0</v>
      </c>
      <c r="FR182" s="139">
        <f t="shared" si="204"/>
        <v>0</v>
      </c>
      <c r="FS182" s="139">
        <f t="shared" si="205"/>
        <v>0</v>
      </c>
      <c r="FT182" s="139">
        <f t="shared" si="206"/>
        <v>0</v>
      </c>
      <c r="FU182" s="148">
        <f t="shared" si="207"/>
        <v>0</v>
      </c>
      <c r="FV182" s="149"/>
      <c r="FY182" s="211">
        <v>177</v>
      </c>
      <c r="FZ182">
        <v>0.90710774565909669</v>
      </c>
      <c r="GA182">
        <v>0.17450094823695328</v>
      </c>
      <c r="GB182">
        <v>0.22123389596694673</v>
      </c>
      <c r="GC182">
        <v>0.1927354761807239</v>
      </c>
      <c r="GD182">
        <v>5.3449107547347455E-2</v>
      </c>
      <c r="GE182">
        <v>0</v>
      </c>
      <c r="GF182">
        <v>0.33021050058332063</v>
      </c>
      <c r="GG182">
        <v>0.29759236750664797</v>
      </c>
      <c r="GH182">
        <v>0</v>
      </c>
      <c r="GI182">
        <v>0.28367022139566456</v>
      </c>
      <c r="GJ182"/>
      <c r="GK182">
        <v>0.90851136817306588</v>
      </c>
      <c r="GL182">
        <v>0.14748101845849892</v>
      </c>
      <c r="GM182">
        <v>0.3667734676484084</v>
      </c>
      <c r="GN182">
        <v>0.57664959811319116</v>
      </c>
      <c r="GO182">
        <v>0.20987613046478273</v>
      </c>
      <c r="GP182">
        <v>0</v>
      </c>
      <c r="GQ182">
        <v>0.45369793096285549</v>
      </c>
      <c r="GR182">
        <v>0.45369793096285549</v>
      </c>
      <c r="GS182">
        <v>0</v>
      </c>
      <c r="GT182">
        <v>0.3877717794498225</v>
      </c>
      <c r="GU182"/>
      <c r="GV182"/>
      <c r="GW182"/>
      <c r="GX182"/>
      <c r="GY182"/>
      <c r="GZ182"/>
      <c r="HA182"/>
      <c r="HB182"/>
      <c r="HC182"/>
    </row>
    <row r="183" spans="1:211" s="7" customFormat="1">
      <c r="A183" s="1"/>
      <c r="B183" s="76">
        <f t="shared" ca="1" si="172"/>
        <v>2.9705361568585165E-2</v>
      </c>
      <c r="C183">
        <v>4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1.7447916666666665</v>
      </c>
      <c r="AO183">
        <v>0.16124922720733631</v>
      </c>
      <c r="AP183">
        <v>1.7517420833558766</v>
      </c>
      <c r="AQ183">
        <v>1.1368644539922836</v>
      </c>
      <c r="AR183">
        <v>0.19965965519522041</v>
      </c>
      <c r="AS183">
        <v>1.2896478643848825</v>
      </c>
      <c r="AT183" t="e">
        <v>#DIV/0!</v>
      </c>
      <c r="AU183" t="e">
        <v>#DIV/0!</v>
      </c>
      <c r="AV183"/>
      <c r="AW183"/>
      <c r="AX183" s="146"/>
      <c r="AY183" s="76">
        <f t="shared" ca="1" si="173"/>
        <v>0.26826334438591037</v>
      </c>
      <c r="AZ183">
        <v>6</v>
      </c>
      <c r="BA183" s="129">
        <f t="shared" si="249"/>
        <v>39987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 s="147"/>
      <c r="CH183" s="176"/>
      <c r="CJ183" s="146"/>
      <c r="CK183" s="76">
        <f t="shared" ca="1" si="208"/>
        <v>0.81242603478313247</v>
      </c>
      <c r="CL183" s="179">
        <f t="shared" si="209"/>
        <v>6</v>
      </c>
      <c r="CM183" s="180">
        <f t="shared" si="210"/>
        <v>39987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 s="160"/>
      <c r="CW183">
        <v>1</v>
      </c>
      <c r="CX183">
        <f>350/50</f>
        <v>7</v>
      </c>
      <c r="CY183" s="160"/>
      <c r="CZ183" s="177">
        <f t="shared" si="211"/>
        <v>9.6000000000000002E-2</v>
      </c>
      <c r="DB183" s="146"/>
      <c r="DC183" s="76">
        <f t="shared" ca="1" si="174"/>
        <v>0.97766914730270571</v>
      </c>
      <c r="DD183">
        <f t="shared" si="212"/>
        <v>6</v>
      </c>
      <c r="DE183" s="129">
        <f t="shared" si="248"/>
        <v>39987</v>
      </c>
      <c r="DF183" s="161">
        <f t="shared" si="213"/>
        <v>0</v>
      </c>
      <c r="DG183" s="161">
        <f t="shared" si="214"/>
        <v>0</v>
      </c>
      <c r="DH183" s="161">
        <f t="shared" si="215"/>
        <v>0</v>
      </c>
      <c r="DI183" s="161">
        <f t="shared" si="216"/>
        <v>0</v>
      </c>
      <c r="DJ183" s="161">
        <f t="shared" si="217"/>
        <v>0</v>
      </c>
      <c r="DK183" s="161">
        <f t="shared" si="218"/>
        <v>0</v>
      </c>
      <c r="DL183" s="161">
        <f t="shared" si="219"/>
        <v>0</v>
      </c>
      <c r="DM183" s="161">
        <f t="shared" si="220"/>
        <v>0</v>
      </c>
      <c r="DN183" s="161">
        <f t="shared" si="221"/>
        <v>0</v>
      </c>
      <c r="DO183" s="161">
        <f t="shared" si="222"/>
        <v>0</v>
      </c>
      <c r="DP183" s="161">
        <f t="shared" si="223"/>
        <v>0</v>
      </c>
      <c r="DQ183" s="161">
        <f t="shared" si="224"/>
        <v>0</v>
      </c>
      <c r="DR183" s="161">
        <f t="shared" si="225"/>
        <v>0</v>
      </c>
      <c r="DS183" s="161">
        <f t="shared" si="226"/>
        <v>0</v>
      </c>
      <c r="DT183" s="161">
        <f t="shared" si="227"/>
        <v>0</v>
      </c>
      <c r="DU183" s="161">
        <f t="shared" si="228"/>
        <v>0</v>
      </c>
      <c r="DV183" s="161">
        <f t="shared" si="229"/>
        <v>0</v>
      </c>
      <c r="DW183" s="161">
        <f t="shared" si="230"/>
        <v>0</v>
      </c>
      <c r="DX183" s="161">
        <f t="shared" si="231"/>
        <v>0</v>
      </c>
      <c r="DY183" s="161">
        <f t="shared" si="232"/>
        <v>0</v>
      </c>
      <c r="DZ183" s="161">
        <f t="shared" si="233"/>
        <v>0</v>
      </c>
      <c r="EA183" s="161">
        <f t="shared" si="234"/>
        <v>0</v>
      </c>
      <c r="EB183" s="161">
        <f t="shared" si="235"/>
        <v>0</v>
      </c>
      <c r="EC183" s="161">
        <f t="shared" si="236"/>
        <v>0</v>
      </c>
      <c r="ED183" s="161">
        <f t="shared" si="237"/>
        <v>0</v>
      </c>
      <c r="EE183" s="161">
        <f t="shared" si="238"/>
        <v>0</v>
      </c>
      <c r="EF183" s="161">
        <f t="shared" si="239"/>
        <v>0</v>
      </c>
      <c r="EG183" s="161">
        <f t="shared" si="240"/>
        <v>0</v>
      </c>
      <c r="EH183" s="161">
        <f t="shared" si="241"/>
        <v>0</v>
      </c>
      <c r="EI183" s="161">
        <f t="shared" si="242"/>
        <v>0</v>
      </c>
      <c r="EJ183" s="161">
        <f t="shared" si="243"/>
        <v>0</v>
      </c>
      <c r="EK183" s="147">
        <f t="shared" si="175"/>
        <v>0</v>
      </c>
      <c r="EL183" s="149"/>
      <c r="EN183" s="146"/>
      <c r="EO183" s="146"/>
      <c r="EP183" s="139">
        <f t="shared" si="176"/>
        <v>0</v>
      </c>
      <c r="EQ183" s="139">
        <f t="shared" si="177"/>
        <v>0</v>
      </c>
      <c r="ER183" s="139">
        <f t="shared" si="178"/>
        <v>0</v>
      </c>
      <c r="ES183" s="139">
        <f t="shared" si="179"/>
        <v>0</v>
      </c>
      <c r="ET183" s="139">
        <f t="shared" si="180"/>
        <v>0</v>
      </c>
      <c r="EU183" s="139">
        <f t="shared" si="181"/>
        <v>0</v>
      </c>
      <c r="EV183" s="139">
        <f t="shared" si="182"/>
        <v>0</v>
      </c>
      <c r="EW183" s="139">
        <f t="shared" si="183"/>
        <v>0</v>
      </c>
      <c r="EX183" s="139">
        <f t="shared" si="184"/>
        <v>0</v>
      </c>
      <c r="EY183" s="139">
        <f t="shared" si="185"/>
        <v>0</v>
      </c>
      <c r="EZ183" s="139">
        <f t="shared" si="186"/>
        <v>0</v>
      </c>
      <c r="FA183" s="139">
        <f t="shared" si="187"/>
        <v>0</v>
      </c>
      <c r="FB183" s="139">
        <f t="shared" si="188"/>
        <v>0</v>
      </c>
      <c r="FC183" s="139">
        <f t="shared" si="189"/>
        <v>0</v>
      </c>
      <c r="FD183" s="139">
        <f t="shared" si="190"/>
        <v>0</v>
      </c>
      <c r="FE183" s="139">
        <f t="shared" si="191"/>
        <v>0</v>
      </c>
      <c r="FF183" s="139">
        <f t="shared" si="192"/>
        <v>0</v>
      </c>
      <c r="FG183" s="139">
        <f t="shared" si="193"/>
        <v>0</v>
      </c>
      <c r="FH183" s="139">
        <f t="shared" si="194"/>
        <v>0</v>
      </c>
      <c r="FI183" s="139">
        <f t="shared" si="195"/>
        <v>0</v>
      </c>
      <c r="FJ183" s="139">
        <f t="shared" si="196"/>
        <v>0</v>
      </c>
      <c r="FK183" s="139">
        <f t="shared" si="197"/>
        <v>0</v>
      </c>
      <c r="FL183" s="139">
        <f t="shared" si="198"/>
        <v>0</v>
      </c>
      <c r="FM183" s="139">
        <f t="shared" si="199"/>
        <v>0</v>
      </c>
      <c r="FN183" s="139">
        <f t="shared" si="200"/>
        <v>0</v>
      </c>
      <c r="FO183" s="139">
        <f t="shared" si="201"/>
        <v>0</v>
      </c>
      <c r="FP183" s="139">
        <f t="shared" si="202"/>
        <v>0</v>
      </c>
      <c r="FQ183" s="139">
        <f t="shared" si="203"/>
        <v>0</v>
      </c>
      <c r="FR183" s="139">
        <f t="shared" si="204"/>
        <v>0</v>
      </c>
      <c r="FS183" s="139">
        <f t="shared" si="205"/>
        <v>0</v>
      </c>
      <c r="FT183" s="139">
        <f t="shared" si="206"/>
        <v>0</v>
      </c>
      <c r="FU183" s="148">
        <f t="shared" si="207"/>
        <v>0</v>
      </c>
      <c r="FV183" s="149"/>
      <c r="FY183" s="211">
        <v>178</v>
      </c>
      <c r="FZ183">
        <v>0.74488841847529952</v>
      </c>
      <c r="GA183">
        <v>0.17450094823695328</v>
      </c>
      <c r="GB183">
        <v>0.15840797322414965</v>
      </c>
      <c r="GC183">
        <v>8.8277651303840327E-2</v>
      </c>
      <c r="GD183">
        <v>0</v>
      </c>
      <c r="GE183">
        <v>0</v>
      </c>
      <c r="GF183">
        <v>0</v>
      </c>
      <c r="GG183">
        <v>0</v>
      </c>
      <c r="GH183">
        <v>0</v>
      </c>
      <c r="GI183">
        <v>0.14917071322991332</v>
      </c>
      <c r="GJ183"/>
      <c r="GK183">
        <v>0.74657402780576465</v>
      </c>
      <c r="GL183">
        <v>0.14748101845849892</v>
      </c>
      <c r="GM183">
        <v>0.26183540241601705</v>
      </c>
      <c r="GN183">
        <v>0.26183540241601705</v>
      </c>
      <c r="GO183">
        <v>0</v>
      </c>
      <c r="GP183">
        <v>0</v>
      </c>
      <c r="GQ183">
        <v>0</v>
      </c>
      <c r="GR183">
        <v>0</v>
      </c>
      <c r="GS183">
        <v>0</v>
      </c>
      <c r="GT183">
        <v>0.20168188604435636</v>
      </c>
      <c r="GU183"/>
      <c r="GV183"/>
      <c r="GW183"/>
      <c r="GX183"/>
      <c r="GY183"/>
      <c r="GZ183"/>
      <c r="HA183"/>
      <c r="HB183"/>
      <c r="HC183"/>
    </row>
    <row r="184" spans="1:211" s="7" customFormat="1">
      <c r="A184" s="1"/>
      <c r="B184" s="76">
        <f t="shared" ref="B184:B207" ca="1" si="250">IF(C184="", "", RAND())</f>
        <v>0.37898444492182026</v>
      </c>
      <c r="C184">
        <v>8</v>
      </c>
      <c r="D184">
        <v>39987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1.925</v>
      </c>
      <c r="AO184">
        <v>0.22430977317368436</v>
      </c>
      <c r="AP184">
        <v>4.3777039595059577</v>
      </c>
      <c r="AQ184">
        <v>1.8484585037474024</v>
      </c>
      <c r="AR184">
        <v>0.26582805341363852</v>
      </c>
      <c r="AS184">
        <v>1.7166430847982062</v>
      </c>
      <c r="AT184" t="e">
        <v>#DIV/0!</v>
      </c>
      <c r="AU184" t="e">
        <v>#DIV/0!</v>
      </c>
      <c r="AV184"/>
      <c r="AW184"/>
      <c r="AX184" s="146"/>
      <c r="AY184" s="76">
        <f t="shared" ca="1" si="173"/>
        <v>0.10114174836204559</v>
      </c>
      <c r="AZ184">
        <v>7</v>
      </c>
      <c r="BA184" s="129">
        <f t="shared" si="249"/>
        <v>39987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 s="147"/>
      <c r="CH184" s="176"/>
      <c r="CJ184" s="146"/>
      <c r="CK184" s="76">
        <f t="shared" ca="1" si="208"/>
        <v>0.36755596379729405</v>
      </c>
      <c r="CL184" s="179">
        <f t="shared" si="209"/>
        <v>7</v>
      </c>
      <c r="CM184" s="180">
        <f t="shared" si="210"/>
        <v>39987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 s="160"/>
      <c r="CW184">
        <v>1</v>
      </c>
      <c r="CX184">
        <f>350/51</f>
        <v>6.8627450980392153</v>
      </c>
      <c r="CY184" s="165"/>
      <c r="CZ184" s="177">
        <f t="shared" si="211"/>
        <v>9.6000000000000002E-2</v>
      </c>
      <c r="DB184" s="146"/>
      <c r="DC184" s="76">
        <f t="shared" ca="1" si="174"/>
        <v>0.83079159933521041</v>
      </c>
      <c r="DD184">
        <f t="shared" si="212"/>
        <v>7</v>
      </c>
      <c r="DE184" s="129">
        <f t="shared" si="248"/>
        <v>39987</v>
      </c>
      <c r="DF184" s="161">
        <f t="shared" si="213"/>
        <v>0</v>
      </c>
      <c r="DG184" s="161">
        <f t="shared" si="214"/>
        <v>0</v>
      </c>
      <c r="DH184" s="161">
        <f t="shared" si="215"/>
        <v>0</v>
      </c>
      <c r="DI184" s="161">
        <f t="shared" si="216"/>
        <v>0</v>
      </c>
      <c r="DJ184" s="161">
        <f t="shared" si="217"/>
        <v>0</v>
      </c>
      <c r="DK184" s="161">
        <f t="shared" si="218"/>
        <v>0</v>
      </c>
      <c r="DL184" s="161">
        <f t="shared" si="219"/>
        <v>0</v>
      </c>
      <c r="DM184" s="161">
        <f t="shared" si="220"/>
        <v>0</v>
      </c>
      <c r="DN184" s="161">
        <f t="shared" si="221"/>
        <v>0</v>
      </c>
      <c r="DO184" s="161">
        <f t="shared" si="222"/>
        <v>0</v>
      </c>
      <c r="DP184" s="161">
        <f t="shared" si="223"/>
        <v>0</v>
      </c>
      <c r="DQ184" s="161">
        <f t="shared" si="224"/>
        <v>0</v>
      </c>
      <c r="DR184" s="161">
        <f t="shared" si="225"/>
        <v>0</v>
      </c>
      <c r="DS184" s="161">
        <f t="shared" si="226"/>
        <v>0</v>
      </c>
      <c r="DT184" s="161">
        <f t="shared" si="227"/>
        <v>0</v>
      </c>
      <c r="DU184" s="161">
        <f t="shared" si="228"/>
        <v>0</v>
      </c>
      <c r="DV184" s="161">
        <f t="shared" si="229"/>
        <v>0</v>
      </c>
      <c r="DW184" s="161">
        <f t="shared" si="230"/>
        <v>0</v>
      </c>
      <c r="DX184" s="161">
        <f t="shared" si="231"/>
        <v>0</v>
      </c>
      <c r="DY184" s="161">
        <f t="shared" si="232"/>
        <v>0</v>
      </c>
      <c r="DZ184" s="161">
        <f t="shared" si="233"/>
        <v>0</v>
      </c>
      <c r="EA184" s="161">
        <f t="shared" si="234"/>
        <v>0</v>
      </c>
      <c r="EB184" s="161">
        <f t="shared" si="235"/>
        <v>0</v>
      </c>
      <c r="EC184" s="161">
        <f t="shared" si="236"/>
        <v>0</v>
      </c>
      <c r="ED184" s="161">
        <f t="shared" si="237"/>
        <v>0</v>
      </c>
      <c r="EE184" s="161">
        <f t="shared" si="238"/>
        <v>0</v>
      </c>
      <c r="EF184" s="161">
        <f t="shared" si="239"/>
        <v>0</v>
      </c>
      <c r="EG184" s="161">
        <f t="shared" si="240"/>
        <v>0</v>
      </c>
      <c r="EH184" s="161">
        <f t="shared" si="241"/>
        <v>0</v>
      </c>
      <c r="EI184" s="161">
        <f t="shared" si="242"/>
        <v>0</v>
      </c>
      <c r="EJ184" s="161">
        <f t="shared" si="243"/>
        <v>0</v>
      </c>
      <c r="EK184" s="147">
        <f t="shared" ref="EK184:EK207" si="251">IF(DF184="", "", SUM(DF184:EJ184))</f>
        <v>0</v>
      </c>
      <c r="EL184" s="149"/>
      <c r="EN184" s="146"/>
      <c r="EO184" s="146"/>
      <c r="EP184" s="139">
        <f t="shared" ref="EP184:EP207" si="252">IF(DF184="", "", DF184*G$36)</f>
        <v>0</v>
      </c>
      <c r="EQ184" s="139">
        <f t="shared" ref="EQ184:EQ207" si="253">IF(DG184="", "", DG184*H$36)</f>
        <v>0</v>
      </c>
      <c r="ER184" s="139">
        <f t="shared" ref="ER184:ER207" si="254">IF(DH184="", "", DH184*I$36)</f>
        <v>0</v>
      </c>
      <c r="ES184" s="139">
        <f t="shared" ref="ES184:ES207" si="255">IF(DI184="", "", DI184*J$36)</f>
        <v>0</v>
      </c>
      <c r="ET184" s="139">
        <f t="shared" ref="ET184:ET207" si="256">IF(DJ184="", "", DJ184*K$36)</f>
        <v>0</v>
      </c>
      <c r="EU184" s="139">
        <f t="shared" ref="EU184:EU207" si="257">IF(DK184="", "", DK184*L$36)</f>
        <v>0</v>
      </c>
      <c r="EV184" s="139">
        <f t="shared" ref="EV184:EV207" si="258">IF(DL184="", "", DL184*M$36)</f>
        <v>0</v>
      </c>
      <c r="EW184" s="139">
        <f t="shared" ref="EW184:EW207" si="259">IF(DM184="", "", DM184*N$36)</f>
        <v>0</v>
      </c>
      <c r="EX184" s="139">
        <f t="shared" ref="EX184:EX207" si="260">IF(DN184="", "", DN184*O$36)</f>
        <v>0</v>
      </c>
      <c r="EY184" s="139">
        <f t="shared" ref="EY184:EY207" si="261">IF(DO184="", "", DO184*P$36)</f>
        <v>0</v>
      </c>
      <c r="EZ184" s="139">
        <f t="shared" ref="EZ184:EZ207" si="262">IF(DP184="", "", DP184*Q$36)</f>
        <v>0</v>
      </c>
      <c r="FA184" s="139">
        <f t="shared" ref="FA184:FA207" si="263">IF(DQ184="", "", DQ184*R$36)</f>
        <v>0</v>
      </c>
      <c r="FB184" s="139">
        <f t="shared" ref="FB184:FB207" si="264">IF(DR184="", "", DR184*S$36)</f>
        <v>0</v>
      </c>
      <c r="FC184" s="139">
        <f t="shared" ref="FC184:FC207" si="265">IF(DS184="", "", DS184*T$36)</f>
        <v>0</v>
      </c>
      <c r="FD184" s="139">
        <f t="shared" ref="FD184:FD207" si="266">IF(DT184="", "", DT184*U$36)</f>
        <v>0</v>
      </c>
      <c r="FE184" s="139">
        <f t="shared" ref="FE184:FE207" si="267">IF(DU184="", "", DU184*V$36)</f>
        <v>0</v>
      </c>
      <c r="FF184" s="139">
        <f t="shared" ref="FF184:FF207" si="268">IF(DV184="", "", DV184*W$36)</f>
        <v>0</v>
      </c>
      <c r="FG184" s="139">
        <f t="shared" ref="FG184:FG207" si="269">IF(DW184="", "", DW184*X$36)</f>
        <v>0</v>
      </c>
      <c r="FH184" s="139">
        <f t="shared" ref="FH184:FH207" si="270">IF(DX184="", "", DX184*Y$36)</f>
        <v>0</v>
      </c>
      <c r="FI184" s="139">
        <f t="shared" ref="FI184:FI207" si="271">IF(DY184="", "", DY184*Z$36)</f>
        <v>0</v>
      </c>
      <c r="FJ184" s="139">
        <f t="shared" ref="FJ184:FJ207" si="272">IF(DZ184="", "", DZ184*AA$36)</f>
        <v>0</v>
      </c>
      <c r="FK184" s="139">
        <f t="shared" ref="FK184:FK207" si="273">IF(EA184="", "", EA184*AB$36)</f>
        <v>0</v>
      </c>
      <c r="FL184" s="139">
        <f t="shared" ref="FL184:FL207" si="274">IF(EB184="", "", EB184*AC$36)</f>
        <v>0</v>
      </c>
      <c r="FM184" s="139">
        <f t="shared" ref="FM184:FM207" si="275">IF(EC184="", "", EC184*AD$36)</f>
        <v>0</v>
      </c>
      <c r="FN184" s="139">
        <f t="shared" ref="FN184:FN207" si="276">IF(ED184="", "", ED184*AE$36)</f>
        <v>0</v>
      </c>
      <c r="FO184" s="139">
        <f t="shared" ref="FO184:FO207" si="277">IF(EE184="", "", EE184*AF$36)</f>
        <v>0</v>
      </c>
      <c r="FP184" s="139">
        <f t="shared" ref="FP184:FP207" si="278">IF(EF184="", "", EF184*AG$36)</f>
        <v>0</v>
      </c>
      <c r="FQ184" s="139">
        <f t="shared" ref="FQ184:FQ207" si="279">IF(EG184="", "", EG184*AH$36)</f>
        <v>0</v>
      </c>
      <c r="FR184" s="139">
        <f t="shared" ref="FR184:FR207" si="280">IF(EH184="", "", EH184*AI$36)</f>
        <v>0</v>
      </c>
      <c r="FS184" s="139">
        <f t="shared" ref="FS184:FS207" si="281">IF(EI184="", "", EI184*AJ$36)</f>
        <v>0</v>
      </c>
      <c r="FT184" s="139">
        <f t="shared" ref="FT184:FT207" si="282">IF(EJ184="", "", EJ184*AK$36)</f>
        <v>0</v>
      </c>
      <c r="FU184" s="148">
        <f t="shared" ref="FU184:FU207" si="283">IF(EP184="","",SUM(EP184:FT184))</f>
        <v>0</v>
      </c>
      <c r="FV184" s="149"/>
      <c r="FY184" s="211">
        <v>179</v>
      </c>
      <c r="FZ184">
        <v>0.79831132540171934</v>
      </c>
      <c r="GA184">
        <v>0.38735017759921181</v>
      </c>
      <c r="GB184">
        <v>6.282592274279708E-2</v>
      </c>
      <c r="GC184">
        <v>3.4819274958961192E-2</v>
      </c>
      <c r="GD184">
        <v>0</v>
      </c>
      <c r="GE184">
        <v>0</v>
      </c>
      <c r="GF184">
        <v>0.99063150174996206</v>
      </c>
      <c r="GG184">
        <v>0.89277710251994391</v>
      </c>
      <c r="GH184">
        <v>0</v>
      </c>
      <c r="GI184">
        <v>0.32590848385956478</v>
      </c>
      <c r="GJ184"/>
      <c r="GK184">
        <v>0.80173316839777642</v>
      </c>
      <c r="GL184">
        <v>0.33331521555783822</v>
      </c>
      <c r="GM184">
        <v>0.10493806523239137</v>
      </c>
      <c r="GN184">
        <v>0.10493806523239137</v>
      </c>
      <c r="GO184">
        <v>0</v>
      </c>
      <c r="GP184">
        <v>0</v>
      </c>
      <c r="GQ184">
        <v>1.3610937928885667</v>
      </c>
      <c r="GR184">
        <v>1.3610937928885667</v>
      </c>
      <c r="GS184">
        <v>0</v>
      </c>
      <c r="GT184">
        <v>0.45355300530374687</v>
      </c>
      <c r="GU184"/>
      <c r="GV184"/>
      <c r="GW184"/>
      <c r="GX184"/>
      <c r="GY184"/>
      <c r="GZ184"/>
      <c r="HA184"/>
      <c r="HB184"/>
      <c r="HC184"/>
    </row>
    <row r="185" spans="1:211" s="7" customFormat="1">
      <c r="A185" s="1"/>
      <c r="B185" s="76">
        <f t="shared" ca="1" si="250"/>
        <v>0.97356364851822352</v>
      </c>
      <c r="C185">
        <v>5</v>
      </c>
      <c r="D185">
        <v>39987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2.15</v>
      </c>
      <c r="AO185">
        <v>0.35035735089817505</v>
      </c>
      <c r="AP185">
        <v>6.7619422972203882</v>
      </c>
      <c r="AQ185">
        <v>3.1085553090043301</v>
      </c>
      <c r="AR185">
        <v>0.36480227776851015</v>
      </c>
      <c r="AS185">
        <v>2.502644619213231</v>
      </c>
      <c r="AT185" t="e">
        <v>#DIV/0!</v>
      </c>
      <c r="AU185" t="e">
        <v>#DIV/0!</v>
      </c>
      <c r="AV185"/>
      <c r="AW185"/>
      <c r="AX185" s="146"/>
      <c r="AY185" s="76">
        <f t="shared" ca="1" si="173"/>
        <v>0.57930898980972501</v>
      </c>
      <c r="AZ185">
        <v>8</v>
      </c>
      <c r="BA185" s="129">
        <f t="shared" si="249"/>
        <v>39987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 s="147"/>
      <c r="CH185" s="176"/>
      <c r="CJ185" s="146"/>
      <c r="CK185" s="76">
        <f t="shared" ca="1" si="208"/>
        <v>0.11484417663655755</v>
      </c>
      <c r="CL185" s="179">
        <f t="shared" si="209"/>
        <v>8</v>
      </c>
      <c r="CM185" s="180">
        <f t="shared" si="210"/>
        <v>39987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 s="160"/>
      <c r="CW185">
        <v>1</v>
      </c>
      <c r="CX185">
        <f>350/65</f>
        <v>5.384615384615385</v>
      </c>
      <c r="CY185" s="165"/>
      <c r="CZ185" s="177">
        <f t="shared" si="211"/>
        <v>9.6000000000000002E-2</v>
      </c>
      <c r="DB185" s="146"/>
      <c r="DC185" s="76">
        <f t="shared" ca="1" si="174"/>
        <v>0.76129559173592631</v>
      </c>
      <c r="DD185">
        <f t="shared" si="212"/>
        <v>8</v>
      </c>
      <c r="DE185" s="129">
        <f t="shared" si="248"/>
        <v>39987</v>
      </c>
      <c r="DF185" s="161">
        <f t="shared" si="213"/>
        <v>0</v>
      </c>
      <c r="DG185" s="161">
        <f t="shared" si="214"/>
        <v>0</v>
      </c>
      <c r="DH185" s="161">
        <f t="shared" si="215"/>
        <v>0</v>
      </c>
      <c r="DI185" s="161">
        <f t="shared" si="216"/>
        <v>0</v>
      </c>
      <c r="DJ185" s="161">
        <f t="shared" si="217"/>
        <v>0</v>
      </c>
      <c r="DK185" s="161">
        <f t="shared" si="218"/>
        <v>0</v>
      </c>
      <c r="DL185" s="161">
        <f t="shared" si="219"/>
        <v>0</v>
      </c>
      <c r="DM185" s="161">
        <f t="shared" si="220"/>
        <v>0</v>
      </c>
      <c r="DN185" s="161">
        <f t="shared" si="221"/>
        <v>0</v>
      </c>
      <c r="DO185" s="161">
        <f t="shared" si="222"/>
        <v>0</v>
      </c>
      <c r="DP185" s="161">
        <f t="shared" si="223"/>
        <v>0</v>
      </c>
      <c r="DQ185" s="161">
        <f t="shared" si="224"/>
        <v>0</v>
      </c>
      <c r="DR185" s="161">
        <f t="shared" si="225"/>
        <v>0</v>
      </c>
      <c r="DS185" s="161">
        <f t="shared" si="226"/>
        <v>0</v>
      </c>
      <c r="DT185" s="161">
        <f t="shared" si="227"/>
        <v>0</v>
      </c>
      <c r="DU185" s="161">
        <f t="shared" si="228"/>
        <v>0</v>
      </c>
      <c r="DV185" s="161">
        <f t="shared" si="229"/>
        <v>0</v>
      </c>
      <c r="DW185" s="161">
        <f t="shared" si="230"/>
        <v>0</v>
      </c>
      <c r="DX185" s="161">
        <f t="shared" si="231"/>
        <v>0</v>
      </c>
      <c r="DY185" s="161">
        <f t="shared" si="232"/>
        <v>0</v>
      </c>
      <c r="DZ185" s="161">
        <f t="shared" si="233"/>
        <v>0</v>
      </c>
      <c r="EA185" s="161">
        <f t="shared" si="234"/>
        <v>0</v>
      </c>
      <c r="EB185" s="161">
        <f t="shared" si="235"/>
        <v>0</v>
      </c>
      <c r="EC185" s="161">
        <f t="shared" si="236"/>
        <v>0</v>
      </c>
      <c r="ED185" s="161">
        <f t="shared" si="237"/>
        <v>0</v>
      </c>
      <c r="EE185" s="161">
        <f t="shared" si="238"/>
        <v>0</v>
      </c>
      <c r="EF185" s="161">
        <f t="shared" si="239"/>
        <v>0</v>
      </c>
      <c r="EG185" s="161">
        <f t="shared" si="240"/>
        <v>0</v>
      </c>
      <c r="EH185" s="161">
        <f t="shared" si="241"/>
        <v>0</v>
      </c>
      <c r="EI185" s="161">
        <f t="shared" si="242"/>
        <v>0</v>
      </c>
      <c r="EJ185" s="161">
        <f t="shared" si="243"/>
        <v>0</v>
      </c>
      <c r="EK185" s="147">
        <f t="shared" si="251"/>
        <v>0</v>
      </c>
      <c r="EL185" s="149"/>
      <c r="EN185" s="146"/>
      <c r="EO185" s="146"/>
      <c r="EP185" s="139">
        <f t="shared" si="252"/>
        <v>0</v>
      </c>
      <c r="EQ185" s="139">
        <f t="shared" si="253"/>
        <v>0</v>
      </c>
      <c r="ER185" s="139">
        <f t="shared" si="254"/>
        <v>0</v>
      </c>
      <c r="ES185" s="139">
        <f t="shared" si="255"/>
        <v>0</v>
      </c>
      <c r="ET185" s="139">
        <f t="shared" si="256"/>
        <v>0</v>
      </c>
      <c r="EU185" s="139">
        <f t="shared" si="257"/>
        <v>0</v>
      </c>
      <c r="EV185" s="139">
        <f t="shared" si="258"/>
        <v>0</v>
      </c>
      <c r="EW185" s="139">
        <f t="shared" si="259"/>
        <v>0</v>
      </c>
      <c r="EX185" s="139">
        <f t="shared" si="260"/>
        <v>0</v>
      </c>
      <c r="EY185" s="139">
        <f t="shared" si="261"/>
        <v>0</v>
      </c>
      <c r="EZ185" s="139">
        <f t="shared" si="262"/>
        <v>0</v>
      </c>
      <c r="FA185" s="139">
        <f t="shared" si="263"/>
        <v>0</v>
      </c>
      <c r="FB185" s="139">
        <f t="shared" si="264"/>
        <v>0</v>
      </c>
      <c r="FC185" s="139">
        <f t="shared" si="265"/>
        <v>0</v>
      </c>
      <c r="FD185" s="139">
        <f t="shared" si="266"/>
        <v>0</v>
      </c>
      <c r="FE185" s="139">
        <f t="shared" si="267"/>
        <v>0</v>
      </c>
      <c r="FF185" s="139">
        <f t="shared" si="268"/>
        <v>0</v>
      </c>
      <c r="FG185" s="139">
        <f t="shared" si="269"/>
        <v>0</v>
      </c>
      <c r="FH185" s="139">
        <f t="shared" si="270"/>
        <v>0</v>
      </c>
      <c r="FI185" s="139">
        <f t="shared" si="271"/>
        <v>0</v>
      </c>
      <c r="FJ185" s="139">
        <f t="shared" si="272"/>
        <v>0</v>
      </c>
      <c r="FK185" s="139">
        <f t="shared" si="273"/>
        <v>0</v>
      </c>
      <c r="FL185" s="139">
        <f t="shared" si="274"/>
        <v>0</v>
      </c>
      <c r="FM185" s="139">
        <f t="shared" si="275"/>
        <v>0</v>
      </c>
      <c r="FN185" s="139">
        <f t="shared" si="276"/>
        <v>0</v>
      </c>
      <c r="FO185" s="139">
        <f t="shared" si="277"/>
        <v>0</v>
      </c>
      <c r="FP185" s="139">
        <f t="shared" si="278"/>
        <v>0</v>
      </c>
      <c r="FQ185" s="139">
        <f t="shared" si="279"/>
        <v>0</v>
      </c>
      <c r="FR185" s="139">
        <f t="shared" si="280"/>
        <v>0</v>
      </c>
      <c r="FS185" s="139">
        <f t="shared" si="281"/>
        <v>0</v>
      </c>
      <c r="FT185" s="139">
        <f t="shared" si="282"/>
        <v>0</v>
      </c>
      <c r="FU185" s="148">
        <f t="shared" si="283"/>
        <v>0</v>
      </c>
      <c r="FV185" s="149"/>
      <c r="FY185" s="211">
        <v>180</v>
      </c>
      <c r="FZ185">
        <v>1.2552024736116005</v>
      </c>
      <c r="GA185">
        <v>0.77470035519842362</v>
      </c>
      <c r="GB185">
        <v>0.22123389596694673</v>
      </c>
      <c r="GC185">
        <v>0.1579162012217627</v>
      </c>
      <c r="GD185">
        <v>2.6724553773673727E-2</v>
      </c>
      <c r="GE185">
        <v>0</v>
      </c>
      <c r="GF185">
        <v>0</v>
      </c>
      <c r="GG185">
        <v>0</v>
      </c>
      <c r="GH185">
        <v>0</v>
      </c>
      <c r="GI185">
        <v>0.2554665888520587</v>
      </c>
      <c r="GJ185"/>
      <c r="GK185">
        <v>1.2657234404629421</v>
      </c>
      <c r="GL185">
        <v>0.66663043111567644</v>
      </c>
      <c r="GM185">
        <v>0.3667734676484084</v>
      </c>
      <c r="GN185">
        <v>0.47171153288079981</v>
      </c>
      <c r="GO185">
        <v>0.10493806523239137</v>
      </c>
      <c r="GP185">
        <v>0</v>
      </c>
      <c r="GQ185">
        <v>0</v>
      </c>
      <c r="GR185">
        <v>0</v>
      </c>
      <c r="GS185">
        <v>0</v>
      </c>
      <c r="GT185">
        <v>0.34748699466874838</v>
      </c>
      <c r="GU185"/>
      <c r="GV185"/>
      <c r="GW185"/>
      <c r="GX185"/>
      <c r="GY185"/>
      <c r="GZ185"/>
      <c r="HA185"/>
      <c r="HB185"/>
      <c r="HC185"/>
    </row>
    <row r="186" spans="1:211" s="7" customFormat="1">
      <c r="A186" s="1"/>
      <c r="B186" s="76">
        <f t="shared" ca="1" si="250"/>
        <v>0.48993997673588918</v>
      </c>
      <c r="C186">
        <v>1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2.864583333333333</v>
      </c>
      <c r="AO186">
        <v>0.21298350616140366</v>
      </c>
      <c r="AP186">
        <v>6.754707344730889</v>
      </c>
      <c r="AQ186">
        <v>1.3802905390293809</v>
      </c>
      <c r="AR186">
        <v>0.23791428038672691</v>
      </c>
      <c r="AS186">
        <v>1.5627340684802591</v>
      </c>
      <c r="AT186" t="e">
        <v>#DIV/0!</v>
      </c>
      <c r="AU186" t="e">
        <v>#DIV/0!</v>
      </c>
      <c r="AV186"/>
      <c r="AW186"/>
      <c r="AX186" s="146"/>
      <c r="AY186" s="76">
        <f t="shared" ca="1" si="173"/>
        <v>0.57590490675546757</v>
      </c>
      <c r="AZ186">
        <v>9</v>
      </c>
      <c r="BA186" s="129">
        <f t="shared" si="249"/>
        <v>39987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 s="147"/>
      <c r="CH186" s="176"/>
      <c r="CJ186" s="146"/>
      <c r="CK186" s="76">
        <f t="shared" ca="1" si="208"/>
        <v>0.77078796928700299</v>
      </c>
      <c r="CL186" s="179">
        <f t="shared" si="209"/>
        <v>9</v>
      </c>
      <c r="CM186" s="180">
        <f t="shared" si="210"/>
        <v>39987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 s="160"/>
      <c r="CW186">
        <v>1</v>
      </c>
      <c r="CX186">
        <f>350/52</f>
        <v>6.7307692307692308</v>
      </c>
      <c r="CY186" s="165"/>
      <c r="CZ186" s="177">
        <f t="shared" si="211"/>
        <v>9.6000000000000002E-2</v>
      </c>
      <c r="DB186" s="146"/>
      <c r="DC186" s="76">
        <f t="shared" ca="1" si="174"/>
        <v>0.23773295892341473</v>
      </c>
      <c r="DD186">
        <f t="shared" si="212"/>
        <v>9</v>
      </c>
      <c r="DE186" s="129">
        <f t="shared" si="248"/>
        <v>39987</v>
      </c>
      <c r="DF186" s="161">
        <f t="shared" si="213"/>
        <v>0</v>
      </c>
      <c r="DG186" s="161">
        <f t="shared" si="214"/>
        <v>0</v>
      </c>
      <c r="DH186" s="161">
        <f t="shared" si="215"/>
        <v>0</v>
      </c>
      <c r="DI186" s="161">
        <f t="shared" si="216"/>
        <v>0</v>
      </c>
      <c r="DJ186" s="161">
        <f t="shared" si="217"/>
        <v>0</v>
      </c>
      <c r="DK186" s="161">
        <f t="shared" si="218"/>
        <v>0</v>
      </c>
      <c r="DL186" s="161">
        <f t="shared" si="219"/>
        <v>0</v>
      </c>
      <c r="DM186" s="161">
        <f t="shared" si="220"/>
        <v>0</v>
      </c>
      <c r="DN186" s="161">
        <f t="shared" si="221"/>
        <v>0</v>
      </c>
      <c r="DO186" s="161">
        <f t="shared" si="222"/>
        <v>0</v>
      </c>
      <c r="DP186" s="161">
        <f t="shared" si="223"/>
        <v>0</v>
      </c>
      <c r="DQ186" s="161">
        <f t="shared" si="224"/>
        <v>0</v>
      </c>
      <c r="DR186" s="161">
        <f t="shared" si="225"/>
        <v>0</v>
      </c>
      <c r="DS186" s="161">
        <f t="shared" si="226"/>
        <v>0</v>
      </c>
      <c r="DT186" s="161">
        <f t="shared" si="227"/>
        <v>0</v>
      </c>
      <c r="DU186" s="161">
        <f t="shared" si="228"/>
        <v>0</v>
      </c>
      <c r="DV186" s="161">
        <f t="shared" si="229"/>
        <v>0</v>
      </c>
      <c r="DW186" s="161">
        <f t="shared" si="230"/>
        <v>0</v>
      </c>
      <c r="DX186" s="161">
        <f t="shared" si="231"/>
        <v>0</v>
      </c>
      <c r="DY186" s="161">
        <f t="shared" si="232"/>
        <v>0</v>
      </c>
      <c r="DZ186" s="161">
        <f t="shared" si="233"/>
        <v>0</v>
      </c>
      <c r="EA186" s="161">
        <f t="shared" si="234"/>
        <v>0</v>
      </c>
      <c r="EB186" s="161">
        <f t="shared" si="235"/>
        <v>0</v>
      </c>
      <c r="EC186" s="161">
        <f t="shared" si="236"/>
        <v>0</v>
      </c>
      <c r="ED186" s="161">
        <f t="shared" si="237"/>
        <v>0</v>
      </c>
      <c r="EE186" s="161">
        <f t="shared" si="238"/>
        <v>0</v>
      </c>
      <c r="EF186" s="161">
        <f t="shared" si="239"/>
        <v>0</v>
      </c>
      <c r="EG186" s="161">
        <f t="shared" si="240"/>
        <v>0</v>
      </c>
      <c r="EH186" s="161">
        <f t="shared" si="241"/>
        <v>0</v>
      </c>
      <c r="EI186" s="161">
        <f t="shared" si="242"/>
        <v>0</v>
      </c>
      <c r="EJ186" s="161">
        <f t="shared" si="243"/>
        <v>0</v>
      </c>
      <c r="EK186" s="147">
        <f t="shared" si="251"/>
        <v>0</v>
      </c>
      <c r="EL186" s="149"/>
      <c r="EN186" s="146"/>
      <c r="EO186" s="146"/>
      <c r="EP186" s="139">
        <f t="shared" si="252"/>
        <v>0</v>
      </c>
      <c r="EQ186" s="139">
        <f t="shared" si="253"/>
        <v>0</v>
      </c>
      <c r="ER186" s="139">
        <f t="shared" si="254"/>
        <v>0</v>
      </c>
      <c r="ES186" s="139">
        <f t="shared" si="255"/>
        <v>0</v>
      </c>
      <c r="ET186" s="139">
        <f t="shared" si="256"/>
        <v>0</v>
      </c>
      <c r="EU186" s="139">
        <f t="shared" si="257"/>
        <v>0</v>
      </c>
      <c r="EV186" s="139">
        <f t="shared" si="258"/>
        <v>0</v>
      </c>
      <c r="EW186" s="139">
        <f t="shared" si="259"/>
        <v>0</v>
      </c>
      <c r="EX186" s="139">
        <f t="shared" si="260"/>
        <v>0</v>
      </c>
      <c r="EY186" s="139">
        <f t="shared" si="261"/>
        <v>0</v>
      </c>
      <c r="EZ186" s="139">
        <f t="shared" si="262"/>
        <v>0</v>
      </c>
      <c r="FA186" s="139">
        <f t="shared" si="263"/>
        <v>0</v>
      </c>
      <c r="FB186" s="139">
        <f t="shared" si="264"/>
        <v>0</v>
      </c>
      <c r="FC186" s="139">
        <f t="shared" si="265"/>
        <v>0</v>
      </c>
      <c r="FD186" s="139">
        <f t="shared" si="266"/>
        <v>0</v>
      </c>
      <c r="FE186" s="139">
        <f t="shared" si="267"/>
        <v>0</v>
      </c>
      <c r="FF186" s="139">
        <f t="shared" si="268"/>
        <v>0</v>
      </c>
      <c r="FG186" s="139">
        <f t="shared" si="269"/>
        <v>0</v>
      </c>
      <c r="FH186" s="139">
        <f t="shared" si="270"/>
        <v>0</v>
      </c>
      <c r="FI186" s="139">
        <f t="shared" si="271"/>
        <v>0</v>
      </c>
      <c r="FJ186" s="139">
        <f t="shared" si="272"/>
        <v>0</v>
      </c>
      <c r="FK186" s="139">
        <f t="shared" si="273"/>
        <v>0</v>
      </c>
      <c r="FL186" s="139">
        <f t="shared" si="274"/>
        <v>0</v>
      </c>
      <c r="FM186" s="139">
        <f t="shared" si="275"/>
        <v>0</v>
      </c>
      <c r="FN186" s="139">
        <f t="shared" si="276"/>
        <v>0</v>
      </c>
      <c r="FO186" s="139">
        <f t="shared" si="277"/>
        <v>0</v>
      </c>
      <c r="FP186" s="139">
        <f t="shared" si="278"/>
        <v>0</v>
      </c>
      <c r="FQ186" s="139">
        <f t="shared" si="279"/>
        <v>0</v>
      </c>
      <c r="FR186" s="139">
        <f t="shared" si="280"/>
        <v>0</v>
      </c>
      <c r="FS186" s="139">
        <f t="shared" si="281"/>
        <v>0</v>
      </c>
      <c r="FT186" s="139">
        <f t="shared" si="282"/>
        <v>0</v>
      </c>
      <c r="FU186" s="148">
        <f t="shared" si="283"/>
        <v>0</v>
      </c>
      <c r="FV186" s="149"/>
      <c r="FY186" s="211">
        <v>181</v>
      </c>
      <c r="FZ186">
        <v>0.85244348558968575</v>
      </c>
      <c r="GA186">
        <v>0.38735017759921181</v>
      </c>
      <c r="GB186">
        <v>0.204855832097669</v>
      </c>
      <c r="GC186">
        <v>0.14859665052880375</v>
      </c>
      <c r="GD186">
        <v>2.6724553773673727E-2</v>
      </c>
      <c r="GE186">
        <v>0</v>
      </c>
      <c r="GF186">
        <v>0</v>
      </c>
      <c r="GG186">
        <v>0</v>
      </c>
      <c r="GH186">
        <v>0</v>
      </c>
      <c r="GI186">
        <v>0.19194724852640482</v>
      </c>
      <c r="GJ186"/>
      <c r="GK186">
        <v>0.85866771567585465</v>
      </c>
      <c r="GL186">
        <v>0.33331521555783822</v>
      </c>
      <c r="GM186">
        <v>0.34079383167279126</v>
      </c>
      <c r="GN186">
        <v>0.44573189690518267</v>
      </c>
      <c r="GO186">
        <v>0.10493806523239137</v>
      </c>
      <c r="GP186">
        <v>0</v>
      </c>
      <c r="GQ186">
        <v>0</v>
      </c>
      <c r="GR186">
        <v>0</v>
      </c>
      <c r="GS186">
        <v>0</v>
      </c>
      <c r="GT186">
        <v>0.26087992251620745</v>
      </c>
      <c r="GU186"/>
      <c r="GV186"/>
      <c r="GW186"/>
      <c r="GX186"/>
      <c r="GY186"/>
      <c r="GZ186"/>
      <c r="HA186"/>
      <c r="HB186"/>
      <c r="HC186"/>
    </row>
    <row r="187" spans="1:211" s="7" customFormat="1">
      <c r="A187" s="1"/>
      <c r="B187" s="76">
        <f t="shared" ca="1" si="250"/>
        <v>0.60011517342325438</v>
      </c>
      <c r="C187">
        <v>3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2.052083333333333</v>
      </c>
      <c r="AO187">
        <v>0.24859689919738831</v>
      </c>
      <c r="AP187">
        <v>9.4763143647219934</v>
      </c>
      <c r="AQ187">
        <v>1.7068227531880678</v>
      </c>
      <c r="AR187">
        <v>0.27758293222710312</v>
      </c>
      <c r="AS187">
        <v>1.6164344218440496</v>
      </c>
      <c r="AT187" t="e">
        <v>#DIV/0!</v>
      </c>
      <c r="AU187" t="e">
        <v>#DIV/0!</v>
      </c>
      <c r="AV187"/>
      <c r="AW187"/>
      <c r="AX187" s="146"/>
      <c r="AY187" s="76">
        <f t="shared" ca="1" si="173"/>
        <v>0.73107210222275598</v>
      </c>
      <c r="AZ187">
        <v>10</v>
      </c>
      <c r="BA187" s="129">
        <f t="shared" si="249"/>
        <v>39987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 s="147"/>
      <c r="CH187" s="176"/>
      <c r="CJ187" s="146"/>
      <c r="CK187" s="76">
        <f t="shared" ca="1" si="208"/>
        <v>7.3588916064688981E-2</v>
      </c>
      <c r="CL187" s="179">
        <f t="shared" si="209"/>
        <v>10</v>
      </c>
      <c r="CM187" s="180">
        <f t="shared" si="210"/>
        <v>39987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 s="160"/>
      <c r="CW187">
        <v>1</v>
      </c>
      <c r="CX187">
        <f>350/73</f>
        <v>4.7945205479452051</v>
      </c>
      <c r="CY187" s="165"/>
      <c r="CZ187" s="177">
        <f t="shared" si="211"/>
        <v>9.6000000000000002E-2</v>
      </c>
      <c r="DB187" s="146"/>
      <c r="DC187" s="76">
        <f t="shared" ca="1" si="174"/>
        <v>0.35385304885580204</v>
      </c>
      <c r="DD187">
        <f t="shared" si="212"/>
        <v>10</v>
      </c>
      <c r="DE187" s="129">
        <f t="shared" si="248"/>
        <v>39987</v>
      </c>
      <c r="DF187" s="161">
        <f t="shared" si="213"/>
        <v>0</v>
      </c>
      <c r="DG187" s="161">
        <f t="shared" si="214"/>
        <v>0</v>
      </c>
      <c r="DH187" s="161">
        <f t="shared" si="215"/>
        <v>0</v>
      </c>
      <c r="DI187" s="161">
        <f t="shared" si="216"/>
        <v>0</v>
      </c>
      <c r="DJ187" s="161">
        <f t="shared" si="217"/>
        <v>0</v>
      </c>
      <c r="DK187" s="161">
        <f t="shared" si="218"/>
        <v>0</v>
      </c>
      <c r="DL187" s="161">
        <f t="shared" si="219"/>
        <v>0</v>
      </c>
      <c r="DM187" s="161">
        <f t="shared" si="220"/>
        <v>0</v>
      </c>
      <c r="DN187" s="161">
        <f t="shared" si="221"/>
        <v>0</v>
      </c>
      <c r="DO187" s="161">
        <f t="shared" si="222"/>
        <v>0</v>
      </c>
      <c r="DP187" s="161">
        <f t="shared" si="223"/>
        <v>0</v>
      </c>
      <c r="DQ187" s="161">
        <f t="shared" si="224"/>
        <v>0</v>
      </c>
      <c r="DR187" s="161">
        <f t="shared" si="225"/>
        <v>0</v>
      </c>
      <c r="DS187" s="161">
        <f t="shared" si="226"/>
        <v>0</v>
      </c>
      <c r="DT187" s="161">
        <f t="shared" si="227"/>
        <v>0</v>
      </c>
      <c r="DU187" s="161">
        <f t="shared" si="228"/>
        <v>0</v>
      </c>
      <c r="DV187" s="161">
        <f t="shared" si="229"/>
        <v>0</v>
      </c>
      <c r="DW187" s="161">
        <f t="shared" si="230"/>
        <v>0</v>
      </c>
      <c r="DX187" s="161">
        <f t="shared" si="231"/>
        <v>0</v>
      </c>
      <c r="DY187" s="161">
        <f t="shared" si="232"/>
        <v>0</v>
      </c>
      <c r="DZ187" s="161">
        <f t="shared" si="233"/>
        <v>0</v>
      </c>
      <c r="EA187" s="161">
        <f t="shared" si="234"/>
        <v>0</v>
      </c>
      <c r="EB187" s="161">
        <f t="shared" si="235"/>
        <v>0</v>
      </c>
      <c r="EC187" s="161">
        <f t="shared" si="236"/>
        <v>0</v>
      </c>
      <c r="ED187" s="161">
        <f t="shared" si="237"/>
        <v>0</v>
      </c>
      <c r="EE187" s="161">
        <f t="shared" si="238"/>
        <v>0</v>
      </c>
      <c r="EF187" s="161">
        <f t="shared" si="239"/>
        <v>0</v>
      </c>
      <c r="EG187" s="161">
        <f t="shared" si="240"/>
        <v>0</v>
      </c>
      <c r="EH187" s="161">
        <f t="shared" si="241"/>
        <v>0</v>
      </c>
      <c r="EI187" s="161">
        <f t="shared" si="242"/>
        <v>0</v>
      </c>
      <c r="EJ187" s="161">
        <f t="shared" si="243"/>
        <v>0</v>
      </c>
      <c r="EK187" s="147">
        <f t="shared" si="251"/>
        <v>0</v>
      </c>
      <c r="EL187" s="149"/>
      <c r="EN187" s="146"/>
      <c r="EO187" s="146"/>
      <c r="EP187" s="139">
        <f t="shared" si="252"/>
        <v>0</v>
      </c>
      <c r="EQ187" s="139">
        <f t="shared" si="253"/>
        <v>0</v>
      </c>
      <c r="ER187" s="139">
        <f t="shared" si="254"/>
        <v>0</v>
      </c>
      <c r="ES187" s="139">
        <f t="shared" si="255"/>
        <v>0</v>
      </c>
      <c r="ET187" s="139">
        <f t="shared" si="256"/>
        <v>0</v>
      </c>
      <c r="EU187" s="139">
        <f t="shared" si="257"/>
        <v>0</v>
      </c>
      <c r="EV187" s="139">
        <f t="shared" si="258"/>
        <v>0</v>
      </c>
      <c r="EW187" s="139">
        <f t="shared" si="259"/>
        <v>0</v>
      </c>
      <c r="EX187" s="139">
        <f t="shared" si="260"/>
        <v>0</v>
      </c>
      <c r="EY187" s="139">
        <f t="shared" si="261"/>
        <v>0</v>
      </c>
      <c r="EZ187" s="139">
        <f t="shared" si="262"/>
        <v>0</v>
      </c>
      <c r="FA187" s="139">
        <f t="shared" si="263"/>
        <v>0</v>
      </c>
      <c r="FB187" s="139">
        <f t="shared" si="264"/>
        <v>0</v>
      </c>
      <c r="FC187" s="139">
        <f t="shared" si="265"/>
        <v>0</v>
      </c>
      <c r="FD187" s="139">
        <f t="shared" si="266"/>
        <v>0</v>
      </c>
      <c r="FE187" s="139">
        <f t="shared" si="267"/>
        <v>0</v>
      </c>
      <c r="FF187" s="139">
        <f t="shared" si="268"/>
        <v>0</v>
      </c>
      <c r="FG187" s="139">
        <f t="shared" si="269"/>
        <v>0</v>
      </c>
      <c r="FH187" s="139">
        <f t="shared" si="270"/>
        <v>0</v>
      </c>
      <c r="FI187" s="139">
        <f t="shared" si="271"/>
        <v>0</v>
      </c>
      <c r="FJ187" s="139">
        <f t="shared" si="272"/>
        <v>0</v>
      </c>
      <c r="FK187" s="139">
        <f t="shared" si="273"/>
        <v>0</v>
      </c>
      <c r="FL187" s="139">
        <f t="shared" si="274"/>
        <v>0</v>
      </c>
      <c r="FM187" s="139">
        <f t="shared" si="275"/>
        <v>0</v>
      </c>
      <c r="FN187" s="139">
        <f t="shared" si="276"/>
        <v>0</v>
      </c>
      <c r="FO187" s="139">
        <f t="shared" si="277"/>
        <v>0</v>
      </c>
      <c r="FP187" s="139">
        <f t="shared" si="278"/>
        <v>0</v>
      </c>
      <c r="FQ187" s="139">
        <f t="shared" si="279"/>
        <v>0</v>
      </c>
      <c r="FR187" s="139">
        <f t="shared" si="280"/>
        <v>0</v>
      </c>
      <c r="FS187" s="139">
        <f t="shared" si="281"/>
        <v>0</v>
      </c>
      <c r="FT187" s="139">
        <f t="shared" si="282"/>
        <v>0</v>
      </c>
      <c r="FU187" s="148">
        <f t="shared" si="283"/>
        <v>0</v>
      </c>
      <c r="FV187" s="149"/>
      <c r="FY187" s="211">
        <v>182</v>
      </c>
      <c r="FZ187">
        <v>1.1928003858878604</v>
      </c>
      <c r="GA187">
        <v>0.56185112583616514</v>
      </c>
      <c r="GB187">
        <v>0.22123389596694673</v>
      </c>
      <c r="GC187">
        <v>0.1579162012217627</v>
      </c>
      <c r="GD187">
        <v>2.6724553773673727E-2</v>
      </c>
      <c r="GE187">
        <v>0</v>
      </c>
      <c r="GF187">
        <v>0</v>
      </c>
      <c r="GG187">
        <v>0</v>
      </c>
      <c r="GH187">
        <v>0</v>
      </c>
      <c r="GI187">
        <v>0.246362108677186</v>
      </c>
      <c r="GJ187"/>
      <c r="GK187">
        <v>1.1984087198573152</v>
      </c>
      <c r="GL187">
        <v>0.48079623401633714</v>
      </c>
      <c r="GM187">
        <v>0.3667734676484084</v>
      </c>
      <c r="GN187">
        <v>0.47171153288079981</v>
      </c>
      <c r="GO187">
        <v>0.10493806523239137</v>
      </c>
      <c r="GP187">
        <v>0</v>
      </c>
      <c r="GQ187">
        <v>0</v>
      </c>
      <c r="GR187">
        <v>0</v>
      </c>
      <c r="GS187">
        <v>0</v>
      </c>
      <c r="GT187">
        <v>0.33402405054762302</v>
      </c>
      <c r="GU187"/>
      <c r="GV187"/>
      <c r="GW187"/>
      <c r="GX187"/>
      <c r="GY187"/>
      <c r="GZ187"/>
      <c r="HA187"/>
      <c r="HB187"/>
      <c r="HC187"/>
    </row>
    <row r="188" spans="1:211" s="7" customFormat="1">
      <c r="A188" s="128"/>
      <c r="B188" s="76" t="str">
        <f t="shared" ca="1" si="250"/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2.5968749999999998</v>
      </c>
      <c r="AO188">
        <v>0.19296135393804911</v>
      </c>
      <c r="AP188">
        <v>3.1978821621196989</v>
      </c>
      <c r="AQ188">
        <v>1.7920382487216495</v>
      </c>
      <c r="AR188">
        <v>0.23194001889756588</v>
      </c>
      <c r="AS188">
        <v>1.460130195646123</v>
      </c>
      <c r="AT188" t="e">
        <v>#DIV/0!</v>
      </c>
      <c r="AU188" t="e">
        <v>#DIV/0!</v>
      </c>
      <c r="AV188"/>
      <c r="AW188"/>
      <c r="AX188" s="128"/>
      <c r="AY188" s="76" t="str">
        <f t="shared" ca="1" si="173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8"/>
        <v/>
      </c>
      <c r="CL188" s="179" t="str">
        <f t="shared" si="209"/>
        <v/>
      </c>
      <c r="CM188" s="180" t="str">
        <f t="shared" si="210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11"/>
        <v/>
      </c>
      <c r="DB188" s="128"/>
      <c r="DC188" s="76" t="str">
        <f t="shared" ca="1" si="174"/>
        <v/>
      </c>
      <c r="DD188" t="str">
        <f t="shared" si="212"/>
        <v/>
      </c>
      <c r="DE188" s="129" t="str">
        <f t="shared" ref="DE188:DE197" si="284">IF((DD188)="", "", $C$14)</f>
        <v/>
      </c>
      <c r="DF188" s="161" t="str">
        <f t="shared" ref="DF188:DF207" si="285">IF($AZ188="", "", ((BB188*$CW188)+(CN188*$CX188))/$CZ188)</f>
        <v/>
      </c>
      <c r="DG188" s="161" t="str">
        <f t="shared" ref="DG188:DG207" si="286">IF($AZ188="", "", ((BC188*$CW188)+(CO188*$CX188))/$CZ188)</f>
        <v/>
      </c>
      <c r="DH188" s="161" t="str">
        <f t="shared" ref="DH188:DH207" si="287">IF($AZ188="", "", ((BD188*$CW188)+(CP188*$CX188))/$CZ188)</f>
        <v/>
      </c>
      <c r="DI188" s="161" t="str">
        <f t="shared" ref="DI188:DI207" si="288">IF($AZ188="", "", ((BE188*$CW188)+(CQ188*$CX188))/$CZ188)</f>
        <v/>
      </c>
      <c r="DJ188" s="161" t="str">
        <f t="shared" ref="DJ188:DJ207" si="289">IF($AZ188="", "", ((BF188*$CW188)+(CR188*$CX188))/$CZ188)</f>
        <v/>
      </c>
      <c r="DK188" s="161" t="str">
        <f t="shared" ref="DK188:DK207" si="290">IF($AZ188="", "", ((BG188*$CW188)+(CS188*$CX188))/$CZ188)</f>
        <v/>
      </c>
      <c r="DL188" s="161" t="str">
        <f t="shared" ref="DL188:DL207" si="291">IF($AZ188="", "", ((BH188*$CW188)+(CT188*$CX188))/$CZ188)</f>
        <v/>
      </c>
      <c r="DM188" s="161" t="str">
        <f t="shared" ref="DM188:DM207" si="292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93">IF($AZ188="", "", (BK187*$CW188)/$CZ188)</f>
        <v/>
      </c>
      <c r="DP188" s="161" t="str">
        <f t="shared" ref="DP188:DP193" si="294">IF($AZ188="", "", (BL187*$CW188)/$CZ188)</f>
        <v/>
      </c>
      <c r="DQ188" s="161" t="str">
        <f t="shared" ref="DQ188:DQ193" si="295">IF($AZ188="", "", (BM187*$CW188)/$CZ188)</f>
        <v/>
      </c>
      <c r="DR188" s="161" t="str">
        <f t="shared" ref="DR188:DR193" si="296">IF($AZ188="", "", (BN187*$CW188)/$CZ188)</f>
        <v/>
      </c>
      <c r="DS188" s="161" t="str">
        <f t="shared" ref="DS188:DS193" si="297">IF($AZ188="", "", (BO187*$CW188)/$CZ188)</f>
        <v/>
      </c>
      <c r="DT188" s="161" t="str">
        <f t="shared" ref="DT188:DT193" si="298">IF($AZ188="", "", (BP187*$CW188)/$CZ188)</f>
        <v/>
      </c>
      <c r="DU188" s="161" t="str">
        <f t="shared" ref="DU188:DU193" si="299">IF($AZ188="", "", (BQ187*$CW188)/$CZ188)</f>
        <v/>
      </c>
      <c r="DV188" s="161" t="str">
        <f t="shared" ref="DV188:DV193" si="300">IF($AZ188="", "", (BR187*$CW188)/$CZ188)</f>
        <v/>
      </c>
      <c r="DW188" s="161" t="str">
        <f t="shared" ref="DW188:DW193" si="301">IF($AZ188="", "", (BS187*$CW188)/$CZ188)</f>
        <v/>
      </c>
      <c r="DX188" s="161" t="str">
        <f t="shared" ref="DX188:DX193" si="302">IF($AZ188="", "", (BT187*$CW188)/$CZ188)</f>
        <v/>
      </c>
      <c r="DY188" s="161" t="str">
        <f t="shared" ref="DY188:DY193" si="303">IF($AZ188="", "", (BU187*$CW188)/$CZ188)</f>
        <v/>
      </c>
      <c r="DZ188" s="161" t="str">
        <f t="shared" ref="DZ188:DZ193" si="304">IF($AZ188="", "", (BV187*$CW188)/$CZ188)</f>
        <v/>
      </c>
      <c r="EA188" s="161" t="str">
        <f t="shared" ref="EA188:EA193" si="305">IF($AZ188="", "", (BW187*$CW188)/$CZ188)</f>
        <v/>
      </c>
      <c r="EB188" s="161" t="str">
        <f t="shared" ref="EB188:EB193" si="306">IF($AZ188="", "", (BX187*$CW188)/$CZ188)</f>
        <v/>
      </c>
      <c r="EC188" s="161" t="str">
        <f t="shared" ref="EC188:EC193" si="307">IF($AZ188="", "", (BY187*$CW188)/$CZ188)</f>
        <v/>
      </c>
      <c r="ED188" s="161" t="str">
        <f t="shared" ref="ED188:ED193" si="308">IF($AZ188="", "", (BZ187*$CW188)/$CZ188)</f>
        <v/>
      </c>
      <c r="EE188" s="161" t="str">
        <f t="shared" ref="EE188:EE193" si="309">IF($AZ188="", "", (CA187*$CW188)/$CZ188)</f>
        <v/>
      </c>
      <c r="EF188" s="161" t="str">
        <f t="shared" ref="EF188:EF193" si="310">IF($AZ188="", "", (CB187*$CW188)/$CZ188)</f>
        <v/>
      </c>
      <c r="EG188" s="161" t="str">
        <f t="shared" ref="EG188:EG193" si="311">IF($AZ188="", "", (CC187*$CW188)/$CZ188)</f>
        <v/>
      </c>
      <c r="EH188" s="161" t="str">
        <f t="shared" ref="EH188:EH193" si="312">IF($AZ188="", "", (CD187*$CW188)/$CZ188)</f>
        <v/>
      </c>
      <c r="EI188" s="161" t="str">
        <f t="shared" ref="EI188:EI193" si="313">IF($AZ188="", "", (CE187*$CW188)/$CZ188)</f>
        <v/>
      </c>
      <c r="EJ188" s="161" t="str">
        <f t="shared" ref="EJ188:EJ193" si="314">IF($AZ188="", "", (CF187*$CW188)/$CZ188)</f>
        <v/>
      </c>
      <c r="EK188" s="147" t="str">
        <f t="shared" si="251"/>
        <v/>
      </c>
      <c r="EL188" s="149"/>
      <c r="EN188" s="146"/>
      <c r="EO188" s="146"/>
      <c r="EP188" s="139" t="str">
        <f t="shared" si="252"/>
        <v/>
      </c>
      <c r="EQ188" s="139" t="str">
        <f t="shared" si="253"/>
        <v/>
      </c>
      <c r="ER188" s="139" t="str">
        <f t="shared" si="254"/>
        <v/>
      </c>
      <c r="ES188" s="139" t="str">
        <f t="shared" si="255"/>
        <v/>
      </c>
      <c r="ET188" s="139" t="str">
        <f t="shared" si="256"/>
        <v/>
      </c>
      <c r="EU188" s="139" t="str">
        <f t="shared" si="257"/>
        <v/>
      </c>
      <c r="EV188" s="139" t="str">
        <f t="shared" si="258"/>
        <v/>
      </c>
      <c r="EW188" s="139" t="str">
        <f t="shared" si="259"/>
        <v/>
      </c>
      <c r="EX188" s="139" t="str">
        <f t="shared" si="260"/>
        <v/>
      </c>
      <c r="EY188" s="139" t="str">
        <f t="shared" si="261"/>
        <v/>
      </c>
      <c r="EZ188" s="139" t="str">
        <f t="shared" si="262"/>
        <v/>
      </c>
      <c r="FA188" s="139" t="str">
        <f t="shared" si="263"/>
        <v/>
      </c>
      <c r="FB188" s="139" t="str">
        <f t="shared" si="264"/>
        <v/>
      </c>
      <c r="FC188" s="139" t="str">
        <f t="shared" si="265"/>
        <v/>
      </c>
      <c r="FD188" s="139" t="str">
        <f t="shared" si="266"/>
        <v/>
      </c>
      <c r="FE188" s="139" t="str">
        <f t="shared" si="267"/>
        <v/>
      </c>
      <c r="FF188" s="139" t="str">
        <f t="shared" si="268"/>
        <v/>
      </c>
      <c r="FG188" s="139" t="str">
        <f t="shared" si="269"/>
        <v/>
      </c>
      <c r="FH188" s="139" t="str">
        <f t="shared" si="270"/>
        <v/>
      </c>
      <c r="FI188" s="139" t="str">
        <f t="shared" si="271"/>
        <v/>
      </c>
      <c r="FJ188" s="139" t="str">
        <f t="shared" si="272"/>
        <v/>
      </c>
      <c r="FK188" s="139" t="str">
        <f t="shared" si="273"/>
        <v/>
      </c>
      <c r="FL188" s="139" t="str">
        <f t="shared" si="274"/>
        <v/>
      </c>
      <c r="FM188" s="139" t="str">
        <f t="shared" si="275"/>
        <v/>
      </c>
      <c r="FN188" s="139" t="str">
        <f t="shared" si="276"/>
        <v/>
      </c>
      <c r="FO188" s="139" t="str">
        <f t="shared" si="277"/>
        <v/>
      </c>
      <c r="FP188" s="139" t="str">
        <f t="shared" si="278"/>
        <v/>
      </c>
      <c r="FQ188" s="139" t="str">
        <f t="shared" si="279"/>
        <v/>
      </c>
      <c r="FR188" s="139" t="str">
        <f t="shared" si="280"/>
        <v/>
      </c>
      <c r="FS188" s="139" t="str">
        <f t="shared" si="281"/>
        <v/>
      </c>
      <c r="FT188" s="139" t="str">
        <f t="shared" si="282"/>
        <v/>
      </c>
      <c r="FU188" s="148" t="str">
        <f t="shared" si="283"/>
        <v/>
      </c>
      <c r="FV188" s="149"/>
      <c r="FY188" s="211">
        <v>183</v>
      </c>
      <c r="FZ188">
        <v>0.67317068575808658</v>
      </c>
      <c r="GA188">
        <v>8.725047411847664E-2</v>
      </c>
      <c r="GB188">
        <v>0.12565184548559416</v>
      </c>
      <c r="GC188">
        <v>0.13927709983584477</v>
      </c>
      <c r="GD188">
        <v>5.3449107547347455E-2</v>
      </c>
      <c r="GE188">
        <v>0</v>
      </c>
      <c r="GF188">
        <v>0.33021050058332063</v>
      </c>
      <c r="GG188">
        <v>0.29759236750664797</v>
      </c>
      <c r="GH188">
        <v>0</v>
      </c>
      <c r="GI188">
        <v>0.22564503016073059</v>
      </c>
      <c r="GJ188"/>
      <c r="GK188">
        <v>0.67453012515813759</v>
      </c>
      <c r="GL188">
        <v>7.3740509229249462E-2</v>
      </c>
      <c r="GM188">
        <v>0.20987613046478273</v>
      </c>
      <c r="GN188">
        <v>0.41975226092956547</v>
      </c>
      <c r="GO188">
        <v>0.20987613046478273</v>
      </c>
      <c r="GP188">
        <v>0</v>
      </c>
      <c r="GQ188">
        <v>0.45369793096285549</v>
      </c>
      <c r="GR188">
        <v>0.45369793096285549</v>
      </c>
      <c r="GS188">
        <v>0</v>
      </c>
      <c r="GT188">
        <v>0.3095960634101117</v>
      </c>
      <c r="GU188"/>
      <c r="GV188"/>
      <c r="GW188"/>
      <c r="GX188"/>
      <c r="GY188"/>
      <c r="GZ188"/>
      <c r="HA188"/>
      <c r="HB188"/>
      <c r="HC188"/>
    </row>
    <row r="189" spans="1:211" s="7" customFormat="1">
      <c r="A189" s="1"/>
      <c r="B189" s="76" t="str">
        <f t="shared" ca="1" si="250"/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3.0031249999999998</v>
      </c>
      <c r="AO189">
        <v>0.36300815073543657</v>
      </c>
      <c r="AP189">
        <v>10.848529758611097</v>
      </c>
      <c r="AQ189">
        <v>2.9014349784506774</v>
      </c>
      <c r="AR189">
        <v>0.40475566998860529</v>
      </c>
      <c r="AS189">
        <v>2.0712798009390658</v>
      </c>
      <c r="AT189" t="e">
        <v>#DIV/0!</v>
      </c>
      <c r="AU189" t="e">
        <v>#DIV/0!</v>
      </c>
      <c r="AV189"/>
      <c r="AW189"/>
      <c r="AX189" s="146"/>
      <c r="AY189" s="76" t="str">
        <f t="shared" ca="1" si="173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8"/>
        <v/>
      </c>
      <c r="CL189" s="179" t="str">
        <f t="shared" si="209"/>
        <v/>
      </c>
      <c r="CM189" s="180" t="str">
        <f t="shared" si="210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11"/>
        <v/>
      </c>
      <c r="DB189" s="146"/>
      <c r="DC189" s="76" t="str">
        <f t="shared" ca="1" si="174"/>
        <v/>
      </c>
      <c r="DD189" t="str">
        <f t="shared" si="212"/>
        <v/>
      </c>
      <c r="DE189" s="129" t="str">
        <f t="shared" si="284"/>
        <v/>
      </c>
      <c r="DF189" s="161" t="str">
        <f t="shared" si="285"/>
        <v/>
      </c>
      <c r="DG189" s="161" t="str">
        <f t="shared" si="286"/>
        <v/>
      </c>
      <c r="DH189" s="161" t="str">
        <f t="shared" si="287"/>
        <v/>
      </c>
      <c r="DI189" s="161" t="str">
        <f t="shared" si="288"/>
        <v/>
      </c>
      <c r="DJ189" s="161" t="str">
        <f t="shared" si="289"/>
        <v/>
      </c>
      <c r="DK189" s="161" t="str">
        <f t="shared" si="290"/>
        <v/>
      </c>
      <c r="DL189" s="161" t="str">
        <f t="shared" si="291"/>
        <v/>
      </c>
      <c r="DM189" s="161" t="str">
        <f t="shared" si="292"/>
        <v/>
      </c>
      <c r="DN189" s="161" t="str">
        <f>IF($AZ189="", "", (BJ189*$CW189)/$CZ189)</f>
        <v/>
      </c>
      <c r="DO189" s="161" t="str">
        <f t="shared" si="293"/>
        <v/>
      </c>
      <c r="DP189" s="161" t="str">
        <f t="shared" si="294"/>
        <v/>
      </c>
      <c r="DQ189" s="161" t="str">
        <f t="shared" si="295"/>
        <v/>
      </c>
      <c r="DR189" s="161" t="str">
        <f t="shared" si="296"/>
        <v/>
      </c>
      <c r="DS189" s="161" t="str">
        <f t="shared" si="297"/>
        <v/>
      </c>
      <c r="DT189" s="161" t="str">
        <f t="shared" si="298"/>
        <v/>
      </c>
      <c r="DU189" s="161" t="str">
        <f t="shared" si="299"/>
        <v/>
      </c>
      <c r="DV189" s="161" t="str">
        <f t="shared" si="300"/>
        <v/>
      </c>
      <c r="DW189" s="161" t="str">
        <f t="shared" si="301"/>
        <v/>
      </c>
      <c r="DX189" s="161" t="str">
        <f t="shared" si="302"/>
        <v/>
      </c>
      <c r="DY189" s="161" t="str">
        <f t="shared" si="303"/>
        <v/>
      </c>
      <c r="DZ189" s="161" t="str">
        <f t="shared" si="304"/>
        <v/>
      </c>
      <c r="EA189" s="161" t="str">
        <f t="shared" si="305"/>
        <v/>
      </c>
      <c r="EB189" s="161" t="str">
        <f t="shared" si="306"/>
        <v/>
      </c>
      <c r="EC189" s="161" t="str">
        <f t="shared" si="307"/>
        <v/>
      </c>
      <c r="ED189" s="161" t="str">
        <f t="shared" si="308"/>
        <v/>
      </c>
      <c r="EE189" s="161" t="str">
        <f t="shared" si="309"/>
        <v/>
      </c>
      <c r="EF189" s="161" t="str">
        <f t="shared" si="310"/>
        <v/>
      </c>
      <c r="EG189" s="161" t="str">
        <f t="shared" si="311"/>
        <v/>
      </c>
      <c r="EH189" s="161" t="str">
        <f t="shared" si="312"/>
        <v/>
      </c>
      <c r="EI189" s="161" t="str">
        <f t="shared" si="313"/>
        <v/>
      </c>
      <c r="EJ189" s="161" t="str">
        <f t="shared" si="314"/>
        <v/>
      </c>
      <c r="EK189" s="147" t="str">
        <f t="shared" si="251"/>
        <v/>
      </c>
      <c r="EL189" s="149"/>
      <c r="EN189" s="146"/>
      <c r="EO189" s="146"/>
      <c r="EP189" s="139" t="str">
        <f t="shared" si="252"/>
        <v/>
      </c>
      <c r="EQ189" s="139" t="str">
        <f t="shared" si="253"/>
        <v/>
      </c>
      <c r="ER189" s="139" t="str">
        <f t="shared" si="254"/>
        <v/>
      </c>
      <c r="ES189" s="139" t="str">
        <f t="shared" si="255"/>
        <v/>
      </c>
      <c r="ET189" s="139" t="str">
        <f t="shared" si="256"/>
        <v/>
      </c>
      <c r="EU189" s="139" t="str">
        <f t="shared" si="257"/>
        <v/>
      </c>
      <c r="EV189" s="139" t="str">
        <f t="shared" si="258"/>
        <v/>
      </c>
      <c r="EW189" s="139" t="str">
        <f t="shared" si="259"/>
        <v/>
      </c>
      <c r="EX189" s="139" t="str">
        <f t="shared" si="260"/>
        <v/>
      </c>
      <c r="EY189" s="139" t="str">
        <f t="shared" si="261"/>
        <v/>
      </c>
      <c r="EZ189" s="139" t="str">
        <f t="shared" si="262"/>
        <v/>
      </c>
      <c r="FA189" s="139" t="str">
        <f t="shared" si="263"/>
        <v/>
      </c>
      <c r="FB189" s="139" t="str">
        <f t="shared" si="264"/>
        <v/>
      </c>
      <c r="FC189" s="139" t="str">
        <f t="shared" si="265"/>
        <v/>
      </c>
      <c r="FD189" s="139" t="str">
        <f t="shared" si="266"/>
        <v/>
      </c>
      <c r="FE189" s="139" t="str">
        <f t="shared" si="267"/>
        <v/>
      </c>
      <c r="FF189" s="139" t="str">
        <f t="shared" si="268"/>
        <v/>
      </c>
      <c r="FG189" s="139" t="str">
        <f t="shared" si="269"/>
        <v/>
      </c>
      <c r="FH189" s="139" t="str">
        <f t="shared" si="270"/>
        <v/>
      </c>
      <c r="FI189" s="139" t="str">
        <f t="shared" si="271"/>
        <v/>
      </c>
      <c r="FJ189" s="139" t="str">
        <f t="shared" si="272"/>
        <v/>
      </c>
      <c r="FK189" s="139" t="str">
        <f t="shared" si="273"/>
        <v/>
      </c>
      <c r="FL189" s="139" t="str">
        <f t="shared" si="274"/>
        <v/>
      </c>
      <c r="FM189" s="139" t="str">
        <f t="shared" si="275"/>
        <v/>
      </c>
      <c r="FN189" s="139" t="str">
        <f t="shared" si="276"/>
        <v/>
      </c>
      <c r="FO189" s="139" t="str">
        <f t="shared" si="277"/>
        <v/>
      </c>
      <c r="FP189" s="139" t="str">
        <f t="shared" si="278"/>
        <v/>
      </c>
      <c r="FQ189" s="139" t="str">
        <f t="shared" si="279"/>
        <v/>
      </c>
      <c r="FR189" s="139" t="str">
        <f t="shared" si="280"/>
        <v/>
      </c>
      <c r="FS189" s="139" t="str">
        <f t="shared" si="281"/>
        <v/>
      </c>
      <c r="FT189" s="139" t="str">
        <f t="shared" si="282"/>
        <v/>
      </c>
      <c r="FU189" s="148" t="str">
        <f t="shared" si="283"/>
        <v/>
      </c>
      <c r="FV189" s="149"/>
      <c r="FY189" s="211">
        <v>184</v>
      </c>
      <c r="FZ189">
        <v>0.66159760231506104</v>
      </c>
      <c r="GA189">
        <v>0</v>
      </c>
      <c r="GB189">
        <v>0</v>
      </c>
      <c r="GC189">
        <v>0</v>
      </c>
      <c r="GD189">
        <v>0</v>
      </c>
      <c r="GE189">
        <v>0</v>
      </c>
      <c r="GF189">
        <v>0</v>
      </c>
      <c r="GG189">
        <v>0</v>
      </c>
      <c r="GH189">
        <v>0</v>
      </c>
      <c r="GI189">
        <v>9.8018666450650507E-2</v>
      </c>
      <c r="GJ189"/>
      <c r="GK189">
        <v>0.66321329558540398</v>
      </c>
      <c r="GL189">
        <v>0</v>
      </c>
      <c r="GM189">
        <v>0</v>
      </c>
      <c r="GN189">
        <v>0</v>
      </c>
      <c r="GO189">
        <v>0</v>
      </c>
      <c r="GP189">
        <v>0</v>
      </c>
      <c r="GQ189">
        <v>0</v>
      </c>
      <c r="GR189">
        <v>0</v>
      </c>
      <c r="GS189">
        <v>0</v>
      </c>
      <c r="GT189">
        <v>0.13264265911708079</v>
      </c>
      <c r="GU189"/>
      <c r="GV189"/>
      <c r="GW189"/>
      <c r="GX189"/>
      <c r="GY189"/>
      <c r="GZ189"/>
      <c r="HA189"/>
      <c r="HB189"/>
      <c r="HC189"/>
    </row>
    <row r="190" spans="1:211" s="7" customFormat="1">
      <c r="A190" s="1"/>
      <c r="B190" s="76" t="str">
        <f t="shared" ca="1" si="250"/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3.2687499999999998</v>
      </c>
      <c r="AO190">
        <v>0.24618531075488453</v>
      </c>
      <c r="AP190">
        <v>4.7994133066766809</v>
      </c>
      <c r="AQ190">
        <v>2.061036882507548</v>
      </c>
      <c r="AR190">
        <v>0.25675714944247519</v>
      </c>
      <c r="AS190">
        <v>1.7495195399565251</v>
      </c>
      <c r="AT190" t="e">
        <v>#DIV/0!</v>
      </c>
      <c r="AU190" t="e">
        <v>#DIV/0!</v>
      </c>
      <c r="AV190"/>
      <c r="AW190"/>
      <c r="AX190" s="146"/>
      <c r="AY190" s="76" t="str">
        <f t="shared" ca="1" si="173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8"/>
        <v/>
      </c>
      <c r="CL190" s="179" t="str">
        <f t="shared" si="209"/>
        <v/>
      </c>
      <c r="CM190" s="180" t="str">
        <f t="shared" si="210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11"/>
        <v/>
      </c>
      <c r="DB190" s="146"/>
      <c r="DC190" s="76" t="str">
        <f t="shared" ca="1" si="174"/>
        <v/>
      </c>
      <c r="DD190" t="str">
        <f t="shared" si="212"/>
        <v/>
      </c>
      <c r="DE190" s="129" t="str">
        <f t="shared" si="284"/>
        <v/>
      </c>
      <c r="DF190" s="161" t="str">
        <f t="shared" si="285"/>
        <v/>
      </c>
      <c r="DG190" s="161" t="str">
        <f t="shared" si="286"/>
        <v/>
      </c>
      <c r="DH190" s="161" t="str">
        <f t="shared" si="287"/>
        <v/>
      </c>
      <c r="DI190" s="161" t="str">
        <f t="shared" si="288"/>
        <v/>
      </c>
      <c r="DJ190" s="161" t="str">
        <f t="shared" si="289"/>
        <v/>
      </c>
      <c r="DK190" s="161" t="str">
        <f t="shared" si="290"/>
        <v/>
      </c>
      <c r="DL190" s="161" t="str">
        <f t="shared" si="291"/>
        <v/>
      </c>
      <c r="DM190" s="161" t="str">
        <f t="shared" si="292"/>
        <v/>
      </c>
      <c r="DN190" s="161" t="str">
        <f>IF($AZ190="", "", (BJ190*$CW190)/$CZ190)</f>
        <v/>
      </c>
      <c r="DO190" s="161" t="str">
        <f t="shared" si="293"/>
        <v/>
      </c>
      <c r="DP190" s="161" t="str">
        <f t="shared" si="294"/>
        <v/>
      </c>
      <c r="DQ190" s="161" t="str">
        <f t="shared" si="295"/>
        <v/>
      </c>
      <c r="DR190" s="161" t="str">
        <f t="shared" si="296"/>
        <v/>
      </c>
      <c r="DS190" s="161" t="str">
        <f t="shared" si="297"/>
        <v/>
      </c>
      <c r="DT190" s="161" t="str">
        <f t="shared" si="298"/>
        <v/>
      </c>
      <c r="DU190" s="161" t="str">
        <f t="shared" si="299"/>
        <v/>
      </c>
      <c r="DV190" s="161" t="str">
        <f t="shared" si="300"/>
        <v/>
      </c>
      <c r="DW190" s="161" t="str">
        <f t="shared" si="301"/>
        <v/>
      </c>
      <c r="DX190" s="161" t="str">
        <f t="shared" si="302"/>
        <v/>
      </c>
      <c r="DY190" s="161" t="str">
        <f t="shared" si="303"/>
        <v/>
      </c>
      <c r="DZ190" s="161" t="str">
        <f t="shared" si="304"/>
        <v/>
      </c>
      <c r="EA190" s="161" t="str">
        <f t="shared" si="305"/>
        <v/>
      </c>
      <c r="EB190" s="161" t="str">
        <f t="shared" si="306"/>
        <v/>
      </c>
      <c r="EC190" s="161" t="str">
        <f t="shared" si="307"/>
        <v/>
      </c>
      <c r="ED190" s="161" t="str">
        <f t="shared" si="308"/>
        <v/>
      </c>
      <c r="EE190" s="161" t="str">
        <f t="shared" si="309"/>
        <v/>
      </c>
      <c r="EF190" s="161" t="str">
        <f t="shared" si="310"/>
        <v/>
      </c>
      <c r="EG190" s="161" t="str">
        <f t="shared" si="311"/>
        <v/>
      </c>
      <c r="EH190" s="161" t="str">
        <f t="shared" si="312"/>
        <v/>
      </c>
      <c r="EI190" s="161" t="str">
        <f t="shared" si="313"/>
        <v/>
      </c>
      <c r="EJ190" s="161" t="str">
        <f t="shared" si="314"/>
        <v/>
      </c>
      <c r="EK190" s="147" t="str">
        <f t="shared" si="251"/>
        <v/>
      </c>
      <c r="EL190" s="149"/>
      <c r="EN190" s="146"/>
      <c r="EO190" s="146"/>
      <c r="EP190" s="139" t="str">
        <f t="shared" si="252"/>
        <v/>
      </c>
      <c r="EQ190" s="139" t="str">
        <f t="shared" si="253"/>
        <v/>
      </c>
      <c r="ER190" s="139" t="str">
        <f t="shared" si="254"/>
        <v/>
      </c>
      <c r="ES190" s="139" t="str">
        <f t="shared" si="255"/>
        <v/>
      </c>
      <c r="ET190" s="139" t="str">
        <f t="shared" si="256"/>
        <v/>
      </c>
      <c r="EU190" s="139" t="str">
        <f t="shared" si="257"/>
        <v/>
      </c>
      <c r="EV190" s="139" t="str">
        <f t="shared" si="258"/>
        <v/>
      </c>
      <c r="EW190" s="139" t="str">
        <f t="shared" si="259"/>
        <v/>
      </c>
      <c r="EX190" s="139" t="str">
        <f t="shared" si="260"/>
        <v/>
      </c>
      <c r="EY190" s="139" t="str">
        <f t="shared" si="261"/>
        <v/>
      </c>
      <c r="EZ190" s="139" t="str">
        <f t="shared" si="262"/>
        <v/>
      </c>
      <c r="FA190" s="139" t="str">
        <f t="shared" si="263"/>
        <v/>
      </c>
      <c r="FB190" s="139" t="str">
        <f t="shared" si="264"/>
        <v/>
      </c>
      <c r="FC190" s="139" t="str">
        <f t="shared" si="265"/>
        <v/>
      </c>
      <c r="FD190" s="139" t="str">
        <f t="shared" si="266"/>
        <v/>
      </c>
      <c r="FE190" s="139" t="str">
        <f t="shared" si="267"/>
        <v/>
      </c>
      <c r="FF190" s="139" t="str">
        <f t="shared" si="268"/>
        <v/>
      </c>
      <c r="FG190" s="139" t="str">
        <f t="shared" si="269"/>
        <v/>
      </c>
      <c r="FH190" s="139" t="str">
        <f t="shared" si="270"/>
        <v/>
      </c>
      <c r="FI190" s="139" t="str">
        <f t="shared" si="271"/>
        <v/>
      </c>
      <c r="FJ190" s="139" t="str">
        <f t="shared" si="272"/>
        <v/>
      </c>
      <c r="FK190" s="139" t="str">
        <f t="shared" si="273"/>
        <v/>
      </c>
      <c r="FL190" s="139" t="str">
        <f t="shared" si="274"/>
        <v/>
      </c>
      <c r="FM190" s="139" t="str">
        <f t="shared" si="275"/>
        <v/>
      </c>
      <c r="FN190" s="139" t="str">
        <f t="shared" si="276"/>
        <v/>
      </c>
      <c r="FO190" s="139" t="str">
        <f t="shared" si="277"/>
        <v/>
      </c>
      <c r="FP190" s="139" t="str">
        <f t="shared" si="278"/>
        <v/>
      </c>
      <c r="FQ190" s="139" t="str">
        <f t="shared" si="279"/>
        <v/>
      </c>
      <c r="FR190" s="139" t="str">
        <f t="shared" si="280"/>
        <v/>
      </c>
      <c r="FS190" s="139" t="str">
        <f t="shared" si="281"/>
        <v/>
      </c>
      <c r="FT190" s="139" t="str">
        <f t="shared" si="282"/>
        <v/>
      </c>
      <c r="FU190" s="148" t="str">
        <f t="shared" si="283"/>
        <v/>
      </c>
      <c r="FV190" s="149"/>
      <c r="FY190" s="211">
        <v>185</v>
      </c>
      <c r="FZ190">
        <v>1.1812273024448348</v>
      </c>
      <c r="GA190">
        <v>0.47460065171768845</v>
      </c>
      <c r="GB190">
        <v>0.14202990935487192</v>
      </c>
      <c r="GC190">
        <v>0.14859665052880375</v>
      </c>
      <c r="GD190">
        <v>5.3449107547347455E-2</v>
      </c>
      <c r="GE190">
        <v>0</v>
      </c>
      <c r="GF190">
        <v>0</v>
      </c>
      <c r="GG190">
        <v>0</v>
      </c>
      <c r="GH190">
        <v>0</v>
      </c>
      <c r="GI190">
        <v>0.24069240791623242</v>
      </c>
      <c r="GJ190"/>
      <c r="GK190">
        <v>1.1870918902845817</v>
      </c>
      <c r="GL190">
        <v>0.40705572478708768</v>
      </c>
      <c r="GM190">
        <v>0.23585576644039991</v>
      </c>
      <c r="GN190">
        <v>0.44573189690518267</v>
      </c>
      <c r="GO190">
        <v>0.20987613046478273</v>
      </c>
      <c r="GP190">
        <v>0</v>
      </c>
      <c r="GQ190">
        <v>0</v>
      </c>
      <c r="GR190">
        <v>0</v>
      </c>
      <c r="GS190">
        <v>0</v>
      </c>
      <c r="GT190">
        <v>0.32656475743795282</v>
      </c>
      <c r="GU190"/>
      <c r="GV190"/>
      <c r="GW190"/>
      <c r="GX190"/>
      <c r="GY190"/>
      <c r="GZ190"/>
      <c r="HA190"/>
      <c r="HB190"/>
      <c r="HC190"/>
    </row>
    <row r="191" spans="1:211" s="7" customFormat="1">
      <c r="A191" s="1"/>
      <c r="B191" s="76" t="str">
        <f t="shared" ca="1" si="250"/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1.8177083333333335</v>
      </c>
      <c r="AO191">
        <v>0.2040687873889741</v>
      </c>
      <c r="AP191">
        <v>7.9120628632076624</v>
      </c>
      <c r="AQ191">
        <v>1.5714834829306004</v>
      </c>
      <c r="AR191">
        <v>0.2303886220816046</v>
      </c>
      <c r="AS191">
        <v>1.2845844772446404</v>
      </c>
      <c r="AT191" t="e">
        <v>#DIV/0!</v>
      </c>
      <c r="AU191" t="e">
        <v>#DIV/0!</v>
      </c>
      <c r="AV191"/>
      <c r="AW191"/>
      <c r="AX191" s="146"/>
      <c r="AY191" s="76" t="str">
        <f t="shared" ca="1" si="173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8"/>
        <v/>
      </c>
      <c r="CL191" s="179" t="str">
        <f t="shared" si="209"/>
        <v/>
      </c>
      <c r="CM191" s="180" t="str">
        <f t="shared" si="210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11"/>
        <v/>
      </c>
      <c r="DB191" s="146"/>
      <c r="DC191" s="76" t="str">
        <f t="shared" ca="1" si="174"/>
        <v/>
      </c>
      <c r="DD191" t="str">
        <f t="shared" si="212"/>
        <v/>
      </c>
      <c r="DE191" s="129" t="str">
        <f t="shared" si="284"/>
        <v/>
      </c>
      <c r="DF191" s="161" t="str">
        <f t="shared" si="285"/>
        <v/>
      </c>
      <c r="DG191" s="161" t="str">
        <f t="shared" si="286"/>
        <v/>
      </c>
      <c r="DH191" s="161" t="str">
        <f t="shared" si="287"/>
        <v/>
      </c>
      <c r="DI191" s="161" t="str">
        <f t="shared" si="288"/>
        <v/>
      </c>
      <c r="DJ191" s="161" t="str">
        <f t="shared" si="289"/>
        <v/>
      </c>
      <c r="DK191" s="161" t="str">
        <f t="shared" si="290"/>
        <v/>
      </c>
      <c r="DL191" s="161" t="str">
        <f t="shared" si="291"/>
        <v/>
      </c>
      <c r="DM191" s="161" t="str">
        <f t="shared" si="292"/>
        <v/>
      </c>
      <c r="DN191" s="161" t="str">
        <f>IF($AZ191="", "", (BJ191*$CW191)/$CZ191)</f>
        <v/>
      </c>
      <c r="DO191" s="161" t="str">
        <f t="shared" si="293"/>
        <v/>
      </c>
      <c r="DP191" s="161" t="str">
        <f t="shared" si="294"/>
        <v/>
      </c>
      <c r="DQ191" s="161" t="str">
        <f t="shared" si="295"/>
        <v/>
      </c>
      <c r="DR191" s="161" t="str">
        <f t="shared" si="296"/>
        <v/>
      </c>
      <c r="DS191" s="161" t="str">
        <f t="shared" si="297"/>
        <v/>
      </c>
      <c r="DT191" s="161" t="str">
        <f t="shared" si="298"/>
        <v/>
      </c>
      <c r="DU191" s="161" t="str">
        <f t="shared" si="299"/>
        <v/>
      </c>
      <c r="DV191" s="161" t="str">
        <f t="shared" si="300"/>
        <v/>
      </c>
      <c r="DW191" s="161" t="str">
        <f t="shared" si="301"/>
        <v/>
      </c>
      <c r="DX191" s="161" t="str">
        <f t="shared" si="302"/>
        <v/>
      </c>
      <c r="DY191" s="161" t="str">
        <f t="shared" si="303"/>
        <v/>
      </c>
      <c r="DZ191" s="161" t="str">
        <f t="shared" si="304"/>
        <v/>
      </c>
      <c r="EA191" s="161" t="str">
        <f t="shared" si="305"/>
        <v/>
      </c>
      <c r="EB191" s="161" t="str">
        <f t="shared" si="306"/>
        <v/>
      </c>
      <c r="EC191" s="161" t="str">
        <f t="shared" si="307"/>
        <v/>
      </c>
      <c r="ED191" s="161" t="str">
        <f t="shared" si="308"/>
        <v/>
      </c>
      <c r="EE191" s="161" t="str">
        <f t="shared" si="309"/>
        <v/>
      </c>
      <c r="EF191" s="161" t="str">
        <f t="shared" si="310"/>
        <v/>
      </c>
      <c r="EG191" s="161" t="str">
        <f t="shared" si="311"/>
        <v/>
      </c>
      <c r="EH191" s="161" t="str">
        <f t="shared" si="312"/>
        <v/>
      </c>
      <c r="EI191" s="161" t="str">
        <f t="shared" si="313"/>
        <v/>
      </c>
      <c r="EJ191" s="161" t="str">
        <f t="shared" si="314"/>
        <v/>
      </c>
      <c r="EK191" s="147" t="str">
        <f t="shared" si="251"/>
        <v/>
      </c>
      <c r="EL191" s="149"/>
      <c r="EN191" s="146"/>
      <c r="EO191" s="146"/>
      <c r="EP191" s="139" t="str">
        <f t="shared" si="252"/>
        <v/>
      </c>
      <c r="EQ191" s="139" t="str">
        <f t="shared" si="253"/>
        <v/>
      </c>
      <c r="ER191" s="139" t="str">
        <f t="shared" si="254"/>
        <v/>
      </c>
      <c r="ES191" s="139" t="str">
        <f t="shared" si="255"/>
        <v/>
      </c>
      <c r="ET191" s="139" t="str">
        <f t="shared" si="256"/>
        <v/>
      </c>
      <c r="EU191" s="139" t="str">
        <f t="shared" si="257"/>
        <v/>
      </c>
      <c r="EV191" s="139" t="str">
        <f t="shared" si="258"/>
        <v/>
      </c>
      <c r="EW191" s="139" t="str">
        <f t="shared" si="259"/>
        <v/>
      </c>
      <c r="EX191" s="139" t="str">
        <f t="shared" si="260"/>
        <v/>
      </c>
      <c r="EY191" s="139" t="str">
        <f t="shared" si="261"/>
        <v/>
      </c>
      <c r="EZ191" s="139" t="str">
        <f t="shared" si="262"/>
        <v/>
      </c>
      <c r="FA191" s="139" t="str">
        <f t="shared" si="263"/>
        <v/>
      </c>
      <c r="FB191" s="139" t="str">
        <f t="shared" si="264"/>
        <v/>
      </c>
      <c r="FC191" s="139" t="str">
        <f t="shared" si="265"/>
        <v/>
      </c>
      <c r="FD191" s="139" t="str">
        <f t="shared" si="266"/>
        <v/>
      </c>
      <c r="FE191" s="139" t="str">
        <f t="shared" si="267"/>
        <v/>
      </c>
      <c r="FF191" s="139" t="str">
        <f t="shared" si="268"/>
        <v/>
      </c>
      <c r="FG191" s="139" t="str">
        <f t="shared" si="269"/>
        <v/>
      </c>
      <c r="FH191" s="139" t="str">
        <f t="shared" si="270"/>
        <v/>
      </c>
      <c r="FI191" s="139" t="str">
        <f t="shared" si="271"/>
        <v/>
      </c>
      <c r="FJ191" s="139" t="str">
        <f t="shared" si="272"/>
        <v/>
      </c>
      <c r="FK191" s="139" t="str">
        <f t="shared" si="273"/>
        <v/>
      </c>
      <c r="FL191" s="139" t="str">
        <f t="shared" si="274"/>
        <v/>
      </c>
      <c r="FM191" s="139" t="str">
        <f t="shared" si="275"/>
        <v/>
      </c>
      <c r="FN191" s="139" t="str">
        <f t="shared" si="276"/>
        <v/>
      </c>
      <c r="FO191" s="139" t="str">
        <f t="shared" si="277"/>
        <v/>
      </c>
      <c r="FP191" s="139" t="str">
        <f t="shared" si="278"/>
        <v/>
      </c>
      <c r="FQ191" s="139" t="str">
        <f t="shared" si="279"/>
        <v/>
      </c>
      <c r="FR191" s="139" t="str">
        <f t="shared" si="280"/>
        <v/>
      </c>
      <c r="FS191" s="139" t="str">
        <f t="shared" si="281"/>
        <v/>
      </c>
      <c r="FT191" s="139" t="str">
        <f t="shared" si="282"/>
        <v/>
      </c>
      <c r="FU191" s="148" t="str">
        <f t="shared" si="283"/>
        <v/>
      </c>
      <c r="FV191" s="149"/>
      <c r="FY191" s="211">
        <v>186</v>
      </c>
      <c r="FZ191">
        <v>1.875945990305695</v>
      </c>
      <c r="GA191">
        <v>1.4238019551530652</v>
      </c>
      <c r="GB191">
        <v>0.204855832097669</v>
      </c>
      <c r="GC191">
        <v>0.14859665052880375</v>
      </c>
      <c r="GD191">
        <v>2.6724553773673727E-2</v>
      </c>
      <c r="GE191">
        <v>0</v>
      </c>
      <c r="GF191">
        <v>0.33021050058332063</v>
      </c>
      <c r="GG191">
        <v>0.29759236750664797</v>
      </c>
      <c r="GH191">
        <v>0</v>
      </c>
      <c r="GI191">
        <v>0.40748740877034262</v>
      </c>
      <c r="GJ191"/>
      <c r="GK191">
        <v>1.8904248244195085</v>
      </c>
      <c r="GL191">
        <v>1.2211671743612631</v>
      </c>
      <c r="GM191">
        <v>0.34079383167279126</v>
      </c>
      <c r="GN191">
        <v>0.44573189690518267</v>
      </c>
      <c r="GO191">
        <v>0.10493806523239137</v>
      </c>
      <c r="GP191">
        <v>0</v>
      </c>
      <c r="GQ191">
        <v>0.45369793096285549</v>
      </c>
      <c r="GR191">
        <v>0.45369793096285549</v>
      </c>
      <c r="GS191">
        <v>0</v>
      </c>
      <c r="GT191">
        <v>0.55797093045750934</v>
      </c>
      <c r="GU191"/>
      <c r="GV191"/>
      <c r="GW191"/>
      <c r="GX191"/>
      <c r="GY191"/>
      <c r="GZ191"/>
      <c r="HA191"/>
      <c r="HB191"/>
      <c r="HC191"/>
    </row>
    <row r="192" spans="1:211" s="7" customFormat="1">
      <c r="A192" s="1"/>
      <c r="B192" s="76" t="str">
        <f t="shared" ca="1" si="250"/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1.8958333333333335</v>
      </c>
      <c r="AO192">
        <v>0.22450513452739398</v>
      </c>
      <c r="AP192">
        <v>10.050426622500011</v>
      </c>
      <c r="AQ192">
        <v>1.5627361288851378</v>
      </c>
      <c r="AR192">
        <v>0.246089869768985</v>
      </c>
      <c r="AS192">
        <v>1.3688264196700692</v>
      </c>
      <c r="AT192" t="e">
        <v>#DIV/0!</v>
      </c>
      <c r="AU192" t="e">
        <v>#DIV/0!</v>
      </c>
      <c r="AV192"/>
      <c r="AW192"/>
      <c r="AX192" s="146"/>
      <c r="AY192" s="76" t="str">
        <f t="shared" ca="1" si="173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8"/>
        <v/>
      </c>
      <c r="CL192" s="179" t="str">
        <f t="shared" si="209"/>
        <v/>
      </c>
      <c r="CM192" s="180" t="str">
        <f t="shared" si="210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11"/>
        <v/>
      </c>
      <c r="DB192" s="146"/>
      <c r="DC192" s="76" t="str">
        <f t="shared" ca="1" si="174"/>
        <v/>
      </c>
      <c r="DD192" t="str">
        <f t="shared" si="212"/>
        <v/>
      </c>
      <c r="DE192" s="129" t="str">
        <f t="shared" si="284"/>
        <v/>
      </c>
      <c r="DF192" s="161" t="str">
        <f t="shared" si="285"/>
        <v/>
      </c>
      <c r="DG192" s="161" t="str">
        <f t="shared" si="286"/>
        <v/>
      </c>
      <c r="DH192" s="161" t="str">
        <f t="shared" si="287"/>
        <v/>
      </c>
      <c r="DI192" s="161" t="str">
        <f t="shared" si="288"/>
        <v/>
      </c>
      <c r="DJ192" s="161" t="str">
        <f t="shared" si="289"/>
        <v/>
      </c>
      <c r="DK192" s="161" t="str">
        <f t="shared" si="290"/>
        <v/>
      </c>
      <c r="DL192" s="161" t="str">
        <f t="shared" si="291"/>
        <v/>
      </c>
      <c r="DM192" s="161" t="str">
        <f t="shared" si="292"/>
        <v/>
      </c>
      <c r="DN192" s="161" t="str">
        <f>IF($AZ192="", "", (BJ192*$CW192)/$CZ192)</f>
        <v/>
      </c>
      <c r="DO192" s="161" t="str">
        <f t="shared" si="293"/>
        <v/>
      </c>
      <c r="DP192" s="161" t="str">
        <f t="shared" si="294"/>
        <v/>
      </c>
      <c r="DQ192" s="161" t="str">
        <f t="shared" si="295"/>
        <v/>
      </c>
      <c r="DR192" s="161" t="str">
        <f t="shared" si="296"/>
        <v/>
      </c>
      <c r="DS192" s="161" t="str">
        <f t="shared" si="297"/>
        <v/>
      </c>
      <c r="DT192" s="161" t="str">
        <f t="shared" si="298"/>
        <v/>
      </c>
      <c r="DU192" s="161" t="str">
        <f t="shared" si="299"/>
        <v/>
      </c>
      <c r="DV192" s="161" t="str">
        <f t="shared" si="300"/>
        <v/>
      </c>
      <c r="DW192" s="161" t="str">
        <f t="shared" si="301"/>
        <v/>
      </c>
      <c r="DX192" s="161" t="str">
        <f t="shared" si="302"/>
        <v/>
      </c>
      <c r="DY192" s="161" t="str">
        <f t="shared" si="303"/>
        <v/>
      </c>
      <c r="DZ192" s="161" t="str">
        <f t="shared" si="304"/>
        <v/>
      </c>
      <c r="EA192" s="161" t="str">
        <f t="shared" si="305"/>
        <v/>
      </c>
      <c r="EB192" s="161" t="str">
        <f t="shared" si="306"/>
        <v/>
      </c>
      <c r="EC192" s="161" t="str">
        <f t="shared" si="307"/>
        <v/>
      </c>
      <c r="ED192" s="161" t="str">
        <f t="shared" si="308"/>
        <v/>
      </c>
      <c r="EE192" s="161" t="str">
        <f t="shared" si="309"/>
        <v/>
      </c>
      <c r="EF192" s="161" t="str">
        <f t="shared" si="310"/>
        <v/>
      </c>
      <c r="EG192" s="161" t="str">
        <f t="shared" si="311"/>
        <v/>
      </c>
      <c r="EH192" s="161" t="str">
        <f t="shared" si="312"/>
        <v/>
      </c>
      <c r="EI192" s="161" t="str">
        <f t="shared" si="313"/>
        <v/>
      </c>
      <c r="EJ192" s="161" t="str">
        <f t="shared" si="314"/>
        <v/>
      </c>
      <c r="EK192" s="147" t="str">
        <f t="shared" si="251"/>
        <v/>
      </c>
      <c r="EL192" s="149"/>
      <c r="EN192" s="146"/>
      <c r="EO192" s="146"/>
      <c r="EP192" s="139" t="str">
        <f t="shared" si="252"/>
        <v/>
      </c>
      <c r="EQ192" s="139" t="str">
        <f t="shared" si="253"/>
        <v/>
      </c>
      <c r="ER192" s="139" t="str">
        <f t="shared" si="254"/>
        <v/>
      </c>
      <c r="ES192" s="139" t="str">
        <f t="shared" si="255"/>
        <v/>
      </c>
      <c r="ET192" s="139" t="str">
        <f t="shared" si="256"/>
        <v/>
      </c>
      <c r="EU192" s="139" t="str">
        <f t="shared" si="257"/>
        <v/>
      </c>
      <c r="EV192" s="139" t="str">
        <f t="shared" si="258"/>
        <v/>
      </c>
      <c r="EW192" s="139" t="str">
        <f t="shared" si="259"/>
        <v/>
      </c>
      <c r="EX192" s="139" t="str">
        <f t="shared" si="260"/>
        <v/>
      </c>
      <c r="EY192" s="139" t="str">
        <f t="shared" si="261"/>
        <v/>
      </c>
      <c r="EZ192" s="139" t="str">
        <f t="shared" si="262"/>
        <v/>
      </c>
      <c r="FA192" s="139" t="str">
        <f t="shared" si="263"/>
        <v/>
      </c>
      <c r="FB192" s="139" t="str">
        <f t="shared" si="264"/>
        <v/>
      </c>
      <c r="FC192" s="139" t="str">
        <f t="shared" si="265"/>
        <v/>
      </c>
      <c r="FD192" s="139" t="str">
        <f t="shared" si="266"/>
        <v/>
      </c>
      <c r="FE192" s="139" t="str">
        <f t="shared" si="267"/>
        <v/>
      </c>
      <c r="FF192" s="139" t="str">
        <f t="shared" si="268"/>
        <v/>
      </c>
      <c r="FG192" s="139" t="str">
        <f t="shared" si="269"/>
        <v/>
      </c>
      <c r="FH192" s="139" t="str">
        <f t="shared" si="270"/>
        <v/>
      </c>
      <c r="FI192" s="139" t="str">
        <f t="shared" si="271"/>
        <v/>
      </c>
      <c r="FJ192" s="139" t="str">
        <f t="shared" si="272"/>
        <v/>
      </c>
      <c r="FK192" s="139" t="str">
        <f t="shared" si="273"/>
        <v/>
      </c>
      <c r="FL192" s="139" t="str">
        <f t="shared" si="274"/>
        <v/>
      </c>
      <c r="FM192" s="139" t="str">
        <f t="shared" si="275"/>
        <v/>
      </c>
      <c r="FN192" s="139" t="str">
        <f t="shared" si="276"/>
        <v/>
      </c>
      <c r="FO192" s="139" t="str">
        <f t="shared" si="277"/>
        <v/>
      </c>
      <c r="FP192" s="139" t="str">
        <f t="shared" si="278"/>
        <v/>
      </c>
      <c r="FQ192" s="139" t="str">
        <f t="shared" si="279"/>
        <v/>
      </c>
      <c r="FR192" s="139" t="str">
        <f t="shared" si="280"/>
        <v/>
      </c>
      <c r="FS192" s="139" t="str">
        <f t="shared" si="281"/>
        <v/>
      </c>
      <c r="FT192" s="139" t="str">
        <f t="shared" si="282"/>
        <v/>
      </c>
      <c r="FU192" s="148" t="str">
        <f t="shared" si="283"/>
        <v/>
      </c>
      <c r="FV192" s="149"/>
      <c r="FY192" s="211">
        <v>187</v>
      </c>
      <c r="FZ192">
        <v>1.4363843300129853</v>
      </c>
      <c r="GA192">
        <v>0.9492013034353769</v>
      </c>
      <c r="GB192">
        <v>7.9203986612074825E-2</v>
      </c>
      <c r="GC192">
        <v>7.8958100610881349E-2</v>
      </c>
      <c r="GD192">
        <v>2.6724553773673727E-2</v>
      </c>
      <c r="GE192">
        <v>0</v>
      </c>
      <c r="GF192">
        <v>0.66042100116664126</v>
      </c>
      <c r="GG192">
        <v>0.59518473501329594</v>
      </c>
      <c r="GH192">
        <v>0</v>
      </c>
      <c r="GI192">
        <v>0.37561556496049564</v>
      </c>
      <c r="GJ192"/>
      <c r="GK192">
        <v>1.4466665966131702</v>
      </c>
      <c r="GL192">
        <v>0.81411144957417536</v>
      </c>
      <c r="GM192">
        <v>0.13091770120800852</v>
      </c>
      <c r="GN192">
        <v>0.23585576644039991</v>
      </c>
      <c r="GO192">
        <v>0.10493806523239137</v>
      </c>
      <c r="GP192">
        <v>0</v>
      </c>
      <c r="GQ192">
        <v>0.90739586192571098</v>
      </c>
      <c r="GR192">
        <v>0.90739586192571098</v>
      </c>
      <c r="GS192">
        <v>0</v>
      </c>
      <c r="GT192">
        <v>0.51798364499585625</v>
      </c>
      <c r="GU192"/>
      <c r="GV192"/>
      <c r="GW192"/>
      <c r="GX192"/>
      <c r="GY192"/>
      <c r="GZ192"/>
      <c r="HA192"/>
      <c r="HB192"/>
      <c r="HC192"/>
    </row>
    <row r="193" spans="1:211" s="7" customFormat="1">
      <c r="A193" s="1"/>
      <c r="B193" s="76" t="str">
        <f t="shared" ca="1" si="250"/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3.364583333333333</v>
      </c>
      <c r="AO193">
        <v>0.35044592242334799</v>
      </c>
      <c r="AP193">
        <v>11.138161612104032</v>
      </c>
      <c r="AQ193">
        <v>2.4605002630767014</v>
      </c>
      <c r="AR193">
        <v>0.3877717794498225</v>
      </c>
      <c r="AS193">
        <v>2.0507747423670866</v>
      </c>
      <c r="AT193" t="e">
        <v>#DIV/0!</v>
      </c>
      <c r="AU193" t="e">
        <v>#DIV/0!</v>
      </c>
      <c r="AV193"/>
      <c r="AW193"/>
      <c r="AX193" s="146"/>
      <c r="AY193" s="76" t="str">
        <f t="shared" ca="1" si="173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8"/>
        <v/>
      </c>
      <c r="CL193" s="179" t="str">
        <f t="shared" si="209"/>
        <v/>
      </c>
      <c r="CM193" s="180" t="str">
        <f t="shared" si="210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11"/>
        <v/>
      </c>
      <c r="DB193" s="146"/>
      <c r="DC193" s="76" t="str">
        <f t="shared" ca="1" si="174"/>
        <v/>
      </c>
      <c r="DD193" t="str">
        <f t="shared" si="212"/>
        <v/>
      </c>
      <c r="DE193" s="129" t="str">
        <f t="shared" si="284"/>
        <v/>
      </c>
      <c r="DF193" s="161" t="str">
        <f t="shared" si="285"/>
        <v/>
      </c>
      <c r="DG193" s="161" t="str">
        <f t="shared" si="286"/>
        <v/>
      </c>
      <c r="DH193" s="161" t="str">
        <f t="shared" si="287"/>
        <v/>
      </c>
      <c r="DI193" s="161" t="str">
        <f t="shared" si="288"/>
        <v/>
      </c>
      <c r="DJ193" s="161" t="str">
        <f t="shared" si="289"/>
        <v/>
      </c>
      <c r="DK193" s="161" t="str">
        <f t="shared" si="290"/>
        <v/>
      </c>
      <c r="DL193" s="161" t="str">
        <f t="shared" si="291"/>
        <v/>
      </c>
      <c r="DM193" s="161" t="str">
        <f t="shared" si="292"/>
        <v/>
      </c>
      <c r="DN193" s="161" t="str">
        <f t="shared" ref="DN193:DN207" si="315">IF($AZ193="", "", (BJ193*$CW193)/$CZ193)</f>
        <v/>
      </c>
      <c r="DO193" s="161" t="str">
        <f t="shared" si="293"/>
        <v/>
      </c>
      <c r="DP193" s="161" t="str">
        <f t="shared" si="294"/>
        <v/>
      </c>
      <c r="DQ193" s="161" t="str">
        <f t="shared" si="295"/>
        <v/>
      </c>
      <c r="DR193" s="161" t="str">
        <f t="shared" si="296"/>
        <v/>
      </c>
      <c r="DS193" s="161" t="str">
        <f t="shared" si="297"/>
        <v/>
      </c>
      <c r="DT193" s="161" t="str">
        <f t="shared" si="298"/>
        <v/>
      </c>
      <c r="DU193" s="161" t="str">
        <f t="shared" si="299"/>
        <v/>
      </c>
      <c r="DV193" s="161" t="str">
        <f t="shared" si="300"/>
        <v/>
      </c>
      <c r="DW193" s="161" t="str">
        <f t="shared" si="301"/>
        <v/>
      </c>
      <c r="DX193" s="161" t="str">
        <f t="shared" si="302"/>
        <v/>
      </c>
      <c r="DY193" s="161" t="str">
        <f t="shared" si="303"/>
        <v/>
      </c>
      <c r="DZ193" s="161" t="str">
        <f t="shared" si="304"/>
        <v/>
      </c>
      <c r="EA193" s="161" t="str">
        <f t="shared" si="305"/>
        <v/>
      </c>
      <c r="EB193" s="161" t="str">
        <f t="shared" si="306"/>
        <v/>
      </c>
      <c r="EC193" s="161" t="str">
        <f t="shared" si="307"/>
        <v/>
      </c>
      <c r="ED193" s="161" t="str">
        <f t="shared" si="308"/>
        <v/>
      </c>
      <c r="EE193" s="161" t="str">
        <f t="shared" si="309"/>
        <v/>
      </c>
      <c r="EF193" s="161" t="str">
        <f t="shared" si="310"/>
        <v/>
      </c>
      <c r="EG193" s="161" t="str">
        <f t="shared" si="311"/>
        <v/>
      </c>
      <c r="EH193" s="161" t="str">
        <f t="shared" si="312"/>
        <v/>
      </c>
      <c r="EI193" s="161" t="str">
        <f t="shared" si="313"/>
        <v/>
      </c>
      <c r="EJ193" s="161" t="str">
        <f t="shared" si="314"/>
        <v/>
      </c>
      <c r="EK193" s="147" t="str">
        <f t="shared" si="251"/>
        <v/>
      </c>
      <c r="EL193" s="149"/>
      <c r="EN193" s="146"/>
      <c r="EO193" s="146"/>
      <c r="EP193" s="139" t="str">
        <f t="shared" si="252"/>
        <v/>
      </c>
      <c r="EQ193" s="139" t="str">
        <f t="shared" si="253"/>
        <v/>
      </c>
      <c r="ER193" s="139" t="str">
        <f t="shared" si="254"/>
        <v/>
      </c>
      <c r="ES193" s="139" t="str">
        <f t="shared" si="255"/>
        <v/>
      </c>
      <c r="ET193" s="139" t="str">
        <f t="shared" si="256"/>
        <v/>
      </c>
      <c r="EU193" s="139" t="str">
        <f t="shared" si="257"/>
        <v/>
      </c>
      <c r="EV193" s="139" t="str">
        <f t="shared" si="258"/>
        <v/>
      </c>
      <c r="EW193" s="139" t="str">
        <f t="shared" si="259"/>
        <v/>
      </c>
      <c r="EX193" s="139" t="str">
        <f t="shared" si="260"/>
        <v/>
      </c>
      <c r="EY193" s="139" t="str">
        <f t="shared" si="261"/>
        <v/>
      </c>
      <c r="EZ193" s="139" t="str">
        <f t="shared" si="262"/>
        <v/>
      </c>
      <c r="FA193" s="139" t="str">
        <f t="shared" si="263"/>
        <v/>
      </c>
      <c r="FB193" s="139" t="str">
        <f t="shared" si="264"/>
        <v/>
      </c>
      <c r="FC193" s="139" t="str">
        <f t="shared" si="265"/>
        <v/>
      </c>
      <c r="FD193" s="139" t="str">
        <f t="shared" si="266"/>
        <v/>
      </c>
      <c r="FE193" s="139" t="str">
        <f t="shared" si="267"/>
        <v/>
      </c>
      <c r="FF193" s="139" t="str">
        <f t="shared" si="268"/>
        <v/>
      </c>
      <c r="FG193" s="139" t="str">
        <f t="shared" si="269"/>
        <v/>
      </c>
      <c r="FH193" s="139" t="str">
        <f t="shared" si="270"/>
        <v/>
      </c>
      <c r="FI193" s="139" t="str">
        <f t="shared" si="271"/>
        <v/>
      </c>
      <c r="FJ193" s="139" t="str">
        <f t="shared" si="272"/>
        <v/>
      </c>
      <c r="FK193" s="139" t="str">
        <f t="shared" si="273"/>
        <v/>
      </c>
      <c r="FL193" s="139" t="str">
        <f t="shared" si="274"/>
        <v/>
      </c>
      <c r="FM193" s="139" t="str">
        <f t="shared" si="275"/>
        <v/>
      </c>
      <c r="FN193" s="139" t="str">
        <f t="shared" si="276"/>
        <v/>
      </c>
      <c r="FO193" s="139" t="str">
        <f t="shared" si="277"/>
        <v/>
      </c>
      <c r="FP193" s="139" t="str">
        <f t="shared" si="278"/>
        <v/>
      </c>
      <c r="FQ193" s="139" t="str">
        <f t="shared" si="279"/>
        <v/>
      </c>
      <c r="FR193" s="139" t="str">
        <f t="shared" si="280"/>
        <v/>
      </c>
      <c r="FS193" s="139" t="str">
        <f t="shared" si="281"/>
        <v/>
      </c>
      <c r="FT193" s="139" t="str">
        <f t="shared" si="282"/>
        <v/>
      </c>
      <c r="FU193" s="148" t="str">
        <f t="shared" si="283"/>
        <v/>
      </c>
      <c r="FV193" s="149"/>
      <c r="FY193" s="211">
        <v>188</v>
      </c>
      <c r="FZ193">
        <v>1.1671377334999631</v>
      </c>
      <c r="GA193">
        <v>0.64910159995464167</v>
      </c>
      <c r="GB193">
        <v>0.25130369097118832</v>
      </c>
      <c r="GC193">
        <v>0.13927709983584477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0.23473609643710927</v>
      </c>
      <c r="GJ193"/>
      <c r="GK193">
        <v>1.1703348415525709</v>
      </c>
      <c r="GL193">
        <v>0.55453674324558655</v>
      </c>
      <c r="GM193">
        <v>0.41975226092956547</v>
      </c>
      <c r="GN193">
        <v>0.41975226092956547</v>
      </c>
      <c r="GO193">
        <v>0</v>
      </c>
      <c r="GP193">
        <v>0</v>
      </c>
      <c r="GQ193">
        <v>0</v>
      </c>
      <c r="GR193">
        <v>0</v>
      </c>
      <c r="GS193">
        <v>0</v>
      </c>
      <c r="GT193">
        <v>0.31801742049642734</v>
      </c>
      <c r="GU193"/>
      <c r="GV193"/>
      <c r="GW193"/>
      <c r="GX193"/>
      <c r="GY193"/>
      <c r="GZ193"/>
      <c r="HA193"/>
      <c r="HB193"/>
      <c r="HC193"/>
    </row>
    <row r="194" spans="1:211" s="7" customFormat="1">
      <c r="A194" s="1"/>
      <c r="B194" s="76" t="str">
        <f t="shared" ca="1" si="250"/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2.0312500000000004</v>
      </c>
      <c r="AO194">
        <v>0.1619407737140654</v>
      </c>
      <c r="AP194">
        <v>3.0159140654538197</v>
      </c>
      <c r="AQ194">
        <v>1.3152457044701562</v>
      </c>
      <c r="AR194">
        <v>0.20168188604435636</v>
      </c>
      <c r="AS194">
        <v>1.4706594231614756</v>
      </c>
      <c r="AT194" t="e">
        <v>#DIV/0!</v>
      </c>
      <c r="AU194" t="e">
        <v>#DIV/0!</v>
      </c>
      <c r="AV194"/>
      <c r="AW194"/>
      <c r="AX194" s="146"/>
      <c r="AY194" s="76" t="str">
        <f t="shared" ca="1" si="173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8"/>
        <v/>
      </c>
      <c r="CL194" s="179" t="str">
        <f t="shared" si="209"/>
        <v/>
      </c>
      <c r="CM194" s="180" t="str">
        <f t="shared" si="210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11"/>
        <v/>
      </c>
      <c r="DB194" s="146"/>
      <c r="DC194" s="76" t="str">
        <f t="shared" ca="1" si="174"/>
        <v/>
      </c>
      <c r="DD194" t="str">
        <f t="shared" si="212"/>
        <v/>
      </c>
      <c r="DE194" s="129" t="str">
        <f t="shared" si="284"/>
        <v/>
      </c>
      <c r="DF194" s="161" t="str">
        <f t="shared" si="285"/>
        <v/>
      </c>
      <c r="DG194" s="161" t="str">
        <f t="shared" si="286"/>
        <v/>
      </c>
      <c r="DH194" s="161" t="str">
        <f t="shared" si="287"/>
        <v/>
      </c>
      <c r="DI194" s="161" t="str">
        <f t="shared" si="288"/>
        <v/>
      </c>
      <c r="DJ194" s="161" t="str">
        <f t="shared" si="289"/>
        <v/>
      </c>
      <c r="DK194" s="161" t="str">
        <f t="shared" si="290"/>
        <v/>
      </c>
      <c r="DL194" s="161" t="str">
        <f t="shared" si="291"/>
        <v/>
      </c>
      <c r="DM194" s="161" t="str">
        <f t="shared" si="292"/>
        <v/>
      </c>
      <c r="DN194" s="161" t="str">
        <f t="shared" si="315"/>
        <v/>
      </c>
      <c r="DO194" s="161" t="str">
        <f t="shared" ref="DO194:DO206" si="316">IF($AZ194="", "", (BK193*$CW194)/$CZ194)</f>
        <v/>
      </c>
      <c r="DP194" s="161" t="str">
        <f t="shared" ref="DP194:DP206" si="317">IF($AZ194="", "", (BL193*$CW194)/$CZ194)</f>
        <v/>
      </c>
      <c r="DQ194" s="161" t="str">
        <f t="shared" ref="DQ194:DQ206" si="318">IF($AZ194="", "", (BM193*$CW194)/$CZ194)</f>
        <v/>
      </c>
      <c r="DR194" s="161" t="str">
        <f t="shared" ref="DR194:DR206" si="319">IF($AZ194="", "", (BN193*$CW194)/$CZ194)</f>
        <v/>
      </c>
      <c r="DS194" s="161" t="str">
        <f t="shared" ref="DS194:DS206" si="320">IF($AZ194="", "", (BO193*$CW194)/$CZ194)</f>
        <v/>
      </c>
      <c r="DT194" s="161" t="str">
        <f t="shared" ref="DT194:DT206" si="321">IF($AZ194="", "", (BP193*$CW194)/$CZ194)</f>
        <v/>
      </c>
      <c r="DU194" s="161" t="str">
        <f t="shared" ref="DU194:DU206" si="322">IF($AZ194="", "", (BQ193*$CW194)/$CZ194)</f>
        <v/>
      </c>
      <c r="DV194" s="161" t="str">
        <f t="shared" ref="DV194:DV206" si="323">IF($AZ194="", "", (BR193*$CW194)/$CZ194)</f>
        <v/>
      </c>
      <c r="DW194" s="161" t="str">
        <f t="shared" ref="DW194:DW206" si="324">IF($AZ194="", "", (BS193*$CW194)/$CZ194)</f>
        <v/>
      </c>
      <c r="DX194" s="161" t="str">
        <f t="shared" ref="DX194:DX206" si="325">IF($AZ194="", "", (BT193*$CW194)/$CZ194)</f>
        <v/>
      </c>
      <c r="DY194" s="161" t="str">
        <f t="shared" ref="DY194:DY206" si="326">IF($AZ194="", "", (BU193*$CW194)/$CZ194)</f>
        <v/>
      </c>
      <c r="DZ194" s="161" t="str">
        <f t="shared" ref="DZ194:DZ206" si="327">IF($AZ194="", "", (BV193*$CW194)/$CZ194)</f>
        <v/>
      </c>
      <c r="EA194" s="161" t="str">
        <f t="shared" ref="EA194:EA206" si="328">IF($AZ194="", "", (BW193*$CW194)/$CZ194)</f>
        <v/>
      </c>
      <c r="EB194" s="161" t="str">
        <f t="shared" ref="EB194:EB206" si="329">IF($AZ194="", "", (BX193*$CW194)/$CZ194)</f>
        <v/>
      </c>
      <c r="EC194" s="161" t="str">
        <f t="shared" ref="EC194:EC206" si="330">IF($AZ194="", "", (BY193*$CW194)/$CZ194)</f>
        <v/>
      </c>
      <c r="ED194" s="161" t="str">
        <f t="shared" ref="ED194:ED206" si="331">IF($AZ194="", "", (BZ193*$CW194)/$CZ194)</f>
        <v/>
      </c>
      <c r="EE194" s="161" t="str">
        <f t="shared" ref="EE194:EE206" si="332">IF($AZ194="", "", (CA193*$CW194)/$CZ194)</f>
        <v/>
      </c>
      <c r="EF194" s="161" t="str">
        <f t="shared" ref="EF194:EF206" si="333">IF($AZ194="", "", (CB193*$CW194)/$CZ194)</f>
        <v/>
      </c>
      <c r="EG194" s="161" t="str">
        <f t="shared" ref="EG194:EG206" si="334">IF($AZ194="", "", (CC193*$CW194)/$CZ194)</f>
        <v/>
      </c>
      <c r="EH194" s="161" t="str">
        <f t="shared" ref="EH194:EH206" si="335">IF($AZ194="", "", (CD193*$CW194)/$CZ194)</f>
        <v/>
      </c>
      <c r="EI194" s="161" t="str">
        <f t="shared" ref="EI194:EI206" si="336">IF($AZ194="", "", (CE193*$CW194)/$CZ194)</f>
        <v/>
      </c>
      <c r="EJ194" s="161" t="str">
        <f t="shared" ref="EJ194:EJ206" si="337">IF($AZ194="", "", (CF193*$CW194)/$CZ194)</f>
        <v/>
      </c>
      <c r="EK194" s="147" t="str">
        <f t="shared" si="251"/>
        <v/>
      </c>
      <c r="EL194" s="149"/>
      <c r="EN194" s="146"/>
      <c r="EO194" s="146"/>
      <c r="EP194" s="139" t="str">
        <f t="shared" si="252"/>
        <v/>
      </c>
      <c r="EQ194" s="139" t="str">
        <f t="shared" si="253"/>
        <v/>
      </c>
      <c r="ER194" s="139" t="str">
        <f t="shared" si="254"/>
        <v/>
      </c>
      <c r="ES194" s="139" t="str">
        <f t="shared" si="255"/>
        <v/>
      </c>
      <c r="ET194" s="139" t="str">
        <f t="shared" si="256"/>
        <v/>
      </c>
      <c r="EU194" s="139" t="str">
        <f t="shared" si="257"/>
        <v/>
      </c>
      <c r="EV194" s="139" t="str">
        <f t="shared" si="258"/>
        <v/>
      </c>
      <c r="EW194" s="139" t="str">
        <f t="shared" si="259"/>
        <v/>
      </c>
      <c r="EX194" s="139" t="str">
        <f t="shared" si="260"/>
        <v/>
      </c>
      <c r="EY194" s="139" t="str">
        <f t="shared" si="261"/>
        <v/>
      </c>
      <c r="EZ194" s="139" t="str">
        <f t="shared" si="262"/>
        <v/>
      </c>
      <c r="FA194" s="139" t="str">
        <f t="shared" si="263"/>
        <v/>
      </c>
      <c r="FB194" s="139" t="str">
        <f t="shared" si="264"/>
        <v/>
      </c>
      <c r="FC194" s="139" t="str">
        <f t="shared" si="265"/>
        <v/>
      </c>
      <c r="FD194" s="139" t="str">
        <f t="shared" si="266"/>
        <v/>
      </c>
      <c r="FE194" s="139" t="str">
        <f t="shared" si="267"/>
        <v/>
      </c>
      <c r="FF194" s="139" t="str">
        <f t="shared" si="268"/>
        <v/>
      </c>
      <c r="FG194" s="139" t="str">
        <f t="shared" si="269"/>
        <v/>
      </c>
      <c r="FH194" s="139" t="str">
        <f t="shared" si="270"/>
        <v/>
      </c>
      <c r="FI194" s="139" t="str">
        <f t="shared" si="271"/>
        <v/>
      </c>
      <c r="FJ194" s="139" t="str">
        <f t="shared" si="272"/>
        <v/>
      </c>
      <c r="FK194" s="139" t="str">
        <f t="shared" si="273"/>
        <v/>
      </c>
      <c r="FL194" s="139" t="str">
        <f t="shared" si="274"/>
        <v/>
      </c>
      <c r="FM194" s="139" t="str">
        <f t="shared" si="275"/>
        <v/>
      </c>
      <c r="FN194" s="139" t="str">
        <f t="shared" si="276"/>
        <v/>
      </c>
      <c r="FO194" s="139" t="str">
        <f t="shared" si="277"/>
        <v/>
      </c>
      <c r="FP194" s="139" t="str">
        <f t="shared" si="278"/>
        <v/>
      </c>
      <c r="FQ194" s="139" t="str">
        <f t="shared" si="279"/>
        <v/>
      </c>
      <c r="FR194" s="139" t="str">
        <f t="shared" si="280"/>
        <v/>
      </c>
      <c r="FS194" s="139" t="str">
        <f t="shared" si="281"/>
        <v/>
      </c>
      <c r="FT194" s="139" t="str">
        <f t="shared" si="282"/>
        <v/>
      </c>
      <c r="FU194" s="148" t="str">
        <f t="shared" si="283"/>
        <v/>
      </c>
      <c r="FV194" s="149"/>
      <c r="FY194" s="211">
        <v>189</v>
      </c>
      <c r="FZ194">
        <v>0.77642685910279341</v>
      </c>
      <c r="GA194">
        <v>8.725047411847664E-2</v>
      </c>
      <c r="GB194">
        <v>0.204855832097669</v>
      </c>
      <c r="GC194">
        <v>0.18341592548776492</v>
      </c>
      <c r="GD194">
        <v>5.3449107547347455E-2</v>
      </c>
      <c r="GE194">
        <v>0</v>
      </c>
      <c r="GF194">
        <v>0.33021050058332063</v>
      </c>
      <c r="GG194">
        <v>0.29759236750664797</v>
      </c>
      <c r="GH194">
        <v>0</v>
      </c>
      <c r="GI194">
        <v>0.26027848550483829</v>
      </c>
      <c r="GJ194"/>
      <c r="GK194">
        <v>0.78035675739260224</v>
      </c>
      <c r="GL194">
        <v>7.3740509229249462E-2</v>
      </c>
      <c r="GM194">
        <v>0.34079383167279126</v>
      </c>
      <c r="GN194">
        <v>0.55066996213757402</v>
      </c>
      <c r="GO194">
        <v>0.20987613046478273</v>
      </c>
      <c r="GP194">
        <v>0</v>
      </c>
      <c r="GQ194">
        <v>0.45369793096285549</v>
      </c>
      <c r="GR194">
        <v>0.45369793096285549</v>
      </c>
      <c r="GS194">
        <v>0</v>
      </c>
      <c r="GT194">
        <v>0.35694493009860634</v>
      </c>
      <c r="GU194"/>
      <c r="GV194"/>
      <c r="GW194"/>
      <c r="GX194"/>
      <c r="GY194"/>
      <c r="GZ194"/>
      <c r="HA194"/>
      <c r="HB194"/>
      <c r="HC194"/>
    </row>
    <row r="195" spans="1:211" s="7" customFormat="1">
      <c r="A195" s="1"/>
      <c r="B195" s="76" t="str">
        <f t="shared" ca="1" si="250"/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1.8520833333333333</v>
      </c>
      <c r="AO195">
        <v>0.45206651055012781</v>
      </c>
      <c r="AP195">
        <v>21.514631423665307</v>
      </c>
      <c r="AQ195">
        <v>3.4926237888321601</v>
      </c>
      <c r="AR195">
        <v>0.45355300530374687</v>
      </c>
      <c r="AS195">
        <v>2.1142917543753916</v>
      </c>
      <c r="AT195" t="e">
        <v>#DIV/0!</v>
      </c>
      <c r="AU195" t="e">
        <v>#DIV/0!</v>
      </c>
      <c r="AV195"/>
      <c r="AW195"/>
      <c r="AX195" s="146"/>
      <c r="AY195" s="76" t="str">
        <f t="shared" ca="1" si="173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8"/>
        <v/>
      </c>
      <c r="CL195" s="179" t="str">
        <f t="shared" si="209"/>
        <v/>
      </c>
      <c r="CM195" s="180" t="str">
        <f t="shared" si="210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11"/>
        <v/>
      </c>
      <c r="DB195" s="146"/>
      <c r="DC195" s="76" t="str">
        <f t="shared" ca="1" si="174"/>
        <v/>
      </c>
      <c r="DD195" t="str">
        <f t="shared" si="212"/>
        <v/>
      </c>
      <c r="DE195" s="129" t="str">
        <f t="shared" si="284"/>
        <v/>
      </c>
      <c r="DF195" s="161" t="str">
        <f t="shared" si="285"/>
        <v/>
      </c>
      <c r="DG195" s="161" t="str">
        <f t="shared" si="286"/>
        <v/>
      </c>
      <c r="DH195" s="161" t="str">
        <f t="shared" si="287"/>
        <v/>
      </c>
      <c r="DI195" s="161" t="str">
        <f t="shared" si="288"/>
        <v/>
      </c>
      <c r="DJ195" s="161" t="str">
        <f t="shared" si="289"/>
        <v/>
      </c>
      <c r="DK195" s="161" t="str">
        <f t="shared" si="290"/>
        <v/>
      </c>
      <c r="DL195" s="161" t="str">
        <f t="shared" si="291"/>
        <v/>
      </c>
      <c r="DM195" s="161" t="str">
        <f t="shared" si="292"/>
        <v/>
      </c>
      <c r="DN195" s="161" t="str">
        <f t="shared" si="315"/>
        <v/>
      </c>
      <c r="DO195" s="161" t="str">
        <f t="shared" si="316"/>
        <v/>
      </c>
      <c r="DP195" s="161" t="str">
        <f t="shared" si="317"/>
        <v/>
      </c>
      <c r="DQ195" s="161" t="str">
        <f t="shared" si="318"/>
        <v/>
      </c>
      <c r="DR195" s="161" t="str">
        <f t="shared" si="319"/>
        <v/>
      </c>
      <c r="DS195" s="161" t="str">
        <f t="shared" si="320"/>
        <v/>
      </c>
      <c r="DT195" s="161" t="str">
        <f t="shared" si="321"/>
        <v/>
      </c>
      <c r="DU195" s="161" t="str">
        <f t="shared" si="322"/>
        <v/>
      </c>
      <c r="DV195" s="161" t="str">
        <f t="shared" si="323"/>
        <v/>
      </c>
      <c r="DW195" s="161" t="str">
        <f t="shared" si="324"/>
        <v/>
      </c>
      <c r="DX195" s="161" t="str">
        <f t="shared" si="325"/>
        <v/>
      </c>
      <c r="DY195" s="161" t="str">
        <f t="shared" si="326"/>
        <v/>
      </c>
      <c r="DZ195" s="161" t="str">
        <f t="shared" si="327"/>
        <v/>
      </c>
      <c r="EA195" s="161" t="str">
        <f t="shared" si="328"/>
        <v/>
      </c>
      <c r="EB195" s="161" t="str">
        <f t="shared" si="329"/>
        <v/>
      </c>
      <c r="EC195" s="161" t="str">
        <f t="shared" si="330"/>
        <v/>
      </c>
      <c r="ED195" s="161" t="str">
        <f t="shared" si="331"/>
        <v/>
      </c>
      <c r="EE195" s="161" t="str">
        <f t="shared" si="332"/>
        <v/>
      </c>
      <c r="EF195" s="161" t="str">
        <f t="shared" si="333"/>
        <v/>
      </c>
      <c r="EG195" s="161" t="str">
        <f t="shared" si="334"/>
        <v/>
      </c>
      <c r="EH195" s="161" t="str">
        <f t="shared" si="335"/>
        <v/>
      </c>
      <c r="EI195" s="161" t="str">
        <f t="shared" si="336"/>
        <v/>
      </c>
      <c r="EJ195" s="161" t="str">
        <f t="shared" si="337"/>
        <v/>
      </c>
      <c r="EK195" s="147" t="str">
        <f t="shared" si="251"/>
        <v/>
      </c>
      <c r="EL195" s="149"/>
      <c r="EN195" s="146"/>
      <c r="EO195" s="146"/>
      <c r="EP195" s="139" t="str">
        <f t="shared" si="252"/>
        <v/>
      </c>
      <c r="EQ195" s="139" t="str">
        <f t="shared" si="253"/>
        <v/>
      </c>
      <c r="ER195" s="139" t="str">
        <f t="shared" si="254"/>
        <v/>
      </c>
      <c r="ES195" s="139" t="str">
        <f t="shared" si="255"/>
        <v/>
      </c>
      <c r="ET195" s="139" t="str">
        <f t="shared" si="256"/>
        <v/>
      </c>
      <c r="EU195" s="139" t="str">
        <f t="shared" si="257"/>
        <v/>
      </c>
      <c r="EV195" s="139" t="str">
        <f t="shared" si="258"/>
        <v/>
      </c>
      <c r="EW195" s="139" t="str">
        <f t="shared" si="259"/>
        <v/>
      </c>
      <c r="EX195" s="139" t="str">
        <f t="shared" si="260"/>
        <v/>
      </c>
      <c r="EY195" s="139" t="str">
        <f t="shared" si="261"/>
        <v/>
      </c>
      <c r="EZ195" s="139" t="str">
        <f t="shared" si="262"/>
        <v/>
      </c>
      <c r="FA195" s="139" t="str">
        <f t="shared" si="263"/>
        <v/>
      </c>
      <c r="FB195" s="139" t="str">
        <f t="shared" si="264"/>
        <v/>
      </c>
      <c r="FC195" s="139" t="str">
        <f t="shared" si="265"/>
        <v/>
      </c>
      <c r="FD195" s="139" t="str">
        <f t="shared" si="266"/>
        <v/>
      </c>
      <c r="FE195" s="139" t="str">
        <f t="shared" si="267"/>
        <v/>
      </c>
      <c r="FF195" s="139" t="str">
        <f t="shared" si="268"/>
        <v/>
      </c>
      <c r="FG195" s="139" t="str">
        <f t="shared" si="269"/>
        <v/>
      </c>
      <c r="FH195" s="139" t="str">
        <f t="shared" si="270"/>
        <v/>
      </c>
      <c r="FI195" s="139" t="str">
        <f t="shared" si="271"/>
        <v/>
      </c>
      <c r="FJ195" s="139" t="str">
        <f t="shared" si="272"/>
        <v/>
      </c>
      <c r="FK195" s="139" t="str">
        <f t="shared" si="273"/>
        <v/>
      </c>
      <c r="FL195" s="139" t="str">
        <f t="shared" si="274"/>
        <v/>
      </c>
      <c r="FM195" s="139" t="str">
        <f t="shared" si="275"/>
        <v/>
      </c>
      <c r="FN195" s="139" t="str">
        <f t="shared" si="276"/>
        <v/>
      </c>
      <c r="FO195" s="139" t="str">
        <f t="shared" si="277"/>
        <v/>
      </c>
      <c r="FP195" s="139" t="str">
        <f t="shared" si="278"/>
        <v/>
      </c>
      <c r="FQ195" s="139" t="str">
        <f t="shared" si="279"/>
        <v/>
      </c>
      <c r="FR195" s="139" t="str">
        <f t="shared" si="280"/>
        <v/>
      </c>
      <c r="FS195" s="139" t="str">
        <f t="shared" si="281"/>
        <v/>
      </c>
      <c r="FT195" s="139" t="str">
        <f t="shared" si="282"/>
        <v/>
      </c>
      <c r="FU195" s="148" t="str">
        <f t="shared" si="283"/>
        <v/>
      </c>
      <c r="FV195" s="149"/>
      <c r="FY195" s="211">
        <v>190</v>
      </c>
      <c r="FZ195">
        <v>1.1248751939005748</v>
      </c>
      <c r="GA195">
        <v>0.47460065171768845</v>
      </c>
      <c r="GB195">
        <v>0.204855832097669</v>
      </c>
      <c r="GC195">
        <v>0.14859665052880375</v>
      </c>
      <c r="GD195">
        <v>2.6724553773673727E-2</v>
      </c>
      <c r="GE195">
        <v>0</v>
      </c>
      <c r="GF195">
        <v>0.33021050058332063</v>
      </c>
      <c r="GG195">
        <v>0.29759236750664797</v>
      </c>
      <c r="GH195">
        <v>0</v>
      </c>
      <c r="GI195">
        <v>0.29642396210653565</v>
      </c>
      <c r="GJ195"/>
      <c r="GK195">
        <v>1.130377061910159</v>
      </c>
      <c r="GL195">
        <v>0.40705572478708768</v>
      </c>
      <c r="GM195">
        <v>0.34079383167279126</v>
      </c>
      <c r="GN195">
        <v>0.44573189690518267</v>
      </c>
      <c r="GO195">
        <v>0.10493806523239137</v>
      </c>
      <c r="GP195">
        <v>0</v>
      </c>
      <c r="GQ195">
        <v>0.45369793096285549</v>
      </c>
      <c r="GR195">
        <v>0.45369793096285549</v>
      </c>
      <c r="GS195">
        <v>0</v>
      </c>
      <c r="GT195">
        <v>0.40596137795563941</v>
      </c>
      <c r="GU195"/>
      <c r="GV195"/>
      <c r="GW195"/>
      <c r="GX195"/>
      <c r="GY195"/>
      <c r="GZ195"/>
      <c r="HA195"/>
      <c r="HB195"/>
      <c r="HC195"/>
    </row>
    <row r="196" spans="1:211" s="7" customFormat="1">
      <c r="A196" s="1"/>
      <c r="B196" s="76" t="str">
        <f t="shared" ca="1" si="250"/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2.2145833333333327</v>
      </c>
      <c r="AO196">
        <v>0.32232639320089662</v>
      </c>
      <c r="AP196">
        <v>6.5595024924951835</v>
      </c>
      <c r="AQ196">
        <v>2.6912440686244659</v>
      </c>
      <c r="AR196">
        <v>0.34748699466874838</v>
      </c>
      <c r="AS196">
        <v>1.9817017858259192</v>
      </c>
      <c r="AT196" t="e">
        <v>#DIV/0!</v>
      </c>
      <c r="AU196" t="e">
        <v>#DIV/0!</v>
      </c>
      <c r="AV196"/>
      <c r="AW196"/>
      <c r="AX196" s="146"/>
      <c r="AY196" s="76" t="str">
        <f t="shared" ca="1" si="173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8"/>
        <v/>
      </c>
      <c r="CL196" s="179" t="str">
        <f t="shared" si="209"/>
        <v/>
      </c>
      <c r="CM196" s="180" t="str">
        <f t="shared" si="210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11"/>
        <v/>
      </c>
      <c r="DB196" s="146"/>
      <c r="DC196" s="76" t="str">
        <f t="shared" ca="1" si="174"/>
        <v/>
      </c>
      <c r="DD196" t="str">
        <f t="shared" si="212"/>
        <v/>
      </c>
      <c r="DE196" s="129" t="str">
        <f t="shared" si="284"/>
        <v/>
      </c>
      <c r="DF196" s="161" t="str">
        <f t="shared" si="285"/>
        <v/>
      </c>
      <c r="DG196" s="161" t="str">
        <f t="shared" si="286"/>
        <v/>
      </c>
      <c r="DH196" s="161" t="str">
        <f t="shared" si="287"/>
        <v/>
      </c>
      <c r="DI196" s="161" t="str">
        <f t="shared" si="288"/>
        <v/>
      </c>
      <c r="DJ196" s="161" t="str">
        <f t="shared" si="289"/>
        <v/>
      </c>
      <c r="DK196" s="161" t="str">
        <f t="shared" si="290"/>
        <v/>
      </c>
      <c r="DL196" s="161" t="str">
        <f t="shared" si="291"/>
        <v/>
      </c>
      <c r="DM196" s="161" t="str">
        <f t="shared" si="292"/>
        <v/>
      </c>
      <c r="DN196" s="161" t="str">
        <f t="shared" si="315"/>
        <v/>
      </c>
      <c r="DO196" s="161" t="str">
        <f t="shared" si="316"/>
        <v/>
      </c>
      <c r="DP196" s="161" t="str">
        <f t="shared" si="317"/>
        <v/>
      </c>
      <c r="DQ196" s="161" t="str">
        <f t="shared" si="318"/>
        <v/>
      </c>
      <c r="DR196" s="161" t="str">
        <f t="shared" si="319"/>
        <v/>
      </c>
      <c r="DS196" s="161" t="str">
        <f t="shared" si="320"/>
        <v/>
      </c>
      <c r="DT196" s="161" t="str">
        <f t="shared" si="321"/>
        <v/>
      </c>
      <c r="DU196" s="161" t="str">
        <f t="shared" si="322"/>
        <v/>
      </c>
      <c r="DV196" s="161" t="str">
        <f t="shared" si="323"/>
        <v/>
      </c>
      <c r="DW196" s="161" t="str">
        <f t="shared" si="324"/>
        <v/>
      </c>
      <c r="DX196" s="161" t="str">
        <f t="shared" si="325"/>
        <v/>
      </c>
      <c r="DY196" s="161" t="str">
        <f t="shared" si="326"/>
        <v/>
      </c>
      <c r="DZ196" s="161" t="str">
        <f t="shared" si="327"/>
        <v/>
      </c>
      <c r="EA196" s="161" t="str">
        <f t="shared" si="328"/>
        <v/>
      </c>
      <c r="EB196" s="161" t="str">
        <f t="shared" si="329"/>
        <v/>
      </c>
      <c r="EC196" s="161" t="str">
        <f t="shared" si="330"/>
        <v/>
      </c>
      <c r="ED196" s="161" t="str">
        <f t="shared" si="331"/>
        <v/>
      </c>
      <c r="EE196" s="161" t="str">
        <f t="shared" si="332"/>
        <v/>
      </c>
      <c r="EF196" s="161" t="str">
        <f t="shared" si="333"/>
        <v/>
      </c>
      <c r="EG196" s="161" t="str">
        <f t="shared" si="334"/>
        <v/>
      </c>
      <c r="EH196" s="161" t="str">
        <f t="shared" si="335"/>
        <v/>
      </c>
      <c r="EI196" s="161" t="str">
        <f t="shared" si="336"/>
        <v/>
      </c>
      <c r="EJ196" s="161" t="str">
        <f t="shared" si="337"/>
        <v/>
      </c>
      <c r="EK196" s="147" t="str">
        <f t="shared" si="251"/>
        <v/>
      </c>
      <c r="EL196" s="149"/>
      <c r="EN196" s="146"/>
      <c r="EO196" s="146"/>
      <c r="EP196" s="139" t="str">
        <f t="shared" si="252"/>
        <v/>
      </c>
      <c r="EQ196" s="139" t="str">
        <f t="shared" si="253"/>
        <v/>
      </c>
      <c r="ER196" s="139" t="str">
        <f t="shared" si="254"/>
        <v/>
      </c>
      <c r="ES196" s="139" t="str">
        <f t="shared" si="255"/>
        <v/>
      </c>
      <c r="ET196" s="139" t="str">
        <f t="shared" si="256"/>
        <v/>
      </c>
      <c r="EU196" s="139" t="str">
        <f t="shared" si="257"/>
        <v/>
      </c>
      <c r="EV196" s="139" t="str">
        <f t="shared" si="258"/>
        <v/>
      </c>
      <c r="EW196" s="139" t="str">
        <f t="shared" si="259"/>
        <v/>
      </c>
      <c r="EX196" s="139" t="str">
        <f t="shared" si="260"/>
        <v/>
      </c>
      <c r="EY196" s="139" t="str">
        <f t="shared" si="261"/>
        <v/>
      </c>
      <c r="EZ196" s="139" t="str">
        <f t="shared" si="262"/>
        <v/>
      </c>
      <c r="FA196" s="139" t="str">
        <f t="shared" si="263"/>
        <v/>
      </c>
      <c r="FB196" s="139" t="str">
        <f t="shared" si="264"/>
        <v/>
      </c>
      <c r="FC196" s="139" t="str">
        <f t="shared" si="265"/>
        <v/>
      </c>
      <c r="FD196" s="139" t="str">
        <f t="shared" si="266"/>
        <v/>
      </c>
      <c r="FE196" s="139" t="str">
        <f t="shared" si="267"/>
        <v/>
      </c>
      <c r="FF196" s="139" t="str">
        <f t="shared" si="268"/>
        <v/>
      </c>
      <c r="FG196" s="139" t="str">
        <f t="shared" si="269"/>
        <v/>
      </c>
      <c r="FH196" s="139" t="str">
        <f t="shared" si="270"/>
        <v/>
      </c>
      <c r="FI196" s="139" t="str">
        <f t="shared" si="271"/>
        <v/>
      </c>
      <c r="FJ196" s="139" t="str">
        <f t="shared" si="272"/>
        <v/>
      </c>
      <c r="FK196" s="139" t="str">
        <f t="shared" si="273"/>
        <v/>
      </c>
      <c r="FL196" s="139" t="str">
        <f t="shared" si="274"/>
        <v/>
      </c>
      <c r="FM196" s="139" t="str">
        <f t="shared" si="275"/>
        <v/>
      </c>
      <c r="FN196" s="139" t="str">
        <f t="shared" si="276"/>
        <v/>
      </c>
      <c r="FO196" s="139" t="str">
        <f t="shared" si="277"/>
        <v/>
      </c>
      <c r="FP196" s="139" t="str">
        <f t="shared" si="278"/>
        <v/>
      </c>
      <c r="FQ196" s="139" t="str">
        <f t="shared" si="279"/>
        <v/>
      </c>
      <c r="FR196" s="139" t="str">
        <f t="shared" si="280"/>
        <v/>
      </c>
      <c r="FS196" s="139" t="str">
        <f t="shared" si="281"/>
        <v/>
      </c>
      <c r="FT196" s="139" t="str">
        <f t="shared" si="282"/>
        <v/>
      </c>
      <c r="FU196" s="148" t="str">
        <f t="shared" si="283"/>
        <v/>
      </c>
      <c r="FV196" s="149"/>
      <c r="FY196" s="211">
        <v>191</v>
      </c>
      <c r="FZ196">
        <v>1.0235066323802444</v>
      </c>
      <c r="GA196">
        <v>0.38735017759921181</v>
      </c>
      <c r="GB196">
        <v>7.9203986612074825E-2</v>
      </c>
      <c r="GC196">
        <v>0.14859665052880378</v>
      </c>
      <c r="GD196">
        <v>8.0173661321021189E-2</v>
      </c>
      <c r="GE196">
        <v>0</v>
      </c>
      <c r="GF196">
        <v>0.33021050058332063</v>
      </c>
      <c r="GG196">
        <v>0.29759236750664797</v>
      </c>
      <c r="GH196">
        <v>0</v>
      </c>
      <c r="GI196">
        <v>0.28148995621019335</v>
      </c>
      <c r="GJ196"/>
      <c r="GK196">
        <v>1.0259115330665685</v>
      </c>
      <c r="GL196">
        <v>0.33331521555783822</v>
      </c>
      <c r="GM196">
        <v>0.13091770120800852</v>
      </c>
      <c r="GN196">
        <v>0.44573189690518267</v>
      </c>
      <c r="GO196">
        <v>0.31481419569717417</v>
      </c>
      <c r="GP196">
        <v>0</v>
      </c>
      <c r="GQ196">
        <v>0.45369793096285549</v>
      </c>
      <c r="GR196">
        <v>0.45369793096285549</v>
      </c>
      <c r="GS196">
        <v>0</v>
      </c>
      <c r="GT196">
        <v>0.38506827218692136</v>
      </c>
      <c r="GU196"/>
      <c r="GV196"/>
      <c r="GW196"/>
      <c r="GX196"/>
      <c r="GY196"/>
      <c r="GZ196"/>
      <c r="HA196"/>
      <c r="HB196"/>
      <c r="HC196"/>
    </row>
    <row r="197" spans="1:211" s="7" customFormat="1">
      <c r="A197" s="1"/>
      <c r="B197" s="76" t="str">
        <f t="shared" ca="1" si="250"/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1.7114583333333335</v>
      </c>
      <c r="AO197">
        <v>0.23443266475602656</v>
      </c>
      <c r="AP197">
        <v>5.5671788879444337</v>
      </c>
      <c r="AQ197">
        <v>1.8119179481154488</v>
      </c>
      <c r="AR197">
        <v>0.26087992251620745</v>
      </c>
      <c r="AS197">
        <v>1.5331274604787317</v>
      </c>
      <c r="AT197" t="e">
        <v>#DIV/0!</v>
      </c>
      <c r="AU197" t="e">
        <v>#DIV/0!</v>
      </c>
      <c r="AV197"/>
      <c r="AW197"/>
      <c r="AX197" s="146"/>
      <c r="AY197" s="76" t="str">
        <f t="shared" ca="1" si="173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8"/>
        <v/>
      </c>
      <c r="CL197" s="179" t="str">
        <f t="shared" si="209"/>
        <v/>
      </c>
      <c r="CM197" s="180" t="str">
        <f t="shared" si="210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11"/>
        <v/>
      </c>
      <c r="DB197" s="146"/>
      <c r="DC197" s="76" t="str">
        <f t="shared" ca="1" si="174"/>
        <v/>
      </c>
      <c r="DD197" t="str">
        <f t="shared" si="212"/>
        <v/>
      </c>
      <c r="DE197" s="129" t="str">
        <f t="shared" si="284"/>
        <v/>
      </c>
      <c r="DF197" s="161" t="str">
        <f t="shared" si="285"/>
        <v/>
      </c>
      <c r="DG197" s="161" t="str">
        <f t="shared" si="286"/>
        <v/>
      </c>
      <c r="DH197" s="161" t="str">
        <f t="shared" si="287"/>
        <v/>
      </c>
      <c r="DI197" s="161" t="str">
        <f t="shared" si="288"/>
        <v/>
      </c>
      <c r="DJ197" s="161" t="str">
        <f t="shared" si="289"/>
        <v/>
      </c>
      <c r="DK197" s="161" t="str">
        <f t="shared" si="290"/>
        <v/>
      </c>
      <c r="DL197" s="161" t="str">
        <f t="shared" si="291"/>
        <v/>
      </c>
      <c r="DM197" s="161" t="str">
        <f t="shared" si="292"/>
        <v/>
      </c>
      <c r="DN197" s="161" t="str">
        <f t="shared" si="315"/>
        <v/>
      </c>
      <c r="DO197" s="161" t="str">
        <f t="shared" si="316"/>
        <v/>
      </c>
      <c r="DP197" s="161" t="str">
        <f t="shared" si="317"/>
        <v/>
      </c>
      <c r="DQ197" s="161" t="str">
        <f t="shared" si="318"/>
        <v/>
      </c>
      <c r="DR197" s="161" t="str">
        <f t="shared" si="319"/>
        <v/>
      </c>
      <c r="DS197" s="161" t="str">
        <f t="shared" si="320"/>
        <v/>
      </c>
      <c r="DT197" s="161" t="str">
        <f t="shared" si="321"/>
        <v/>
      </c>
      <c r="DU197" s="161" t="str">
        <f t="shared" si="322"/>
        <v/>
      </c>
      <c r="DV197" s="161" t="str">
        <f t="shared" si="323"/>
        <v/>
      </c>
      <c r="DW197" s="161" t="str">
        <f t="shared" si="324"/>
        <v/>
      </c>
      <c r="DX197" s="161" t="str">
        <f t="shared" si="325"/>
        <v/>
      </c>
      <c r="DY197" s="161" t="str">
        <f t="shared" si="326"/>
        <v/>
      </c>
      <c r="DZ197" s="161" t="str">
        <f t="shared" si="327"/>
        <v/>
      </c>
      <c r="EA197" s="161" t="str">
        <f t="shared" si="328"/>
        <v/>
      </c>
      <c r="EB197" s="161" t="str">
        <f t="shared" si="329"/>
        <v/>
      </c>
      <c r="EC197" s="161" t="str">
        <f t="shared" si="330"/>
        <v/>
      </c>
      <c r="ED197" s="161" t="str">
        <f t="shared" si="331"/>
        <v/>
      </c>
      <c r="EE197" s="161" t="str">
        <f t="shared" si="332"/>
        <v/>
      </c>
      <c r="EF197" s="161" t="str">
        <f t="shared" si="333"/>
        <v/>
      </c>
      <c r="EG197" s="161" t="str">
        <f t="shared" si="334"/>
        <v/>
      </c>
      <c r="EH197" s="161" t="str">
        <f t="shared" si="335"/>
        <v/>
      </c>
      <c r="EI197" s="161" t="str">
        <f t="shared" si="336"/>
        <v/>
      </c>
      <c r="EJ197" s="161" t="str">
        <f t="shared" si="337"/>
        <v/>
      </c>
      <c r="EK197" s="147" t="str">
        <f t="shared" si="251"/>
        <v/>
      </c>
      <c r="EL197" s="149"/>
      <c r="EN197" s="146"/>
      <c r="EO197" s="146"/>
      <c r="EP197" s="139" t="str">
        <f t="shared" si="252"/>
        <v/>
      </c>
      <c r="EQ197" s="139" t="str">
        <f t="shared" si="253"/>
        <v/>
      </c>
      <c r="ER197" s="139" t="str">
        <f t="shared" si="254"/>
        <v/>
      </c>
      <c r="ES197" s="139" t="str">
        <f t="shared" si="255"/>
        <v/>
      </c>
      <c r="ET197" s="139" t="str">
        <f t="shared" si="256"/>
        <v/>
      </c>
      <c r="EU197" s="139" t="str">
        <f t="shared" si="257"/>
        <v/>
      </c>
      <c r="EV197" s="139" t="str">
        <f t="shared" si="258"/>
        <v/>
      </c>
      <c r="EW197" s="139" t="str">
        <f t="shared" si="259"/>
        <v/>
      </c>
      <c r="EX197" s="139" t="str">
        <f t="shared" si="260"/>
        <v/>
      </c>
      <c r="EY197" s="139" t="str">
        <f t="shared" si="261"/>
        <v/>
      </c>
      <c r="EZ197" s="139" t="str">
        <f t="shared" si="262"/>
        <v/>
      </c>
      <c r="FA197" s="139" t="str">
        <f t="shared" si="263"/>
        <v/>
      </c>
      <c r="FB197" s="139" t="str">
        <f t="shared" si="264"/>
        <v/>
      </c>
      <c r="FC197" s="139" t="str">
        <f t="shared" si="265"/>
        <v/>
      </c>
      <c r="FD197" s="139" t="str">
        <f t="shared" si="266"/>
        <v/>
      </c>
      <c r="FE197" s="139" t="str">
        <f t="shared" si="267"/>
        <v/>
      </c>
      <c r="FF197" s="139" t="str">
        <f t="shared" si="268"/>
        <v/>
      </c>
      <c r="FG197" s="139" t="str">
        <f t="shared" si="269"/>
        <v/>
      </c>
      <c r="FH197" s="139" t="str">
        <f t="shared" si="270"/>
        <v/>
      </c>
      <c r="FI197" s="139" t="str">
        <f t="shared" si="271"/>
        <v/>
      </c>
      <c r="FJ197" s="139" t="str">
        <f t="shared" si="272"/>
        <v/>
      </c>
      <c r="FK197" s="139" t="str">
        <f t="shared" si="273"/>
        <v/>
      </c>
      <c r="FL197" s="139" t="str">
        <f t="shared" si="274"/>
        <v/>
      </c>
      <c r="FM197" s="139" t="str">
        <f t="shared" si="275"/>
        <v/>
      </c>
      <c r="FN197" s="139" t="str">
        <f t="shared" si="276"/>
        <v/>
      </c>
      <c r="FO197" s="139" t="str">
        <f t="shared" si="277"/>
        <v/>
      </c>
      <c r="FP197" s="139" t="str">
        <f t="shared" si="278"/>
        <v/>
      </c>
      <c r="FQ197" s="139" t="str">
        <f t="shared" si="279"/>
        <v/>
      </c>
      <c r="FR197" s="139" t="str">
        <f t="shared" si="280"/>
        <v/>
      </c>
      <c r="FS197" s="139" t="str">
        <f t="shared" si="281"/>
        <v/>
      </c>
      <c r="FT197" s="139" t="str">
        <f t="shared" si="282"/>
        <v/>
      </c>
      <c r="FU197" s="148" t="str">
        <f t="shared" si="283"/>
        <v/>
      </c>
      <c r="FV197" s="149"/>
      <c r="FY197" s="211">
        <v>192</v>
      </c>
      <c r="FZ197">
        <v>0.52342636852393609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0.33021050058332063</v>
      </c>
      <c r="GG197">
        <v>0.29759236750664797</v>
      </c>
      <c r="GH197">
        <v>0</v>
      </c>
      <c r="GI197">
        <v>0.14170028377426383</v>
      </c>
      <c r="GJ197"/>
      <c r="GK197">
        <v>0.52204526372256277</v>
      </c>
      <c r="GL197">
        <v>0</v>
      </c>
      <c r="GM197">
        <v>0</v>
      </c>
      <c r="GN197">
        <v>0</v>
      </c>
      <c r="GO197">
        <v>0</v>
      </c>
      <c r="GP197">
        <v>0</v>
      </c>
      <c r="GQ197">
        <v>0.45369793096285549</v>
      </c>
      <c r="GR197">
        <v>0.45369793096285549</v>
      </c>
      <c r="GS197">
        <v>0</v>
      </c>
      <c r="GT197">
        <v>0.19514863893708367</v>
      </c>
      <c r="GU197"/>
      <c r="GV197"/>
      <c r="GW197"/>
      <c r="GX197"/>
      <c r="GY197"/>
      <c r="GZ197"/>
      <c r="HA197"/>
      <c r="HB197"/>
      <c r="HC197"/>
    </row>
    <row r="198" spans="1:211" s="7" customFormat="1">
      <c r="A198" s="128"/>
      <c r="B198" s="76" t="str">
        <f t="shared" ca="1" si="250"/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3.2166666666666659</v>
      </c>
      <c r="AO198">
        <v>0.29566520701828747</v>
      </c>
      <c r="AP198">
        <v>5.9430412726785216</v>
      </c>
      <c r="AQ198">
        <v>2.4068882713635946</v>
      </c>
      <c r="AR198">
        <v>0.33402405054762302</v>
      </c>
      <c r="AS198">
        <v>2.0024031250229033</v>
      </c>
      <c r="AT198" t="e">
        <v>#DIV/0!</v>
      </c>
      <c r="AU198" t="e">
        <v>#DIV/0!</v>
      </c>
      <c r="AV198"/>
      <c r="AW198"/>
      <c r="AX198" s="128"/>
      <c r="AY198" s="76" t="str">
        <f t="shared" ca="1" si="173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8"/>
        <v/>
      </c>
      <c r="CL198" s="179" t="str">
        <f t="shared" si="209"/>
        <v/>
      </c>
      <c r="CM198" s="180" t="str">
        <f t="shared" si="210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11"/>
        <v/>
      </c>
      <c r="DB198" s="128"/>
      <c r="DC198" s="76" t="str">
        <f t="shared" ca="1" si="174"/>
        <v/>
      </c>
      <c r="DD198" t="str">
        <f t="shared" si="212"/>
        <v/>
      </c>
      <c r="DE198" s="129" t="str">
        <f t="shared" ref="DE198:DE207" si="338">IF((DD198)="", "", $C$15)</f>
        <v/>
      </c>
      <c r="DF198" s="161" t="str">
        <f t="shared" si="285"/>
        <v/>
      </c>
      <c r="DG198" s="161" t="str">
        <f t="shared" si="286"/>
        <v/>
      </c>
      <c r="DH198" s="161" t="str">
        <f t="shared" si="287"/>
        <v/>
      </c>
      <c r="DI198" s="161" t="str">
        <f t="shared" si="288"/>
        <v/>
      </c>
      <c r="DJ198" s="161" t="str">
        <f t="shared" si="289"/>
        <v/>
      </c>
      <c r="DK198" s="161" t="str">
        <f t="shared" si="290"/>
        <v/>
      </c>
      <c r="DL198" s="161" t="str">
        <f t="shared" si="291"/>
        <v/>
      </c>
      <c r="DM198" s="161" t="str">
        <f t="shared" si="292"/>
        <v/>
      </c>
      <c r="DN198" s="161" t="str">
        <f t="shared" si="315"/>
        <v/>
      </c>
      <c r="DO198" s="161" t="str">
        <f t="shared" si="316"/>
        <v/>
      </c>
      <c r="DP198" s="161" t="str">
        <f t="shared" si="317"/>
        <v/>
      </c>
      <c r="DQ198" s="161" t="str">
        <f t="shared" si="318"/>
        <v/>
      </c>
      <c r="DR198" s="161" t="str">
        <f t="shared" si="319"/>
        <v/>
      </c>
      <c r="DS198" s="161" t="str">
        <f t="shared" si="320"/>
        <v/>
      </c>
      <c r="DT198" s="161" t="str">
        <f t="shared" si="321"/>
        <v/>
      </c>
      <c r="DU198" s="161" t="str">
        <f t="shared" si="322"/>
        <v/>
      </c>
      <c r="DV198" s="161" t="str">
        <f t="shared" si="323"/>
        <v/>
      </c>
      <c r="DW198" s="161" t="str">
        <f t="shared" si="324"/>
        <v/>
      </c>
      <c r="DX198" s="161" t="str">
        <f t="shared" si="325"/>
        <v/>
      </c>
      <c r="DY198" s="161" t="str">
        <f t="shared" si="326"/>
        <v/>
      </c>
      <c r="DZ198" s="161" t="str">
        <f t="shared" si="327"/>
        <v/>
      </c>
      <c r="EA198" s="161" t="str">
        <f t="shared" si="328"/>
        <v/>
      </c>
      <c r="EB198" s="161" t="str">
        <f t="shared" si="329"/>
        <v/>
      </c>
      <c r="EC198" s="161" t="str">
        <f t="shared" si="330"/>
        <v/>
      </c>
      <c r="ED198" s="161" t="str">
        <f t="shared" si="331"/>
        <v/>
      </c>
      <c r="EE198" s="161" t="str">
        <f t="shared" si="332"/>
        <v/>
      </c>
      <c r="EF198" s="161" t="str">
        <f t="shared" si="333"/>
        <v/>
      </c>
      <c r="EG198" s="161" t="str">
        <f t="shared" si="334"/>
        <v/>
      </c>
      <c r="EH198" s="161" t="str">
        <f t="shared" si="335"/>
        <v/>
      </c>
      <c r="EI198" s="161" t="str">
        <f t="shared" si="336"/>
        <v/>
      </c>
      <c r="EJ198" s="161" t="str">
        <f t="shared" si="337"/>
        <v/>
      </c>
      <c r="EK198" s="147" t="str">
        <f t="shared" si="251"/>
        <v/>
      </c>
      <c r="EL198" s="149"/>
      <c r="EN198" s="146"/>
      <c r="EO198" s="146"/>
      <c r="EP198" s="139" t="str">
        <f t="shared" si="252"/>
        <v/>
      </c>
      <c r="EQ198" s="139" t="str">
        <f t="shared" si="253"/>
        <v/>
      </c>
      <c r="ER198" s="139" t="str">
        <f t="shared" si="254"/>
        <v/>
      </c>
      <c r="ES198" s="139" t="str">
        <f t="shared" si="255"/>
        <v/>
      </c>
      <c r="ET198" s="139" t="str">
        <f t="shared" si="256"/>
        <v/>
      </c>
      <c r="EU198" s="139" t="str">
        <f t="shared" si="257"/>
        <v/>
      </c>
      <c r="EV198" s="139" t="str">
        <f t="shared" si="258"/>
        <v/>
      </c>
      <c r="EW198" s="139" t="str">
        <f t="shared" si="259"/>
        <v/>
      </c>
      <c r="EX198" s="139" t="str">
        <f t="shared" si="260"/>
        <v/>
      </c>
      <c r="EY198" s="139" t="str">
        <f t="shared" si="261"/>
        <v/>
      </c>
      <c r="EZ198" s="139" t="str">
        <f t="shared" si="262"/>
        <v/>
      </c>
      <c r="FA198" s="139" t="str">
        <f t="shared" si="263"/>
        <v/>
      </c>
      <c r="FB198" s="139" t="str">
        <f t="shared" si="264"/>
        <v/>
      </c>
      <c r="FC198" s="139" t="str">
        <f t="shared" si="265"/>
        <v/>
      </c>
      <c r="FD198" s="139" t="str">
        <f t="shared" si="266"/>
        <v/>
      </c>
      <c r="FE198" s="139" t="str">
        <f t="shared" si="267"/>
        <v/>
      </c>
      <c r="FF198" s="139" t="str">
        <f t="shared" si="268"/>
        <v/>
      </c>
      <c r="FG198" s="139" t="str">
        <f t="shared" si="269"/>
        <v/>
      </c>
      <c r="FH198" s="139" t="str">
        <f t="shared" si="270"/>
        <v/>
      </c>
      <c r="FI198" s="139" t="str">
        <f t="shared" si="271"/>
        <v/>
      </c>
      <c r="FJ198" s="139" t="str">
        <f t="shared" si="272"/>
        <v/>
      </c>
      <c r="FK198" s="139" t="str">
        <f t="shared" si="273"/>
        <v/>
      </c>
      <c r="FL198" s="139" t="str">
        <f t="shared" si="274"/>
        <v/>
      </c>
      <c r="FM198" s="139" t="str">
        <f t="shared" si="275"/>
        <v/>
      </c>
      <c r="FN198" s="139" t="str">
        <f t="shared" si="276"/>
        <v/>
      </c>
      <c r="FO198" s="139" t="str">
        <f t="shared" si="277"/>
        <v/>
      </c>
      <c r="FP198" s="139" t="str">
        <f t="shared" si="278"/>
        <v/>
      </c>
      <c r="FQ198" s="139" t="str">
        <f t="shared" si="279"/>
        <v/>
      </c>
      <c r="FR198" s="139" t="str">
        <f t="shared" si="280"/>
        <v/>
      </c>
      <c r="FS198" s="139" t="str">
        <f t="shared" si="281"/>
        <v/>
      </c>
      <c r="FT198" s="139" t="str">
        <f t="shared" si="282"/>
        <v/>
      </c>
      <c r="FU198" s="148" t="str">
        <f t="shared" si="283"/>
        <v/>
      </c>
      <c r="FV198" s="149"/>
      <c r="FY198" s="211">
        <v>193</v>
      </c>
      <c r="FZ198">
        <v>0.90606911830585135</v>
      </c>
      <c r="GA198">
        <v>0</v>
      </c>
      <c r="GB198">
        <v>7.9203986612074825E-2</v>
      </c>
      <c r="GC198">
        <v>4.4138825651920163E-2</v>
      </c>
      <c r="GD198">
        <v>0</v>
      </c>
      <c r="GE198">
        <v>0</v>
      </c>
      <c r="GF198">
        <v>0.33021050058332063</v>
      </c>
      <c r="GG198">
        <v>0.29759236750664797</v>
      </c>
      <c r="GH198">
        <v>0</v>
      </c>
      <c r="GI198">
        <v>0.21759753443496022</v>
      </c>
      <c r="GJ198"/>
      <c r="GK198">
        <v>0.91229204429935118</v>
      </c>
      <c r="GL198">
        <v>0</v>
      </c>
      <c r="GM198">
        <v>0.13091770120800852</v>
      </c>
      <c r="GN198">
        <v>0.13091770120800852</v>
      </c>
      <c r="GO198">
        <v>0</v>
      </c>
      <c r="GP198">
        <v>0</v>
      </c>
      <c r="GQ198">
        <v>0.45369793096285549</v>
      </c>
      <c r="GR198">
        <v>0.45369793096285549</v>
      </c>
      <c r="GS198">
        <v>0</v>
      </c>
      <c r="GT198">
        <v>0.29938153529404304</v>
      </c>
      <c r="GU198"/>
      <c r="GV198"/>
      <c r="GW198"/>
      <c r="GX198"/>
      <c r="GY198"/>
      <c r="GZ198"/>
      <c r="HA198"/>
      <c r="HB198"/>
      <c r="HC198"/>
    </row>
    <row r="199" spans="1:211" s="7" customFormat="1">
      <c r="A199" s="1"/>
      <c r="B199" s="76" t="str">
        <f t="shared" ca="1" si="250"/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2.302083333333333</v>
      </c>
      <c r="AO199">
        <v>0.28047670815823411</v>
      </c>
      <c r="AP199">
        <v>9.0299583239354018</v>
      </c>
      <c r="AQ199">
        <v>1.9322471109960488</v>
      </c>
      <c r="AR199">
        <v>0.3095960634101117</v>
      </c>
      <c r="AS199">
        <v>1.7473042642044283</v>
      </c>
      <c r="AT199" t="e">
        <v>#DIV/0!</v>
      </c>
      <c r="AU199" t="e">
        <v>#DIV/0!</v>
      </c>
      <c r="AV199"/>
      <c r="AW199"/>
      <c r="AX199" s="146"/>
      <c r="AY199" s="76" t="str">
        <f t="shared" ca="1" si="173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8"/>
        <v/>
      </c>
      <c r="CL199" s="179" t="str">
        <f t="shared" si="209"/>
        <v/>
      </c>
      <c r="CM199" s="180" t="str">
        <f t="shared" si="210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11"/>
        <v/>
      </c>
      <c r="DB199" s="146"/>
      <c r="DC199" s="76" t="str">
        <f t="shared" ca="1" si="174"/>
        <v/>
      </c>
      <c r="DD199" t="str">
        <f t="shared" si="212"/>
        <v/>
      </c>
      <c r="DE199" s="129" t="str">
        <f t="shared" si="338"/>
        <v/>
      </c>
      <c r="DF199" s="161" t="str">
        <f t="shared" si="285"/>
        <v/>
      </c>
      <c r="DG199" s="161" t="str">
        <f t="shared" si="286"/>
        <v/>
      </c>
      <c r="DH199" s="161" t="str">
        <f t="shared" si="287"/>
        <v/>
      </c>
      <c r="DI199" s="161" t="str">
        <f t="shared" si="288"/>
        <v/>
      </c>
      <c r="DJ199" s="161" t="str">
        <f t="shared" si="289"/>
        <v/>
      </c>
      <c r="DK199" s="161" t="str">
        <f t="shared" si="290"/>
        <v/>
      </c>
      <c r="DL199" s="161" t="str">
        <f t="shared" si="291"/>
        <v/>
      </c>
      <c r="DM199" s="161" t="str">
        <f t="shared" si="292"/>
        <v/>
      </c>
      <c r="DN199" s="161" t="str">
        <f t="shared" si="315"/>
        <v/>
      </c>
      <c r="DO199" s="161" t="str">
        <f t="shared" si="316"/>
        <v/>
      </c>
      <c r="DP199" s="161" t="str">
        <f t="shared" si="317"/>
        <v/>
      </c>
      <c r="DQ199" s="161" t="str">
        <f t="shared" si="318"/>
        <v/>
      </c>
      <c r="DR199" s="161" t="str">
        <f t="shared" si="319"/>
        <v/>
      </c>
      <c r="DS199" s="161" t="str">
        <f t="shared" si="320"/>
        <v/>
      </c>
      <c r="DT199" s="161" t="str">
        <f t="shared" si="321"/>
        <v/>
      </c>
      <c r="DU199" s="161" t="str">
        <f t="shared" si="322"/>
        <v/>
      </c>
      <c r="DV199" s="161" t="str">
        <f t="shared" si="323"/>
        <v/>
      </c>
      <c r="DW199" s="161" t="str">
        <f t="shared" si="324"/>
        <v/>
      </c>
      <c r="DX199" s="161" t="str">
        <f t="shared" si="325"/>
        <v/>
      </c>
      <c r="DY199" s="161" t="str">
        <f t="shared" si="326"/>
        <v/>
      </c>
      <c r="DZ199" s="161" t="str">
        <f t="shared" si="327"/>
        <v/>
      </c>
      <c r="EA199" s="161" t="str">
        <f t="shared" si="328"/>
        <v/>
      </c>
      <c r="EB199" s="161" t="str">
        <f t="shared" si="329"/>
        <v/>
      </c>
      <c r="EC199" s="161" t="str">
        <f t="shared" si="330"/>
        <v/>
      </c>
      <c r="ED199" s="161" t="str">
        <f t="shared" si="331"/>
        <v/>
      </c>
      <c r="EE199" s="161" t="str">
        <f t="shared" si="332"/>
        <v/>
      </c>
      <c r="EF199" s="161" t="str">
        <f t="shared" si="333"/>
        <v/>
      </c>
      <c r="EG199" s="161" t="str">
        <f t="shared" si="334"/>
        <v/>
      </c>
      <c r="EH199" s="161" t="str">
        <f t="shared" si="335"/>
        <v/>
      </c>
      <c r="EI199" s="161" t="str">
        <f t="shared" si="336"/>
        <v/>
      </c>
      <c r="EJ199" s="161" t="str">
        <f t="shared" si="337"/>
        <v/>
      </c>
      <c r="EK199" s="147" t="str">
        <f t="shared" si="251"/>
        <v/>
      </c>
      <c r="EL199" s="149"/>
      <c r="EN199" s="146"/>
      <c r="EO199" s="146"/>
      <c r="EP199" s="139" t="str">
        <f t="shared" si="252"/>
        <v/>
      </c>
      <c r="EQ199" s="139" t="str">
        <f t="shared" si="253"/>
        <v/>
      </c>
      <c r="ER199" s="139" t="str">
        <f t="shared" si="254"/>
        <v/>
      </c>
      <c r="ES199" s="139" t="str">
        <f t="shared" si="255"/>
        <v/>
      </c>
      <c r="ET199" s="139" t="str">
        <f t="shared" si="256"/>
        <v/>
      </c>
      <c r="EU199" s="139" t="str">
        <f t="shared" si="257"/>
        <v/>
      </c>
      <c r="EV199" s="139" t="str">
        <f t="shared" si="258"/>
        <v/>
      </c>
      <c r="EW199" s="139" t="str">
        <f t="shared" si="259"/>
        <v/>
      </c>
      <c r="EX199" s="139" t="str">
        <f t="shared" si="260"/>
        <v/>
      </c>
      <c r="EY199" s="139" t="str">
        <f t="shared" si="261"/>
        <v/>
      </c>
      <c r="EZ199" s="139" t="str">
        <f t="shared" si="262"/>
        <v/>
      </c>
      <c r="FA199" s="139" t="str">
        <f t="shared" si="263"/>
        <v/>
      </c>
      <c r="FB199" s="139" t="str">
        <f t="shared" si="264"/>
        <v/>
      </c>
      <c r="FC199" s="139" t="str">
        <f t="shared" si="265"/>
        <v/>
      </c>
      <c r="FD199" s="139" t="str">
        <f t="shared" si="266"/>
        <v/>
      </c>
      <c r="FE199" s="139" t="str">
        <f t="shared" si="267"/>
        <v/>
      </c>
      <c r="FF199" s="139" t="str">
        <f t="shared" si="268"/>
        <v/>
      </c>
      <c r="FG199" s="139" t="str">
        <f t="shared" si="269"/>
        <v/>
      </c>
      <c r="FH199" s="139" t="str">
        <f t="shared" si="270"/>
        <v/>
      </c>
      <c r="FI199" s="139" t="str">
        <f t="shared" si="271"/>
        <v/>
      </c>
      <c r="FJ199" s="139" t="str">
        <f t="shared" si="272"/>
        <v/>
      </c>
      <c r="FK199" s="139" t="str">
        <f t="shared" si="273"/>
        <v/>
      </c>
      <c r="FL199" s="139" t="str">
        <f t="shared" si="274"/>
        <v/>
      </c>
      <c r="FM199" s="139" t="str">
        <f t="shared" si="275"/>
        <v/>
      </c>
      <c r="FN199" s="139" t="str">
        <f t="shared" si="276"/>
        <v/>
      </c>
      <c r="FO199" s="139" t="str">
        <f t="shared" si="277"/>
        <v/>
      </c>
      <c r="FP199" s="139" t="str">
        <f t="shared" si="278"/>
        <v/>
      </c>
      <c r="FQ199" s="139" t="str">
        <f t="shared" si="279"/>
        <v/>
      </c>
      <c r="FR199" s="139" t="str">
        <f t="shared" si="280"/>
        <v/>
      </c>
      <c r="FS199" s="139" t="str">
        <f t="shared" si="281"/>
        <v/>
      </c>
      <c r="FT199" s="139" t="str">
        <f t="shared" si="282"/>
        <v/>
      </c>
      <c r="FU199" s="148" t="str">
        <f t="shared" si="283"/>
        <v/>
      </c>
      <c r="FV199" s="149"/>
      <c r="FY199" s="211">
        <v>194</v>
      </c>
      <c r="FZ199">
        <v>1.642910856911306</v>
      </c>
      <c r="GA199">
        <v>1.2493010069161121</v>
      </c>
      <c r="GB199">
        <v>0.204855832097669</v>
      </c>
      <c r="GC199">
        <v>0.21823520044672617</v>
      </c>
      <c r="GD199">
        <v>8.0173661321021189E-2</v>
      </c>
      <c r="GE199">
        <v>0</v>
      </c>
      <c r="GF199">
        <v>0.66042100116664126</v>
      </c>
      <c r="GG199">
        <v>0.59518473501329594</v>
      </c>
      <c r="GH199">
        <v>0</v>
      </c>
      <c r="GI199">
        <v>0.46801697452238616</v>
      </c>
      <c r="GJ199"/>
      <c r="GK199">
        <v>1.6545792307635732</v>
      </c>
      <c r="GL199">
        <v>1.073686155902764</v>
      </c>
      <c r="GM199">
        <v>0.34079383167279126</v>
      </c>
      <c r="GN199">
        <v>0.65560802736996537</v>
      </c>
      <c r="GO199">
        <v>0.31481419569717417</v>
      </c>
      <c r="GP199">
        <v>0</v>
      </c>
      <c r="GQ199">
        <v>0.90739586192571098</v>
      </c>
      <c r="GR199">
        <v>0.90739586192571098</v>
      </c>
      <c r="GS199">
        <v>0</v>
      </c>
      <c r="GT199">
        <v>0.64351662401184984</v>
      </c>
      <c r="GU199"/>
      <c r="GV199"/>
      <c r="GW199"/>
      <c r="GX199"/>
      <c r="GY199"/>
      <c r="GZ199"/>
      <c r="HA199"/>
      <c r="HB199"/>
      <c r="HC199"/>
    </row>
    <row r="200" spans="1:211" s="7" customFormat="1">
      <c r="A200" s="1"/>
      <c r="B200" s="76" t="str">
        <f t="shared" ca="1" si="250"/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1.1875</v>
      </c>
      <c r="AO200">
        <v>7.9585595470248488E-2</v>
      </c>
      <c r="AP200">
        <v>0</v>
      </c>
      <c r="AQ200">
        <v>0.75961626876571153</v>
      </c>
      <c r="AR200">
        <v>0.13264265911708079</v>
      </c>
      <c r="AS200">
        <v>1.0493820695377742</v>
      </c>
      <c r="AT200" t="e">
        <v>#DIV/0!</v>
      </c>
      <c r="AU200" t="e">
        <v>#DIV/0!</v>
      </c>
      <c r="AV200"/>
      <c r="AW200"/>
      <c r="AX200" s="146"/>
      <c r="AY200" s="76" t="str">
        <f t="shared" ca="1" si="173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8"/>
        <v/>
      </c>
      <c r="CL200" s="179" t="str">
        <f t="shared" si="209"/>
        <v/>
      </c>
      <c r="CM200" s="180" t="str">
        <f t="shared" si="210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11"/>
        <v/>
      </c>
      <c r="DB200" s="146"/>
      <c r="DC200" s="76" t="str">
        <f t="shared" ca="1" si="174"/>
        <v/>
      </c>
      <c r="DD200" t="str">
        <f t="shared" si="212"/>
        <v/>
      </c>
      <c r="DE200" s="129" t="str">
        <f t="shared" si="338"/>
        <v/>
      </c>
      <c r="DF200" s="161" t="str">
        <f t="shared" si="285"/>
        <v/>
      </c>
      <c r="DG200" s="161" t="str">
        <f t="shared" si="286"/>
        <v/>
      </c>
      <c r="DH200" s="161" t="str">
        <f t="shared" si="287"/>
        <v/>
      </c>
      <c r="DI200" s="161" t="str">
        <f t="shared" si="288"/>
        <v/>
      </c>
      <c r="DJ200" s="161" t="str">
        <f t="shared" si="289"/>
        <v/>
      </c>
      <c r="DK200" s="161" t="str">
        <f t="shared" si="290"/>
        <v/>
      </c>
      <c r="DL200" s="161" t="str">
        <f t="shared" si="291"/>
        <v/>
      </c>
      <c r="DM200" s="161" t="str">
        <f t="shared" si="292"/>
        <v/>
      </c>
      <c r="DN200" s="161" t="str">
        <f t="shared" si="315"/>
        <v/>
      </c>
      <c r="DO200" s="161" t="str">
        <f t="shared" si="316"/>
        <v/>
      </c>
      <c r="DP200" s="161" t="str">
        <f t="shared" si="317"/>
        <v/>
      </c>
      <c r="DQ200" s="161" t="str">
        <f t="shared" si="318"/>
        <v/>
      </c>
      <c r="DR200" s="161" t="str">
        <f t="shared" si="319"/>
        <v/>
      </c>
      <c r="DS200" s="161" t="str">
        <f t="shared" si="320"/>
        <v/>
      </c>
      <c r="DT200" s="161" t="str">
        <f t="shared" si="321"/>
        <v/>
      </c>
      <c r="DU200" s="161" t="str">
        <f t="shared" si="322"/>
        <v/>
      </c>
      <c r="DV200" s="161" t="str">
        <f t="shared" si="323"/>
        <v/>
      </c>
      <c r="DW200" s="161" t="str">
        <f t="shared" si="324"/>
        <v/>
      </c>
      <c r="DX200" s="161" t="str">
        <f t="shared" si="325"/>
        <v/>
      </c>
      <c r="DY200" s="161" t="str">
        <f t="shared" si="326"/>
        <v/>
      </c>
      <c r="DZ200" s="161" t="str">
        <f t="shared" si="327"/>
        <v/>
      </c>
      <c r="EA200" s="161" t="str">
        <f t="shared" si="328"/>
        <v/>
      </c>
      <c r="EB200" s="161" t="str">
        <f t="shared" si="329"/>
        <v/>
      </c>
      <c r="EC200" s="161" t="str">
        <f t="shared" si="330"/>
        <v/>
      </c>
      <c r="ED200" s="161" t="str">
        <f t="shared" si="331"/>
        <v/>
      </c>
      <c r="EE200" s="161" t="str">
        <f t="shared" si="332"/>
        <v/>
      </c>
      <c r="EF200" s="161" t="str">
        <f t="shared" si="333"/>
        <v/>
      </c>
      <c r="EG200" s="161" t="str">
        <f t="shared" si="334"/>
        <v/>
      </c>
      <c r="EH200" s="161" t="str">
        <f t="shared" si="335"/>
        <v/>
      </c>
      <c r="EI200" s="161" t="str">
        <f t="shared" si="336"/>
        <v/>
      </c>
      <c r="EJ200" s="161" t="str">
        <f t="shared" si="337"/>
        <v/>
      </c>
      <c r="EK200" s="147" t="str">
        <f t="shared" si="251"/>
        <v/>
      </c>
      <c r="EL200" s="149"/>
      <c r="EN200" s="146"/>
      <c r="EO200" s="146"/>
      <c r="EP200" s="139" t="str">
        <f t="shared" si="252"/>
        <v/>
      </c>
      <c r="EQ200" s="139" t="str">
        <f t="shared" si="253"/>
        <v/>
      </c>
      <c r="ER200" s="139" t="str">
        <f t="shared" si="254"/>
        <v/>
      </c>
      <c r="ES200" s="139" t="str">
        <f t="shared" si="255"/>
        <v/>
      </c>
      <c r="ET200" s="139" t="str">
        <f t="shared" si="256"/>
        <v/>
      </c>
      <c r="EU200" s="139" t="str">
        <f t="shared" si="257"/>
        <v/>
      </c>
      <c r="EV200" s="139" t="str">
        <f t="shared" si="258"/>
        <v/>
      </c>
      <c r="EW200" s="139" t="str">
        <f t="shared" si="259"/>
        <v/>
      </c>
      <c r="EX200" s="139" t="str">
        <f t="shared" si="260"/>
        <v/>
      </c>
      <c r="EY200" s="139" t="str">
        <f t="shared" si="261"/>
        <v/>
      </c>
      <c r="EZ200" s="139" t="str">
        <f t="shared" si="262"/>
        <v/>
      </c>
      <c r="FA200" s="139" t="str">
        <f t="shared" si="263"/>
        <v/>
      </c>
      <c r="FB200" s="139" t="str">
        <f t="shared" si="264"/>
        <v/>
      </c>
      <c r="FC200" s="139" t="str">
        <f t="shared" si="265"/>
        <v/>
      </c>
      <c r="FD200" s="139" t="str">
        <f t="shared" si="266"/>
        <v/>
      </c>
      <c r="FE200" s="139" t="str">
        <f t="shared" si="267"/>
        <v/>
      </c>
      <c r="FF200" s="139" t="str">
        <f t="shared" si="268"/>
        <v/>
      </c>
      <c r="FG200" s="139" t="str">
        <f t="shared" si="269"/>
        <v/>
      </c>
      <c r="FH200" s="139" t="str">
        <f t="shared" si="270"/>
        <v/>
      </c>
      <c r="FI200" s="139" t="str">
        <f t="shared" si="271"/>
        <v/>
      </c>
      <c r="FJ200" s="139" t="str">
        <f t="shared" si="272"/>
        <v/>
      </c>
      <c r="FK200" s="139" t="str">
        <f t="shared" si="273"/>
        <v/>
      </c>
      <c r="FL200" s="139" t="str">
        <f t="shared" si="274"/>
        <v/>
      </c>
      <c r="FM200" s="139" t="str">
        <f t="shared" si="275"/>
        <v/>
      </c>
      <c r="FN200" s="139" t="str">
        <f t="shared" si="276"/>
        <v/>
      </c>
      <c r="FO200" s="139" t="str">
        <f t="shared" si="277"/>
        <v/>
      </c>
      <c r="FP200" s="139" t="str">
        <f t="shared" si="278"/>
        <v/>
      </c>
      <c r="FQ200" s="139" t="str">
        <f t="shared" si="279"/>
        <v/>
      </c>
      <c r="FR200" s="139" t="str">
        <f t="shared" si="280"/>
        <v/>
      </c>
      <c r="FS200" s="139" t="str">
        <f t="shared" si="281"/>
        <v/>
      </c>
      <c r="FT200" s="139" t="str">
        <f t="shared" si="282"/>
        <v/>
      </c>
      <c r="FU200" s="148" t="str">
        <f t="shared" si="283"/>
        <v/>
      </c>
      <c r="FV200" s="149"/>
      <c r="FY200" s="211">
        <v>195</v>
      </c>
      <c r="FZ200">
        <v>1.2820820719568622</v>
      </c>
      <c r="GA200">
        <v>0.77470035519842362</v>
      </c>
      <c r="GB200">
        <v>0.23761195983622446</v>
      </c>
      <c r="GC200">
        <v>0.16723575191472168</v>
      </c>
      <c r="GD200">
        <v>2.6724553773673727E-2</v>
      </c>
      <c r="GE200">
        <v>0</v>
      </c>
      <c r="GF200">
        <v>0.33021050058332063</v>
      </c>
      <c r="GG200">
        <v>0.29759236750664797</v>
      </c>
      <c r="GH200">
        <v>0</v>
      </c>
      <c r="GI200">
        <v>0.32757591026521682</v>
      </c>
      <c r="GJ200"/>
      <c r="GK200">
        <v>1.2890621079134266</v>
      </c>
      <c r="GL200">
        <v>0.66663043111567644</v>
      </c>
      <c r="GM200">
        <v>0.39275310362402555</v>
      </c>
      <c r="GN200">
        <v>0.4976911688564169</v>
      </c>
      <c r="GO200">
        <v>0.10493806523239137</v>
      </c>
      <c r="GP200">
        <v>0</v>
      </c>
      <c r="GQ200">
        <v>0.45369793096285549</v>
      </c>
      <c r="GR200">
        <v>0.45369793096285549</v>
      </c>
      <c r="GS200">
        <v>0</v>
      </c>
      <c r="GT200">
        <v>0.44809024154653987</v>
      </c>
      <c r="GU200"/>
      <c r="GV200"/>
      <c r="GW200"/>
      <c r="GX200"/>
      <c r="GY200"/>
      <c r="GZ200"/>
      <c r="HA200"/>
      <c r="HB200"/>
      <c r="HC200"/>
    </row>
    <row r="201" spans="1:211" s="7" customFormat="1">
      <c r="A201" s="1"/>
      <c r="B201" s="76" t="str">
        <f t="shared" ca="1" si="250"/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2.5031249999999998</v>
      </c>
      <c r="AO201">
        <v>0.28121761663199873</v>
      </c>
      <c r="AP201">
        <v>4.3388475198375653</v>
      </c>
      <c r="AQ201">
        <v>2.2405960295097787</v>
      </c>
      <c r="AR201">
        <v>0.32656475743795288</v>
      </c>
      <c r="AS201">
        <v>2.0464383476858177</v>
      </c>
      <c r="AT201" t="e">
        <v>#DIV/0!</v>
      </c>
      <c r="AU201" t="e">
        <v>#DIV/0!</v>
      </c>
      <c r="AV201"/>
      <c r="AW201"/>
      <c r="AX201" s="146"/>
      <c r="AY201" s="76" t="str">
        <f t="shared" ca="1" si="173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8"/>
        <v/>
      </c>
      <c r="CL201" s="179" t="str">
        <f t="shared" si="209"/>
        <v/>
      </c>
      <c r="CM201" s="180" t="str">
        <f t="shared" si="210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11"/>
        <v/>
      </c>
      <c r="DB201" s="146"/>
      <c r="DC201" s="76" t="str">
        <f t="shared" ca="1" si="174"/>
        <v/>
      </c>
      <c r="DD201" t="str">
        <f t="shared" si="212"/>
        <v/>
      </c>
      <c r="DE201" s="129" t="str">
        <f t="shared" si="338"/>
        <v/>
      </c>
      <c r="DF201" s="161" t="str">
        <f t="shared" si="285"/>
        <v/>
      </c>
      <c r="DG201" s="161" t="str">
        <f t="shared" si="286"/>
        <v/>
      </c>
      <c r="DH201" s="161" t="str">
        <f t="shared" si="287"/>
        <v/>
      </c>
      <c r="DI201" s="161" t="str">
        <f t="shared" si="288"/>
        <v/>
      </c>
      <c r="DJ201" s="161" t="str">
        <f t="shared" si="289"/>
        <v/>
      </c>
      <c r="DK201" s="161" t="str">
        <f t="shared" si="290"/>
        <v/>
      </c>
      <c r="DL201" s="161" t="str">
        <f t="shared" si="291"/>
        <v/>
      </c>
      <c r="DM201" s="161" t="str">
        <f t="shared" si="292"/>
        <v/>
      </c>
      <c r="DN201" s="161" t="str">
        <f t="shared" si="315"/>
        <v/>
      </c>
      <c r="DO201" s="161" t="str">
        <f t="shared" si="316"/>
        <v/>
      </c>
      <c r="DP201" s="161" t="str">
        <f t="shared" si="317"/>
        <v/>
      </c>
      <c r="DQ201" s="161" t="str">
        <f t="shared" si="318"/>
        <v/>
      </c>
      <c r="DR201" s="161" t="str">
        <f t="shared" si="319"/>
        <v/>
      </c>
      <c r="DS201" s="161" t="str">
        <f t="shared" si="320"/>
        <v/>
      </c>
      <c r="DT201" s="161" t="str">
        <f t="shared" si="321"/>
        <v/>
      </c>
      <c r="DU201" s="161" t="str">
        <f t="shared" si="322"/>
        <v/>
      </c>
      <c r="DV201" s="161" t="str">
        <f t="shared" si="323"/>
        <v/>
      </c>
      <c r="DW201" s="161" t="str">
        <f t="shared" si="324"/>
        <v/>
      </c>
      <c r="DX201" s="161" t="str">
        <f t="shared" si="325"/>
        <v/>
      </c>
      <c r="DY201" s="161" t="str">
        <f t="shared" si="326"/>
        <v/>
      </c>
      <c r="DZ201" s="161" t="str">
        <f t="shared" si="327"/>
        <v/>
      </c>
      <c r="EA201" s="161" t="str">
        <f t="shared" si="328"/>
        <v/>
      </c>
      <c r="EB201" s="161" t="str">
        <f t="shared" si="329"/>
        <v/>
      </c>
      <c r="EC201" s="161" t="str">
        <f t="shared" si="330"/>
        <v/>
      </c>
      <c r="ED201" s="161" t="str">
        <f t="shared" si="331"/>
        <v/>
      </c>
      <c r="EE201" s="161" t="str">
        <f t="shared" si="332"/>
        <v/>
      </c>
      <c r="EF201" s="161" t="str">
        <f t="shared" si="333"/>
        <v/>
      </c>
      <c r="EG201" s="161" t="str">
        <f t="shared" si="334"/>
        <v/>
      </c>
      <c r="EH201" s="161" t="str">
        <f t="shared" si="335"/>
        <v/>
      </c>
      <c r="EI201" s="161" t="str">
        <f t="shared" si="336"/>
        <v/>
      </c>
      <c r="EJ201" s="161" t="str">
        <f t="shared" si="337"/>
        <v/>
      </c>
      <c r="EK201" s="147" t="str">
        <f t="shared" si="251"/>
        <v/>
      </c>
      <c r="EL201" s="149"/>
      <c r="EN201" s="146"/>
      <c r="EO201" s="146"/>
      <c r="EP201" s="139" t="str">
        <f t="shared" si="252"/>
        <v/>
      </c>
      <c r="EQ201" s="139" t="str">
        <f t="shared" si="253"/>
        <v/>
      </c>
      <c r="ER201" s="139" t="str">
        <f t="shared" si="254"/>
        <v/>
      </c>
      <c r="ES201" s="139" t="str">
        <f t="shared" si="255"/>
        <v/>
      </c>
      <c r="ET201" s="139" t="str">
        <f t="shared" si="256"/>
        <v/>
      </c>
      <c r="EU201" s="139" t="str">
        <f t="shared" si="257"/>
        <v/>
      </c>
      <c r="EV201" s="139" t="str">
        <f t="shared" si="258"/>
        <v/>
      </c>
      <c r="EW201" s="139" t="str">
        <f t="shared" si="259"/>
        <v/>
      </c>
      <c r="EX201" s="139" t="str">
        <f t="shared" si="260"/>
        <v/>
      </c>
      <c r="EY201" s="139" t="str">
        <f t="shared" si="261"/>
        <v/>
      </c>
      <c r="EZ201" s="139" t="str">
        <f t="shared" si="262"/>
        <v/>
      </c>
      <c r="FA201" s="139" t="str">
        <f t="shared" si="263"/>
        <v/>
      </c>
      <c r="FB201" s="139" t="str">
        <f t="shared" si="264"/>
        <v/>
      </c>
      <c r="FC201" s="139" t="str">
        <f t="shared" si="265"/>
        <v/>
      </c>
      <c r="FD201" s="139" t="str">
        <f t="shared" si="266"/>
        <v/>
      </c>
      <c r="FE201" s="139" t="str">
        <f t="shared" si="267"/>
        <v/>
      </c>
      <c r="FF201" s="139" t="str">
        <f t="shared" si="268"/>
        <v/>
      </c>
      <c r="FG201" s="139" t="str">
        <f t="shared" si="269"/>
        <v/>
      </c>
      <c r="FH201" s="139" t="str">
        <f t="shared" si="270"/>
        <v/>
      </c>
      <c r="FI201" s="139" t="str">
        <f t="shared" si="271"/>
        <v/>
      </c>
      <c r="FJ201" s="139" t="str">
        <f t="shared" si="272"/>
        <v/>
      </c>
      <c r="FK201" s="139" t="str">
        <f t="shared" si="273"/>
        <v/>
      </c>
      <c r="FL201" s="139" t="str">
        <f t="shared" si="274"/>
        <v/>
      </c>
      <c r="FM201" s="139" t="str">
        <f t="shared" si="275"/>
        <v/>
      </c>
      <c r="FN201" s="139" t="str">
        <f t="shared" si="276"/>
        <v/>
      </c>
      <c r="FO201" s="139" t="str">
        <f t="shared" si="277"/>
        <v/>
      </c>
      <c r="FP201" s="139" t="str">
        <f t="shared" si="278"/>
        <v/>
      </c>
      <c r="FQ201" s="139" t="str">
        <f t="shared" si="279"/>
        <v/>
      </c>
      <c r="FR201" s="139" t="str">
        <f t="shared" si="280"/>
        <v/>
      </c>
      <c r="FS201" s="139" t="str">
        <f t="shared" si="281"/>
        <v/>
      </c>
      <c r="FT201" s="139" t="str">
        <f t="shared" si="282"/>
        <v/>
      </c>
      <c r="FU201" s="148" t="str">
        <f t="shared" si="283"/>
        <v/>
      </c>
      <c r="FV201" s="149"/>
      <c r="FY201" s="211">
        <v>196</v>
      </c>
      <c r="FZ201">
        <v>0.93553866606463165</v>
      </c>
      <c r="GA201">
        <v>0.64910159995464167</v>
      </c>
      <c r="GB201">
        <v>0.33050767758326316</v>
      </c>
      <c r="GC201">
        <v>0.25305447540568732</v>
      </c>
      <c r="GD201">
        <v>5.3449107547347455E-2</v>
      </c>
      <c r="GE201">
        <v>0</v>
      </c>
      <c r="GF201">
        <v>0.33021050058332063</v>
      </c>
      <c r="GG201">
        <v>0.29759236750664797</v>
      </c>
      <c r="GH201">
        <v>0</v>
      </c>
      <c r="GI201">
        <v>0.31471218173069326</v>
      </c>
      <c r="GJ201"/>
      <c r="GK201">
        <v>0.94169294470546694</v>
      </c>
      <c r="GL201">
        <v>0.55453674324558655</v>
      </c>
      <c r="GM201">
        <v>0.55066996213757402</v>
      </c>
      <c r="GN201">
        <v>0.76054609260235673</v>
      </c>
      <c r="GO201">
        <v>0.20987613046478273</v>
      </c>
      <c r="GP201">
        <v>0</v>
      </c>
      <c r="GQ201">
        <v>0.45369793096285549</v>
      </c>
      <c r="GR201">
        <v>0.45369793096285549</v>
      </c>
      <c r="GS201">
        <v>0</v>
      </c>
      <c r="GT201">
        <v>0.43118739365413583</v>
      </c>
      <c r="GU201"/>
      <c r="GV201"/>
      <c r="GW201"/>
      <c r="GX201"/>
      <c r="GY201"/>
      <c r="GZ201"/>
      <c r="HA201"/>
      <c r="HB201"/>
      <c r="HC201"/>
    </row>
    <row r="202" spans="1:211" s="7" customFormat="1">
      <c r="A202" s="1"/>
      <c r="B202" s="76" t="str">
        <f t="shared" ca="1" si="250"/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3.3010416666666655</v>
      </c>
      <c r="AO202">
        <v>0.54684225849743573</v>
      </c>
      <c r="AP202">
        <v>12.601487598421341</v>
      </c>
      <c r="AQ202">
        <v>4.7152152587192182</v>
      </c>
      <c r="AR202">
        <v>0.55797093045750923</v>
      </c>
      <c r="AS202">
        <v>2.947562246191366</v>
      </c>
      <c r="AT202" t="e">
        <v>#DIV/0!</v>
      </c>
      <c r="AU202" t="e">
        <v>#DIV/0!</v>
      </c>
      <c r="AV202"/>
      <c r="AW202"/>
      <c r="AX202" s="146"/>
      <c r="AY202" s="76" t="str">
        <f t="shared" ca="1" si="173"/>
        <v/>
      </c>
      <c r="AZ202"/>
      <c r="BA202" s="129" t="s">
        <v>104</v>
      </c>
      <c r="BB202"/>
      <c r="BC202"/>
      <c r="BD202"/>
      <c r="BE202" s="187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8"/>
        <v/>
      </c>
      <c r="CL202" s="179" t="str">
        <f t="shared" si="209"/>
        <v/>
      </c>
      <c r="CM202" s="180" t="str">
        <f t="shared" si="210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11"/>
        <v/>
      </c>
      <c r="DB202" s="146"/>
      <c r="DC202" s="76" t="str">
        <f t="shared" ca="1" si="174"/>
        <v/>
      </c>
      <c r="DD202" t="str">
        <f t="shared" si="212"/>
        <v/>
      </c>
      <c r="DE202" s="129" t="str">
        <f t="shared" si="338"/>
        <v/>
      </c>
      <c r="DF202" s="161" t="str">
        <f t="shared" si="285"/>
        <v/>
      </c>
      <c r="DG202" s="161" t="str">
        <f t="shared" si="286"/>
        <v/>
      </c>
      <c r="DH202" s="161" t="str">
        <f t="shared" si="287"/>
        <v/>
      </c>
      <c r="DI202" s="161" t="str">
        <f t="shared" si="288"/>
        <v/>
      </c>
      <c r="DJ202" s="161" t="str">
        <f t="shared" si="289"/>
        <v/>
      </c>
      <c r="DK202" s="161" t="str">
        <f t="shared" si="290"/>
        <v/>
      </c>
      <c r="DL202" s="161" t="str">
        <f t="shared" si="291"/>
        <v/>
      </c>
      <c r="DM202" s="161" t="str">
        <f t="shared" si="292"/>
        <v/>
      </c>
      <c r="DN202" s="161" t="str">
        <f t="shared" si="315"/>
        <v/>
      </c>
      <c r="DO202" s="161" t="str">
        <f t="shared" si="316"/>
        <v/>
      </c>
      <c r="DP202" s="161" t="str">
        <f t="shared" si="317"/>
        <v/>
      </c>
      <c r="DQ202" s="161" t="str">
        <f t="shared" si="318"/>
        <v/>
      </c>
      <c r="DR202" s="161" t="str">
        <f t="shared" si="319"/>
        <v/>
      </c>
      <c r="DS202" s="161" t="str">
        <f t="shared" si="320"/>
        <v/>
      </c>
      <c r="DT202" s="161" t="str">
        <f t="shared" si="321"/>
        <v/>
      </c>
      <c r="DU202" s="161" t="str">
        <f t="shared" si="322"/>
        <v/>
      </c>
      <c r="DV202" s="161" t="str">
        <f t="shared" si="323"/>
        <v/>
      </c>
      <c r="DW202" s="161" t="str">
        <f t="shared" si="324"/>
        <v/>
      </c>
      <c r="DX202" s="161" t="str">
        <f t="shared" si="325"/>
        <v/>
      </c>
      <c r="DY202" s="161" t="str">
        <f t="shared" si="326"/>
        <v/>
      </c>
      <c r="DZ202" s="161" t="str">
        <f t="shared" si="327"/>
        <v/>
      </c>
      <c r="EA202" s="161" t="str">
        <f t="shared" si="328"/>
        <v/>
      </c>
      <c r="EB202" s="161" t="str">
        <f t="shared" si="329"/>
        <v/>
      </c>
      <c r="EC202" s="161" t="str">
        <f t="shared" si="330"/>
        <v/>
      </c>
      <c r="ED202" s="161" t="str">
        <f t="shared" si="331"/>
        <v/>
      </c>
      <c r="EE202" s="161" t="str">
        <f t="shared" si="332"/>
        <v/>
      </c>
      <c r="EF202" s="161" t="str">
        <f t="shared" si="333"/>
        <v/>
      </c>
      <c r="EG202" s="161" t="str">
        <f t="shared" si="334"/>
        <v/>
      </c>
      <c r="EH202" s="161" t="str">
        <f t="shared" si="335"/>
        <v/>
      </c>
      <c r="EI202" s="161" t="str">
        <f t="shared" si="336"/>
        <v/>
      </c>
      <c r="EJ202" s="161" t="str">
        <f t="shared" si="337"/>
        <v/>
      </c>
      <c r="EK202" s="147" t="str">
        <f t="shared" si="251"/>
        <v/>
      </c>
      <c r="EL202" s="149"/>
      <c r="EN202" s="146"/>
      <c r="EO202" s="146"/>
      <c r="EP202" s="139" t="str">
        <f t="shared" si="252"/>
        <v/>
      </c>
      <c r="EQ202" s="139" t="str">
        <f t="shared" si="253"/>
        <v/>
      </c>
      <c r="ER202" s="139" t="str">
        <f t="shared" si="254"/>
        <v/>
      </c>
      <c r="ES202" s="139" t="str">
        <f t="shared" si="255"/>
        <v/>
      </c>
      <c r="ET202" s="139" t="str">
        <f t="shared" si="256"/>
        <v/>
      </c>
      <c r="EU202" s="139" t="str">
        <f t="shared" si="257"/>
        <v/>
      </c>
      <c r="EV202" s="139" t="str">
        <f t="shared" si="258"/>
        <v/>
      </c>
      <c r="EW202" s="139" t="str">
        <f t="shared" si="259"/>
        <v/>
      </c>
      <c r="EX202" s="139" t="str">
        <f t="shared" si="260"/>
        <v/>
      </c>
      <c r="EY202" s="139" t="str">
        <f t="shared" si="261"/>
        <v/>
      </c>
      <c r="EZ202" s="139" t="str">
        <f t="shared" si="262"/>
        <v/>
      </c>
      <c r="FA202" s="139" t="str">
        <f t="shared" si="263"/>
        <v/>
      </c>
      <c r="FB202" s="139" t="str">
        <f t="shared" si="264"/>
        <v/>
      </c>
      <c r="FC202" s="139" t="str">
        <f t="shared" si="265"/>
        <v/>
      </c>
      <c r="FD202" s="139" t="str">
        <f t="shared" si="266"/>
        <v/>
      </c>
      <c r="FE202" s="139" t="str">
        <f t="shared" si="267"/>
        <v/>
      </c>
      <c r="FF202" s="139" t="str">
        <f t="shared" si="268"/>
        <v/>
      </c>
      <c r="FG202" s="139" t="str">
        <f t="shared" si="269"/>
        <v/>
      </c>
      <c r="FH202" s="139" t="str">
        <f t="shared" si="270"/>
        <v/>
      </c>
      <c r="FI202" s="139" t="str">
        <f t="shared" si="271"/>
        <v/>
      </c>
      <c r="FJ202" s="139" t="str">
        <f t="shared" si="272"/>
        <v/>
      </c>
      <c r="FK202" s="139" t="str">
        <f t="shared" si="273"/>
        <v/>
      </c>
      <c r="FL202" s="139" t="str">
        <f t="shared" si="274"/>
        <v/>
      </c>
      <c r="FM202" s="139" t="str">
        <f t="shared" si="275"/>
        <v/>
      </c>
      <c r="FN202" s="139" t="str">
        <f t="shared" si="276"/>
        <v/>
      </c>
      <c r="FO202" s="139" t="str">
        <f t="shared" si="277"/>
        <v/>
      </c>
      <c r="FP202" s="139" t="str">
        <f t="shared" si="278"/>
        <v/>
      </c>
      <c r="FQ202" s="139" t="str">
        <f t="shared" si="279"/>
        <v/>
      </c>
      <c r="FR202" s="139" t="str">
        <f t="shared" si="280"/>
        <v/>
      </c>
      <c r="FS202" s="139" t="str">
        <f t="shared" si="281"/>
        <v/>
      </c>
      <c r="FT202" s="139" t="str">
        <f t="shared" si="282"/>
        <v/>
      </c>
      <c r="FU202" s="148" t="str">
        <f t="shared" si="283"/>
        <v/>
      </c>
      <c r="FV202" s="149"/>
      <c r="FY202" s="211">
        <v>197</v>
      </c>
      <c r="FZ202">
        <v>0.81698010548192379</v>
      </c>
      <c r="GA202">
        <v>8.725047411847664E-2</v>
      </c>
      <c r="GB202">
        <v>0.204855832097669</v>
      </c>
      <c r="GC202">
        <v>0.14859665052880375</v>
      </c>
      <c r="GD202">
        <v>2.6724553773673727E-2</v>
      </c>
      <c r="GE202">
        <v>0</v>
      </c>
      <c r="GF202">
        <v>0</v>
      </c>
      <c r="GG202">
        <v>0</v>
      </c>
      <c r="GH202">
        <v>0</v>
      </c>
      <c r="GI202">
        <v>0.18684445605198077</v>
      </c>
      <c r="GJ202"/>
      <c r="GK202">
        <v>0.81799889891616573</v>
      </c>
      <c r="GL202">
        <v>7.3740509229249462E-2</v>
      </c>
      <c r="GM202">
        <v>0.34079383167279126</v>
      </c>
      <c r="GN202">
        <v>0.44573189690518267</v>
      </c>
      <c r="GO202">
        <v>0.10493806523239137</v>
      </c>
      <c r="GP202">
        <v>0</v>
      </c>
      <c r="GQ202">
        <v>0</v>
      </c>
      <c r="GR202">
        <v>0</v>
      </c>
      <c r="GS202">
        <v>0</v>
      </c>
      <c r="GT202">
        <v>0.25274615916426968</v>
      </c>
      <c r="GU202"/>
      <c r="GV202"/>
      <c r="GW202"/>
      <c r="GX202"/>
      <c r="GY202"/>
      <c r="GZ202"/>
      <c r="HA202"/>
      <c r="HB202"/>
      <c r="HC202"/>
    </row>
    <row r="203" spans="1:211" s="7" customFormat="1">
      <c r="A203" s="1"/>
      <c r="B203" s="76" t="str">
        <f t="shared" ca="1" si="250"/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2.6885416666666666</v>
      </c>
      <c r="AO203">
        <v>0.50652649479154233</v>
      </c>
      <c r="AP203">
        <v>15.773420784701544</v>
      </c>
      <c r="AQ203">
        <v>4.2016935755854252</v>
      </c>
      <c r="AR203">
        <v>0.51798364499585625</v>
      </c>
      <c r="AS203">
        <v>2.5772929818558721</v>
      </c>
      <c r="AT203" t="e">
        <v>#DIV/0!</v>
      </c>
      <c r="AU203" t="e">
        <v>#DIV/0!</v>
      </c>
      <c r="AV203"/>
      <c r="AW203"/>
      <c r="AX203" s="146"/>
      <c r="AY203" s="76" t="str">
        <f t="shared" ca="1" si="173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8"/>
        <v/>
      </c>
      <c r="CL203" s="179" t="str">
        <f t="shared" si="209"/>
        <v/>
      </c>
      <c r="CM203" s="180" t="str">
        <f t="shared" si="210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11"/>
        <v/>
      </c>
      <c r="DB203" s="146"/>
      <c r="DC203" s="76" t="str">
        <f t="shared" ca="1" si="174"/>
        <v/>
      </c>
      <c r="DD203" t="str">
        <f t="shared" si="212"/>
        <v/>
      </c>
      <c r="DE203" s="129" t="str">
        <f t="shared" si="338"/>
        <v/>
      </c>
      <c r="DF203" s="161" t="str">
        <f t="shared" si="285"/>
        <v/>
      </c>
      <c r="DG203" s="161" t="str">
        <f t="shared" si="286"/>
        <v/>
      </c>
      <c r="DH203" s="161" t="str">
        <f t="shared" si="287"/>
        <v/>
      </c>
      <c r="DI203" s="161" t="str">
        <f t="shared" si="288"/>
        <v/>
      </c>
      <c r="DJ203" s="161" t="str">
        <f t="shared" si="289"/>
        <v/>
      </c>
      <c r="DK203" s="161" t="str">
        <f t="shared" si="290"/>
        <v/>
      </c>
      <c r="DL203" s="161" t="str">
        <f t="shared" si="291"/>
        <v/>
      </c>
      <c r="DM203" s="161" t="str">
        <f t="shared" si="292"/>
        <v/>
      </c>
      <c r="DN203" s="161" t="str">
        <f t="shared" si="315"/>
        <v/>
      </c>
      <c r="DO203" s="161" t="str">
        <f t="shared" si="316"/>
        <v/>
      </c>
      <c r="DP203" s="161" t="str">
        <f t="shared" si="317"/>
        <v/>
      </c>
      <c r="DQ203" s="161" t="str">
        <f t="shared" si="318"/>
        <v/>
      </c>
      <c r="DR203" s="161" t="str">
        <f t="shared" si="319"/>
        <v/>
      </c>
      <c r="DS203" s="161" t="str">
        <f t="shared" si="320"/>
        <v/>
      </c>
      <c r="DT203" s="161" t="str">
        <f t="shared" si="321"/>
        <v/>
      </c>
      <c r="DU203" s="161" t="str">
        <f t="shared" si="322"/>
        <v/>
      </c>
      <c r="DV203" s="161" t="str">
        <f t="shared" si="323"/>
        <v/>
      </c>
      <c r="DW203" s="161" t="str">
        <f t="shared" si="324"/>
        <v/>
      </c>
      <c r="DX203" s="161" t="str">
        <f t="shared" si="325"/>
        <v/>
      </c>
      <c r="DY203" s="161" t="str">
        <f t="shared" si="326"/>
        <v/>
      </c>
      <c r="DZ203" s="161" t="str">
        <f t="shared" si="327"/>
        <v/>
      </c>
      <c r="EA203" s="161" t="str">
        <f t="shared" si="328"/>
        <v/>
      </c>
      <c r="EB203" s="161" t="str">
        <f t="shared" si="329"/>
        <v/>
      </c>
      <c r="EC203" s="161" t="str">
        <f t="shared" si="330"/>
        <v/>
      </c>
      <c r="ED203" s="161" t="str">
        <f t="shared" si="331"/>
        <v/>
      </c>
      <c r="EE203" s="161" t="str">
        <f t="shared" si="332"/>
        <v/>
      </c>
      <c r="EF203" s="161" t="str">
        <f t="shared" si="333"/>
        <v/>
      </c>
      <c r="EG203" s="161" t="str">
        <f t="shared" si="334"/>
        <v/>
      </c>
      <c r="EH203" s="161" t="str">
        <f t="shared" si="335"/>
        <v/>
      </c>
      <c r="EI203" s="161" t="str">
        <f t="shared" si="336"/>
        <v/>
      </c>
      <c r="EJ203" s="161" t="str">
        <f t="shared" si="337"/>
        <v/>
      </c>
      <c r="EK203" s="147" t="str">
        <f t="shared" si="251"/>
        <v/>
      </c>
      <c r="EL203" s="149"/>
      <c r="EN203" s="146"/>
      <c r="EO203" s="146"/>
      <c r="EP203" s="139" t="str">
        <f t="shared" si="252"/>
        <v/>
      </c>
      <c r="EQ203" s="139" t="str">
        <f t="shared" si="253"/>
        <v/>
      </c>
      <c r="ER203" s="139" t="str">
        <f t="shared" si="254"/>
        <v/>
      </c>
      <c r="ES203" s="139" t="str">
        <f t="shared" si="255"/>
        <v/>
      </c>
      <c r="ET203" s="139" t="str">
        <f t="shared" si="256"/>
        <v/>
      </c>
      <c r="EU203" s="139" t="str">
        <f t="shared" si="257"/>
        <v/>
      </c>
      <c r="EV203" s="139" t="str">
        <f t="shared" si="258"/>
        <v/>
      </c>
      <c r="EW203" s="139" t="str">
        <f t="shared" si="259"/>
        <v/>
      </c>
      <c r="EX203" s="139" t="str">
        <f t="shared" si="260"/>
        <v/>
      </c>
      <c r="EY203" s="139" t="str">
        <f t="shared" si="261"/>
        <v/>
      </c>
      <c r="EZ203" s="139" t="str">
        <f t="shared" si="262"/>
        <v/>
      </c>
      <c r="FA203" s="139" t="str">
        <f t="shared" si="263"/>
        <v/>
      </c>
      <c r="FB203" s="139" t="str">
        <f t="shared" si="264"/>
        <v/>
      </c>
      <c r="FC203" s="139" t="str">
        <f t="shared" si="265"/>
        <v/>
      </c>
      <c r="FD203" s="139" t="str">
        <f t="shared" si="266"/>
        <v/>
      </c>
      <c r="FE203" s="139" t="str">
        <f t="shared" si="267"/>
        <v/>
      </c>
      <c r="FF203" s="139" t="str">
        <f t="shared" si="268"/>
        <v/>
      </c>
      <c r="FG203" s="139" t="str">
        <f t="shared" si="269"/>
        <v/>
      </c>
      <c r="FH203" s="139" t="str">
        <f t="shared" si="270"/>
        <v/>
      </c>
      <c r="FI203" s="139" t="str">
        <f t="shared" si="271"/>
        <v/>
      </c>
      <c r="FJ203" s="139" t="str">
        <f t="shared" si="272"/>
        <v/>
      </c>
      <c r="FK203" s="139" t="str">
        <f t="shared" si="273"/>
        <v/>
      </c>
      <c r="FL203" s="139" t="str">
        <f t="shared" si="274"/>
        <v/>
      </c>
      <c r="FM203" s="139" t="str">
        <f t="shared" si="275"/>
        <v/>
      </c>
      <c r="FN203" s="139" t="str">
        <f t="shared" si="276"/>
        <v/>
      </c>
      <c r="FO203" s="139" t="str">
        <f t="shared" si="277"/>
        <v/>
      </c>
      <c r="FP203" s="139" t="str">
        <f t="shared" si="278"/>
        <v/>
      </c>
      <c r="FQ203" s="139" t="str">
        <f t="shared" si="279"/>
        <v/>
      </c>
      <c r="FR203" s="139" t="str">
        <f t="shared" si="280"/>
        <v/>
      </c>
      <c r="FS203" s="139" t="str">
        <f t="shared" si="281"/>
        <v/>
      </c>
      <c r="FT203" s="139" t="str">
        <f t="shared" si="282"/>
        <v/>
      </c>
      <c r="FU203" s="148" t="str">
        <f t="shared" si="283"/>
        <v/>
      </c>
      <c r="FV203" s="149"/>
      <c r="FY203" s="211">
        <v>198</v>
      </c>
      <c r="FZ203">
        <v>0.27799247709974229</v>
      </c>
      <c r="GA203">
        <v>0</v>
      </c>
      <c r="GB203">
        <v>0.204855832097669</v>
      </c>
      <c r="GC203">
        <v>0.14859665052880375</v>
      </c>
      <c r="GD203">
        <v>2.6724553773673727E-2</v>
      </c>
      <c r="GE203">
        <v>0</v>
      </c>
      <c r="GF203">
        <v>0.99063150174996206</v>
      </c>
      <c r="GG203">
        <v>0.89277710251994391</v>
      </c>
      <c r="GH203">
        <v>0</v>
      </c>
      <c r="GI203">
        <v>0.29913551575348563</v>
      </c>
      <c r="GJ203"/>
      <c r="GK203">
        <v>0.28028905772965007</v>
      </c>
      <c r="GL203">
        <v>0</v>
      </c>
      <c r="GM203">
        <v>0.34079383167279126</v>
      </c>
      <c r="GN203">
        <v>0.44573189690518267</v>
      </c>
      <c r="GO203">
        <v>0.10493806523239137</v>
      </c>
      <c r="GP203">
        <v>0</v>
      </c>
      <c r="GQ203">
        <v>1.3610937928885667</v>
      </c>
      <c r="GR203">
        <v>1.3610937928885667</v>
      </c>
      <c r="GS203">
        <v>0</v>
      </c>
      <c r="GT203">
        <v>0.41742294950467984</v>
      </c>
      <c r="GU203"/>
      <c r="GV203"/>
      <c r="GW203"/>
      <c r="GX203"/>
      <c r="GY203"/>
      <c r="GZ203"/>
      <c r="HA203"/>
      <c r="HB203"/>
      <c r="HC203"/>
    </row>
    <row r="204" spans="1:211" s="7" customFormat="1">
      <c r="A204" s="1"/>
      <c r="B204" s="76" t="str">
        <f t="shared" ca="1" si="250"/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3.1020833333333337</v>
      </c>
      <c r="AO204">
        <v>0.2882393527153716</v>
      </c>
      <c r="AP204">
        <v>6.4997712451583745</v>
      </c>
      <c r="AQ204">
        <v>2.4415562206987471</v>
      </c>
      <c r="AR204">
        <v>0.31801742049642734</v>
      </c>
      <c r="AS204">
        <v>2.0563133276483105</v>
      </c>
      <c r="AT204" t="e">
        <v>#DIV/0!</v>
      </c>
      <c r="AU204" t="e">
        <v>#DIV/0!</v>
      </c>
      <c r="AV204"/>
      <c r="AW204"/>
      <c r="AX204" s="146"/>
      <c r="AY204" s="76" t="str">
        <f t="shared" ca="1" si="173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8"/>
        <v/>
      </c>
      <c r="CL204" s="179" t="str">
        <f t="shared" si="209"/>
        <v/>
      </c>
      <c r="CM204" s="180" t="str">
        <f t="shared" si="210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11"/>
        <v/>
      </c>
      <c r="DB204" s="146"/>
      <c r="DC204" s="76" t="str">
        <f t="shared" ca="1" si="174"/>
        <v/>
      </c>
      <c r="DD204" t="str">
        <f t="shared" si="212"/>
        <v/>
      </c>
      <c r="DE204" s="129" t="str">
        <f t="shared" si="338"/>
        <v/>
      </c>
      <c r="DF204" s="161" t="str">
        <f t="shared" si="285"/>
        <v/>
      </c>
      <c r="DG204" s="161" t="str">
        <f t="shared" si="286"/>
        <v/>
      </c>
      <c r="DH204" s="161" t="str">
        <f t="shared" si="287"/>
        <v/>
      </c>
      <c r="DI204" s="161" t="str">
        <f t="shared" si="288"/>
        <v/>
      </c>
      <c r="DJ204" s="161" t="str">
        <f t="shared" si="289"/>
        <v/>
      </c>
      <c r="DK204" s="161" t="str">
        <f t="shared" si="290"/>
        <v/>
      </c>
      <c r="DL204" s="161" t="str">
        <f t="shared" si="291"/>
        <v/>
      </c>
      <c r="DM204" s="161" t="str">
        <f t="shared" si="292"/>
        <v/>
      </c>
      <c r="DN204" s="161" t="str">
        <f t="shared" si="315"/>
        <v/>
      </c>
      <c r="DO204" s="161" t="str">
        <f t="shared" si="316"/>
        <v/>
      </c>
      <c r="DP204" s="161" t="str">
        <f t="shared" si="317"/>
        <v/>
      </c>
      <c r="DQ204" s="161" t="str">
        <f t="shared" si="318"/>
        <v/>
      </c>
      <c r="DR204" s="161" t="str">
        <f t="shared" si="319"/>
        <v/>
      </c>
      <c r="DS204" s="161" t="str">
        <f t="shared" si="320"/>
        <v/>
      </c>
      <c r="DT204" s="161" t="str">
        <f t="shared" si="321"/>
        <v/>
      </c>
      <c r="DU204" s="161" t="str">
        <f t="shared" si="322"/>
        <v/>
      </c>
      <c r="DV204" s="161" t="str">
        <f t="shared" si="323"/>
        <v/>
      </c>
      <c r="DW204" s="161" t="str">
        <f t="shared" si="324"/>
        <v/>
      </c>
      <c r="DX204" s="161" t="str">
        <f t="shared" si="325"/>
        <v/>
      </c>
      <c r="DY204" s="161" t="str">
        <f t="shared" si="326"/>
        <v/>
      </c>
      <c r="DZ204" s="161" t="str">
        <f t="shared" si="327"/>
        <v/>
      </c>
      <c r="EA204" s="161" t="str">
        <f t="shared" si="328"/>
        <v/>
      </c>
      <c r="EB204" s="161" t="str">
        <f t="shared" si="329"/>
        <v/>
      </c>
      <c r="EC204" s="161" t="str">
        <f t="shared" si="330"/>
        <v/>
      </c>
      <c r="ED204" s="161" t="str">
        <f t="shared" si="331"/>
        <v/>
      </c>
      <c r="EE204" s="161" t="str">
        <f t="shared" si="332"/>
        <v/>
      </c>
      <c r="EF204" s="161" t="str">
        <f t="shared" si="333"/>
        <v/>
      </c>
      <c r="EG204" s="161" t="str">
        <f t="shared" si="334"/>
        <v/>
      </c>
      <c r="EH204" s="161" t="str">
        <f t="shared" si="335"/>
        <v/>
      </c>
      <c r="EI204" s="161" t="str">
        <f t="shared" si="336"/>
        <v/>
      </c>
      <c r="EJ204" s="161" t="str">
        <f t="shared" si="337"/>
        <v/>
      </c>
      <c r="EK204" s="147" t="str">
        <f t="shared" si="251"/>
        <v/>
      </c>
      <c r="EL204" s="149"/>
      <c r="EN204" s="146"/>
      <c r="EO204" s="146"/>
      <c r="EP204" s="139" t="str">
        <f t="shared" si="252"/>
        <v/>
      </c>
      <c r="EQ204" s="139" t="str">
        <f t="shared" si="253"/>
        <v/>
      </c>
      <c r="ER204" s="139" t="str">
        <f t="shared" si="254"/>
        <v/>
      </c>
      <c r="ES204" s="139" t="str">
        <f t="shared" si="255"/>
        <v/>
      </c>
      <c r="ET204" s="139" t="str">
        <f t="shared" si="256"/>
        <v/>
      </c>
      <c r="EU204" s="139" t="str">
        <f t="shared" si="257"/>
        <v/>
      </c>
      <c r="EV204" s="139" t="str">
        <f t="shared" si="258"/>
        <v/>
      </c>
      <c r="EW204" s="139" t="str">
        <f t="shared" si="259"/>
        <v/>
      </c>
      <c r="EX204" s="139" t="str">
        <f t="shared" si="260"/>
        <v/>
      </c>
      <c r="EY204" s="139" t="str">
        <f t="shared" si="261"/>
        <v/>
      </c>
      <c r="EZ204" s="139" t="str">
        <f t="shared" si="262"/>
        <v/>
      </c>
      <c r="FA204" s="139" t="str">
        <f t="shared" si="263"/>
        <v/>
      </c>
      <c r="FB204" s="139" t="str">
        <f t="shared" si="264"/>
        <v/>
      </c>
      <c r="FC204" s="139" t="str">
        <f t="shared" si="265"/>
        <v/>
      </c>
      <c r="FD204" s="139" t="str">
        <f t="shared" si="266"/>
        <v/>
      </c>
      <c r="FE204" s="139" t="str">
        <f t="shared" si="267"/>
        <v/>
      </c>
      <c r="FF204" s="139" t="str">
        <f t="shared" si="268"/>
        <v/>
      </c>
      <c r="FG204" s="139" t="str">
        <f t="shared" si="269"/>
        <v/>
      </c>
      <c r="FH204" s="139" t="str">
        <f t="shared" si="270"/>
        <v/>
      </c>
      <c r="FI204" s="139" t="str">
        <f t="shared" si="271"/>
        <v/>
      </c>
      <c r="FJ204" s="139" t="str">
        <f t="shared" si="272"/>
        <v/>
      </c>
      <c r="FK204" s="139" t="str">
        <f t="shared" si="273"/>
        <v/>
      </c>
      <c r="FL204" s="139" t="str">
        <f t="shared" si="274"/>
        <v/>
      </c>
      <c r="FM204" s="139" t="str">
        <f t="shared" si="275"/>
        <v/>
      </c>
      <c r="FN204" s="139" t="str">
        <f t="shared" si="276"/>
        <v/>
      </c>
      <c r="FO204" s="139" t="str">
        <f t="shared" si="277"/>
        <v/>
      </c>
      <c r="FP204" s="139" t="str">
        <f t="shared" si="278"/>
        <v/>
      </c>
      <c r="FQ204" s="139" t="str">
        <f t="shared" si="279"/>
        <v/>
      </c>
      <c r="FR204" s="139" t="str">
        <f t="shared" si="280"/>
        <v/>
      </c>
      <c r="FS204" s="139" t="str">
        <f t="shared" si="281"/>
        <v/>
      </c>
      <c r="FT204" s="139" t="str">
        <f t="shared" si="282"/>
        <v/>
      </c>
      <c r="FU204" s="148" t="str">
        <f t="shared" si="283"/>
        <v/>
      </c>
      <c r="FV204" s="149"/>
      <c r="FY204" s="211">
        <v>199</v>
      </c>
      <c r="FZ204">
        <v>0.41795042125498433</v>
      </c>
      <c r="GA204">
        <v>0</v>
      </c>
      <c r="GB204">
        <v>6.282592274279708E-2</v>
      </c>
      <c r="GC204">
        <v>6.9638549917922385E-2</v>
      </c>
      <c r="GD204">
        <v>2.6724553773673727E-2</v>
      </c>
      <c r="GE204">
        <v>0</v>
      </c>
      <c r="GF204">
        <v>0.66042100116664126</v>
      </c>
      <c r="GG204">
        <v>0.59518473501329594</v>
      </c>
      <c r="GH204">
        <v>0</v>
      </c>
      <c r="GI204">
        <v>0.22102715292043981</v>
      </c>
      <c r="GJ204"/>
      <c r="GK204">
        <v>0.41749375811118106</v>
      </c>
      <c r="GL204">
        <v>0</v>
      </c>
      <c r="GM204">
        <v>0.10493806523239137</v>
      </c>
      <c r="GN204">
        <v>0.20987613046478273</v>
      </c>
      <c r="GO204">
        <v>0.10493806523239137</v>
      </c>
      <c r="GP204">
        <v>0</v>
      </c>
      <c r="GQ204">
        <v>0.90739586192571098</v>
      </c>
      <c r="GR204">
        <v>0.90739586192571098</v>
      </c>
      <c r="GS204">
        <v>0</v>
      </c>
      <c r="GT204">
        <v>0.30695315010033497</v>
      </c>
      <c r="GU204"/>
      <c r="GV204"/>
      <c r="GW204"/>
      <c r="GX204"/>
      <c r="GY204"/>
      <c r="GZ204"/>
      <c r="HA204"/>
      <c r="HB204"/>
      <c r="HC204"/>
    </row>
    <row r="205" spans="1:211" s="7" customFormat="1">
      <c r="A205" s="1"/>
      <c r="B205" s="76" t="str">
        <f t="shared" ca="1" si="250"/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2.1510416666666665</v>
      </c>
      <c r="AO205">
        <v>0.32197779829213174</v>
      </c>
      <c r="AP205">
        <v>10.436182930176566</v>
      </c>
      <c r="AQ205">
        <v>2.1934795519488581</v>
      </c>
      <c r="AR205">
        <v>0.35694493009860634</v>
      </c>
      <c r="AS205">
        <v>1.9676063682619549</v>
      </c>
      <c r="AT205" t="e">
        <v>#DIV/0!</v>
      </c>
      <c r="AU205" t="e">
        <v>#DIV/0!</v>
      </c>
      <c r="AV205"/>
      <c r="AW205"/>
      <c r="AX205" s="146"/>
      <c r="AY205" s="76" t="str">
        <f t="shared" ca="1" si="173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8"/>
        <v/>
      </c>
      <c r="CL205" s="179" t="str">
        <f t="shared" si="209"/>
        <v/>
      </c>
      <c r="CM205" s="180" t="str">
        <f t="shared" si="210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11"/>
        <v/>
      </c>
      <c r="DB205" s="146"/>
      <c r="DC205" s="76" t="str">
        <f t="shared" ca="1" si="174"/>
        <v/>
      </c>
      <c r="DD205" t="str">
        <f t="shared" si="212"/>
        <v/>
      </c>
      <c r="DE205" s="129" t="str">
        <f t="shared" si="338"/>
        <v/>
      </c>
      <c r="DF205" s="161" t="str">
        <f t="shared" si="285"/>
        <v/>
      </c>
      <c r="DG205" s="161" t="str">
        <f t="shared" si="286"/>
        <v/>
      </c>
      <c r="DH205" s="161" t="str">
        <f t="shared" si="287"/>
        <v/>
      </c>
      <c r="DI205" s="161" t="str">
        <f t="shared" si="288"/>
        <v/>
      </c>
      <c r="DJ205" s="161" t="str">
        <f t="shared" si="289"/>
        <v/>
      </c>
      <c r="DK205" s="161" t="str">
        <f t="shared" si="290"/>
        <v/>
      </c>
      <c r="DL205" s="161" t="str">
        <f t="shared" si="291"/>
        <v/>
      </c>
      <c r="DM205" s="161" t="str">
        <f t="shared" si="292"/>
        <v/>
      </c>
      <c r="DN205" s="161" t="str">
        <f t="shared" si="315"/>
        <v/>
      </c>
      <c r="DO205" s="161" t="str">
        <f t="shared" si="316"/>
        <v/>
      </c>
      <c r="DP205" s="161" t="str">
        <f t="shared" si="317"/>
        <v/>
      </c>
      <c r="DQ205" s="161" t="str">
        <f t="shared" si="318"/>
        <v/>
      </c>
      <c r="DR205" s="161" t="str">
        <f t="shared" si="319"/>
        <v/>
      </c>
      <c r="DS205" s="161" t="str">
        <f t="shared" si="320"/>
        <v/>
      </c>
      <c r="DT205" s="161" t="str">
        <f t="shared" si="321"/>
        <v/>
      </c>
      <c r="DU205" s="161" t="str">
        <f t="shared" si="322"/>
        <v/>
      </c>
      <c r="DV205" s="161" t="str">
        <f t="shared" si="323"/>
        <v/>
      </c>
      <c r="DW205" s="161" t="str">
        <f t="shared" si="324"/>
        <v/>
      </c>
      <c r="DX205" s="161" t="str">
        <f t="shared" si="325"/>
        <v/>
      </c>
      <c r="DY205" s="161" t="str">
        <f t="shared" si="326"/>
        <v/>
      </c>
      <c r="DZ205" s="161" t="str">
        <f t="shared" si="327"/>
        <v/>
      </c>
      <c r="EA205" s="161" t="str">
        <f t="shared" si="328"/>
        <v/>
      </c>
      <c r="EB205" s="161" t="str">
        <f t="shared" si="329"/>
        <v/>
      </c>
      <c r="EC205" s="161" t="str">
        <f t="shared" si="330"/>
        <v/>
      </c>
      <c r="ED205" s="161" t="str">
        <f t="shared" si="331"/>
        <v/>
      </c>
      <c r="EE205" s="161" t="str">
        <f t="shared" si="332"/>
        <v/>
      </c>
      <c r="EF205" s="161" t="str">
        <f t="shared" si="333"/>
        <v/>
      </c>
      <c r="EG205" s="161" t="str">
        <f t="shared" si="334"/>
        <v/>
      </c>
      <c r="EH205" s="161" t="str">
        <f t="shared" si="335"/>
        <v/>
      </c>
      <c r="EI205" s="161" t="str">
        <f t="shared" si="336"/>
        <v/>
      </c>
      <c r="EJ205" s="161" t="str">
        <f t="shared" si="337"/>
        <v/>
      </c>
      <c r="EK205" s="147" t="str">
        <f t="shared" si="251"/>
        <v/>
      </c>
      <c r="EL205" s="149"/>
      <c r="EN205" s="146"/>
      <c r="EO205" s="146"/>
      <c r="EP205" s="139" t="str">
        <f t="shared" si="252"/>
        <v/>
      </c>
      <c r="EQ205" s="139" t="str">
        <f t="shared" si="253"/>
        <v/>
      </c>
      <c r="ER205" s="139" t="str">
        <f t="shared" si="254"/>
        <v/>
      </c>
      <c r="ES205" s="139" t="str">
        <f t="shared" si="255"/>
        <v/>
      </c>
      <c r="ET205" s="139" t="str">
        <f t="shared" si="256"/>
        <v/>
      </c>
      <c r="EU205" s="139" t="str">
        <f t="shared" si="257"/>
        <v/>
      </c>
      <c r="EV205" s="139" t="str">
        <f t="shared" si="258"/>
        <v/>
      </c>
      <c r="EW205" s="139" t="str">
        <f t="shared" si="259"/>
        <v/>
      </c>
      <c r="EX205" s="139" t="str">
        <f t="shared" si="260"/>
        <v/>
      </c>
      <c r="EY205" s="139" t="str">
        <f t="shared" si="261"/>
        <v/>
      </c>
      <c r="EZ205" s="139" t="str">
        <f t="shared" si="262"/>
        <v/>
      </c>
      <c r="FA205" s="139" t="str">
        <f t="shared" si="263"/>
        <v/>
      </c>
      <c r="FB205" s="139" t="str">
        <f t="shared" si="264"/>
        <v/>
      </c>
      <c r="FC205" s="139" t="str">
        <f t="shared" si="265"/>
        <v/>
      </c>
      <c r="FD205" s="139" t="str">
        <f t="shared" si="266"/>
        <v/>
      </c>
      <c r="FE205" s="139" t="str">
        <f t="shared" si="267"/>
        <v/>
      </c>
      <c r="FF205" s="139" t="str">
        <f t="shared" si="268"/>
        <v/>
      </c>
      <c r="FG205" s="139" t="str">
        <f t="shared" si="269"/>
        <v/>
      </c>
      <c r="FH205" s="139" t="str">
        <f t="shared" si="270"/>
        <v/>
      </c>
      <c r="FI205" s="139" t="str">
        <f t="shared" si="271"/>
        <v/>
      </c>
      <c r="FJ205" s="139" t="str">
        <f t="shared" si="272"/>
        <v/>
      </c>
      <c r="FK205" s="139" t="str">
        <f t="shared" si="273"/>
        <v/>
      </c>
      <c r="FL205" s="139" t="str">
        <f t="shared" si="274"/>
        <v/>
      </c>
      <c r="FM205" s="139" t="str">
        <f t="shared" si="275"/>
        <v/>
      </c>
      <c r="FN205" s="139" t="str">
        <f t="shared" si="276"/>
        <v/>
      </c>
      <c r="FO205" s="139" t="str">
        <f t="shared" si="277"/>
        <v/>
      </c>
      <c r="FP205" s="139" t="str">
        <f t="shared" si="278"/>
        <v/>
      </c>
      <c r="FQ205" s="139" t="str">
        <f t="shared" si="279"/>
        <v/>
      </c>
      <c r="FR205" s="139" t="str">
        <f t="shared" si="280"/>
        <v/>
      </c>
      <c r="FS205" s="139" t="str">
        <f t="shared" si="281"/>
        <v/>
      </c>
      <c r="FT205" s="139" t="str">
        <f t="shared" si="282"/>
        <v/>
      </c>
      <c r="FU205" s="148" t="str">
        <f t="shared" si="283"/>
        <v/>
      </c>
      <c r="FV205" s="149"/>
      <c r="FY205" s="211">
        <v>200</v>
      </c>
      <c r="FZ205">
        <v>0.62043262490758622</v>
      </c>
      <c r="GA205">
        <v>0</v>
      </c>
      <c r="GB205">
        <v>0.12565184548559416</v>
      </c>
      <c r="GC205">
        <v>0.174096374794806</v>
      </c>
      <c r="GD205">
        <v>8.0173661321021189E-2</v>
      </c>
      <c r="GE205">
        <v>0</v>
      </c>
      <c r="GF205">
        <v>0</v>
      </c>
      <c r="GG205">
        <v>0</v>
      </c>
      <c r="GH205">
        <v>0</v>
      </c>
      <c r="GI205">
        <v>0.16921346191724837</v>
      </c>
      <c r="GJ205"/>
      <c r="GK205">
        <v>0.62172666849273306</v>
      </c>
      <c r="GL205">
        <v>0</v>
      </c>
      <c r="GM205">
        <v>0.20987613046478273</v>
      </c>
      <c r="GN205">
        <v>0.52469032616195688</v>
      </c>
      <c r="GO205">
        <v>0.31481419569717417</v>
      </c>
      <c r="GP205">
        <v>0</v>
      </c>
      <c r="GQ205">
        <v>0</v>
      </c>
      <c r="GR205">
        <v>0</v>
      </c>
      <c r="GS205">
        <v>0</v>
      </c>
      <c r="GT205">
        <v>0.22928339893093799</v>
      </c>
      <c r="GU205"/>
      <c r="GV205"/>
      <c r="GW205"/>
      <c r="GX205"/>
      <c r="GY205"/>
      <c r="GZ205"/>
      <c r="HA205"/>
      <c r="HB205"/>
      <c r="HC205"/>
    </row>
    <row r="206" spans="1:211" s="7" customFormat="1">
      <c r="A206" s="1"/>
      <c r="B206" s="76" t="str">
        <f t="shared" ca="1" si="250"/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2.9927083333333329</v>
      </c>
      <c r="AO206">
        <v>0.37422538203889616</v>
      </c>
      <c r="AP206">
        <v>12.049356954632412</v>
      </c>
      <c r="AQ206">
        <v>2.903879712214914</v>
      </c>
      <c r="AR206">
        <v>0.40596137795563947</v>
      </c>
      <c r="AS206">
        <v>2.2394861215020483</v>
      </c>
      <c r="AT206" t="e">
        <v>#DIV/0!</v>
      </c>
      <c r="AU206" t="e">
        <v>#DIV/0!</v>
      </c>
      <c r="AV206"/>
      <c r="AW206"/>
      <c r="AX206" s="146"/>
      <c r="AY206" s="76" t="str">
        <f t="shared" ca="1" si="173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8"/>
        <v/>
      </c>
      <c r="CL206" s="179" t="str">
        <f t="shared" si="209"/>
        <v/>
      </c>
      <c r="CM206" s="180" t="str">
        <f t="shared" si="210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11"/>
        <v/>
      </c>
      <c r="DB206" s="146"/>
      <c r="DC206" s="76" t="str">
        <f t="shared" ca="1" si="174"/>
        <v/>
      </c>
      <c r="DD206" t="str">
        <f t="shared" si="212"/>
        <v/>
      </c>
      <c r="DE206" s="129" t="str">
        <f t="shared" si="338"/>
        <v/>
      </c>
      <c r="DF206" s="161" t="str">
        <f t="shared" si="285"/>
        <v/>
      </c>
      <c r="DG206" s="161" t="str">
        <f t="shared" si="286"/>
        <v/>
      </c>
      <c r="DH206" s="161" t="str">
        <f t="shared" si="287"/>
        <v/>
      </c>
      <c r="DI206" s="161" t="str">
        <f t="shared" si="288"/>
        <v/>
      </c>
      <c r="DJ206" s="161" t="str">
        <f t="shared" si="289"/>
        <v/>
      </c>
      <c r="DK206" s="161" t="str">
        <f t="shared" si="290"/>
        <v/>
      </c>
      <c r="DL206" s="161" t="str">
        <f t="shared" si="291"/>
        <v/>
      </c>
      <c r="DM206" s="161" t="str">
        <f t="shared" si="292"/>
        <v/>
      </c>
      <c r="DN206" s="161" t="str">
        <f t="shared" si="315"/>
        <v/>
      </c>
      <c r="DO206" s="161" t="str">
        <f t="shared" si="316"/>
        <v/>
      </c>
      <c r="DP206" s="161" t="str">
        <f t="shared" si="317"/>
        <v/>
      </c>
      <c r="DQ206" s="161" t="str">
        <f t="shared" si="318"/>
        <v/>
      </c>
      <c r="DR206" s="161" t="str">
        <f t="shared" si="319"/>
        <v/>
      </c>
      <c r="DS206" s="161" t="str">
        <f t="shared" si="320"/>
        <v/>
      </c>
      <c r="DT206" s="161" t="str">
        <f t="shared" si="321"/>
        <v/>
      </c>
      <c r="DU206" s="161" t="str">
        <f t="shared" si="322"/>
        <v/>
      </c>
      <c r="DV206" s="161" t="str">
        <f t="shared" si="323"/>
        <v/>
      </c>
      <c r="DW206" s="161" t="str">
        <f t="shared" si="324"/>
        <v/>
      </c>
      <c r="DX206" s="161" t="str">
        <f t="shared" si="325"/>
        <v/>
      </c>
      <c r="DY206" s="161" t="str">
        <f t="shared" si="326"/>
        <v/>
      </c>
      <c r="DZ206" s="161" t="str">
        <f t="shared" si="327"/>
        <v/>
      </c>
      <c r="EA206" s="161" t="str">
        <f t="shared" si="328"/>
        <v/>
      </c>
      <c r="EB206" s="161" t="str">
        <f t="shared" si="329"/>
        <v/>
      </c>
      <c r="EC206" s="161" t="str">
        <f t="shared" si="330"/>
        <v/>
      </c>
      <c r="ED206" s="161" t="str">
        <f t="shared" si="331"/>
        <v/>
      </c>
      <c r="EE206" s="161" t="str">
        <f t="shared" si="332"/>
        <v/>
      </c>
      <c r="EF206" s="161" t="str">
        <f t="shared" si="333"/>
        <v/>
      </c>
      <c r="EG206" s="161" t="str">
        <f t="shared" si="334"/>
        <v/>
      </c>
      <c r="EH206" s="161" t="str">
        <f t="shared" si="335"/>
        <v/>
      </c>
      <c r="EI206" s="161" t="str">
        <f t="shared" si="336"/>
        <v/>
      </c>
      <c r="EJ206" s="161" t="str">
        <f t="shared" si="337"/>
        <v/>
      </c>
      <c r="EK206" s="147" t="str">
        <f t="shared" si="251"/>
        <v/>
      </c>
      <c r="EL206" s="149"/>
      <c r="EN206" s="146"/>
      <c r="EO206" s="146"/>
      <c r="EP206" s="139" t="str">
        <f t="shared" si="252"/>
        <v/>
      </c>
      <c r="EQ206" s="139" t="str">
        <f t="shared" si="253"/>
        <v/>
      </c>
      <c r="ER206" s="139" t="str">
        <f t="shared" si="254"/>
        <v/>
      </c>
      <c r="ES206" s="139" t="str">
        <f t="shared" si="255"/>
        <v/>
      </c>
      <c r="ET206" s="139" t="str">
        <f t="shared" si="256"/>
        <v/>
      </c>
      <c r="EU206" s="139" t="str">
        <f t="shared" si="257"/>
        <v/>
      </c>
      <c r="EV206" s="139" t="str">
        <f t="shared" si="258"/>
        <v/>
      </c>
      <c r="EW206" s="139" t="str">
        <f t="shared" si="259"/>
        <v/>
      </c>
      <c r="EX206" s="139" t="str">
        <f t="shared" si="260"/>
        <v/>
      </c>
      <c r="EY206" s="139" t="str">
        <f t="shared" si="261"/>
        <v/>
      </c>
      <c r="EZ206" s="139" t="str">
        <f t="shared" si="262"/>
        <v/>
      </c>
      <c r="FA206" s="139" t="str">
        <f t="shared" si="263"/>
        <v/>
      </c>
      <c r="FB206" s="139" t="str">
        <f t="shared" si="264"/>
        <v/>
      </c>
      <c r="FC206" s="139" t="str">
        <f t="shared" si="265"/>
        <v/>
      </c>
      <c r="FD206" s="139" t="str">
        <f t="shared" si="266"/>
        <v/>
      </c>
      <c r="FE206" s="139" t="str">
        <f t="shared" si="267"/>
        <v/>
      </c>
      <c r="FF206" s="139" t="str">
        <f t="shared" si="268"/>
        <v/>
      </c>
      <c r="FG206" s="139" t="str">
        <f t="shared" si="269"/>
        <v/>
      </c>
      <c r="FH206" s="139" t="str">
        <f t="shared" si="270"/>
        <v/>
      </c>
      <c r="FI206" s="139" t="str">
        <f t="shared" si="271"/>
        <v/>
      </c>
      <c r="FJ206" s="139" t="str">
        <f t="shared" si="272"/>
        <v/>
      </c>
      <c r="FK206" s="139" t="str">
        <f t="shared" si="273"/>
        <v/>
      </c>
      <c r="FL206" s="139" t="str">
        <f t="shared" si="274"/>
        <v/>
      </c>
      <c r="FM206" s="139" t="str">
        <f t="shared" si="275"/>
        <v/>
      </c>
      <c r="FN206" s="139" t="str">
        <f t="shared" si="276"/>
        <v/>
      </c>
      <c r="FO206" s="139" t="str">
        <f t="shared" si="277"/>
        <v/>
      </c>
      <c r="FP206" s="139" t="str">
        <f t="shared" si="278"/>
        <v/>
      </c>
      <c r="FQ206" s="139" t="str">
        <f t="shared" si="279"/>
        <v/>
      </c>
      <c r="FR206" s="139" t="str">
        <f t="shared" si="280"/>
        <v/>
      </c>
      <c r="FS206" s="139" t="str">
        <f t="shared" si="281"/>
        <v/>
      </c>
      <c r="FT206" s="139" t="str">
        <f t="shared" si="282"/>
        <v/>
      </c>
      <c r="FU206" s="148" t="str">
        <f t="shared" si="283"/>
        <v/>
      </c>
      <c r="FV206" s="149"/>
      <c r="FY206" s="211">
        <v>201</v>
      </c>
      <c r="FZ206">
        <v>0.62029609849301059</v>
      </c>
      <c r="GA206">
        <v>8.725047411847664E-2</v>
      </c>
      <c r="GB206">
        <v>0</v>
      </c>
      <c r="GC206">
        <v>3.4819274958961192E-2</v>
      </c>
      <c r="GD206">
        <v>2.6724553773673727E-2</v>
      </c>
      <c r="GE206">
        <v>0</v>
      </c>
      <c r="GF206">
        <v>0.33021050058332063</v>
      </c>
      <c r="GG206">
        <v>0.29759236750664797</v>
      </c>
      <c r="GH206">
        <v>0</v>
      </c>
      <c r="GI206">
        <v>0.17134546315398669</v>
      </c>
      <c r="GJ206"/>
      <c r="GK206">
        <v>0.62469840169743818</v>
      </c>
      <c r="GL206">
        <v>7.3740509229249462E-2</v>
      </c>
      <c r="GM206">
        <v>0</v>
      </c>
      <c r="GN206">
        <v>0.10493806523239137</v>
      </c>
      <c r="GO206">
        <v>0.10493806523239137</v>
      </c>
      <c r="GP206">
        <v>0</v>
      </c>
      <c r="GQ206">
        <v>0.45369793096285549</v>
      </c>
      <c r="GR206">
        <v>0.45369793096285549</v>
      </c>
      <c r="GS206">
        <v>0</v>
      </c>
      <c r="GT206">
        <v>0.23666687957853705</v>
      </c>
      <c r="GU206"/>
      <c r="GV206"/>
      <c r="GW206"/>
      <c r="GX206"/>
      <c r="GY206"/>
      <c r="GZ206"/>
      <c r="HA206"/>
      <c r="HB206"/>
      <c r="HC206"/>
    </row>
    <row r="207" spans="1:211" s="7" customFormat="1">
      <c r="A207" s="1"/>
      <c r="B207" s="76" t="str">
        <f t="shared" ca="1" si="250"/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3.8260416666666663</v>
      </c>
      <c r="AO207">
        <v>0.35431546765474042</v>
      </c>
      <c r="AP207">
        <v>10.597761659307892</v>
      </c>
      <c r="AQ207">
        <v>2.6281239327415178</v>
      </c>
      <c r="AR207">
        <v>0.38506827218692136</v>
      </c>
      <c r="AS207">
        <v>2.2168049071333069</v>
      </c>
      <c r="AT207" t="e">
        <v>#DIV/0!</v>
      </c>
      <c r="AU207" t="e">
        <v>#DIV/0!</v>
      </c>
      <c r="AV207"/>
      <c r="AW207"/>
      <c r="AX207" s="146"/>
      <c r="AY207" s="76" t="str">
        <f t="shared" ca="1" si="173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8"/>
        <v/>
      </c>
      <c r="CL207" s="179" t="str">
        <f t="shared" si="209"/>
        <v/>
      </c>
      <c r="CM207" s="180" t="str">
        <f t="shared" si="210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11"/>
        <v/>
      </c>
      <c r="DB207" s="146"/>
      <c r="DC207" s="76" t="str">
        <f t="shared" ca="1" si="174"/>
        <v/>
      </c>
      <c r="DD207" t="str">
        <f t="shared" si="212"/>
        <v/>
      </c>
      <c r="DE207" s="129" t="str">
        <f t="shared" si="338"/>
        <v/>
      </c>
      <c r="DF207" s="161" t="str">
        <f t="shared" si="285"/>
        <v/>
      </c>
      <c r="DG207" s="161" t="str">
        <f t="shared" si="286"/>
        <v/>
      </c>
      <c r="DH207" s="161" t="str">
        <f t="shared" si="287"/>
        <v/>
      </c>
      <c r="DI207" s="161" t="str">
        <f t="shared" si="288"/>
        <v/>
      </c>
      <c r="DJ207" s="161" t="str">
        <f t="shared" si="289"/>
        <v/>
      </c>
      <c r="DK207" s="161" t="str">
        <f t="shared" si="290"/>
        <v/>
      </c>
      <c r="DL207" s="161" t="str">
        <f t="shared" si="291"/>
        <v/>
      </c>
      <c r="DM207" s="161" t="str">
        <f t="shared" si="292"/>
        <v/>
      </c>
      <c r="DN207" s="161" t="str">
        <f t="shared" si="315"/>
        <v/>
      </c>
      <c r="DO207" s="161" t="str">
        <f t="shared" ref="DO207:EJ207" si="339">IF($AZ207="", "", (BK207*$CW207)/$CZ207)</f>
        <v/>
      </c>
      <c r="DP207" s="161" t="str">
        <f t="shared" si="339"/>
        <v/>
      </c>
      <c r="DQ207" s="161" t="str">
        <f t="shared" si="339"/>
        <v/>
      </c>
      <c r="DR207" s="161" t="str">
        <f t="shared" si="339"/>
        <v/>
      </c>
      <c r="DS207" s="161" t="str">
        <f t="shared" si="339"/>
        <v/>
      </c>
      <c r="DT207" s="161" t="str">
        <f t="shared" si="339"/>
        <v/>
      </c>
      <c r="DU207" s="161" t="str">
        <f t="shared" si="339"/>
        <v/>
      </c>
      <c r="DV207" s="161" t="str">
        <f t="shared" si="339"/>
        <v/>
      </c>
      <c r="DW207" s="161" t="str">
        <f t="shared" si="339"/>
        <v/>
      </c>
      <c r="DX207" s="161" t="str">
        <f t="shared" si="339"/>
        <v/>
      </c>
      <c r="DY207" s="161" t="str">
        <f t="shared" si="339"/>
        <v/>
      </c>
      <c r="DZ207" s="161" t="str">
        <f t="shared" si="339"/>
        <v/>
      </c>
      <c r="EA207" s="161" t="str">
        <f t="shared" si="339"/>
        <v/>
      </c>
      <c r="EB207" s="161" t="str">
        <f t="shared" si="339"/>
        <v/>
      </c>
      <c r="EC207" s="161" t="str">
        <f t="shared" si="339"/>
        <v/>
      </c>
      <c r="ED207" s="161" t="str">
        <f t="shared" si="339"/>
        <v/>
      </c>
      <c r="EE207" s="161" t="str">
        <f t="shared" si="339"/>
        <v/>
      </c>
      <c r="EF207" s="161" t="str">
        <f t="shared" si="339"/>
        <v/>
      </c>
      <c r="EG207" s="161" t="str">
        <f t="shared" si="339"/>
        <v/>
      </c>
      <c r="EH207" s="161" t="str">
        <f t="shared" si="339"/>
        <v/>
      </c>
      <c r="EI207" s="161" t="str">
        <f t="shared" si="339"/>
        <v/>
      </c>
      <c r="EJ207" s="161" t="str">
        <f t="shared" si="339"/>
        <v/>
      </c>
      <c r="EK207" s="147" t="str">
        <f t="shared" si="251"/>
        <v/>
      </c>
      <c r="EL207" s="149"/>
      <c r="EN207" s="146"/>
      <c r="EO207" s="146"/>
      <c r="EP207" s="139" t="str">
        <f t="shared" si="252"/>
        <v/>
      </c>
      <c r="EQ207" s="139" t="str">
        <f t="shared" si="253"/>
        <v/>
      </c>
      <c r="ER207" s="139" t="str">
        <f t="shared" si="254"/>
        <v/>
      </c>
      <c r="ES207" s="139" t="str">
        <f t="shared" si="255"/>
        <v/>
      </c>
      <c r="ET207" s="139" t="str">
        <f t="shared" si="256"/>
        <v/>
      </c>
      <c r="EU207" s="139" t="str">
        <f t="shared" si="257"/>
        <v/>
      </c>
      <c r="EV207" s="139" t="str">
        <f t="shared" si="258"/>
        <v/>
      </c>
      <c r="EW207" s="139" t="str">
        <f t="shared" si="259"/>
        <v/>
      </c>
      <c r="EX207" s="139" t="str">
        <f t="shared" si="260"/>
        <v/>
      </c>
      <c r="EY207" s="139" t="str">
        <f t="shared" si="261"/>
        <v/>
      </c>
      <c r="EZ207" s="139" t="str">
        <f t="shared" si="262"/>
        <v/>
      </c>
      <c r="FA207" s="139" t="str">
        <f t="shared" si="263"/>
        <v/>
      </c>
      <c r="FB207" s="139" t="str">
        <f t="shared" si="264"/>
        <v/>
      </c>
      <c r="FC207" s="139" t="str">
        <f t="shared" si="265"/>
        <v/>
      </c>
      <c r="FD207" s="139" t="str">
        <f t="shared" si="266"/>
        <v/>
      </c>
      <c r="FE207" s="139" t="str">
        <f t="shared" si="267"/>
        <v/>
      </c>
      <c r="FF207" s="139" t="str">
        <f t="shared" si="268"/>
        <v/>
      </c>
      <c r="FG207" s="139" t="str">
        <f t="shared" si="269"/>
        <v/>
      </c>
      <c r="FH207" s="139" t="str">
        <f t="shared" si="270"/>
        <v/>
      </c>
      <c r="FI207" s="139" t="str">
        <f t="shared" si="271"/>
        <v/>
      </c>
      <c r="FJ207" s="139" t="str">
        <f t="shared" si="272"/>
        <v/>
      </c>
      <c r="FK207" s="139" t="str">
        <f t="shared" si="273"/>
        <v/>
      </c>
      <c r="FL207" s="139" t="str">
        <f t="shared" si="274"/>
        <v/>
      </c>
      <c r="FM207" s="139" t="str">
        <f t="shared" si="275"/>
        <v/>
      </c>
      <c r="FN207" s="139" t="str">
        <f t="shared" si="276"/>
        <v/>
      </c>
      <c r="FO207" s="139" t="str">
        <f t="shared" si="277"/>
        <v/>
      </c>
      <c r="FP207" s="139" t="str">
        <f t="shared" si="278"/>
        <v/>
      </c>
      <c r="FQ207" s="139" t="str">
        <f t="shared" si="279"/>
        <v/>
      </c>
      <c r="FR207" s="139" t="str">
        <f t="shared" si="280"/>
        <v/>
      </c>
      <c r="FS207" s="139" t="str">
        <f t="shared" si="281"/>
        <v/>
      </c>
      <c r="FT207" s="139" t="str">
        <f t="shared" si="282"/>
        <v/>
      </c>
      <c r="FU207" s="148" t="str">
        <f t="shared" si="283"/>
        <v/>
      </c>
      <c r="FV207" s="149"/>
      <c r="FY207" s="211">
        <v>202</v>
      </c>
      <c r="FZ207">
        <v>1.3678893736189468</v>
      </c>
      <c r="GA207">
        <v>0.86195082931690026</v>
      </c>
      <c r="GB207">
        <v>0.14202990935487192</v>
      </c>
      <c r="GC207">
        <v>0.14859665052880375</v>
      </c>
      <c r="GD207">
        <v>5.3449107547347455E-2</v>
      </c>
      <c r="GE207">
        <v>0</v>
      </c>
      <c r="GF207">
        <v>0</v>
      </c>
      <c r="GG207">
        <v>0</v>
      </c>
      <c r="GH207">
        <v>0</v>
      </c>
      <c r="GI207">
        <v>0.26823927746939219</v>
      </c>
      <c r="GJ207"/>
      <c r="GK207">
        <v>1.3778630592930643</v>
      </c>
      <c r="GL207">
        <v>0.7403709403449259</v>
      </c>
      <c r="GM207">
        <v>0.23585576644039991</v>
      </c>
      <c r="GN207">
        <v>0.44573189690518267</v>
      </c>
      <c r="GO207">
        <v>0.20987613046478273</v>
      </c>
      <c r="GP207">
        <v>0</v>
      </c>
      <c r="GQ207">
        <v>0</v>
      </c>
      <c r="GR207">
        <v>0</v>
      </c>
      <c r="GS207">
        <v>0</v>
      </c>
      <c r="GT207">
        <v>0.36471899123964946</v>
      </c>
      <c r="GU207"/>
      <c r="GV207"/>
      <c r="GW207"/>
      <c r="GX207"/>
      <c r="GY207"/>
      <c r="GZ207"/>
      <c r="HA207"/>
      <c r="HB207"/>
      <c r="HC207"/>
    </row>
    <row r="208" spans="1:211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2.177083333333333</v>
      </c>
      <c r="AO208">
        <v>0.16245897645853574</v>
      </c>
      <c r="AP208">
        <v>6.2054589365501212</v>
      </c>
      <c r="AQ208">
        <v>1.2929295203881686</v>
      </c>
      <c r="AR208">
        <v>0.19514863893708367</v>
      </c>
      <c r="AS208">
        <v>1.1891393722332291</v>
      </c>
      <c r="AT208" t="e">
        <v>#DIV/0!</v>
      </c>
      <c r="AU208" t="e">
        <v>#DIV/0!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1">
        <v>203</v>
      </c>
      <c r="FZ208">
        <v>1.0840211082796078</v>
      </c>
      <c r="GA208">
        <v>0.86195082931690026</v>
      </c>
      <c r="GB208">
        <v>0.14202990935487192</v>
      </c>
      <c r="GC208">
        <v>0.14859665052880375</v>
      </c>
      <c r="GD208">
        <v>5.3449107547347455E-2</v>
      </c>
      <c r="GE208">
        <v>0</v>
      </c>
      <c r="GF208">
        <v>0.33021050058332063</v>
      </c>
      <c r="GG208">
        <v>0.29759236750664797</v>
      </c>
      <c r="GH208">
        <v>0</v>
      </c>
      <c r="GI208">
        <v>0.29029908305747976</v>
      </c>
      <c r="GJ208"/>
      <c r="GK208">
        <v>1.0918651502813215</v>
      </c>
      <c r="GL208">
        <v>0.7403709403449259</v>
      </c>
      <c r="GM208">
        <v>0.23585576644039991</v>
      </c>
      <c r="GN208">
        <v>0.44573189690518267</v>
      </c>
      <c r="GO208">
        <v>0.20987613046478273</v>
      </c>
      <c r="GP208">
        <v>0</v>
      </c>
      <c r="GQ208">
        <v>0.45369793096285549</v>
      </c>
      <c r="GR208">
        <v>0.45369793096285549</v>
      </c>
      <c r="GS208">
        <v>0</v>
      </c>
      <c r="GT208">
        <v>0.39825899562987194</v>
      </c>
      <c r="GU208"/>
      <c r="GV208"/>
      <c r="GW208"/>
      <c r="GX208"/>
      <c r="GY208"/>
      <c r="GZ208"/>
      <c r="HA208"/>
      <c r="HB208"/>
      <c r="HC208"/>
    </row>
    <row r="209" spans="1:211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2.2135416666666665</v>
      </c>
      <c r="AO209">
        <v>0.23809048439351224</v>
      </c>
      <c r="AP209">
        <v>7.7134159692770314</v>
      </c>
      <c r="AQ209">
        <v>1.8748123330947752</v>
      </c>
      <c r="AR209">
        <v>0.29938153529404304</v>
      </c>
      <c r="AS209">
        <v>1.5435784100694898</v>
      </c>
      <c r="AT209" t="e">
        <v>#DIV/0!</v>
      </c>
      <c r="AU209" t="e">
        <v>#DIV/0!</v>
      </c>
      <c r="AV209"/>
      <c r="AW209"/>
      <c r="FY209" s="211">
        <v>204</v>
      </c>
      <c r="FZ209">
        <v>1.369657601677873</v>
      </c>
      <c r="GA209">
        <v>0.86195082931690026</v>
      </c>
      <c r="GB209">
        <v>7.9203986612074825E-2</v>
      </c>
      <c r="GC209">
        <v>4.4138825651920163E-2</v>
      </c>
      <c r="GD209">
        <v>0</v>
      </c>
      <c r="GE209">
        <v>0</v>
      </c>
      <c r="GF209">
        <v>0.33021050058332063</v>
      </c>
      <c r="GG209">
        <v>0.29759236750664797</v>
      </c>
      <c r="GH209">
        <v>0</v>
      </c>
      <c r="GI209">
        <v>0.28612015364247179</v>
      </c>
      <c r="GJ209"/>
      <c r="GK209">
        <v>1.3824305260879395</v>
      </c>
      <c r="GL209">
        <v>0.7403709403449259</v>
      </c>
      <c r="GM209">
        <v>0.13091770120800852</v>
      </c>
      <c r="GN209">
        <v>0.13091770120800852</v>
      </c>
      <c r="GO209">
        <v>0</v>
      </c>
      <c r="GP209">
        <v>0</v>
      </c>
      <c r="GQ209">
        <v>0.45369793096285549</v>
      </c>
      <c r="GR209">
        <v>0.45369793096285549</v>
      </c>
      <c r="GS209">
        <v>0</v>
      </c>
      <c r="GT209">
        <v>0.39340923165176067</v>
      </c>
      <c r="GU209"/>
      <c r="GV209"/>
      <c r="GW209"/>
      <c r="GX209"/>
      <c r="GY209"/>
      <c r="GZ209"/>
      <c r="HA209"/>
      <c r="HB209"/>
      <c r="HC209"/>
    </row>
    <row r="210" spans="1:211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3.8114583333333329</v>
      </c>
      <c r="AO210">
        <v>0.64977897892695391</v>
      </c>
      <c r="AP210">
        <v>20.008198194757792</v>
      </c>
      <c r="AQ210">
        <v>5.1190992683951579</v>
      </c>
      <c r="AR210">
        <v>0.64351662401184984</v>
      </c>
      <c r="AS210">
        <v>3.4272912955509924</v>
      </c>
      <c r="AT210" t="e">
        <v>#DIV/0!</v>
      </c>
      <c r="AU210" t="e">
        <v>#DIV/0!</v>
      </c>
      <c r="AV210"/>
      <c r="AW210"/>
      <c r="FY210" s="211">
        <v>205</v>
      </c>
      <c r="FZ210">
        <v>1.0379285378570335</v>
      </c>
      <c r="GA210">
        <v>0.47460065171768845</v>
      </c>
      <c r="GB210">
        <v>7.9203986612074825E-2</v>
      </c>
      <c r="GC210">
        <v>7.8958100610881349E-2</v>
      </c>
      <c r="GD210">
        <v>2.6724553773673727E-2</v>
      </c>
      <c r="GE210">
        <v>0</v>
      </c>
      <c r="GF210">
        <v>0.33021050058332063</v>
      </c>
      <c r="GG210">
        <v>0.29759236750664797</v>
      </c>
      <c r="GH210">
        <v>0</v>
      </c>
      <c r="GI210">
        <v>0.25269056105517795</v>
      </c>
      <c r="GJ210"/>
      <c r="GK210">
        <v>1.0410877595040495</v>
      </c>
      <c r="GL210">
        <v>0.40705572478708768</v>
      </c>
      <c r="GM210">
        <v>0.13091770120800852</v>
      </c>
      <c r="GN210">
        <v>0.23585576644039991</v>
      </c>
      <c r="GO210">
        <v>0.10493806523239137</v>
      </c>
      <c r="GP210">
        <v>0</v>
      </c>
      <c r="GQ210">
        <v>0.45369793096285549</v>
      </c>
      <c r="GR210">
        <v>0.45369793096285549</v>
      </c>
      <c r="GS210">
        <v>0</v>
      </c>
      <c r="GT210">
        <v>0.34612829138146101</v>
      </c>
      <c r="GU210"/>
      <c r="GV210"/>
      <c r="GW210"/>
      <c r="GX210"/>
      <c r="GY210"/>
      <c r="GZ210"/>
      <c r="HA210"/>
      <c r="HB210"/>
      <c r="HC210"/>
    </row>
    <row r="211" spans="1:211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4.1260416666666675</v>
      </c>
      <c r="AO211">
        <v>0.43065609802141874</v>
      </c>
      <c r="AP211">
        <v>14.330588433519281</v>
      </c>
      <c r="AQ211">
        <v>3.4437334710350918</v>
      </c>
      <c r="AR211">
        <v>0.44809024154653987</v>
      </c>
      <c r="AS211">
        <v>2.4518131204333726</v>
      </c>
      <c r="AT211" t="e">
        <v>#DIV/0!</v>
      </c>
      <c r="AU211" t="e">
        <v>#DIV/0!</v>
      </c>
      <c r="AV211"/>
      <c r="AW211"/>
      <c r="BA211" s="191"/>
      <c r="BB211" s="191"/>
      <c r="BC211" s="192"/>
      <c r="BD211" s="192"/>
      <c r="BE211" s="192"/>
      <c r="BF211" s="192"/>
      <c r="BG211" s="192"/>
      <c r="BH211" s="192"/>
      <c r="BI211" s="192"/>
      <c r="BJ211" s="192"/>
      <c r="BK211" s="192"/>
      <c r="BL211" s="192"/>
      <c r="BM211" s="192"/>
      <c r="BN211" s="192"/>
      <c r="BO211" s="192"/>
      <c r="BP211" s="192"/>
      <c r="BQ211" s="192"/>
      <c r="BR211" s="192"/>
      <c r="BS211" s="192"/>
      <c r="BT211" s="192"/>
      <c r="BU211" s="192"/>
      <c r="BV211" s="192"/>
      <c r="BW211" s="192"/>
      <c r="BX211" s="192"/>
      <c r="BY211" s="192"/>
      <c r="BZ211" s="192"/>
      <c r="CA211" s="192"/>
      <c r="CB211" s="192"/>
      <c r="CC211" s="192"/>
      <c r="CD211" s="192"/>
      <c r="CE211" s="192"/>
      <c r="CF211" s="192"/>
      <c r="CG211" s="193"/>
      <c r="CH211" s="193"/>
      <c r="CI211" s="193"/>
      <c r="CJ211" s="193"/>
      <c r="CK211" s="193"/>
      <c r="CL211" s="193"/>
      <c r="CM211" s="193"/>
      <c r="CN211" s="193"/>
      <c r="CO211" s="193"/>
      <c r="CP211" s="193"/>
      <c r="CQ211" s="193"/>
      <c r="CR211" s="193"/>
      <c r="CS211" s="193"/>
      <c r="CT211" s="193"/>
      <c r="CU211" s="193"/>
      <c r="DE211" s="183" t="s">
        <v>139</v>
      </c>
      <c r="DF211" s="182" t="s">
        <v>83</v>
      </c>
      <c r="DG211" s="181">
        <v>1</v>
      </c>
      <c r="DH211" s="181">
        <v>2</v>
      </c>
      <c r="DI211" s="181">
        <v>3</v>
      </c>
      <c r="DJ211" s="181">
        <v>4</v>
      </c>
      <c r="DK211" s="181">
        <v>5</v>
      </c>
      <c r="DL211" s="181">
        <v>6</v>
      </c>
      <c r="DM211" s="181">
        <v>7</v>
      </c>
      <c r="DN211" s="181">
        <v>8</v>
      </c>
      <c r="DO211" s="181">
        <v>9</v>
      </c>
      <c r="DP211" s="181">
        <v>10</v>
      </c>
      <c r="DQ211" s="181">
        <v>11</v>
      </c>
      <c r="DR211" s="181">
        <v>12</v>
      </c>
      <c r="DS211" s="181">
        <v>13</v>
      </c>
      <c r="DT211" s="181">
        <v>14</v>
      </c>
      <c r="DU211" s="181">
        <v>15</v>
      </c>
      <c r="DV211" s="181">
        <v>16</v>
      </c>
      <c r="DW211" s="181">
        <v>17</v>
      </c>
      <c r="DX211" s="181">
        <v>18</v>
      </c>
      <c r="DY211" s="181">
        <v>19</v>
      </c>
      <c r="DZ211" s="181">
        <v>20</v>
      </c>
      <c r="EA211" s="181">
        <v>21</v>
      </c>
      <c r="EB211" s="181">
        <v>22</v>
      </c>
      <c r="EC211" s="181">
        <v>23</v>
      </c>
      <c r="ED211" s="181">
        <v>24</v>
      </c>
      <c r="EE211" s="181">
        <v>25</v>
      </c>
      <c r="EF211" s="181">
        <v>26</v>
      </c>
      <c r="EG211" s="181">
        <v>27</v>
      </c>
      <c r="EH211" s="181">
        <v>28</v>
      </c>
      <c r="EI211" s="181">
        <v>29</v>
      </c>
      <c r="EJ211" s="181">
        <v>30</v>
      </c>
      <c r="FY211" s="211">
        <v>206</v>
      </c>
      <c r="FZ211">
        <v>1.9024329776243056</v>
      </c>
      <c r="GA211">
        <v>1.1620505327976354</v>
      </c>
      <c r="GB211">
        <v>0.22123389596694673</v>
      </c>
      <c r="GC211">
        <v>0.12309692626280153</v>
      </c>
      <c r="GD211">
        <v>0</v>
      </c>
      <c r="GE211">
        <v>0</v>
      </c>
      <c r="GF211">
        <v>0.33021050058332063</v>
      </c>
      <c r="GG211">
        <v>0.29759236750664797</v>
      </c>
      <c r="GH211">
        <v>0</v>
      </c>
      <c r="GI211">
        <v>0.39975660492166404</v>
      </c>
      <c r="GJ211"/>
      <c r="GK211">
        <v>1.9218579139639771</v>
      </c>
      <c r="GL211">
        <v>0.9999456466735146</v>
      </c>
      <c r="GM211">
        <v>0.3667734676484084</v>
      </c>
      <c r="GN211">
        <v>0.3667734676484084</v>
      </c>
      <c r="GO211">
        <v>0</v>
      </c>
      <c r="GP211">
        <v>0</v>
      </c>
      <c r="GQ211">
        <v>0.45369793096285549</v>
      </c>
      <c r="GR211">
        <v>0.45369793096285549</v>
      </c>
      <c r="GS211">
        <v>0</v>
      </c>
      <c r="GT211">
        <v>0.54846586251504825</v>
      </c>
      <c r="GU211"/>
      <c r="GV211"/>
      <c r="GW211"/>
      <c r="GX211"/>
      <c r="GY211"/>
      <c r="GZ211"/>
      <c r="HA211"/>
      <c r="HB211"/>
      <c r="HC211"/>
    </row>
    <row r="212" spans="1:211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2.5447916666666663</v>
      </c>
      <c r="AO212">
        <v>0.43559051287356132</v>
      </c>
      <c r="AP212">
        <v>13.449072527371325</v>
      </c>
      <c r="AQ212">
        <v>3.1641665763762332</v>
      </c>
      <c r="AR212">
        <v>0.43118739365413583</v>
      </c>
      <c r="AS212">
        <v>2.1548633738970611</v>
      </c>
      <c r="AT212" t="e">
        <v>#DIV/0!</v>
      </c>
      <c r="AU212" t="e">
        <v>#DIV/0!</v>
      </c>
      <c r="AV212"/>
      <c r="AW212"/>
      <c r="BA212" s="194"/>
      <c r="BB212" s="192"/>
      <c r="BC212" s="192"/>
      <c r="BD212" s="192"/>
      <c r="BE212" s="192"/>
      <c r="BF212" s="192"/>
      <c r="BG212" s="192"/>
      <c r="BH212" s="192"/>
      <c r="BI212" s="192"/>
      <c r="BJ212" s="192"/>
      <c r="BK212" s="192"/>
      <c r="BL212" s="192"/>
      <c r="BM212" s="192"/>
      <c r="BN212" s="192"/>
      <c r="BO212" s="192"/>
      <c r="BP212" s="192"/>
      <c r="BQ212" s="192"/>
      <c r="BR212" s="192"/>
      <c r="BS212" s="192"/>
      <c r="BT212" s="192"/>
      <c r="BU212" s="192"/>
      <c r="BV212" s="192"/>
      <c r="BW212" s="192"/>
      <c r="BX212" s="192"/>
      <c r="BY212" s="192"/>
      <c r="BZ212" s="192"/>
      <c r="CA212" s="192"/>
      <c r="CB212" s="192"/>
      <c r="CC212" s="192"/>
      <c r="CD212" s="192"/>
      <c r="CE212" s="192"/>
      <c r="CF212" s="192"/>
      <c r="CG212" s="193"/>
      <c r="CH212" s="193"/>
      <c r="CI212" s="193"/>
      <c r="CJ212" s="193"/>
      <c r="CK212" s="193"/>
      <c r="CL212" s="193"/>
      <c r="CM212" s="191"/>
      <c r="CN212" s="191"/>
      <c r="CO212" s="192"/>
      <c r="CP212" s="192"/>
      <c r="CQ212" s="192"/>
      <c r="CR212" s="192"/>
      <c r="CS212" s="192"/>
      <c r="CT212" s="192"/>
      <c r="CU212" s="192"/>
      <c r="DE212" s="186">
        <f>DE88</f>
        <v>39646</v>
      </c>
      <c r="DF212" s="181">
        <f t="shared" ref="DF212:EJ212" si="340">AVERAGE(DF88:DF97)</f>
        <v>0</v>
      </c>
      <c r="DG212" s="181">
        <f t="shared" si="340"/>
        <v>0</v>
      </c>
      <c r="DH212" s="181">
        <f t="shared" si="340"/>
        <v>9.3750000000000018</v>
      </c>
      <c r="DI212" s="181">
        <f t="shared" si="340"/>
        <v>12.5</v>
      </c>
      <c r="DJ212" s="181">
        <f t="shared" si="340"/>
        <v>3.125</v>
      </c>
      <c r="DK212" s="181">
        <f t="shared" ref="DK212:DQ212" si="341">AVERAGE(DK88:DK97)</f>
        <v>0</v>
      </c>
      <c r="DL212" s="181">
        <f t="shared" si="341"/>
        <v>1.0416666666666665</v>
      </c>
      <c r="DM212" s="181">
        <f t="shared" si="341"/>
        <v>0</v>
      </c>
      <c r="DN212" s="181">
        <f t="shared" si="341"/>
        <v>0</v>
      </c>
      <c r="DO212" s="181">
        <f t="shared" si="341"/>
        <v>0</v>
      </c>
      <c r="DP212" s="181">
        <f t="shared" si="341"/>
        <v>0</v>
      </c>
      <c r="DQ212" s="181">
        <f t="shared" si="341"/>
        <v>0</v>
      </c>
      <c r="DR212" s="181">
        <f t="shared" si="340"/>
        <v>0</v>
      </c>
      <c r="DS212" s="181">
        <f t="shared" si="340"/>
        <v>0</v>
      </c>
      <c r="DT212" s="181">
        <f t="shared" si="340"/>
        <v>0</v>
      </c>
      <c r="DU212" s="181">
        <f t="shared" si="340"/>
        <v>0</v>
      </c>
      <c r="DV212" s="181">
        <f t="shared" si="340"/>
        <v>0</v>
      </c>
      <c r="DW212" s="181">
        <f t="shared" si="340"/>
        <v>0</v>
      </c>
      <c r="DX212" s="181">
        <f t="shared" si="340"/>
        <v>0</v>
      </c>
      <c r="DY212" s="181">
        <f t="shared" si="340"/>
        <v>0</v>
      </c>
      <c r="DZ212" s="181">
        <f t="shared" si="340"/>
        <v>0</v>
      </c>
      <c r="EA212" s="181">
        <f t="shared" si="340"/>
        <v>0</v>
      </c>
      <c r="EB212" s="181">
        <f t="shared" si="340"/>
        <v>0</v>
      </c>
      <c r="EC212" s="181">
        <f t="shared" si="340"/>
        <v>0</v>
      </c>
      <c r="ED212" s="181">
        <f t="shared" si="340"/>
        <v>0</v>
      </c>
      <c r="EE212" s="181">
        <f t="shared" si="340"/>
        <v>0</v>
      </c>
      <c r="EF212" s="181">
        <f t="shared" si="340"/>
        <v>0</v>
      </c>
      <c r="EG212" s="181">
        <f t="shared" si="340"/>
        <v>0</v>
      </c>
      <c r="EH212" s="181">
        <f t="shared" si="340"/>
        <v>0</v>
      </c>
      <c r="EI212" s="181">
        <f t="shared" si="340"/>
        <v>0</v>
      </c>
      <c r="EJ212" s="181">
        <f t="shared" si="340"/>
        <v>0</v>
      </c>
      <c r="FY212" s="211">
        <v>207</v>
      </c>
      <c r="FZ212">
        <v>0.591215034096646</v>
      </c>
      <c r="GA212">
        <v>8.725047411847664E-2</v>
      </c>
      <c r="GB212">
        <v>0.14202990935487192</v>
      </c>
      <c r="GC212">
        <v>7.8958100610881349E-2</v>
      </c>
      <c r="GD212">
        <v>0</v>
      </c>
      <c r="GE212">
        <v>0</v>
      </c>
      <c r="GF212">
        <v>0.99063150174996206</v>
      </c>
      <c r="GG212">
        <v>0.89277710251994391</v>
      </c>
      <c r="GH212">
        <v>0</v>
      </c>
      <c r="GI212">
        <v>0.31466231928782662</v>
      </c>
      <c r="GJ212"/>
      <c r="GK212">
        <v>0.59304865487442415</v>
      </c>
      <c r="GL212">
        <v>7.3740509229249462E-2</v>
      </c>
      <c r="GM212">
        <v>0.23585576644039991</v>
      </c>
      <c r="GN212">
        <v>0.23585576644039991</v>
      </c>
      <c r="GO212">
        <v>0</v>
      </c>
      <c r="GP212">
        <v>0</v>
      </c>
      <c r="GQ212">
        <v>1.3610937928885667</v>
      </c>
      <c r="GR212">
        <v>1.3610937928885667</v>
      </c>
      <c r="GS212">
        <v>0</v>
      </c>
      <c r="GT212">
        <v>0.43799964284067816</v>
      </c>
      <c r="GU212"/>
      <c r="GV212"/>
      <c r="GW212"/>
      <c r="GX212"/>
      <c r="GY212"/>
      <c r="GZ212"/>
      <c r="HA212"/>
      <c r="HB212"/>
      <c r="HC212"/>
    </row>
    <row r="213" spans="1:211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3.0468749999999991</v>
      </c>
      <c r="AO213">
        <v>0.20359493611200502</v>
      </c>
      <c r="AP213">
        <v>4.6466942303880892</v>
      </c>
      <c r="AQ213">
        <v>1.4712520720525277</v>
      </c>
      <c r="AR213">
        <v>0.25274615916426968</v>
      </c>
      <c r="AS213">
        <v>1.6788598608054439</v>
      </c>
      <c r="AT213" t="e">
        <v>#DIV/0!</v>
      </c>
      <c r="AU213" t="e">
        <v>#DIV/0!</v>
      </c>
      <c r="AV213"/>
      <c r="AW213"/>
      <c r="BA213" s="194"/>
      <c r="BB213" s="195"/>
      <c r="BC213" s="195"/>
      <c r="BD213" s="195"/>
      <c r="BE213" s="195"/>
      <c r="BF213" s="195"/>
      <c r="BG213" s="195"/>
      <c r="BH213" s="195"/>
      <c r="BI213" s="195"/>
      <c r="BJ213" s="195"/>
      <c r="BK213" s="195"/>
      <c r="BL213" s="195"/>
      <c r="BM213" s="195"/>
      <c r="BN213" s="195"/>
      <c r="BO213" s="195"/>
      <c r="BP213" s="195"/>
      <c r="BQ213" s="195"/>
      <c r="BR213" s="195"/>
      <c r="BS213" s="195"/>
      <c r="BT213" s="195"/>
      <c r="BU213" s="195"/>
      <c r="BV213" s="195"/>
      <c r="BW213" s="195"/>
      <c r="BX213" s="195"/>
      <c r="BY213" s="195"/>
      <c r="BZ213" s="195"/>
      <c r="CA213" s="195"/>
      <c r="CB213" s="195"/>
      <c r="CC213" s="195"/>
      <c r="CD213" s="195"/>
      <c r="CE213" s="195"/>
      <c r="CF213" s="195"/>
      <c r="CG213" s="193"/>
      <c r="CH213" s="193"/>
      <c r="CI213" s="193"/>
      <c r="CJ213" s="193"/>
      <c r="CK213" s="193"/>
      <c r="CL213" s="193"/>
      <c r="CM213" s="196"/>
      <c r="CN213" s="192"/>
      <c r="CO213" s="192"/>
      <c r="CP213" s="192"/>
      <c r="CQ213" s="192"/>
      <c r="CR213" s="192"/>
      <c r="CS213" s="192"/>
      <c r="CT213" s="192"/>
      <c r="CU213" s="192"/>
      <c r="DE213" s="186">
        <f>DE98</f>
        <v>39673</v>
      </c>
      <c r="DF213" s="184">
        <f t="shared" ref="DF213:EJ213" si="342">AVERAGE(DF98:DF107)</f>
        <v>0</v>
      </c>
      <c r="DG213" s="184">
        <f t="shared" si="342"/>
        <v>0</v>
      </c>
      <c r="DH213" s="184">
        <f t="shared" si="342"/>
        <v>0</v>
      </c>
      <c r="DI213" s="184">
        <f t="shared" si="342"/>
        <v>1.0416666666666665</v>
      </c>
      <c r="DJ213" s="184">
        <f t="shared" si="342"/>
        <v>1.0416666666666665</v>
      </c>
      <c r="DK213" s="184">
        <f t="shared" ref="DK213:DQ213" si="343">AVERAGE(DK98:DK107)</f>
        <v>0</v>
      </c>
      <c r="DL213" s="184">
        <f t="shared" si="343"/>
        <v>1.875</v>
      </c>
      <c r="DM213" s="184">
        <f t="shared" si="343"/>
        <v>0</v>
      </c>
      <c r="DN213" s="184">
        <f t="shared" si="343"/>
        <v>0</v>
      </c>
      <c r="DO213" s="184">
        <f t="shared" si="343"/>
        <v>0</v>
      </c>
      <c r="DP213" s="184">
        <f t="shared" si="343"/>
        <v>0</v>
      </c>
      <c r="DQ213" s="184">
        <f t="shared" si="343"/>
        <v>0</v>
      </c>
      <c r="DR213" s="184">
        <f t="shared" si="342"/>
        <v>0</v>
      </c>
      <c r="DS213" s="184">
        <f t="shared" si="342"/>
        <v>0</v>
      </c>
      <c r="DT213" s="184">
        <f t="shared" si="342"/>
        <v>0</v>
      </c>
      <c r="DU213" s="184">
        <f t="shared" si="342"/>
        <v>0</v>
      </c>
      <c r="DV213" s="184">
        <f t="shared" si="342"/>
        <v>0</v>
      </c>
      <c r="DW213" s="184">
        <f t="shared" si="342"/>
        <v>0</v>
      </c>
      <c r="DX213" s="184">
        <f t="shared" si="342"/>
        <v>0</v>
      </c>
      <c r="DY213" s="184">
        <f t="shared" si="342"/>
        <v>0</v>
      </c>
      <c r="DZ213" s="184">
        <f t="shared" si="342"/>
        <v>0</v>
      </c>
      <c r="EA213" s="184">
        <f t="shared" si="342"/>
        <v>0</v>
      </c>
      <c r="EB213" s="184">
        <f t="shared" si="342"/>
        <v>0</v>
      </c>
      <c r="EC213" s="184">
        <f t="shared" si="342"/>
        <v>0</v>
      </c>
      <c r="ED213" s="184">
        <f t="shared" si="342"/>
        <v>0</v>
      </c>
      <c r="EE213" s="184">
        <f t="shared" si="342"/>
        <v>0</v>
      </c>
      <c r="EF213" s="184">
        <f t="shared" si="342"/>
        <v>0</v>
      </c>
      <c r="EG213" s="184">
        <f t="shared" si="342"/>
        <v>0</v>
      </c>
      <c r="EH213" s="184">
        <f t="shared" si="342"/>
        <v>0</v>
      </c>
      <c r="EI213" s="184">
        <f t="shared" si="342"/>
        <v>0</v>
      </c>
      <c r="EJ213" s="184">
        <f t="shared" si="342"/>
        <v>0</v>
      </c>
      <c r="FY213" s="211">
        <v>208</v>
      </c>
      <c r="FZ213">
        <v>0.45133468151731193</v>
      </c>
      <c r="GA213">
        <v>0.17450094823695328</v>
      </c>
      <c r="GB213">
        <v>0.12565184548559416</v>
      </c>
      <c r="GC213">
        <v>0.174096374794806</v>
      </c>
      <c r="GD213">
        <v>8.0173661321021189E-2</v>
      </c>
      <c r="GE213">
        <v>0</v>
      </c>
      <c r="GF213">
        <v>0.66042100116664126</v>
      </c>
      <c r="GG213">
        <v>0.59518473501329594</v>
      </c>
      <c r="GH213">
        <v>0</v>
      </c>
      <c r="GI213">
        <v>0.27235542672565077</v>
      </c>
      <c r="GJ213"/>
      <c r="GK213">
        <v>0.45062039261216186</v>
      </c>
      <c r="GL213">
        <v>0.14748101845849892</v>
      </c>
      <c r="GM213">
        <v>0.20987613046478273</v>
      </c>
      <c r="GN213">
        <v>0.52469032616195688</v>
      </c>
      <c r="GO213">
        <v>0.31481419569717417</v>
      </c>
      <c r="GP213">
        <v>0</v>
      </c>
      <c r="GQ213">
        <v>0.90739586192571098</v>
      </c>
      <c r="GR213">
        <v>0.90739586192571098</v>
      </c>
      <c r="GS213">
        <v>0</v>
      </c>
      <c r="GT213">
        <v>0.37654131613996589</v>
      </c>
      <c r="GU213"/>
      <c r="GV213"/>
      <c r="GW213"/>
      <c r="GX213"/>
      <c r="GY213"/>
      <c r="GZ213"/>
      <c r="HA213"/>
      <c r="HB213"/>
      <c r="HC213"/>
    </row>
    <row r="214" spans="1:211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1.2239583333333335</v>
      </c>
      <c r="AO214">
        <v>0.43113633868218287</v>
      </c>
      <c r="AP214">
        <v>22.812873152154545</v>
      </c>
      <c r="AQ214">
        <v>2.8407136335232801</v>
      </c>
      <c r="AR214">
        <v>0.4174229495046799</v>
      </c>
      <c r="AS214">
        <v>1.713942962705743</v>
      </c>
      <c r="AT214" t="e">
        <v>#DIV/0!</v>
      </c>
      <c r="AU214" t="e">
        <v>#DIV/0!</v>
      </c>
      <c r="AV214"/>
      <c r="AW214"/>
      <c r="BA214" s="194"/>
      <c r="BB214" s="192"/>
      <c r="BC214" s="192"/>
      <c r="BD214" s="192"/>
      <c r="BE214" s="192"/>
      <c r="BF214" s="192"/>
      <c r="BG214" s="192"/>
      <c r="BH214" s="192"/>
      <c r="BI214" s="192"/>
      <c r="BJ214" s="192"/>
      <c r="BK214" s="192"/>
      <c r="BL214" s="192"/>
      <c r="BM214" s="192"/>
      <c r="BN214" s="192"/>
      <c r="BO214" s="192"/>
      <c r="BP214" s="192"/>
      <c r="BQ214" s="192"/>
      <c r="BR214" s="192"/>
      <c r="BS214" s="192"/>
      <c r="BT214" s="192"/>
      <c r="BU214" s="192"/>
      <c r="BV214" s="192"/>
      <c r="BW214" s="192"/>
      <c r="BX214" s="192"/>
      <c r="BY214" s="192"/>
      <c r="BZ214" s="192"/>
      <c r="CA214" s="192"/>
      <c r="CB214" s="192"/>
      <c r="CC214" s="192"/>
      <c r="CD214" s="192"/>
      <c r="CE214" s="192"/>
      <c r="CF214" s="192"/>
      <c r="CG214" s="193"/>
      <c r="CH214" s="193"/>
      <c r="CI214" s="193"/>
      <c r="CJ214" s="193"/>
      <c r="CK214" s="193"/>
      <c r="CL214" s="193"/>
      <c r="CM214" s="196"/>
      <c r="CN214" s="192"/>
      <c r="CO214" s="192"/>
      <c r="CP214" s="192"/>
      <c r="CQ214" s="192"/>
      <c r="CR214" s="192"/>
      <c r="CS214" s="192"/>
      <c r="CT214" s="192"/>
      <c r="CU214" s="192"/>
      <c r="DE214" s="186">
        <f>DE108</f>
        <v>39714</v>
      </c>
      <c r="DF214" s="181">
        <f t="shared" ref="DF214:EJ214" si="344">AVERAGE(DF108:DF117)</f>
        <v>0</v>
      </c>
      <c r="DG214" s="181">
        <f t="shared" si="344"/>
        <v>0</v>
      </c>
      <c r="DH214" s="181">
        <f t="shared" si="344"/>
        <v>0</v>
      </c>
      <c r="DI214" s="181">
        <f t="shared" si="344"/>
        <v>0</v>
      </c>
      <c r="DJ214" s="181">
        <f t="shared" si="344"/>
        <v>0</v>
      </c>
      <c r="DK214" s="181">
        <f t="shared" si="344"/>
        <v>0</v>
      </c>
      <c r="DL214" s="181">
        <f t="shared" si="344"/>
        <v>0</v>
      </c>
      <c r="DM214" s="181">
        <f t="shared" si="344"/>
        <v>0</v>
      </c>
      <c r="DN214" s="181">
        <f t="shared" si="344"/>
        <v>0</v>
      </c>
      <c r="DO214" s="181">
        <f t="shared" si="344"/>
        <v>0</v>
      </c>
      <c r="DP214" s="181">
        <f t="shared" si="344"/>
        <v>0</v>
      </c>
      <c r="DQ214" s="181">
        <f t="shared" si="344"/>
        <v>0</v>
      </c>
      <c r="DR214" s="181">
        <f t="shared" si="344"/>
        <v>0</v>
      </c>
      <c r="DS214" s="181">
        <f t="shared" si="344"/>
        <v>0</v>
      </c>
      <c r="DT214" s="181">
        <f t="shared" si="344"/>
        <v>0</v>
      </c>
      <c r="DU214" s="181">
        <f t="shared" si="344"/>
        <v>0</v>
      </c>
      <c r="DV214" s="181">
        <f t="shared" si="344"/>
        <v>0</v>
      </c>
      <c r="DW214" s="181">
        <f t="shared" si="344"/>
        <v>0</v>
      </c>
      <c r="DX214" s="181">
        <f t="shared" si="344"/>
        <v>0</v>
      </c>
      <c r="DY214" s="181">
        <f t="shared" si="344"/>
        <v>0</v>
      </c>
      <c r="DZ214" s="181">
        <f t="shared" si="344"/>
        <v>0</v>
      </c>
      <c r="EA214" s="181">
        <f t="shared" si="344"/>
        <v>0</v>
      </c>
      <c r="EB214" s="181">
        <f t="shared" si="344"/>
        <v>0</v>
      </c>
      <c r="EC214" s="181">
        <f t="shared" si="344"/>
        <v>0</v>
      </c>
      <c r="ED214" s="181">
        <f t="shared" si="344"/>
        <v>0</v>
      </c>
      <c r="EE214" s="181">
        <f t="shared" si="344"/>
        <v>0</v>
      </c>
      <c r="EF214" s="181">
        <f t="shared" si="344"/>
        <v>0</v>
      </c>
      <c r="EG214" s="181">
        <f t="shared" si="344"/>
        <v>0</v>
      </c>
      <c r="EH214" s="181">
        <f t="shared" si="344"/>
        <v>0</v>
      </c>
      <c r="EI214" s="181">
        <f t="shared" si="344"/>
        <v>0</v>
      </c>
      <c r="EJ214" s="181">
        <f t="shared" si="344"/>
        <v>0</v>
      </c>
      <c r="FY214" s="211">
        <v>209</v>
      </c>
      <c r="FZ214">
        <v>1.49159690974374</v>
      </c>
      <c r="GA214">
        <v>1.0364517775538535</v>
      </c>
      <c r="GB214">
        <v>0.23761195983622446</v>
      </c>
      <c r="GC214">
        <v>0.13241647695576048</v>
      </c>
      <c r="GD214">
        <v>0</v>
      </c>
      <c r="GE214">
        <v>0</v>
      </c>
      <c r="GF214">
        <v>0.66042100116664126</v>
      </c>
      <c r="GG214">
        <v>0.59518473501329594</v>
      </c>
      <c r="GH214">
        <v>0</v>
      </c>
      <c r="GI214">
        <v>0.40715155330627273</v>
      </c>
      <c r="GJ214"/>
      <c r="GK214">
        <v>1.5018376662416939</v>
      </c>
      <c r="GL214">
        <v>0.88785195880342482</v>
      </c>
      <c r="GM214">
        <v>0.39275310362402555</v>
      </c>
      <c r="GN214">
        <v>0.39275310362402555</v>
      </c>
      <c r="GO214">
        <v>0</v>
      </c>
      <c r="GP214">
        <v>0</v>
      </c>
      <c r="GQ214">
        <v>0.90739586192571098</v>
      </c>
      <c r="GR214">
        <v>0.90739586192571098</v>
      </c>
      <c r="GS214">
        <v>0</v>
      </c>
      <c r="GT214">
        <v>0.5603973263582861</v>
      </c>
      <c r="GU214"/>
      <c r="GV214"/>
      <c r="GW214"/>
      <c r="GX214"/>
      <c r="GY214"/>
      <c r="GZ214"/>
      <c r="HA214"/>
      <c r="HB214"/>
      <c r="HC214"/>
    </row>
    <row r="215" spans="1:211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1.2708333333333333</v>
      </c>
      <c r="AO215">
        <v>0.2958990892992503</v>
      </c>
      <c r="AP215">
        <v>13.692573768416871</v>
      </c>
      <c r="AQ215">
        <v>2.0537723367897547</v>
      </c>
      <c r="AR215">
        <v>0.30695315010033497</v>
      </c>
      <c r="AS215">
        <v>1.4541617493602672</v>
      </c>
      <c r="AT215" t="e">
        <v>#DIV/0!</v>
      </c>
      <c r="AU215" t="e">
        <v>#DIV/0!</v>
      </c>
      <c r="AV215"/>
      <c r="AW215"/>
      <c r="BA215" s="194"/>
      <c r="BB215" s="192"/>
      <c r="BC215" s="192"/>
      <c r="BD215" s="192"/>
      <c r="BE215" s="192"/>
      <c r="BF215" s="192"/>
      <c r="BG215" s="192"/>
      <c r="BH215" s="192"/>
      <c r="BI215" s="192"/>
      <c r="BJ215" s="192"/>
      <c r="BK215" s="192"/>
      <c r="BL215" s="192"/>
      <c r="BM215" s="192"/>
      <c r="BN215" s="192"/>
      <c r="BO215" s="192"/>
      <c r="BP215" s="192"/>
      <c r="BQ215" s="192"/>
      <c r="BR215" s="192"/>
      <c r="BS215" s="192"/>
      <c r="BT215" s="192"/>
      <c r="BU215" s="192"/>
      <c r="BV215" s="192"/>
      <c r="BW215" s="192"/>
      <c r="BX215" s="192"/>
      <c r="BY215" s="192"/>
      <c r="BZ215" s="192"/>
      <c r="CA215" s="192"/>
      <c r="CB215" s="192"/>
      <c r="CC215" s="192"/>
      <c r="CD215" s="192"/>
      <c r="CE215" s="192"/>
      <c r="CF215" s="192"/>
      <c r="CG215" s="193"/>
      <c r="CH215" s="193"/>
      <c r="CI215" s="193"/>
      <c r="CJ215" s="193"/>
      <c r="CK215" s="193"/>
      <c r="CL215" s="193"/>
      <c r="CM215" s="196"/>
      <c r="CN215" s="192"/>
      <c r="CO215" s="192"/>
      <c r="CP215" s="192"/>
      <c r="CQ215" s="192"/>
      <c r="CR215" s="192"/>
      <c r="CS215" s="192"/>
      <c r="CT215" s="192"/>
      <c r="CU215" s="192"/>
      <c r="DE215" s="186">
        <f>DE118</f>
        <v>39747</v>
      </c>
      <c r="DF215" s="181">
        <f t="shared" ref="DF215:EJ215" si="345">AVERAGE(DF118:DF127)</f>
        <v>0</v>
      </c>
      <c r="DG215" s="181">
        <f t="shared" ref="DG215:DH215" si="346">AVERAGE(DG118:DG127)</f>
        <v>0</v>
      </c>
      <c r="DH215" s="181">
        <f t="shared" si="346"/>
        <v>0</v>
      </c>
      <c r="DI215" s="181">
        <f t="shared" si="345"/>
        <v>0</v>
      </c>
      <c r="DJ215" s="181">
        <f t="shared" si="345"/>
        <v>2.604166666666667</v>
      </c>
      <c r="DK215" s="181">
        <f t="shared" si="345"/>
        <v>1.0416666666666665</v>
      </c>
      <c r="DL215" s="181">
        <f t="shared" si="345"/>
        <v>0</v>
      </c>
      <c r="DM215" s="181">
        <f t="shared" si="345"/>
        <v>0</v>
      </c>
      <c r="DN215" s="181">
        <f t="shared" si="345"/>
        <v>0</v>
      </c>
      <c r="DO215" s="181">
        <f t="shared" si="345"/>
        <v>0</v>
      </c>
      <c r="DP215" s="181">
        <f t="shared" si="345"/>
        <v>0</v>
      </c>
      <c r="DQ215" s="181">
        <f t="shared" si="345"/>
        <v>0</v>
      </c>
      <c r="DR215" s="181">
        <f t="shared" si="345"/>
        <v>0</v>
      </c>
      <c r="DS215" s="181">
        <f t="shared" si="345"/>
        <v>0</v>
      </c>
      <c r="DT215" s="181">
        <f t="shared" si="345"/>
        <v>0</v>
      </c>
      <c r="DU215" s="181">
        <f t="shared" si="345"/>
        <v>0</v>
      </c>
      <c r="DV215" s="181">
        <f t="shared" si="345"/>
        <v>0</v>
      </c>
      <c r="DW215" s="181">
        <f t="shared" si="345"/>
        <v>0</v>
      </c>
      <c r="DX215" s="181">
        <f t="shared" si="345"/>
        <v>0</v>
      </c>
      <c r="DY215" s="181">
        <f t="shared" si="345"/>
        <v>0</v>
      </c>
      <c r="DZ215" s="181">
        <f t="shared" si="345"/>
        <v>0</v>
      </c>
      <c r="EA215" s="181">
        <f t="shared" si="345"/>
        <v>0</v>
      </c>
      <c r="EB215" s="181">
        <f t="shared" si="345"/>
        <v>0</v>
      </c>
      <c r="EC215" s="181">
        <f t="shared" si="345"/>
        <v>0</v>
      </c>
      <c r="ED215" s="181">
        <f t="shared" si="345"/>
        <v>0</v>
      </c>
      <c r="EE215" s="181">
        <f t="shared" si="345"/>
        <v>0</v>
      </c>
      <c r="EF215" s="181">
        <f t="shared" si="345"/>
        <v>0</v>
      </c>
      <c r="EG215" s="181">
        <f t="shared" si="345"/>
        <v>0</v>
      </c>
      <c r="EH215" s="181">
        <f t="shared" si="345"/>
        <v>0</v>
      </c>
      <c r="EI215" s="181">
        <f t="shared" si="345"/>
        <v>0</v>
      </c>
      <c r="EJ215" s="181">
        <f t="shared" si="345"/>
        <v>0</v>
      </c>
      <c r="FY215" s="211">
        <v>210</v>
      </c>
      <c r="FZ215">
        <v>1.2592538869617727</v>
      </c>
      <c r="GA215">
        <v>0.47460065171768845</v>
      </c>
      <c r="GB215">
        <v>0.22123389596694673</v>
      </c>
      <c r="GC215">
        <v>0.12309692626280153</v>
      </c>
      <c r="GD215">
        <v>0</v>
      </c>
      <c r="GE215">
        <v>0</v>
      </c>
      <c r="GF215">
        <v>0.66042100116664126</v>
      </c>
      <c r="GG215">
        <v>0.59518473501329594</v>
      </c>
      <c r="GH215">
        <v>0</v>
      </c>
      <c r="GI215">
        <v>0.36882340454172013</v>
      </c>
      <c r="GJ215"/>
      <c r="GK215">
        <v>1.2675328490725293</v>
      </c>
      <c r="GL215">
        <v>0.40705572478708768</v>
      </c>
      <c r="GM215">
        <v>0.3667734676484084</v>
      </c>
      <c r="GN215">
        <v>0.3667734676484084</v>
      </c>
      <c r="GO215">
        <v>0</v>
      </c>
      <c r="GP215">
        <v>0</v>
      </c>
      <c r="GQ215">
        <v>0.90739586192571098</v>
      </c>
      <c r="GR215">
        <v>0.90739586192571098</v>
      </c>
      <c r="GS215">
        <v>0</v>
      </c>
      <c r="GT215">
        <v>0.50834043572932974</v>
      </c>
      <c r="GU215"/>
      <c r="GV215"/>
      <c r="GW215"/>
      <c r="GX215"/>
      <c r="GY215"/>
      <c r="GZ215"/>
      <c r="HA215"/>
      <c r="HB215"/>
      <c r="HC215"/>
    </row>
    <row r="216" spans="1:211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2.447916666666667</v>
      </c>
      <c r="AO216">
        <v>0.19003907197475847</v>
      </c>
      <c r="AP216">
        <v>2.5633117906332585</v>
      </c>
      <c r="AQ216">
        <v>1.1695679684262559</v>
      </c>
      <c r="AR216">
        <v>0.22928339893093799</v>
      </c>
      <c r="AS216">
        <v>1.4193540877098965</v>
      </c>
      <c r="AT216" t="e">
        <v>#DIV/0!</v>
      </c>
      <c r="AU216" t="e">
        <v>#DIV/0!</v>
      </c>
      <c r="AV216"/>
      <c r="AW216"/>
      <c r="BA216" s="194"/>
      <c r="BB216" s="192"/>
      <c r="BC216" s="192"/>
      <c r="BD216" s="192"/>
      <c r="BE216" s="192"/>
      <c r="BF216" s="192"/>
      <c r="BG216" s="192"/>
      <c r="BH216" s="192"/>
      <c r="BI216" s="192"/>
      <c r="BJ216" s="192"/>
      <c r="BK216" s="192"/>
      <c r="BL216" s="192"/>
      <c r="BM216" s="192"/>
      <c r="BN216" s="192"/>
      <c r="BO216" s="192"/>
      <c r="BP216" s="192"/>
      <c r="BQ216" s="192"/>
      <c r="BR216" s="192"/>
      <c r="BS216" s="192"/>
      <c r="BT216" s="192"/>
      <c r="BU216" s="192"/>
      <c r="BV216" s="192"/>
      <c r="BW216" s="192"/>
      <c r="BX216" s="192"/>
      <c r="BY216" s="192"/>
      <c r="BZ216" s="192"/>
      <c r="CA216" s="192"/>
      <c r="CB216" s="192"/>
      <c r="CC216" s="192"/>
      <c r="CD216" s="192"/>
      <c r="CE216" s="192"/>
      <c r="CF216" s="192"/>
      <c r="CG216" s="193"/>
      <c r="CH216" s="193"/>
      <c r="CI216" s="193"/>
      <c r="CJ216" s="193"/>
      <c r="CK216" s="193"/>
      <c r="CL216" s="193"/>
      <c r="CM216" s="196"/>
      <c r="CN216" s="192"/>
      <c r="CO216" s="192"/>
      <c r="CP216" s="192"/>
      <c r="CQ216" s="192"/>
      <c r="CR216" s="192"/>
      <c r="CS216" s="192"/>
      <c r="CT216" s="192"/>
      <c r="CU216" s="192"/>
      <c r="DE216" s="186">
        <f>DE128</f>
        <v>39775</v>
      </c>
      <c r="DF216" s="181">
        <f t="shared" ref="DF216:EJ216" si="347">AVERAGE(DF128:DF137)</f>
        <v>0</v>
      </c>
      <c r="DG216" s="181">
        <f t="shared" ref="DG216:DH216" si="348">AVERAGE(DG128:DG137)</f>
        <v>0</v>
      </c>
      <c r="DH216" s="181">
        <f t="shared" si="348"/>
        <v>0</v>
      </c>
      <c r="DI216" s="181">
        <f t="shared" si="347"/>
        <v>0</v>
      </c>
      <c r="DJ216" s="181">
        <f t="shared" si="347"/>
        <v>0</v>
      </c>
      <c r="DK216" s="181">
        <f t="shared" si="347"/>
        <v>1.0416666666666665</v>
      </c>
      <c r="DL216" s="181">
        <f t="shared" si="347"/>
        <v>0</v>
      </c>
      <c r="DM216" s="181">
        <f t="shared" si="347"/>
        <v>0</v>
      </c>
      <c r="DN216" s="181">
        <f t="shared" si="347"/>
        <v>0</v>
      </c>
      <c r="DO216" s="181">
        <f t="shared" si="347"/>
        <v>0</v>
      </c>
      <c r="DP216" s="181">
        <f t="shared" si="347"/>
        <v>0</v>
      </c>
      <c r="DQ216" s="181">
        <f t="shared" si="347"/>
        <v>0</v>
      </c>
      <c r="DR216" s="181">
        <f t="shared" si="347"/>
        <v>0</v>
      </c>
      <c r="DS216" s="181">
        <f t="shared" si="347"/>
        <v>0</v>
      </c>
      <c r="DT216" s="181">
        <f t="shared" si="347"/>
        <v>0</v>
      </c>
      <c r="DU216" s="181">
        <f t="shared" si="347"/>
        <v>0</v>
      </c>
      <c r="DV216" s="181">
        <f t="shared" si="347"/>
        <v>0</v>
      </c>
      <c r="DW216" s="181">
        <f t="shared" si="347"/>
        <v>0</v>
      </c>
      <c r="DX216" s="181">
        <f t="shared" si="347"/>
        <v>0</v>
      </c>
      <c r="DY216" s="181">
        <f t="shared" si="347"/>
        <v>0</v>
      </c>
      <c r="DZ216" s="181">
        <f t="shared" si="347"/>
        <v>0</v>
      </c>
      <c r="EA216" s="181">
        <f t="shared" si="347"/>
        <v>0</v>
      </c>
      <c r="EB216" s="181">
        <f t="shared" si="347"/>
        <v>0</v>
      </c>
      <c r="EC216" s="181">
        <f t="shared" si="347"/>
        <v>0</v>
      </c>
      <c r="ED216" s="181">
        <f t="shared" si="347"/>
        <v>0</v>
      </c>
      <c r="EE216" s="181">
        <f t="shared" si="347"/>
        <v>0</v>
      </c>
      <c r="EF216" s="181">
        <f t="shared" si="347"/>
        <v>0</v>
      </c>
      <c r="EG216" s="181">
        <f t="shared" si="347"/>
        <v>0</v>
      </c>
      <c r="EH216" s="181">
        <f t="shared" si="347"/>
        <v>0</v>
      </c>
      <c r="EI216" s="181">
        <f t="shared" si="347"/>
        <v>0</v>
      </c>
      <c r="EJ216" s="181">
        <f t="shared" si="347"/>
        <v>0</v>
      </c>
      <c r="FY216" s="211">
        <v>211</v>
      </c>
      <c r="FZ216">
        <v>1.0694841211336525</v>
      </c>
      <c r="GA216">
        <v>0.47460065171768845</v>
      </c>
      <c r="GB216">
        <v>7.9203986612074825E-2</v>
      </c>
      <c r="GC216">
        <v>4.4138825651920163E-2</v>
      </c>
      <c r="GD216">
        <v>0</v>
      </c>
      <c r="GE216">
        <v>0</v>
      </c>
      <c r="GF216">
        <v>0.66042100116664126</v>
      </c>
      <c r="GG216">
        <v>0.59518473501329594</v>
      </c>
      <c r="GH216">
        <v>0</v>
      </c>
      <c r="GI216">
        <v>0.30591150541038131</v>
      </c>
      <c r="GJ216"/>
      <c r="GK216">
        <v>1.0751051192901826</v>
      </c>
      <c r="GL216">
        <v>0.40705572478708768</v>
      </c>
      <c r="GM216">
        <v>0.13091770120800852</v>
      </c>
      <c r="GN216">
        <v>0.13091770120800852</v>
      </c>
      <c r="GO216">
        <v>0</v>
      </c>
      <c r="GP216">
        <v>0</v>
      </c>
      <c r="GQ216">
        <v>0.90739586192571098</v>
      </c>
      <c r="GR216">
        <v>0.90739586192571098</v>
      </c>
      <c r="GS216">
        <v>0</v>
      </c>
      <c r="GT216">
        <v>0.42268373648478041</v>
      </c>
      <c r="GU216"/>
      <c r="GV216"/>
      <c r="GW216"/>
      <c r="GX216"/>
      <c r="GY216"/>
      <c r="GZ216"/>
      <c r="HA216"/>
      <c r="HB216"/>
      <c r="HC216"/>
    </row>
    <row r="217" spans="1:211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1.0208333333333333</v>
      </c>
      <c r="AO217">
        <v>0.20523777828957185</v>
      </c>
      <c r="AP217">
        <v>7.4871148318667506</v>
      </c>
      <c r="AQ217">
        <v>1.5682387325880778</v>
      </c>
      <c r="AR217">
        <v>0.23666687957853705</v>
      </c>
      <c r="AS217">
        <v>1.0492772008851496</v>
      </c>
      <c r="AT217" t="e">
        <v>#DIV/0!</v>
      </c>
      <c r="AU217" t="e">
        <v>#DIV/0!</v>
      </c>
      <c r="AV217"/>
      <c r="AW217"/>
      <c r="BA217" s="194"/>
      <c r="BB217" s="192"/>
      <c r="BC217" s="192"/>
      <c r="BD217" s="192"/>
      <c r="BE217" s="192"/>
      <c r="BF217" s="192"/>
      <c r="BG217" s="192"/>
      <c r="BH217" s="192"/>
      <c r="BI217" s="192"/>
      <c r="BJ217" s="192"/>
      <c r="BK217" s="192"/>
      <c r="BL217" s="192"/>
      <c r="BM217" s="192"/>
      <c r="BN217" s="192"/>
      <c r="BO217" s="192"/>
      <c r="BP217" s="192"/>
      <c r="BQ217" s="192"/>
      <c r="BR217" s="192"/>
      <c r="BS217" s="192"/>
      <c r="BT217" s="192"/>
      <c r="BU217" s="192"/>
      <c r="BV217" s="192"/>
      <c r="BW217" s="192"/>
      <c r="BX217" s="192"/>
      <c r="BY217" s="192"/>
      <c r="BZ217" s="192"/>
      <c r="CA217" s="192"/>
      <c r="CB217" s="192"/>
      <c r="CC217" s="192"/>
      <c r="CD217" s="192"/>
      <c r="CE217" s="192"/>
      <c r="CF217" s="192"/>
      <c r="CG217" s="193"/>
      <c r="CH217" s="193"/>
      <c r="CI217" s="193"/>
      <c r="CJ217" s="193"/>
      <c r="CK217" s="193"/>
      <c r="CL217" s="193"/>
      <c r="CM217" s="196"/>
      <c r="CN217" s="192"/>
      <c r="CO217" s="192"/>
      <c r="CP217" s="192"/>
      <c r="CQ217" s="192"/>
      <c r="CR217" s="192"/>
      <c r="CS217" s="192"/>
      <c r="CT217" s="192"/>
      <c r="CU217" s="192"/>
      <c r="DE217" s="186">
        <f>DE138</f>
        <v>39799</v>
      </c>
      <c r="DF217" s="181">
        <f t="shared" ref="DF217:EJ217" si="349">AVERAGE(DF138:DF147)</f>
        <v>0</v>
      </c>
      <c r="DG217" s="181">
        <f t="shared" ref="DG217:DH217" si="350">AVERAGE(DG138:DG147)</f>
        <v>0</v>
      </c>
      <c r="DH217" s="181">
        <f t="shared" si="350"/>
        <v>0</v>
      </c>
      <c r="DI217" s="181">
        <f t="shared" si="349"/>
        <v>0</v>
      </c>
      <c r="DJ217" s="181">
        <f t="shared" si="349"/>
        <v>0</v>
      </c>
      <c r="DK217" s="181">
        <f t="shared" si="349"/>
        <v>0</v>
      </c>
      <c r="DL217" s="181">
        <f t="shared" si="349"/>
        <v>0</v>
      </c>
      <c r="DM217" s="181">
        <f t="shared" si="349"/>
        <v>0</v>
      </c>
      <c r="DN217" s="181">
        <f t="shared" si="349"/>
        <v>0</v>
      </c>
      <c r="DO217" s="181">
        <f t="shared" si="349"/>
        <v>0</v>
      </c>
      <c r="DP217" s="181">
        <f t="shared" si="349"/>
        <v>0</v>
      </c>
      <c r="DQ217" s="181">
        <f t="shared" si="349"/>
        <v>0</v>
      </c>
      <c r="DR217" s="181">
        <f t="shared" si="349"/>
        <v>0</v>
      </c>
      <c r="DS217" s="181">
        <f t="shared" si="349"/>
        <v>0</v>
      </c>
      <c r="DT217" s="181">
        <f t="shared" si="349"/>
        <v>0</v>
      </c>
      <c r="DU217" s="181">
        <f t="shared" si="349"/>
        <v>0</v>
      </c>
      <c r="DV217" s="181">
        <f t="shared" si="349"/>
        <v>0</v>
      </c>
      <c r="DW217" s="181">
        <f t="shared" si="349"/>
        <v>0</v>
      </c>
      <c r="DX217" s="181">
        <f t="shared" si="349"/>
        <v>0</v>
      </c>
      <c r="DY217" s="181">
        <f t="shared" si="349"/>
        <v>0</v>
      </c>
      <c r="DZ217" s="181">
        <f t="shared" si="349"/>
        <v>0</v>
      </c>
      <c r="EA217" s="181">
        <f t="shared" si="349"/>
        <v>0</v>
      </c>
      <c r="EB217" s="181">
        <f t="shared" si="349"/>
        <v>0</v>
      </c>
      <c r="EC217" s="181">
        <f t="shared" si="349"/>
        <v>0</v>
      </c>
      <c r="ED217" s="181">
        <f t="shared" si="349"/>
        <v>0</v>
      </c>
      <c r="EE217" s="181">
        <f t="shared" si="349"/>
        <v>0</v>
      </c>
      <c r="EF217" s="181">
        <f t="shared" si="349"/>
        <v>0</v>
      </c>
      <c r="EG217" s="181">
        <f t="shared" si="349"/>
        <v>0</v>
      </c>
      <c r="EH217" s="181">
        <f t="shared" si="349"/>
        <v>0</v>
      </c>
      <c r="EI217" s="181">
        <f t="shared" si="349"/>
        <v>0</v>
      </c>
      <c r="EJ217" s="181">
        <f t="shared" si="349"/>
        <v>0</v>
      </c>
      <c r="FY217" s="211">
        <v>212</v>
      </c>
      <c r="FZ217">
        <v>1.6185690143812508</v>
      </c>
      <c r="GA217">
        <v>0.9492013034353769</v>
      </c>
      <c r="GB217">
        <v>0</v>
      </c>
      <c r="GC217">
        <v>0</v>
      </c>
      <c r="GD217">
        <v>0</v>
      </c>
      <c r="GE217">
        <v>0</v>
      </c>
      <c r="GF217">
        <v>0.66042100116664126</v>
      </c>
      <c r="GG217">
        <v>0.59518473501329594</v>
      </c>
      <c r="GH217">
        <v>0</v>
      </c>
      <c r="GI217">
        <v>0.36769313022989536</v>
      </c>
      <c r="GJ217"/>
      <c r="GK217">
        <v>1.6310698369945755</v>
      </c>
      <c r="GL217">
        <v>0.81411144957417536</v>
      </c>
      <c r="GM217">
        <v>0</v>
      </c>
      <c r="GN217">
        <v>0</v>
      </c>
      <c r="GO217">
        <v>0</v>
      </c>
      <c r="GP217">
        <v>0</v>
      </c>
      <c r="GQ217">
        <v>0.90739586192571098</v>
      </c>
      <c r="GR217">
        <v>0.90739586192571098</v>
      </c>
      <c r="GS217">
        <v>0</v>
      </c>
      <c r="GT217">
        <v>0.50769313978405728</v>
      </c>
      <c r="GU217"/>
      <c r="GV217"/>
      <c r="GW217"/>
      <c r="GX217"/>
      <c r="GY217"/>
      <c r="GZ217"/>
      <c r="HA217"/>
      <c r="HB217"/>
      <c r="HC217"/>
    </row>
    <row r="218" spans="1:211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2.8343750000000001</v>
      </c>
      <c r="AO218">
        <v>0.33744167846880047</v>
      </c>
      <c r="AP218">
        <v>5.2411445525777633</v>
      </c>
      <c r="AQ218">
        <v>2.8421551478362623</v>
      </c>
      <c r="AR218">
        <v>0.36471899123964946</v>
      </c>
      <c r="AS218">
        <v>2.1732164456791718</v>
      </c>
      <c r="AT218" t="e">
        <v>#DIV/0!</v>
      </c>
      <c r="AU218" t="e">
        <v>#DIV/0!</v>
      </c>
      <c r="AV218"/>
      <c r="AW218"/>
      <c r="BA218" s="194"/>
      <c r="BB218" s="192"/>
      <c r="BC218" s="192"/>
      <c r="BD218" s="192"/>
      <c r="BE218" s="192"/>
      <c r="BF218" s="192"/>
      <c r="BG218" s="192"/>
      <c r="BH218" s="192"/>
      <c r="BI218" s="192"/>
      <c r="BJ218" s="192"/>
      <c r="BK218" s="192"/>
      <c r="BL218" s="192"/>
      <c r="BM218" s="192"/>
      <c r="BN218" s="192"/>
      <c r="BO218" s="192"/>
      <c r="BP218" s="192"/>
      <c r="BQ218" s="192"/>
      <c r="BR218" s="192"/>
      <c r="BS218" s="192"/>
      <c r="BT218" s="192"/>
      <c r="BU218" s="192"/>
      <c r="BV218" s="192"/>
      <c r="BW218" s="192"/>
      <c r="BX218" s="192"/>
      <c r="BY218" s="192"/>
      <c r="BZ218" s="192"/>
      <c r="CA218" s="192"/>
      <c r="CB218" s="192"/>
      <c r="CC218" s="192"/>
      <c r="CD218" s="192"/>
      <c r="CE218" s="192"/>
      <c r="CF218" s="192"/>
      <c r="CG218" s="193"/>
      <c r="CH218" s="193"/>
      <c r="CI218" s="193"/>
      <c r="CJ218" s="193"/>
      <c r="CK218" s="193"/>
      <c r="CL218" s="193"/>
      <c r="CM218" s="196"/>
      <c r="CN218" s="192"/>
      <c r="CO218" s="192"/>
      <c r="CP218" s="192"/>
      <c r="CQ218" s="192"/>
      <c r="CR218" s="192"/>
      <c r="CS218" s="192"/>
      <c r="CT218" s="192"/>
      <c r="CU218" s="192"/>
      <c r="DE218" s="186">
        <f>DE149</f>
        <v>39847</v>
      </c>
      <c r="DF218" s="181">
        <f t="shared" ref="DF218:EJ218" si="351">AVERAGE(DF148:DF157)</f>
        <v>0</v>
      </c>
      <c r="DG218" s="181">
        <f t="shared" ref="DG218:DH218" si="352">AVERAGE(DG148:DG157)</f>
        <v>0</v>
      </c>
      <c r="DH218" s="181">
        <f t="shared" si="352"/>
        <v>0</v>
      </c>
      <c r="DI218" s="181">
        <f t="shared" si="351"/>
        <v>0</v>
      </c>
      <c r="DJ218" s="181">
        <f t="shared" si="351"/>
        <v>0</v>
      </c>
      <c r="DK218" s="181">
        <f t="shared" si="351"/>
        <v>0</v>
      </c>
      <c r="DL218" s="181">
        <f t="shared" si="351"/>
        <v>0</v>
      </c>
      <c r="DM218" s="181">
        <f t="shared" si="351"/>
        <v>0</v>
      </c>
      <c r="DN218" s="181">
        <f t="shared" si="351"/>
        <v>0</v>
      </c>
      <c r="DO218" s="181">
        <f t="shared" si="351"/>
        <v>0</v>
      </c>
      <c r="DP218" s="181">
        <f t="shared" si="351"/>
        <v>0</v>
      </c>
      <c r="DQ218" s="181">
        <f t="shared" si="351"/>
        <v>0</v>
      </c>
      <c r="DR218" s="181">
        <f t="shared" si="351"/>
        <v>0</v>
      </c>
      <c r="DS218" s="181">
        <f t="shared" si="351"/>
        <v>0</v>
      </c>
      <c r="DT218" s="181">
        <f t="shared" si="351"/>
        <v>0</v>
      </c>
      <c r="DU218" s="181">
        <f t="shared" si="351"/>
        <v>0</v>
      </c>
      <c r="DV218" s="181">
        <f t="shared" si="351"/>
        <v>0</v>
      </c>
      <c r="DW218" s="181">
        <f t="shared" si="351"/>
        <v>0</v>
      </c>
      <c r="DX218" s="181">
        <f t="shared" si="351"/>
        <v>0</v>
      </c>
      <c r="DY218" s="181">
        <f t="shared" si="351"/>
        <v>0</v>
      </c>
      <c r="DZ218" s="181">
        <f t="shared" si="351"/>
        <v>0</v>
      </c>
      <c r="EA218" s="181">
        <f t="shared" si="351"/>
        <v>0</v>
      </c>
      <c r="EB218" s="181">
        <f t="shared" si="351"/>
        <v>0</v>
      </c>
      <c r="EC218" s="181">
        <f t="shared" si="351"/>
        <v>0</v>
      </c>
      <c r="ED218" s="181">
        <f t="shared" si="351"/>
        <v>0</v>
      </c>
      <c r="EE218" s="181">
        <f t="shared" si="351"/>
        <v>0</v>
      </c>
      <c r="EF218" s="181">
        <f t="shared" si="351"/>
        <v>0</v>
      </c>
      <c r="EG218" s="181">
        <f t="shared" si="351"/>
        <v>0</v>
      </c>
      <c r="EH218" s="181">
        <f t="shared" si="351"/>
        <v>0</v>
      </c>
      <c r="EI218" s="181">
        <f t="shared" si="351"/>
        <v>0</v>
      </c>
      <c r="EJ218" s="181">
        <f t="shared" si="351"/>
        <v>0</v>
      </c>
      <c r="FY218" s="211">
        <v>213</v>
      </c>
      <c r="FZ218">
        <v>1.0095985189117582</v>
      </c>
      <c r="GA218">
        <v>8.725047411847664E-2</v>
      </c>
      <c r="GB218">
        <v>0</v>
      </c>
      <c r="GC218">
        <v>3.4819274958961192E-2</v>
      </c>
      <c r="GD218">
        <v>2.6724553773673727E-2</v>
      </c>
      <c r="GE218">
        <v>0</v>
      </c>
      <c r="GF218">
        <v>0</v>
      </c>
      <c r="GG218">
        <v>0</v>
      </c>
      <c r="GH218">
        <v>0</v>
      </c>
      <c r="GI218">
        <v>0.16499950538409008</v>
      </c>
      <c r="GJ218"/>
      <c r="GK218">
        <v>1.0132306178438326</v>
      </c>
      <c r="GL218">
        <v>7.3740509229249462E-2</v>
      </c>
      <c r="GM218">
        <v>0</v>
      </c>
      <c r="GN218">
        <v>0.10493806523239137</v>
      </c>
      <c r="GO218">
        <v>0.10493806523239137</v>
      </c>
      <c r="GP218">
        <v>0</v>
      </c>
      <c r="GQ218">
        <v>0</v>
      </c>
      <c r="GR218">
        <v>0</v>
      </c>
      <c r="GS218">
        <v>0</v>
      </c>
      <c r="GT218">
        <v>0.22363373661524483</v>
      </c>
      <c r="GU218"/>
      <c r="GV218"/>
      <c r="GW218"/>
      <c r="GX218"/>
      <c r="GY218"/>
      <c r="GZ218"/>
      <c r="HA218"/>
      <c r="HB218"/>
      <c r="HC218"/>
    </row>
    <row r="219" spans="1:211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2.6364583333333331</v>
      </c>
      <c r="AO219">
        <v>0.4029354741992196</v>
      </c>
      <c r="AP219">
        <v>11.382329202374013</v>
      </c>
      <c r="AQ219">
        <v>3.2081495561749795</v>
      </c>
      <c r="AR219">
        <v>0.39825899562987194</v>
      </c>
      <c r="AS219">
        <v>1.9725294323971534</v>
      </c>
      <c r="AT219" t="e">
        <v>#DIV/0!</v>
      </c>
      <c r="AU219" t="e">
        <v>#DIV/0!</v>
      </c>
      <c r="AV219"/>
      <c r="AW219"/>
      <c r="BA219" s="194"/>
      <c r="BB219" s="192"/>
      <c r="BC219" s="192"/>
      <c r="BD219" s="192"/>
      <c r="BE219" s="192"/>
      <c r="BF219" s="192"/>
      <c r="BG219" s="192"/>
      <c r="BH219" s="192"/>
      <c r="BI219" s="192"/>
      <c r="BJ219" s="192"/>
      <c r="BK219" s="192"/>
      <c r="BL219" s="192"/>
      <c r="BM219" s="192"/>
      <c r="BN219" s="192"/>
      <c r="BO219" s="192"/>
      <c r="BP219" s="192"/>
      <c r="BQ219" s="192"/>
      <c r="BR219" s="192"/>
      <c r="BS219" s="192"/>
      <c r="BT219" s="192"/>
      <c r="BU219" s="192"/>
      <c r="BV219" s="192"/>
      <c r="BW219" s="192"/>
      <c r="BX219" s="192"/>
      <c r="BY219" s="192"/>
      <c r="BZ219" s="192"/>
      <c r="CA219" s="192"/>
      <c r="CB219" s="192"/>
      <c r="CC219" s="192"/>
      <c r="CD219" s="192"/>
      <c r="CE219" s="192"/>
      <c r="CF219" s="192"/>
      <c r="CG219" s="193"/>
      <c r="CH219" s="193"/>
      <c r="CI219" s="193"/>
      <c r="CJ219" s="193"/>
      <c r="CK219" s="193"/>
      <c r="CL219" s="193"/>
      <c r="CM219" s="196"/>
      <c r="CN219" s="192"/>
      <c r="CO219" s="192"/>
      <c r="CP219" s="192"/>
      <c r="CQ219" s="192"/>
      <c r="CR219" s="192"/>
      <c r="CS219" s="192"/>
      <c r="CT219" s="192"/>
      <c r="CU219" s="192"/>
      <c r="DE219" s="186">
        <f>DE158</f>
        <v>39910</v>
      </c>
      <c r="DF219" s="181">
        <f t="shared" ref="DF219:EJ219" si="353">AVERAGE(DF158:DF167)</f>
        <v>0</v>
      </c>
      <c r="DG219" s="181">
        <f t="shared" si="353"/>
        <v>0</v>
      </c>
      <c r="DH219" s="181">
        <f t="shared" si="353"/>
        <v>0</v>
      </c>
      <c r="DI219" s="181">
        <f t="shared" ref="DI219" si="354">AVERAGE(DI158:DI167)</f>
        <v>0</v>
      </c>
      <c r="DJ219" s="181">
        <f t="shared" si="353"/>
        <v>0</v>
      </c>
      <c r="DK219" s="181">
        <f t="shared" si="353"/>
        <v>0</v>
      </c>
      <c r="DL219" s="181">
        <f t="shared" si="353"/>
        <v>0</v>
      </c>
      <c r="DM219" s="181">
        <f t="shared" si="353"/>
        <v>0</v>
      </c>
      <c r="DN219" s="181">
        <f t="shared" si="353"/>
        <v>1.0416666666666665</v>
      </c>
      <c r="DO219" s="181">
        <f t="shared" si="353"/>
        <v>0</v>
      </c>
      <c r="DP219" s="181">
        <f t="shared" si="353"/>
        <v>0</v>
      </c>
      <c r="DQ219" s="181">
        <f t="shared" si="353"/>
        <v>0</v>
      </c>
      <c r="DR219" s="181">
        <f t="shared" si="353"/>
        <v>0</v>
      </c>
      <c r="DS219" s="181">
        <f t="shared" si="353"/>
        <v>0</v>
      </c>
      <c r="DT219" s="181">
        <f t="shared" si="353"/>
        <v>0</v>
      </c>
      <c r="DU219" s="181">
        <f t="shared" si="353"/>
        <v>0</v>
      </c>
      <c r="DV219" s="181">
        <f t="shared" si="353"/>
        <v>0</v>
      </c>
      <c r="DW219" s="181">
        <f t="shared" si="353"/>
        <v>0</v>
      </c>
      <c r="DX219" s="181">
        <f t="shared" si="353"/>
        <v>0</v>
      </c>
      <c r="DY219" s="181">
        <f t="shared" si="353"/>
        <v>0</v>
      </c>
      <c r="DZ219" s="181">
        <f t="shared" si="353"/>
        <v>0</v>
      </c>
      <c r="EA219" s="181">
        <f t="shared" si="353"/>
        <v>0</v>
      </c>
      <c r="EB219" s="181">
        <f t="shared" si="353"/>
        <v>0</v>
      </c>
      <c r="EC219" s="181">
        <f t="shared" si="353"/>
        <v>0</v>
      </c>
      <c r="ED219" s="181">
        <f t="shared" si="353"/>
        <v>0</v>
      </c>
      <c r="EE219" s="181">
        <f t="shared" si="353"/>
        <v>0</v>
      </c>
      <c r="EF219" s="181">
        <f t="shared" si="353"/>
        <v>0</v>
      </c>
      <c r="EG219" s="181">
        <f t="shared" si="353"/>
        <v>0</v>
      </c>
      <c r="EH219" s="181">
        <f t="shared" si="353"/>
        <v>0</v>
      </c>
      <c r="EI219" s="181">
        <f t="shared" si="353"/>
        <v>0</v>
      </c>
      <c r="EJ219" s="181">
        <f t="shared" si="353"/>
        <v>0</v>
      </c>
      <c r="FY219" s="211">
        <v>214</v>
      </c>
      <c r="FZ219">
        <v>1.5053123499671519</v>
      </c>
      <c r="GA219">
        <v>0.9492013034353769</v>
      </c>
      <c r="GB219">
        <v>0.15840797322414965</v>
      </c>
      <c r="GC219">
        <v>0.12309692626280153</v>
      </c>
      <c r="GD219">
        <v>2.6724553773673727E-2</v>
      </c>
      <c r="GE219">
        <v>0</v>
      </c>
      <c r="GF219">
        <v>0</v>
      </c>
      <c r="GG219">
        <v>0</v>
      </c>
      <c r="GH219">
        <v>0</v>
      </c>
      <c r="GI219">
        <v>0.27701342932897732</v>
      </c>
      <c r="GJ219"/>
      <c r="GK219">
        <v>1.5181583387915036</v>
      </c>
      <c r="GL219">
        <v>0.81411144957417536</v>
      </c>
      <c r="GM219">
        <v>0.26183540241601705</v>
      </c>
      <c r="GN219">
        <v>0.3667734676484084</v>
      </c>
      <c r="GO219">
        <v>0.10493806523239137</v>
      </c>
      <c r="GP219">
        <v>0</v>
      </c>
      <c r="GQ219">
        <v>0</v>
      </c>
      <c r="GR219">
        <v>0</v>
      </c>
      <c r="GS219">
        <v>0</v>
      </c>
      <c r="GT219">
        <v>0.37698636128798235</v>
      </c>
      <c r="GU219"/>
      <c r="GV219"/>
      <c r="GW219"/>
      <c r="GX219"/>
      <c r="GY219"/>
      <c r="GZ219"/>
      <c r="HA219"/>
      <c r="HB219"/>
      <c r="HC219"/>
    </row>
    <row r="220" spans="1:211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2.2302083333333327</v>
      </c>
      <c r="AO220">
        <v>0.3685441962426354</v>
      </c>
      <c r="AP220">
        <v>9.5992483424200152</v>
      </c>
      <c r="AQ220">
        <v>3.2688742649912088</v>
      </c>
      <c r="AR220">
        <v>0.39340923165176067</v>
      </c>
      <c r="AS220">
        <v>1.9428875557895049</v>
      </c>
      <c r="AT220" t="e">
        <v>#DIV/0!</v>
      </c>
      <c r="AU220" t="e">
        <v>#DIV/0!</v>
      </c>
      <c r="AV220"/>
      <c r="AW220"/>
      <c r="BA220" s="194"/>
      <c r="BB220" s="192"/>
      <c r="BC220" s="192"/>
      <c r="BD220" s="192"/>
      <c r="BE220" s="192"/>
      <c r="BF220" s="192"/>
      <c r="BG220" s="192"/>
      <c r="BH220" s="192"/>
      <c r="BI220" s="192"/>
      <c r="BJ220" s="192"/>
      <c r="BK220" s="192"/>
      <c r="BL220" s="192"/>
      <c r="BM220" s="192"/>
      <c r="BN220" s="192"/>
      <c r="BO220" s="192"/>
      <c r="BP220" s="192"/>
      <c r="BQ220" s="192"/>
      <c r="BR220" s="192"/>
      <c r="BS220" s="192"/>
      <c r="BT220" s="192"/>
      <c r="BU220" s="192"/>
      <c r="BV220" s="192"/>
      <c r="BW220" s="192"/>
      <c r="BX220" s="192"/>
      <c r="BY220" s="192"/>
      <c r="BZ220" s="192"/>
      <c r="CA220" s="192"/>
      <c r="CB220" s="192"/>
      <c r="CC220" s="192"/>
      <c r="CD220" s="192"/>
      <c r="CE220" s="192"/>
      <c r="CF220" s="192"/>
      <c r="CG220" s="193"/>
      <c r="CH220" s="193"/>
      <c r="CI220" s="193"/>
      <c r="CJ220" s="193"/>
      <c r="CK220" s="193"/>
      <c r="CL220" s="193"/>
      <c r="CM220" s="196"/>
      <c r="CN220" s="192"/>
      <c r="CO220" s="192"/>
      <c r="CP220" s="192"/>
      <c r="CQ220" s="192"/>
      <c r="CR220" s="192"/>
      <c r="CS220" s="192"/>
      <c r="CT220" s="192"/>
      <c r="CU220" s="192"/>
      <c r="DE220" s="186">
        <f>DE168</f>
        <v>39949</v>
      </c>
      <c r="DF220" s="181">
        <f t="shared" ref="DF220:EJ220" si="355">AVERAGE(DF168:DF177)</f>
        <v>0</v>
      </c>
      <c r="DG220" s="181">
        <f t="shared" si="355"/>
        <v>0</v>
      </c>
      <c r="DH220" s="181">
        <f t="shared" si="355"/>
        <v>0</v>
      </c>
      <c r="DI220" s="181">
        <f t="shared" ref="DI220" si="356">AVERAGE(DI168:DI177)</f>
        <v>0</v>
      </c>
      <c r="DJ220" s="181">
        <f t="shared" si="355"/>
        <v>0</v>
      </c>
      <c r="DK220" s="181">
        <f t="shared" si="355"/>
        <v>0</v>
      </c>
      <c r="DL220" s="181">
        <f t="shared" si="355"/>
        <v>0</v>
      </c>
      <c r="DM220" s="181">
        <f t="shared" si="355"/>
        <v>0</v>
      </c>
      <c r="DN220" s="181">
        <f t="shared" si="355"/>
        <v>0</v>
      </c>
      <c r="DO220" s="181">
        <f t="shared" si="355"/>
        <v>0</v>
      </c>
      <c r="DP220" s="181">
        <f t="shared" si="355"/>
        <v>0</v>
      </c>
      <c r="DQ220" s="181">
        <f t="shared" si="355"/>
        <v>0</v>
      </c>
      <c r="DR220" s="181">
        <f t="shared" si="355"/>
        <v>0</v>
      </c>
      <c r="DS220" s="181">
        <f t="shared" si="355"/>
        <v>0</v>
      </c>
      <c r="DT220" s="181">
        <f t="shared" si="355"/>
        <v>0</v>
      </c>
      <c r="DU220" s="181">
        <f t="shared" si="355"/>
        <v>0</v>
      </c>
      <c r="DV220" s="181">
        <f t="shared" si="355"/>
        <v>0</v>
      </c>
      <c r="DW220" s="181">
        <f t="shared" si="355"/>
        <v>0</v>
      </c>
      <c r="DX220" s="181">
        <f t="shared" si="355"/>
        <v>0</v>
      </c>
      <c r="DY220" s="181">
        <f t="shared" si="355"/>
        <v>0</v>
      </c>
      <c r="DZ220" s="181">
        <f t="shared" si="355"/>
        <v>0</v>
      </c>
      <c r="EA220" s="181">
        <f t="shared" si="355"/>
        <v>0</v>
      </c>
      <c r="EB220" s="181">
        <f t="shared" si="355"/>
        <v>0</v>
      </c>
      <c r="EC220" s="181">
        <f t="shared" si="355"/>
        <v>0</v>
      </c>
      <c r="ED220" s="181">
        <f t="shared" si="355"/>
        <v>0</v>
      </c>
      <c r="EE220" s="181">
        <f t="shared" si="355"/>
        <v>0</v>
      </c>
      <c r="EF220" s="181">
        <f t="shared" si="355"/>
        <v>0</v>
      </c>
      <c r="EG220" s="181">
        <f t="shared" si="355"/>
        <v>0</v>
      </c>
      <c r="EH220" s="181">
        <f t="shared" si="355"/>
        <v>0</v>
      </c>
      <c r="EI220" s="181">
        <f t="shared" si="355"/>
        <v>0</v>
      </c>
      <c r="EJ220" s="181">
        <f t="shared" si="355"/>
        <v>0</v>
      </c>
      <c r="FY220" s="211">
        <v>215</v>
      </c>
      <c r="FZ220">
        <v>0.70959922930742136</v>
      </c>
      <c r="GA220">
        <v>8.725047411847664E-2</v>
      </c>
      <c r="GB220">
        <v>6.282592274279708E-2</v>
      </c>
      <c r="GC220">
        <v>0.10445782487688358</v>
      </c>
      <c r="GD220">
        <v>5.3449107547347455E-2</v>
      </c>
      <c r="GE220">
        <v>0</v>
      </c>
      <c r="GF220">
        <v>0</v>
      </c>
      <c r="GG220">
        <v>0</v>
      </c>
      <c r="GH220">
        <v>0</v>
      </c>
      <c r="GI220">
        <v>0.15151838295790501</v>
      </c>
      <c r="GJ220"/>
      <c r="GK220">
        <v>0.71079625199518703</v>
      </c>
      <c r="GL220">
        <v>7.3740509229249462E-2</v>
      </c>
      <c r="GM220">
        <v>0.10493806523239137</v>
      </c>
      <c r="GN220">
        <v>0.31481419569717412</v>
      </c>
      <c r="GO220">
        <v>0.20987613046478273</v>
      </c>
      <c r="GP220">
        <v>0</v>
      </c>
      <c r="GQ220">
        <v>0</v>
      </c>
      <c r="GR220">
        <v>0</v>
      </c>
      <c r="GS220">
        <v>0</v>
      </c>
      <c r="GT220">
        <v>0.20512208953847222</v>
      </c>
      <c r="GU220"/>
      <c r="GV220"/>
      <c r="GW220"/>
      <c r="GX220"/>
      <c r="GY220"/>
      <c r="GZ220"/>
      <c r="HA220"/>
      <c r="HB220"/>
      <c r="HC220"/>
    </row>
    <row r="221" spans="1:211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2.5760416666666663</v>
      </c>
      <c r="AO221">
        <v>0.31733791704791092</v>
      </c>
      <c r="AP221">
        <v>9.4181112148703665</v>
      </c>
      <c r="AQ221">
        <v>2.5779092597164981</v>
      </c>
      <c r="AR221">
        <v>0.34612829138146101</v>
      </c>
      <c r="AS221">
        <v>2.1049242899747544</v>
      </c>
      <c r="AT221" t="e">
        <v>#DIV/0!</v>
      </c>
      <c r="AU221" t="e">
        <v>#DIV/0!</v>
      </c>
      <c r="AV221"/>
      <c r="AW221"/>
      <c r="BA221" s="194"/>
      <c r="BB221" s="192"/>
      <c r="BC221" s="192"/>
      <c r="BD221" s="192"/>
      <c r="BE221" s="192"/>
      <c r="BF221" s="192"/>
      <c r="BG221" s="192"/>
      <c r="BH221" s="192"/>
      <c r="BI221" s="192"/>
      <c r="BJ221" s="192"/>
      <c r="BK221" s="192"/>
      <c r="BL221" s="192"/>
      <c r="BM221" s="192"/>
      <c r="BN221" s="192"/>
      <c r="BO221" s="192"/>
      <c r="BP221" s="192"/>
      <c r="BQ221" s="192"/>
      <c r="BR221" s="192"/>
      <c r="BS221" s="192"/>
      <c r="BT221" s="192"/>
      <c r="BU221" s="192"/>
      <c r="BV221" s="192"/>
      <c r="BW221" s="192"/>
      <c r="BX221" s="192"/>
      <c r="BY221" s="192"/>
      <c r="BZ221" s="192"/>
      <c r="CA221" s="192"/>
      <c r="CB221" s="192"/>
      <c r="CC221" s="192"/>
      <c r="CD221" s="192"/>
      <c r="CE221" s="192"/>
      <c r="CF221" s="192"/>
      <c r="CG221" s="193"/>
      <c r="CH221" s="193"/>
      <c r="CI221" s="193"/>
      <c r="CJ221" s="193"/>
      <c r="CK221" s="193"/>
      <c r="CL221" s="193"/>
      <c r="CM221" s="196"/>
      <c r="CN221" s="192"/>
      <c r="CO221" s="192"/>
      <c r="CP221" s="192"/>
      <c r="CQ221" s="192"/>
      <c r="CR221" s="192"/>
      <c r="CS221" s="192"/>
      <c r="CT221" s="192"/>
      <c r="CU221" s="192"/>
      <c r="DE221" s="186">
        <f>DE178</f>
        <v>39987</v>
      </c>
      <c r="DF221" s="181">
        <f t="shared" ref="DF221:EJ221" si="357">AVERAGE(DF178:DF187)</f>
        <v>0</v>
      </c>
      <c r="DG221" s="181">
        <f t="shared" si="357"/>
        <v>0</v>
      </c>
      <c r="DH221" s="181">
        <f t="shared" si="357"/>
        <v>0</v>
      </c>
      <c r="DI221" s="181">
        <f t="shared" si="357"/>
        <v>0</v>
      </c>
      <c r="DJ221" s="181">
        <f t="shared" si="357"/>
        <v>0</v>
      </c>
      <c r="DK221" s="181">
        <f t="shared" si="357"/>
        <v>0</v>
      </c>
      <c r="DL221" s="181">
        <f t="shared" si="357"/>
        <v>0</v>
      </c>
      <c r="DM221" s="181">
        <f t="shared" si="357"/>
        <v>0</v>
      </c>
      <c r="DN221" s="181">
        <f t="shared" si="357"/>
        <v>0</v>
      </c>
      <c r="DO221" s="181">
        <f t="shared" si="357"/>
        <v>0</v>
      </c>
      <c r="DP221" s="181">
        <f t="shared" si="357"/>
        <v>0</v>
      </c>
      <c r="DQ221" s="181">
        <f t="shared" si="357"/>
        <v>0</v>
      </c>
      <c r="DR221" s="181">
        <f t="shared" si="357"/>
        <v>0</v>
      </c>
      <c r="DS221" s="181">
        <f t="shared" si="357"/>
        <v>0</v>
      </c>
      <c r="DT221" s="181">
        <f t="shared" si="357"/>
        <v>0</v>
      </c>
      <c r="DU221" s="181">
        <f t="shared" si="357"/>
        <v>0</v>
      </c>
      <c r="DV221" s="181">
        <f t="shared" si="357"/>
        <v>0</v>
      </c>
      <c r="DW221" s="181">
        <f t="shared" si="357"/>
        <v>0</v>
      </c>
      <c r="DX221" s="181">
        <f t="shared" si="357"/>
        <v>0</v>
      </c>
      <c r="DY221" s="181">
        <f t="shared" si="357"/>
        <v>0</v>
      </c>
      <c r="DZ221" s="181">
        <f t="shared" si="357"/>
        <v>0</v>
      </c>
      <c r="EA221" s="181">
        <f t="shared" si="357"/>
        <v>0</v>
      </c>
      <c r="EB221" s="181">
        <f t="shared" si="357"/>
        <v>0</v>
      </c>
      <c r="EC221" s="181">
        <f t="shared" si="357"/>
        <v>0</v>
      </c>
      <c r="ED221" s="181">
        <f t="shared" si="357"/>
        <v>0</v>
      </c>
      <c r="EE221" s="181">
        <f t="shared" si="357"/>
        <v>0</v>
      </c>
      <c r="EF221" s="181">
        <f t="shared" si="357"/>
        <v>0</v>
      </c>
      <c r="EG221" s="181">
        <f t="shared" si="357"/>
        <v>0</v>
      </c>
      <c r="EH221" s="181">
        <f t="shared" si="357"/>
        <v>0</v>
      </c>
      <c r="EI221" s="181">
        <f t="shared" si="357"/>
        <v>0</v>
      </c>
      <c r="EJ221" s="181">
        <f t="shared" si="357"/>
        <v>0</v>
      </c>
      <c r="FY221" s="211">
        <v>216</v>
      </c>
      <c r="FZ221">
        <v>0.47239760089369376</v>
      </c>
      <c r="GA221">
        <v>8.725047411847664E-2</v>
      </c>
      <c r="GB221">
        <v>0</v>
      </c>
      <c r="GC221">
        <v>3.4819274958961192E-2</v>
      </c>
      <c r="GD221">
        <v>2.6724553773673727E-2</v>
      </c>
      <c r="GE221">
        <v>0</v>
      </c>
      <c r="GF221">
        <v>0</v>
      </c>
      <c r="GG221">
        <v>0</v>
      </c>
      <c r="GH221">
        <v>0</v>
      </c>
      <c r="GI221">
        <v>8.5504160218173253E-2</v>
      </c>
      <c r="GJ221"/>
      <c r="GK221">
        <v>0.47155744517600673</v>
      </c>
      <c r="GL221">
        <v>7.3740509229249462E-2</v>
      </c>
      <c r="GM221">
        <v>0</v>
      </c>
      <c r="GN221">
        <v>0.10493806523239137</v>
      </c>
      <c r="GO221">
        <v>0.10493806523239137</v>
      </c>
      <c r="GP221">
        <v>0</v>
      </c>
      <c r="GQ221">
        <v>0</v>
      </c>
      <c r="GR221">
        <v>0</v>
      </c>
      <c r="GS221">
        <v>0</v>
      </c>
      <c r="GT221">
        <v>0.11529910208167962</v>
      </c>
      <c r="GU221"/>
      <c r="GV221"/>
      <c r="GW221"/>
      <c r="GX221"/>
      <c r="GY221"/>
      <c r="GZ221"/>
      <c r="HA221"/>
      <c r="HB221"/>
      <c r="HC221"/>
    </row>
    <row r="222" spans="1:211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3.1708333333333329</v>
      </c>
      <c r="AO222">
        <v>0.51112122203750665</v>
      </c>
      <c r="AP222">
        <v>13.805986652976697</v>
      </c>
      <c r="AQ222">
        <v>4.4363738056633215</v>
      </c>
      <c r="AR222">
        <v>0.54846586251504825</v>
      </c>
      <c r="AS222">
        <v>2.5924068207429758</v>
      </c>
      <c r="AT222" t="e">
        <v>#DIV/0!</v>
      </c>
      <c r="AU222" t="e">
        <v>#DIV/0!</v>
      </c>
      <c r="AV222"/>
      <c r="AW222"/>
      <c r="BA222" s="194"/>
      <c r="BB222" s="192"/>
      <c r="BC222" s="197"/>
      <c r="BD222" s="197"/>
      <c r="BE222" s="197"/>
      <c r="BF222" s="197"/>
      <c r="BG222" s="197"/>
      <c r="BH222" s="197"/>
      <c r="BI222" s="197"/>
      <c r="BJ222" s="197"/>
      <c r="BK222" s="197"/>
      <c r="BL222" s="197"/>
      <c r="BM222" s="197"/>
      <c r="BN222" s="197"/>
      <c r="BO222" s="197"/>
      <c r="BP222" s="197"/>
      <c r="BQ222" s="197"/>
      <c r="BR222" s="197"/>
      <c r="BS222" s="197"/>
      <c r="BT222" s="197"/>
      <c r="BU222" s="197"/>
      <c r="BV222" s="197"/>
      <c r="BW222" s="192"/>
      <c r="BX222" s="197"/>
      <c r="BY222" s="192"/>
      <c r="BZ222" s="192"/>
      <c r="CA222" s="192"/>
      <c r="CB222" s="192"/>
      <c r="CC222" s="192"/>
      <c r="CD222" s="192"/>
      <c r="CE222" s="192"/>
      <c r="CF222" s="192"/>
      <c r="CG222" s="193"/>
      <c r="CH222" s="193"/>
      <c r="CI222" s="193"/>
      <c r="CJ222" s="193"/>
      <c r="CK222" s="193"/>
      <c r="CL222" s="193"/>
      <c r="CM222" s="196"/>
      <c r="CN222" s="192"/>
      <c r="CO222" s="192"/>
      <c r="CP222" s="192"/>
      <c r="CQ222" s="192"/>
      <c r="CR222" s="192"/>
      <c r="CS222" s="192"/>
      <c r="CT222" s="192"/>
      <c r="CU222" s="192"/>
      <c r="DE222" s="186"/>
      <c r="DF222" s="181"/>
      <c r="DG222" s="185"/>
      <c r="DH222" s="185"/>
      <c r="DI222" s="185"/>
      <c r="DJ222" s="185"/>
      <c r="DK222" s="185"/>
      <c r="DL222" s="185"/>
      <c r="DM222" s="185"/>
      <c r="DN222" s="185"/>
      <c r="DO222" s="185"/>
      <c r="DP222" s="185"/>
      <c r="DQ222" s="185"/>
      <c r="DR222" s="185"/>
      <c r="DS222" s="185"/>
      <c r="DT222" s="185"/>
      <c r="DU222" s="185"/>
      <c r="DV222" s="185"/>
      <c r="DW222" s="185"/>
      <c r="DX222" s="185"/>
      <c r="DY222" s="185"/>
      <c r="DZ222" s="185"/>
      <c r="EA222" s="181"/>
      <c r="EB222" s="185"/>
      <c r="EC222" s="181"/>
      <c r="ED222" s="181"/>
      <c r="EE222" s="181"/>
      <c r="EF222" s="181"/>
      <c r="EG222" s="181"/>
      <c r="EH222" s="181"/>
      <c r="EI222" s="181"/>
      <c r="EJ222" s="181"/>
      <c r="FY222" s="211">
        <v>217</v>
      </c>
      <c r="FZ222">
        <v>0.84462527835127954</v>
      </c>
      <c r="GA222">
        <v>0.34900189647390656</v>
      </c>
      <c r="GB222">
        <v>0</v>
      </c>
      <c r="GC222">
        <v>0.10445782487688361</v>
      </c>
      <c r="GD222">
        <v>8.0173661321021189E-2</v>
      </c>
      <c r="GE222">
        <v>0</v>
      </c>
      <c r="GF222">
        <v>0.66042100116664126</v>
      </c>
      <c r="GG222">
        <v>0.59518473501329594</v>
      </c>
      <c r="GH222">
        <v>0</v>
      </c>
      <c r="GI222">
        <v>0.29974890315867908</v>
      </c>
      <c r="GJ222"/>
      <c r="GK222">
        <v>0.84350035664977541</v>
      </c>
      <c r="GL222">
        <v>0.29496203691699785</v>
      </c>
      <c r="GM222">
        <v>0</v>
      </c>
      <c r="GN222">
        <v>0.31481419569717417</v>
      </c>
      <c r="GO222">
        <v>0.31481419569717417</v>
      </c>
      <c r="GP222">
        <v>0</v>
      </c>
      <c r="GQ222">
        <v>0.90739586192571098</v>
      </c>
      <c r="GR222">
        <v>0.90739586192571098</v>
      </c>
      <c r="GS222">
        <v>0</v>
      </c>
      <c r="GT222">
        <v>0.41314208285453213</v>
      </c>
      <c r="GU222"/>
      <c r="GV222"/>
      <c r="GW222"/>
      <c r="GX222"/>
      <c r="GY222"/>
      <c r="GZ222"/>
      <c r="HA222"/>
      <c r="HB222"/>
      <c r="HC222"/>
    </row>
    <row r="223" spans="1:211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1.7864583333333328</v>
      </c>
      <c r="AO223">
        <v>0.42986879256022847</v>
      </c>
      <c r="AP223">
        <v>21.392526060576518</v>
      </c>
      <c r="AQ223">
        <v>3.0975244417386083</v>
      </c>
      <c r="AR223">
        <v>0.43799964284067816</v>
      </c>
      <c r="AS223">
        <v>2.0070660673463991</v>
      </c>
      <c r="AT223" t="e">
        <v>#DIV/0!</v>
      </c>
      <c r="AU223" t="e">
        <v>#DIV/0!</v>
      </c>
      <c r="AV223"/>
      <c r="AW223"/>
      <c r="BA223" s="194"/>
      <c r="BB223" s="192"/>
      <c r="BC223" s="197"/>
      <c r="BD223" s="197"/>
      <c r="BE223" s="197"/>
      <c r="BF223" s="197"/>
      <c r="BG223" s="197"/>
      <c r="BH223" s="197"/>
      <c r="BI223" s="197"/>
      <c r="BJ223" s="197"/>
      <c r="BK223" s="197"/>
      <c r="BL223" s="197"/>
      <c r="BM223" s="197"/>
      <c r="BN223" s="197"/>
      <c r="BO223" s="197"/>
      <c r="BP223" s="197"/>
      <c r="BQ223" s="197"/>
      <c r="BR223" s="197"/>
      <c r="BS223" s="197"/>
      <c r="BT223" s="197"/>
      <c r="BU223" s="197"/>
      <c r="BV223" s="197"/>
      <c r="BW223" s="192"/>
      <c r="BX223" s="197"/>
      <c r="BY223" s="192"/>
      <c r="BZ223" s="192"/>
      <c r="CA223" s="192"/>
      <c r="CB223" s="192"/>
      <c r="CC223" s="192"/>
      <c r="CD223" s="192"/>
      <c r="CE223" s="192"/>
      <c r="CF223" s="192"/>
      <c r="CG223" s="193"/>
      <c r="CH223" s="193"/>
      <c r="CI223" s="193"/>
      <c r="CJ223" s="193"/>
      <c r="CK223" s="193"/>
      <c r="CL223" s="193"/>
      <c r="CM223" s="192"/>
      <c r="CN223" s="192"/>
      <c r="CO223" s="192"/>
      <c r="CP223" s="192"/>
      <c r="CQ223" s="192"/>
      <c r="CR223" s="192"/>
      <c r="CS223" s="192"/>
      <c r="CT223" s="192"/>
      <c r="CU223" s="192"/>
      <c r="DE223" s="186"/>
      <c r="DF223" s="181"/>
      <c r="DG223" s="185"/>
      <c r="DH223" s="185"/>
      <c r="DI223" s="185"/>
      <c r="DJ223" s="185"/>
      <c r="DK223" s="185"/>
      <c r="DL223" s="185"/>
      <c r="DM223" s="185"/>
      <c r="DN223" s="185"/>
      <c r="DO223" s="185"/>
      <c r="DP223" s="185"/>
      <c r="DQ223" s="185"/>
      <c r="DR223" s="185"/>
      <c r="DS223" s="185"/>
      <c r="DT223" s="185"/>
      <c r="DU223" s="185"/>
      <c r="DV223" s="185"/>
      <c r="DW223" s="185"/>
      <c r="DX223" s="185"/>
      <c r="DY223" s="185"/>
      <c r="DZ223" s="185"/>
      <c r="EA223" s="181"/>
      <c r="EB223" s="185"/>
      <c r="EC223" s="181"/>
      <c r="ED223" s="181"/>
      <c r="EE223" s="181"/>
      <c r="EF223" s="181"/>
      <c r="EG223" s="181"/>
      <c r="EH223" s="181"/>
      <c r="EI223" s="181"/>
      <c r="EJ223" s="181"/>
      <c r="FY223" s="211">
        <v>218</v>
      </c>
      <c r="FZ223">
        <v>1.4088758579902541</v>
      </c>
      <c r="GA223">
        <v>0.9492013034353769</v>
      </c>
      <c r="GB223">
        <v>0.15840797322414965</v>
      </c>
      <c r="GC223">
        <v>0.19273547618072395</v>
      </c>
      <c r="GD223">
        <v>8.0173661321021189E-2</v>
      </c>
      <c r="GE223">
        <v>0</v>
      </c>
      <c r="GF223">
        <v>0.33021050058332063</v>
      </c>
      <c r="GG223">
        <v>0.29759236750664797</v>
      </c>
      <c r="GH223">
        <v>0</v>
      </c>
      <c r="GI223">
        <v>0.35778058600522161</v>
      </c>
      <c r="GJ223"/>
      <c r="GK223">
        <v>1.4192488133942827</v>
      </c>
      <c r="GL223">
        <v>0.81411144957417536</v>
      </c>
      <c r="GM223">
        <v>0.26183540241601705</v>
      </c>
      <c r="GN223">
        <v>0.57664959811319116</v>
      </c>
      <c r="GO223">
        <v>0.31481419569717417</v>
      </c>
      <c r="GP223">
        <v>0</v>
      </c>
      <c r="GQ223">
        <v>0.45369793096285549</v>
      </c>
      <c r="GR223">
        <v>0.45369793096285549</v>
      </c>
      <c r="GS223">
        <v>0</v>
      </c>
      <c r="GT223">
        <v>0.48991926849406586</v>
      </c>
      <c r="GU223"/>
      <c r="GV223"/>
      <c r="GW223"/>
      <c r="GX223"/>
      <c r="GY223"/>
      <c r="GZ223"/>
      <c r="HA223"/>
      <c r="HB223"/>
      <c r="HC223"/>
    </row>
    <row r="224" spans="1:211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2.010416666666667</v>
      </c>
      <c r="AO224">
        <v>0.38388151033859624</v>
      </c>
      <c r="AP224">
        <v>15.144617835304134</v>
      </c>
      <c r="AQ224">
        <v>2.5337186742612743</v>
      </c>
      <c r="AR224">
        <v>0.37654131613996589</v>
      </c>
      <c r="AS224">
        <v>1.7733781042837768</v>
      </c>
      <c r="AT224" t="e">
        <v>#DIV/0!</v>
      </c>
      <c r="AU224" t="e">
        <v>#DIV/0!</v>
      </c>
      <c r="AV224"/>
      <c r="AW224"/>
      <c r="BA224" s="198"/>
      <c r="BB224" s="193"/>
      <c r="BC224" s="199"/>
      <c r="BD224" s="199"/>
      <c r="BE224" s="199"/>
      <c r="BF224" s="199"/>
      <c r="BG224" s="199"/>
      <c r="BH224" s="199"/>
      <c r="BI224" s="199"/>
      <c r="BJ224" s="199"/>
      <c r="BK224" s="199"/>
      <c r="BL224" s="199"/>
      <c r="BM224" s="199"/>
      <c r="BN224" s="199"/>
      <c r="BO224" s="199"/>
      <c r="BP224" s="199"/>
      <c r="BQ224" s="199"/>
      <c r="BR224" s="199"/>
      <c r="BS224" s="199"/>
      <c r="BT224" s="199"/>
      <c r="BU224" s="199"/>
      <c r="BV224" s="199"/>
      <c r="BW224" s="193"/>
      <c r="BX224" s="199"/>
      <c r="BY224" s="193"/>
      <c r="BZ224" s="193"/>
      <c r="CA224" s="193"/>
      <c r="CB224" s="193"/>
      <c r="CC224" s="193"/>
      <c r="CD224" s="193"/>
      <c r="CE224" s="193"/>
      <c r="CF224" s="193"/>
      <c r="CG224" s="193"/>
      <c r="CH224" s="193"/>
      <c r="CI224" s="193"/>
      <c r="CJ224" s="193"/>
      <c r="CK224" s="193"/>
      <c r="CL224" s="193"/>
      <c r="CM224" s="192"/>
      <c r="CN224" s="192"/>
      <c r="CO224" s="192"/>
      <c r="CP224" s="192"/>
      <c r="CQ224" s="192"/>
      <c r="CR224" s="192"/>
      <c r="CS224" s="192"/>
      <c r="CT224" s="192"/>
      <c r="CU224" s="192"/>
      <c r="DE224" s="183" t="s">
        <v>139</v>
      </c>
      <c r="DH224" s="203" t="s">
        <v>142</v>
      </c>
      <c r="FY224" s="211">
        <v>219</v>
      </c>
      <c r="FZ224">
        <v>1.2059460617045195</v>
      </c>
      <c r="GA224">
        <v>0.38735017759921181</v>
      </c>
      <c r="GB224">
        <v>0.15840797322414965</v>
      </c>
      <c r="GC224">
        <v>8.8277651303840327E-2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0.2173248184907963</v>
      </c>
      <c r="GJ224"/>
      <c r="GK224">
        <v>1.2139575130341753</v>
      </c>
      <c r="GL224">
        <v>0.33331521555783822</v>
      </c>
      <c r="GM224">
        <v>0.26183540241601705</v>
      </c>
      <c r="GN224">
        <v>0.26183540241601705</v>
      </c>
      <c r="GO224">
        <v>0</v>
      </c>
      <c r="GP224">
        <v>0</v>
      </c>
      <c r="GQ224">
        <v>0</v>
      </c>
      <c r="GR224">
        <v>0</v>
      </c>
      <c r="GS224">
        <v>0</v>
      </c>
      <c r="GT224">
        <v>0.29515858309003851</v>
      </c>
      <c r="GU224"/>
      <c r="GV224"/>
      <c r="GW224"/>
      <c r="GX224"/>
      <c r="GY224"/>
      <c r="GZ224"/>
      <c r="HA224"/>
      <c r="HB224"/>
      <c r="HC224"/>
    </row>
    <row r="225" spans="1:211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3.5010416666666666</v>
      </c>
      <c r="AO225">
        <v>0.55503848825028768</v>
      </c>
      <c r="AP225">
        <v>18.664294272113573</v>
      </c>
      <c r="AQ225">
        <v>4.5608344135757886</v>
      </c>
      <c r="AR225">
        <v>0.5603973263582861</v>
      </c>
      <c r="AS225">
        <v>2.9083820165411898</v>
      </c>
      <c r="AT225" t="e">
        <v>#DIV/0!</v>
      </c>
      <c r="AU225" t="e">
        <v>#DIV/0!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6">
        <v>39646</v>
      </c>
      <c r="DF225" s="204"/>
      <c r="DG225" s="204">
        <f>((DG212*$H$372)+(DH212*$I$372)+(DI212*$J$372)+(DJ212*$K$372)+(DK212*$L$372)+(DL212*$M$372)+(DM212*$N$372)+(DN212*$O$372)+(DO212*$P$372)+(DP212*$Q$372)+(DQ212*$R$372)+(DR212*$S$372)+(DS212*$T$372)+(DT212*$U$372))/SUM(DG212:DT212)</f>
        <v>5.0162434284448637E-2</v>
      </c>
      <c r="DH225" s="204"/>
      <c r="DI225" s="204"/>
      <c r="DJ225" s="204"/>
      <c r="DK225" s="204"/>
      <c r="DL225" s="204"/>
      <c r="DM225" s="204"/>
      <c r="DN225" s="204"/>
      <c r="DO225" s="204"/>
      <c r="DP225" s="204"/>
      <c r="DQ225" s="204"/>
      <c r="DR225" s="204"/>
      <c r="DS225" s="204"/>
      <c r="DT225" s="204"/>
      <c r="DU225" s="204"/>
      <c r="DV225" s="204"/>
      <c r="DW225" s="204"/>
      <c r="DX225" s="204"/>
      <c r="DY225" s="204"/>
      <c r="DZ225" s="204"/>
      <c r="EA225" s="204"/>
      <c r="EB225" s="204"/>
      <c r="EC225" s="204"/>
      <c r="ED225" s="204"/>
      <c r="EE225" s="204"/>
      <c r="EF225" s="204"/>
      <c r="EG225" s="204"/>
      <c r="EH225" s="204"/>
      <c r="EI225" s="204"/>
      <c r="EJ225" s="204"/>
      <c r="FY225" s="211">
        <v>220</v>
      </c>
      <c r="FZ225">
        <v>1.1984762363458803</v>
      </c>
      <c r="GA225">
        <v>0.77470035519842362</v>
      </c>
      <c r="GB225">
        <v>6.282592274279708E-2</v>
      </c>
      <c r="GC225">
        <v>6.9638549917922385E-2</v>
      </c>
      <c r="GD225">
        <v>2.6724553773673727E-2</v>
      </c>
      <c r="GE225">
        <v>0</v>
      </c>
      <c r="GF225">
        <v>0.66042100116664126</v>
      </c>
      <c r="GG225">
        <v>0.59518473501329594</v>
      </c>
      <c r="GH225">
        <v>0</v>
      </c>
      <c r="GI225">
        <v>0.33641005545600217</v>
      </c>
      <c r="GJ225"/>
      <c r="GK225">
        <v>1.2085722359063182</v>
      </c>
      <c r="GL225">
        <v>0.66663043111567644</v>
      </c>
      <c r="GM225">
        <v>0.10493806523239137</v>
      </c>
      <c r="GN225">
        <v>0.20987613046478273</v>
      </c>
      <c r="GO225">
        <v>0.10493806523239137</v>
      </c>
      <c r="GP225">
        <v>0</v>
      </c>
      <c r="GQ225">
        <v>0.90739586192571098</v>
      </c>
      <c r="GR225">
        <v>0.90739586192571098</v>
      </c>
      <c r="GS225">
        <v>0</v>
      </c>
      <c r="GT225">
        <v>0.46516884565936245</v>
      </c>
      <c r="GU225"/>
      <c r="GV225"/>
      <c r="GW225"/>
      <c r="GX225"/>
      <c r="GY225"/>
      <c r="GZ225"/>
      <c r="HA225"/>
      <c r="HB225"/>
      <c r="HC225"/>
    </row>
    <row r="226" spans="1:211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2.7270833333333333</v>
      </c>
      <c r="AO226">
        <v>0.47312676687371846</v>
      </c>
      <c r="AP226">
        <v>17.969333530398298</v>
      </c>
      <c r="AQ226">
        <v>3.7026145016308663</v>
      </c>
      <c r="AR226">
        <v>0.50834043572932974</v>
      </c>
      <c r="AS226">
        <v>2.5984528120093699</v>
      </c>
      <c r="AT226" t="e">
        <v>#DIV/0!</v>
      </c>
      <c r="AU226" t="e">
        <v>#DIV/0!</v>
      </c>
      <c r="AV226"/>
      <c r="AW226"/>
      <c r="DE226" s="186">
        <f>DE101</f>
        <v>39673</v>
      </c>
      <c r="DF226" s="204"/>
      <c r="DG226" s="204">
        <f t="shared" ref="DG226:DG234" si="358">((DG213*$H$372)+(DH213*$I$372)+(DI213*$J$372)+(DJ213*$K$372)+(DK213*$L$372)+(DL213*$M$372)+(DM213*$N$372)+(DN213*$O$372)+(DO213*$P$372)+(DP213*$Q$372)+(DQ213*$R$372)+(DR213*$S$372)+(DS213*$T$372)+(DT213*$U$372))/SUM(DG213:DT213)</f>
        <v>0.20567026094505483</v>
      </c>
      <c r="DH226" s="204">
        <f>(LN(DG226/DG225))/(DE213-DE212)</f>
        <v>5.225954762139929E-2</v>
      </c>
      <c r="DI226" s="204"/>
      <c r="DJ226" s="204"/>
      <c r="DK226" s="204"/>
      <c r="DL226" s="204"/>
      <c r="DM226" s="204"/>
      <c r="DN226" s="204"/>
      <c r="DO226" s="204"/>
      <c r="DP226" s="204"/>
      <c r="DQ226" s="204"/>
      <c r="DR226" s="204"/>
      <c r="DS226" s="204"/>
      <c r="DT226" s="204"/>
      <c r="DU226" s="204"/>
      <c r="DV226" s="204"/>
      <c r="DW226" s="204"/>
      <c r="DX226" s="204"/>
      <c r="DY226" s="204"/>
      <c r="DZ226" s="204"/>
      <c r="EA226" s="204"/>
      <c r="EB226" s="204"/>
      <c r="EC226" s="204"/>
      <c r="ED226" s="204"/>
      <c r="EE226" s="204"/>
      <c r="EF226" s="204"/>
      <c r="EG226" s="204"/>
      <c r="EH226" s="204"/>
      <c r="EI226" s="204"/>
      <c r="EJ226" s="204"/>
      <c r="FY226" s="211">
        <v>221</v>
      </c>
      <c r="FZ226">
        <v>1.543569570502195</v>
      </c>
      <c r="GA226">
        <v>0.86195082931690026</v>
      </c>
      <c r="GB226">
        <v>0.204855832097669</v>
      </c>
      <c r="GC226">
        <v>0.14859665052880375</v>
      </c>
      <c r="GD226">
        <v>2.6724553773673727E-2</v>
      </c>
      <c r="GE226">
        <v>0</v>
      </c>
      <c r="GF226">
        <v>0</v>
      </c>
      <c r="GG226">
        <v>0</v>
      </c>
      <c r="GH226">
        <v>0</v>
      </c>
      <c r="GI226">
        <v>0.29428004990538931</v>
      </c>
      <c r="GJ226"/>
      <c r="GK226">
        <v>1.5535337403434006</v>
      </c>
      <c r="GL226">
        <v>0.7403709403449259</v>
      </c>
      <c r="GM226">
        <v>0.34079383167279126</v>
      </c>
      <c r="GN226">
        <v>0.44573189690518267</v>
      </c>
      <c r="GO226">
        <v>0.10493806523239137</v>
      </c>
      <c r="GP226">
        <v>0</v>
      </c>
      <c r="GQ226">
        <v>0</v>
      </c>
      <c r="GR226">
        <v>0</v>
      </c>
      <c r="GS226">
        <v>0</v>
      </c>
      <c r="GT226">
        <v>0.39985312744971668</v>
      </c>
      <c r="GU226"/>
      <c r="GV226"/>
      <c r="GW226"/>
      <c r="GX226"/>
      <c r="GY226"/>
      <c r="GZ226"/>
      <c r="HA226"/>
      <c r="HB226"/>
      <c r="HC226"/>
    </row>
    <row r="227" spans="1:211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2.8260416666666663</v>
      </c>
      <c r="AO227">
        <v>0.39814717068294897</v>
      </c>
      <c r="AP227">
        <v>15.607633139746405</v>
      </c>
      <c r="AQ227">
        <v>3.2289448267056544</v>
      </c>
      <c r="AR227">
        <v>0.42268373648478041</v>
      </c>
      <c r="AS227">
        <v>2.0626910469746291</v>
      </c>
      <c r="AT227" t="e">
        <v>#DIV/0!</v>
      </c>
      <c r="AU227" t="e">
        <v>#DIV/0!</v>
      </c>
      <c r="AV227"/>
      <c r="AW227"/>
      <c r="DE227" s="186">
        <f>DE111</f>
        <v>39714</v>
      </c>
      <c r="DF227" s="204"/>
      <c r="DG227" s="204" t="e">
        <f t="shared" si="358"/>
        <v>#DIV/0!</v>
      </c>
      <c r="DH227" s="204" t="e">
        <f t="shared" ref="DH227:DH234" si="359">(LN(DG227/DG226))/(DE214-DE213)</f>
        <v>#DIV/0!</v>
      </c>
      <c r="DI227" s="204"/>
      <c r="DJ227" s="204"/>
      <c r="DK227" s="204"/>
      <c r="DL227" s="204"/>
      <c r="DM227" s="204"/>
      <c r="DN227" s="204"/>
      <c r="DO227" s="204"/>
      <c r="DP227" s="204"/>
      <c r="DQ227" s="204"/>
      <c r="DR227" s="204"/>
      <c r="DS227" s="204"/>
      <c r="DT227" s="204"/>
      <c r="DU227" s="204"/>
      <c r="DV227" s="204"/>
      <c r="DW227" s="204"/>
      <c r="DX227" s="204"/>
      <c r="DY227" s="204"/>
      <c r="DZ227" s="204"/>
      <c r="EA227" s="204"/>
      <c r="EB227" s="204"/>
      <c r="EC227" s="204"/>
      <c r="ED227" s="204"/>
      <c r="EE227" s="204"/>
      <c r="EF227" s="204"/>
      <c r="EG227" s="204"/>
      <c r="EH227" s="204"/>
      <c r="EI227" s="204"/>
      <c r="EJ227" s="204"/>
      <c r="FY227" s="211">
        <v>222</v>
      </c>
      <c r="FZ227">
        <v>1.2528083343154233</v>
      </c>
      <c r="GA227">
        <v>0.47460065171768845</v>
      </c>
      <c r="GB227">
        <v>0.14202990935487192</v>
      </c>
      <c r="GC227">
        <v>0.11377737556984255</v>
      </c>
      <c r="GD227">
        <v>2.6724553773673727E-2</v>
      </c>
      <c r="GE227">
        <v>0</v>
      </c>
      <c r="GF227">
        <v>0</v>
      </c>
      <c r="GG227">
        <v>0</v>
      </c>
      <c r="GH227">
        <v>0</v>
      </c>
      <c r="GI227">
        <v>0.23577491069169745</v>
      </c>
      <c r="GJ227"/>
      <c r="GK227">
        <v>1.2610521184174865</v>
      </c>
      <c r="GL227">
        <v>0.40705572478708768</v>
      </c>
      <c r="GM227">
        <v>0.23585576644039991</v>
      </c>
      <c r="GN227">
        <v>0.34079383167279126</v>
      </c>
      <c r="GO227">
        <v>0.10493806523239137</v>
      </c>
      <c r="GP227">
        <v>0</v>
      </c>
      <c r="GQ227">
        <v>0</v>
      </c>
      <c r="GR227">
        <v>0</v>
      </c>
      <c r="GS227">
        <v>0</v>
      </c>
      <c r="GT227">
        <v>0.32036919001805564</v>
      </c>
      <c r="GU227"/>
      <c r="GV227"/>
      <c r="GW227"/>
      <c r="GX227"/>
      <c r="GY227"/>
      <c r="GZ227"/>
      <c r="HA227"/>
      <c r="HB227"/>
      <c r="HC227"/>
    </row>
    <row r="228" spans="1:211" s="7" customFormat="1">
      <c r="A228" s="9" t="s">
        <v>60</v>
      </c>
      <c r="B228">
        <v>7.524164956007251E-2</v>
      </c>
      <c r="C228">
        <v>1</v>
      </c>
      <c r="D228">
        <v>39646</v>
      </c>
      <c r="E228">
        <v>0</v>
      </c>
      <c r="F228">
        <v>0</v>
      </c>
      <c r="G228">
        <v>10.416666666666666</v>
      </c>
      <c r="H228">
        <v>20.833333333333332</v>
      </c>
      <c r="I228">
        <v>10.416666666666666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2.6625000000000001</v>
      </c>
      <c r="AO228">
        <v>0.47676661502042295</v>
      </c>
      <c r="AP228">
        <v>14.347383827487217</v>
      </c>
      <c r="AQ228">
        <v>4.1910691842264605</v>
      </c>
      <c r="AR228">
        <v>0.50769313978405728</v>
      </c>
      <c r="AS228">
        <v>2.3078784798575001</v>
      </c>
      <c r="AT228" t="e">
        <v>#DIV/0!</v>
      </c>
      <c r="AU228" t="e">
        <v>#DIV/0!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6">
        <f>DE121</f>
        <v>39747</v>
      </c>
      <c r="DF228" s="204"/>
      <c r="DG228" s="204">
        <f t="shared" si="358"/>
        <v>0.12938373473301937</v>
      </c>
      <c r="DH228" s="204" t="e">
        <f t="shared" si="359"/>
        <v>#DIV/0!</v>
      </c>
      <c r="DI228" s="204"/>
      <c r="DJ228" s="204"/>
      <c r="DK228" s="204"/>
      <c r="DL228" s="204"/>
      <c r="DM228" s="204"/>
      <c r="DN228" s="204"/>
      <c r="DO228" s="204"/>
      <c r="DP228" s="204"/>
      <c r="DQ228" s="204"/>
      <c r="DR228" s="204"/>
      <c r="DS228" s="204"/>
      <c r="DT228" s="204"/>
      <c r="DU228" s="204"/>
      <c r="DV228" s="204"/>
      <c r="DW228" s="204"/>
      <c r="DX228" s="204"/>
      <c r="DY228" s="204"/>
      <c r="DZ228" s="204"/>
      <c r="EA228" s="204"/>
      <c r="EB228" s="204"/>
      <c r="EC228" s="204"/>
      <c r="ED228" s="204"/>
      <c r="EE228" s="204"/>
      <c r="EF228" s="204"/>
      <c r="EG228" s="204"/>
      <c r="EH228" s="204"/>
      <c r="EI228" s="204"/>
      <c r="EJ228" s="204"/>
      <c r="FY228" s="211">
        <v>223</v>
      </c>
      <c r="FZ228">
        <v>1.3733910331370833</v>
      </c>
      <c r="GA228">
        <v>0.86195082931690026</v>
      </c>
      <c r="GB228">
        <v>0.204855832097669</v>
      </c>
      <c r="GC228">
        <v>0.14859665052880375</v>
      </c>
      <c r="GD228">
        <v>2.6724553773673727E-2</v>
      </c>
      <c r="GE228">
        <v>0</v>
      </c>
      <c r="GF228">
        <v>0.66042100116664126</v>
      </c>
      <c r="GG228">
        <v>0.59518473501329594</v>
      </c>
      <c r="GH228">
        <v>0</v>
      </c>
      <c r="GI228">
        <v>0.39720898487012052</v>
      </c>
      <c r="GJ228"/>
      <c r="GK228">
        <v>1.3831355343929566</v>
      </c>
      <c r="GL228">
        <v>0.7403709403449259</v>
      </c>
      <c r="GM228">
        <v>0.34079383167279126</v>
      </c>
      <c r="GN228">
        <v>0.44573189690518267</v>
      </c>
      <c r="GO228">
        <v>0.10493806523239137</v>
      </c>
      <c r="GP228">
        <v>0</v>
      </c>
      <c r="GQ228">
        <v>0.90739586192571098</v>
      </c>
      <c r="GR228">
        <v>0.90739586192571098</v>
      </c>
      <c r="GS228">
        <v>0</v>
      </c>
      <c r="GT228">
        <v>0.54725265864477002</v>
      </c>
      <c r="GU228"/>
      <c r="GV228"/>
      <c r="GW228"/>
      <c r="GX228"/>
      <c r="GY228"/>
      <c r="GZ228"/>
      <c r="HA228"/>
      <c r="HB228"/>
      <c r="HC228"/>
    </row>
    <row r="229" spans="1:211" s="7" customFormat="1">
      <c r="A229" s="90"/>
      <c r="B229">
        <v>0.5756290737188734</v>
      </c>
      <c r="C229">
        <v>2</v>
      </c>
      <c r="D229">
        <v>39646</v>
      </c>
      <c r="E229">
        <v>0</v>
      </c>
      <c r="F229">
        <v>0</v>
      </c>
      <c r="G229">
        <v>0</v>
      </c>
      <c r="H229">
        <v>10.416666666666666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2.2187499999999996</v>
      </c>
      <c r="AO229">
        <v>0.15204809941531097</v>
      </c>
      <c r="AP229">
        <v>1.4470812040830905</v>
      </c>
      <c r="AQ229">
        <v>1.3233923271469599</v>
      </c>
      <c r="AR229">
        <v>0.22363373661524483</v>
      </c>
      <c r="AS229">
        <v>1.4754775140726197</v>
      </c>
      <c r="AT229" t="e">
        <v>#DIV/0!</v>
      </c>
      <c r="AU229" t="e">
        <v>#DIV/0!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6">
        <f>DE131</f>
        <v>39775</v>
      </c>
      <c r="DF229" s="204"/>
      <c r="DG229" s="204">
        <f t="shared" si="358"/>
        <v>0.20148108524619146</v>
      </c>
      <c r="DH229" s="204">
        <f t="shared" si="359"/>
        <v>1.5818315380340935E-2</v>
      </c>
      <c r="DI229" s="204"/>
      <c r="DJ229" s="204"/>
      <c r="DK229" s="204"/>
      <c r="DL229" s="204"/>
      <c r="DM229" s="204"/>
      <c r="DN229" s="204"/>
      <c r="DO229" s="204"/>
      <c r="DP229" s="204"/>
      <c r="DQ229" s="204"/>
      <c r="DR229" s="204"/>
      <c r="DS229" s="204"/>
      <c r="DT229" s="204"/>
      <c r="DU229" s="204"/>
      <c r="DV229" s="204"/>
      <c r="DW229" s="204"/>
      <c r="DX229" s="204"/>
      <c r="DY229" s="204"/>
      <c r="DZ229" s="204"/>
      <c r="EA229" s="204"/>
      <c r="EB229" s="204"/>
      <c r="EC229" s="204"/>
      <c r="ED229" s="204"/>
      <c r="EE229" s="204"/>
      <c r="EF229" s="204"/>
      <c r="EG229" s="204"/>
      <c r="EH229" s="204"/>
      <c r="EI229" s="204"/>
      <c r="EJ229" s="204"/>
      <c r="FY229" s="211">
        <v>224</v>
      </c>
      <c r="FZ229">
        <v>1.5737267523450642</v>
      </c>
      <c r="GA229">
        <v>1.1620505327976354</v>
      </c>
      <c r="GB229">
        <v>7.9203986612074825E-2</v>
      </c>
      <c r="GC229">
        <v>7.8958100610881349E-2</v>
      </c>
      <c r="GD229">
        <v>2.6724553773673727E-2</v>
      </c>
      <c r="GE229">
        <v>0</v>
      </c>
      <c r="GF229">
        <v>0.66042100116664126</v>
      </c>
      <c r="GG229">
        <v>0.59518473501329594</v>
      </c>
      <c r="GH229">
        <v>0</v>
      </c>
      <c r="GI229">
        <v>0.39584922651874355</v>
      </c>
      <c r="GJ229"/>
      <c r="GK229">
        <v>1.5882101774745185</v>
      </c>
      <c r="GL229">
        <v>0.9999456466735146</v>
      </c>
      <c r="GM229">
        <v>0.13091770120800852</v>
      </c>
      <c r="GN229">
        <v>0.23585576644039991</v>
      </c>
      <c r="GO229">
        <v>0.10493806523239137</v>
      </c>
      <c r="GP229">
        <v>0</v>
      </c>
      <c r="GQ229">
        <v>0.90739586192571098</v>
      </c>
      <c r="GR229">
        <v>0.90739586192571098</v>
      </c>
      <c r="GS229">
        <v>0</v>
      </c>
      <c r="GT229">
        <v>0.54629236116812585</v>
      </c>
      <c r="GU229"/>
      <c r="GV229"/>
      <c r="GW229"/>
      <c r="GX229"/>
      <c r="GY229"/>
      <c r="GZ229"/>
      <c r="HA229"/>
      <c r="HB229"/>
      <c r="HC229"/>
    </row>
    <row r="230" spans="1:211" s="7" customFormat="1">
      <c r="A230" s="77"/>
      <c r="B230">
        <v>0.86157367440091726</v>
      </c>
      <c r="C230">
        <v>4</v>
      </c>
      <c r="D230">
        <v>39646</v>
      </c>
      <c r="E230">
        <v>0</v>
      </c>
      <c r="F230">
        <v>0</v>
      </c>
      <c r="G230">
        <v>72.916666666666671</v>
      </c>
      <c r="H230">
        <v>31.25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2.7458333333333327</v>
      </c>
      <c r="AO230">
        <v>0.34428030849504776</v>
      </c>
      <c r="AP230">
        <v>4.8824458562040691</v>
      </c>
      <c r="AQ230">
        <v>3.0397565359921312</v>
      </c>
      <c r="AR230">
        <v>0.37698636128798235</v>
      </c>
      <c r="AS230">
        <v>2.0497728735956984</v>
      </c>
      <c r="AT230" t="e">
        <v>#DIV/0!</v>
      </c>
      <c r="AU230" t="e">
        <v>#DIV/0!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6">
        <f>DE141</f>
        <v>39799</v>
      </c>
      <c r="DF230" s="204"/>
      <c r="DG230" s="204" t="e">
        <f t="shared" si="358"/>
        <v>#DIV/0!</v>
      </c>
      <c r="DH230" s="204" t="e">
        <f t="shared" si="359"/>
        <v>#DIV/0!</v>
      </c>
      <c r="DI230" s="204"/>
      <c r="DJ230" s="204"/>
      <c r="DK230" s="204"/>
      <c r="DL230" s="204"/>
      <c r="DM230" s="204"/>
      <c r="DN230" s="204"/>
      <c r="DO230" s="204"/>
      <c r="DP230" s="204"/>
      <c r="DQ230" s="204"/>
      <c r="DR230" s="204"/>
      <c r="DS230" s="204"/>
      <c r="DT230" s="204"/>
      <c r="DU230" s="204"/>
      <c r="DV230" s="204"/>
      <c r="DW230" s="204"/>
      <c r="DX230" s="204"/>
      <c r="DY230" s="204"/>
      <c r="DZ230" s="204"/>
      <c r="EA230" s="204"/>
      <c r="EB230" s="204"/>
      <c r="EC230" s="204"/>
      <c r="ED230" s="204"/>
      <c r="EE230" s="204"/>
      <c r="EF230" s="204"/>
      <c r="EG230" s="204"/>
      <c r="EH230" s="204"/>
      <c r="EI230" s="204"/>
      <c r="EJ230" s="204"/>
      <c r="FY230" s="211">
        <v>225</v>
      </c>
      <c r="FZ230">
        <v>0.77789855001616726</v>
      </c>
      <c r="GA230">
        <v>8.725047411847664E-2</v>
      </c>
      <c r="GB230">
        <v>0.28405981870974384</v>
      </c>
      <c r="GC230">
        <v>0.1579162012217627</v>
      </c>
      <c r="GD230">
        <v>0</v>
      </c>
      <c r="GE230">
        <v>0</v>
      </c>
      <c r="GF230">
        <v>0</v>
      </c>
      <c r="GG230">
        <v>0</v>
      </c>
      <c r="GH230">
        <v>0</v>
      </c>
      <c r="GI230">
        <v>0.18498796305225434</v>
      </c>
      <c r="GJ230"/>
      <c r="GK230">
        <v>0.77926428612454446</v>
      </c>
      <c r="GL230">
        <v>7.3740509229249462E-2</v>
      </c>
      <c r="GM230">
        <v>0.47171153288079981</v>
      </c>
      <c r="GN230">
        <v>0.47171153288079981</v>
      </c>
      <c r="GO230">
        <v>0</v>
      </c>
      <c r="GP230">
        <v>0</v>
      </c>
      <c r="GQ230">
        <v>0</v>
      </c>
      <c r="GR230">
        <v>0</v>
      </c>
      <c r="GS230">
        <v>0</v>
      </c>
      <c r="GT230">
        <v>0.25019516380106888</v>
      </c>
      <c r="GU230"/>
      <c r="GV230"/>
      <c r="GW230"/>
      <c r="GX230"/>
      <c r="GY230"/>
      <c r="GZ230"/>
      <c r="HA230"/>
      <c r="HB230"/>
      <c r="HC230"/>
    </row>
    <row r="231" spans="1:211" s="7" customFormat="1">
      <c r="A231" s="77"/>
      <c r="B231">
        <v>0.61024178151410391</v>
      </c>
      <c r="C231">
        <v>4</v>
      </c>
      <c r="D231">
        <v>39646</v>
      </c>
      <c r="E231">
        <v>0</v>
      </c>
      <c r="F231">
        <v>0</v>
      </c>
      <c r="G231">
        <v>72.916666666666671</v>
      </c>
      <c r="H231">
        <v>31.25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2.4479166666666665</v>
      </c>
      <c r="AO231">
        <v>0.16192872421572568</v>
      </c>
      <c r="AP231">
        <v>1.6738344147699311</v>
      </c>
      <c r="AQ231">
        <v>1.1691009415508311</v>
      </c>
      <c r="AR231">
        <v>0.20512208953847225</v>
      </c>
      <c r="AS231">
        <v>1.3119431204743366</v>
      </c>
      <c r="AT231" t="e">
        <v>#DIV/0!</v>
      </c>
      <c r="AU231" t="e">
        <v>#DIV/0!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6">
        <f>DE151</f>
        <v>39847</v>
      </c>
      <c r="DF231" s="204"/>
      <c r="DG231" s="204" t="e">
        <f t="shared" si="358"/>
        <v>#DIV/0!</v>
      </c>
      <c r="DH231" s="204" t="e">
        <f t="shared" si="359"/>
        <v>#DIV/0!</v>
      </c>
      <c r="DI231" s="204"/>
      <c r="DJ231" s="204"/>
      <c r="DK231" s="204"/>
      <c r="DL231" s="204"/>
      <c r="DM231" s="204"/>
      <c r="DN231" s="204"/>
      <c r="DO231" s="204"/>
      <c r="DP231" s="204"/>
      <c r="DQ231" s="204"/>
      <c r="DR231" s="204"/>
      <c r="DS231" s="204"/>
      <c r="DT231" s="204"/>
      <c r="DU231" s="204"/>
      <c r="DV231" s="204"/>
      <c r="DW231" s="204"/>
      <c r="DX231" s="204"/>
      <c r="DY231" s="204"/>
      <c r="DZ231" s="204"/>
      <c r="EA231" s="204"/>
      <c r="EB231" s="204"/>
      <c r="EC231" s="204"/>
      <c r="ED231" s="204"/>
      <c r="EE231" s="204"/>
      <c r="EF231" s="204"/>
      <c r="EG231" s="204"/>
      <c r="EH231" s="204"/>
      <c r="EI231" s="204"/>
      <c r="EJ231" s="204"/>
      <c r="FY231" s="211">
        <v>226</v>
      </c>
      <c r="FZ231">
        <v>1.313578720394813</v>
      </c>
      <c r="GA231">
        <v>0.86195082931690026</v>
      </c>
      <c r="GB231">
        <v>0.22123389596694673</v>
      </c>
      <c r="GC231">
        <v>0.1579162012217627</v>
      </c>
      <c r="GD231">
        <v>2.6724553773673727E-2</v>
      </c>
      <c r="GE231">
        <v>0</v>
      </c>
      <c r="GF231">
        <v>0</v>
      </c>
      <c r="GG231">
        <v>0</v>
      </c>
      <c r="GH231">
        <v>0</v>
      </c>
      <c r="GI231">
        <v>0.26421619837768467</v>
      </c>
      <c r="GJ231"/>
      <c r="GK231">
        <v>1.3208276390235336</v>
      </c>
      <c r="GL231">
        <v>0.7403709403449259</v>
      </c>
      <c r="GM231">
        <v>0.3667734676484084</v>
      </c>
      <c r="GN231">
        <v>0.47171153288079981</v>
      </c>
      <c r="GO231">
        <v>0.10493806523239137</v>
      </c>
      <c r="GP231">
        <v>0</v>
      </c>
      <c r="GQ231">
        <v>0</v>
      </c>
      <c r="GR231">
        <v>0</v>
      </c>
      <c r="GS231">
        <v>0</v>
      </c>
      <c r="GT231">
        <v>0.3585078343808667</v>
      </c>
      <c r="GU231"/>
      <c r="GV231"/>
      <c r="GW231"/>
      <c r="GX231"/>
      <c r="GY231"/>
      <c r="GZ231"/>
      <c r="HA231"/>
      <c r="HB231"/>
      <c r="HC231"/>
    </row>
    <row r="232" spans="1:211" s="7" customFormat="1">
      <c r="A232" s="77"/>
      <c r="B232">
        <v>0.73551580564479568</v>
      </c>
      <c r="C232">
        <v>7</v>
      </c>
      <c r="D232">
        <v>39646</v>
      </c>
      <c r="E232">
        <v>0</v>
      </c>
      <c r="F232">
        <v>0</v>
      </c>
      <c r="G232">
        <v>10.416666666666666</v>
      </c>
      <c r="H232">
        <v>20.833333333333332</v>
      </c>
      <c r="I232">
        <v>10.416666666666666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1.59375</v>
      </c>
      <c r="AO232">
        <v>8.7047318695171849E-2</v>
      </c>
      <c r="AP232">
        <v>1.5726754279535107</v>
      </c>
      <c r="AQ232">
        <v>0.70669606396297868</v>
      </c>
      <c r="AR232">
        <v>0.11529910208167962</v>
      </c>
      <c r="AS232">
        <v>0.86061931615617071</v>
      </c>
      <c r="AT232" t="e">
        <v>#DIV/0!</v>
      </c>
      <c r="AU232" t="e">
        <v>#DIV/0!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6">
        <f>DE162</f>
        <v>39910</v>
      </c>
      <c r="DF232" s="204"/>
      <c r="DG232" s="204">
        <f t="shared" si="358"/>
        <v>0.87110002744868265</v>
      </c>
      <c r="DH232" s="204" t="e">
        <f t="shared" si="359"/>
        <v>#DIV/0!</v>
      </c>
      <c r="DI232" s="204"/>
      <c r="DJ232" s="204"/>
      <c r="DK232" s="204"/>
      <c r="DL232" s="204"/>
      <c r="DM232" s="204"/>
      <c r="DN232" s="204"/>
      <c r="DO232" s="204"/>
      <c r="DP232" s="204"/>
      <c r="DQ232" s="204"/>
      <c r="DR232" s="204"/>
      <c r="DS232" s="204"/>
      <c r="DT232" s="204"/>
      <c r="DU232" s="204"/>
      <c r="DV232" s="204"/>
      <c r="DW232" s="204"/>
      <c r="DX232" s="204"/>
      <c r="DY232" s="204"/>
      <c r="DZ232" s="204"/>
      <c r="EA232" s="204"/>
      <c r="EB232" s="204"/>
      <c r="EC232" s="204"/>
      <c r="ED232" s="204"/>
      <c r="EE232" s="204"/>
      <c r="EF232" s="204"/>
      <c r="EG232" s="204"/>
      <c r="EH232" s="204"/>
      <c r="EI232" s="204"/>
      <c r="EJ232" s="204"/>
      <c r="FY232" s="211">
        <v>227</v>
      </c>
      <c r="FZ232">
        <v>1.6769452611644631</v>
      </c>
      <c r="GA232">
        <v>0.86195082931690026</v>
      </c>
      <c r="GB232">
        <v>7.9203986612074825E-2</v>
      </c>
      <c r="GC232">
        <v>4.4138825651920163E-2</v>
      </c>
      <c r="GD232">
        <v>0</v>
      </c>
      <c r="GE232">
        <v>0</v>
      </c>
      <c r="GF232">
        <v>0</v>
      </c>
      <c r="GG232">
        <v>0</v>
      </c>
      <c r="GH232">
        <v>0</v>
      </c>
      <c r="GI232">
        <v>0.26769939381818209</v>
      </c>
      <c r="GJ232"/>
      <c r="GK232">
        <v>1.6861740355551667</v>
      </c>
      <c r="GL232">
        <v>0.7403709403449259</v>
      </c>
      <c r="GM232">
        <v>0.13091770120800852</v>
      </c>
      <c r="GN232">
        <v>0.13091770120800852</v>
      </c>
      <c r="GO232">
        <v>0</v>
      </c>
      <c r="GP232">
        <v>0</v>
      </c>
      <c r="GQ232">
        <v>0</v>
      </c>
      <c r="GR232">
        <v>0</v>
      </c>
      <c r="GS232">
        <v>0</v>
      </c>
      <c r="GT232">
        <v>0.36341834735263506</v>
      </c>
      <c r="GU232"/>
      <c r="GV232"/>
      <c r="GW232"/>
      <c r="GX232"/>
      <c r="GY232"/>
      <c r="GZ232"/>
      <c r="HA232"/>
      <c r="HB232"/>
      <c r="HC232"/>
    </row>
    <row r="233" spans="1:211" s="7" customFormat="1">
      <c r="A233" s="77"/>
      <c r="B233">
        <v>0.74188104849788172</v>
      </c>
      <c r="C233">
        <v>9</v>
      </c>
      <c r="D233">
        <v>39646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2.864583333333333</v>
      </c>
      <c r="AO233">
        <v>0.39960245916670756</v>
      </c>
      <c r="AP233">
        <v>16.585854827343532</v>
      </c>
      <c r="AQ233">
        <v>2.9336133003617069</v>
      </c>
      <c r="AR233">
        <v>0.41314208285453213</v>
      </c>
      <c r="AS233">
        <v>2.2824266194820986</v>
      </c>
      <c r="AT233" t="e">
        <v>#DIV/0!</v>
      </c>
      <c r="AU233" t="e">
        <v>#DIV/0!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6">
        <f>DE171</f>
        <v>39949</v>
      </c>
      <c r="DF233" s="204"/>
      <c r="DG233" s="204" t="e">
        <f t="shared" si="358"/>
        <v>#DIV/0!</v>
      </c>
      <c r="DH233" s="204" t="e">
        <f t="shared" si="359"/>
        <v>#DIV/0!</v>
      </c>
      <c r="DI233" s="204"/>
      <c r="DJ233" s="204"/>
      <c r="DK233" s="204"/>
      <c r="DL233" s="204"/>
      <c r="DM233" s="204"/>
      <c r="DN233" s="204"/>
      <c r="DO233" s="204"/>
      <c r="DP233" s="204"/>
      <c r="DQ233" s="204"/>
      <c r="DR233" s="204"/>
      <c r="DS233" s="204"/>
      <c r="DT233" s="204"/>
      <c r="DU233" s="204"/>
      <c r="DV233" s="204"/>
      <c r="DW233" s="204"/>
      <c r="DX233" s="204"/>
      <c r="DY233" s="204"/>
      <c r="DZ233" s="204"/>
      <c r="EA233" s="204"/>
      <c r="EB233" s="204"/>
      <c r="EC233" s="204"/>
      <c r="ED233" s="204"/>
      <c r="EE233" s="204"/>
      <c r="EF233" s="204"/>
      <c r="EG233" s="204"/>
      <c r="EH233" s="204"/>
      <c r="EI233" s="204"/>
      <c r="EJ233" s="204"/>
      <c r="FY233" s="211">
        <v>228</v>
      </c>
      <c r="FZ233">
        <v>1.6964141434218027</v>
      </c>
      <c r="GA233">
        <v>1.2493010069161121</v>
      </c>
      <c r="GB233">
        <v>0.204855832097669</v>
      </c>
      <c r="GC233">
        <v>0.21823520044672617</v>
      </c>
      <c r="GD233">
        <v>8.0173661321021189E-2</v>
      </c>
      <c r="GE233">
        <v>0</v>
      </c>
      <c r="GF233">
        <v>0.66042100116664126</v>
      </c>
      <c r="GG233">
        <v>0.59518473501329594</v>
      </c>
      <c r="GH233">
        <v>0</v>
      </c>
      <c r="GI233">
        <v>0.4759667335485227</v>
      </c>
      <c r="GJ233"/>
      <c r="GK233">
        <v>1.7074346622732481</v>
      </c>
      <c r="GL233">
        <v>1.073686155902764</v>
      </c>
      <c r="GM233">
        <v>0.34079383167279126</v>
      </c>
      <c r="GN233">
        <v>0.65560802736996537</v>
      </c>
      <c r="GO233">
        <v>0.31481419569717417</v>
      </c>
      <c r="GP233">
        <v>0</v>
      </c>
      <c r="GQ233">
        <v>0.90739586192571098</v>
      </c>
      <c r="GR233">
        <v>0.90739586192571098</v>
      </c>
      <c r="GS233">
        <v>0</v>
      </c>
      <c r="GT233">
        <v>0.65408771031378488</v>
      </c>
      <c r="GU233"/>
      <c r="GV233"/>
      <c r="GW233"/>
      <c r="GX233"/>
      <c r="GY233"/>
      <c r="GZ233"/>
      <c r="HA233"/>
      <c r="HB233"/>
      <c r="HC233"/>
    </row>
    <row r="234" spans="1:211" s="7" customFormat="1">
      <c r="A234" s="77"/>
      <c r="B234">
        <v>0.7695793248808851</v>
      </c>
      <c r="C234">
        <v>8</v>
      </c>
      <c r="D234">
        <v>39646</v>
      </c>
      <c r="E234">
        <v>0</v>
      </c>
      <c r="F234">
        <v>0</v>
      </c>
      <c r="G234">
        <v>0</v>
      </c>
      <c r="H234">
        <v>10.416666666666666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2.9645833333333331</v>
      </c>
      <c r="AO234">
        <v>0.47839745896146163</v>
      </c>
      <c r="AP234">
        <v>11.185793813613097</v>
      </c>
      <c r="AQ234">
        <v>3.7749777262467163</v>
      </c>
      <c r="AR234">
        <v>0.48991926849406586</v>
      </c>
      <c r="AS234">
        <v>2.7512374564632358</v>
      </c>
      <c r="AT234" t="e">
        <v>#DIV/0!</v>
      </c>
      <c r="AU234" t="e">
        <v>#DIV/0!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6">
        <f>DE181</f>
        <v>39987</v>
      </c>
      <c r="DF234" s="204"/>
      <c r="DG234" s="204" t="e">
        <f t="shared" si="358"/>
        <v>#DIV/0!</v>
      </c>
      <c r="DH234" s="204" t="e">
        <f t="shared" si="359"/>
        <v>#DIV/0!</v>
      </c>
      <c r="DI234" s="204"/>
      <c r="DJ234" s="204"/>
      <c r="DK234" s="204"/>
      <c r="DL234" s="204"/>
      <c r="DM234" s="204"/>
      <c r="DN234" s="204"/>
      <c r="DO234" s="204"/>
      <c r="DP234" s="204"/>
      <c r="DQ234" s="204"/>
      <c r="DR234" s="204"/>
      <c r="DS234" s="204"/>
      <c r="DT234" s="204"/>
      <c r="DU234" s="204"/>
      <c r="DV234" s="204"/>
      <c r="DW234" s="204"/>
      <c r="DX234" s="204"/>
      <c r="DY234" s="204"/>
      <c r="DZ234" s="204"/>
      <c r="EA234" s="204"/>
      <c r="EB234" s="204"/>
      <c r="EC234" s="204"/>
      <c r="ED234" s="204"/>
      <c r="EE234" s="204"/>
      <c r="EF234" s="204"/>
      <c r="EG234" s="204"/>
      <c r="EH234" s="204"/>
      <c r="EI234" s="204"/>
      <c r="EJ234" s="204"/>
      <c r="FY234" s="211">
        <v>229</v>
      </c>
      <c r="FZ234">
        <v>0.8494204726160387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0.12589209015113234</v>
      </c>
      <c r="GJ234"/>
      <c r="GK234">
        <v>0.84991727786199589</v>
      </c>
      <c r="GL234">
        <v>0</v>
      </c>
      <c r="GM234">
        <v>0</v>
      </c>
      <c r="GN234">
        <v>0</v>
      </c>
      <c r="GO234">
        <v>0</v>
      </c>
      <c r="GP234">
        <v>0</v>
      </c>
      <c r="GQ234">
        <v>0</v>
      </c>
      <c r="GR234">
        <v>0</v>
      </c>
      <c r="GS234">
        <v>0</v>
      </c>
      <c r="GT234">
        <v>0.16998345557239916</v>
      </c>
      <c r="GU234"/>
      <c r="GV234"/>
      <c r="GW234"/>
      <c r="GX234"/>
      <c r="GY234"/>
      <c r="GZ234"/>
      <c r="HA234"/>
      <c r="HB234"/>
      <c r="HC234"/>
    </row>
    <row r="235" spans="1:211" s="7" customFormat="1">
      <c r="A235" s="77"/>
      <c r="B235">
        <v>0.55857953790905945</v>
      </c>
      <c r="C235">
        <v>8</v>
      </c>
      <c r="D235">
        <v>39646</v>
      </c>
      <c r="E235">
        <v>0</v>
      </c>
      <c r="F235">
        <v>0</v>
      </c>
      <c r="G235">
        <v>0</v>
      </c>
      <c r="H235">
        <v>10.416666666666666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2.8416666666666672</v>
      </c>
      <c r="AO235">
        <v>0.23661021165140861</v>
      </c>
      <c r="AP235">
        <v>5.3675415824009978</v>
      </c>
      <c r="AQ235">
        <v>2.0573066823225177</v>
      </c>
      <c r="AR235">
        <v>0.29515858309003851</v>
      </c>
      <c r="AS235">
        <v>1.7483616905984654</v>
      </c>
      <c r="AT235" t="e">
        <v>#DIV/0!</v>
      </c>
      <c r="AU235" t="e">
        <v>#DIV/0!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4"/>
      <c r="DG235" s="204"/>
      <c r="DH235" s="204"/>
      <c r="DI235" s="204"/>
      <c r="DJ235" s="204"/>
      <c r="DK235" s="204"/>
      <c r="DL235" s="204"/>
      <c r="DM235" s="204"/>
      <c r="DN235" s="204"/>
      <c r="DO235" s="204"/>
      <c r="DP235" s="204"/>
      <c r="DQ235" s="204"/>
      <c r="DR235" s="204"/>
      <c r="DS235" s="204"/>
      <c r="DT235" s="204"/>
      <c r="DU235" s="204"/>
      <c r="DV235" s="204"/>
      <c r="DW235" s="204"/>
      <c r="DX235" s="204"/>
      <c r="DY235" s="204"/>
      <c r="DZ235" s="204"/>
      <c r="EA235" s="204"/>
      <c r="EB235" s="204"/>
      <c r="EC235" s="204"/>
      <c r="ED235" s="204"/>
      <c r="EE235" s="204"/>
      <c r="EF235" s="204"/>
      <c r="EG235" s="204"/>
      <c r="EH235" s="204"/>
      <c r="EI235" s="204"/>
      <c r="EJ235" s="204"/>
      <c r="FY235" s="211">
        <v>230</v>
      </c>
      <c r="FZ235">
        <v>1.0971710861925512</v>
      </c>
      <c r="GA235">
        <v>0.56185112583616514</v>
      </c>
      <c r="GB235">
        <v>7.9203986612074825E-2</v>
      </c>
      <c r="GC235">
        <v>7.8958100610881349E-2</v>
      </c>
      <c r="GD235">
        <v>2.6724553773673727E-2</v>
      </c>
      <c r="GE235">
        <v>0</v>
      </c>
      <c r="GF235">
        <v>0.66042100116664126</v>
      </c>
      <c r="GG235">
        <v>0.59518473501329594</v>
      </c>
      <c r="GH235">
        <v>0</v>
      </c>
      <c r="GI235">
        <v>0.32547783346846054</v>
      </c>
      <c r="GJ235"/>
      <c r="GK235">
        <v>1.102623775500523</v>
      </c>
      <c r="GL235">
        <v>0.48079623401633714</v>
      </c>
      <c r="GM235">
        <v>0.13091770120800852</v>
      </c>
      <c r="GN235">
        <v>0.23585576644039991</v>
      </c>
      <c r="GO235">
        <v>0.10493806523239137</v>
      </c>
      <c r="GP235">
        <v>0</v>
      </c>
      <c r="GQ235">
        <v>0.90739586192571098</v>
      </c>
      <c r="GR235">
        <v>0.90739586192571098</v>
      </c>
      <c r="GS235">
        <v>0</v>
      </c>
      <c r="GT235">
        <v>0.4491750807733268</v>
      </c>
      <c r="GU235"/>
      <c r="GV235"/>
      <c r="GW235"/>
      <c r="GX235"/>
      <c r="GY235"/>
      <c r="GZ235"/>
      <c r="HA235"/>
      <c r="HB235"/>
      <c r="HC235"/>
    </row>
    <row r="236" spans="1:211" s="7" customFormat="1">
      <c r="A236" s="77"/>
      <c r="B236">
        <v>0.60429444802968324</v>
      </c>
      <c r="C236">
        <v>4</v>
      </c>
      <c r="D236">
        <v>39646</v>
      </c>
      <c r="E236">
        <v>0</v>
      </c>
      <c r="F236">
        <v>0</v>
      </c>
      <c r="G236">
        <v>72.916666666666671</v>
      </c>
      <c r="H236">
        <v>31.25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2.5583333333333336</v>
      </c>
      <c r="AO236">
        <v>0.45749154974623452</v>
      </c>
      <c r="AP236">
        <v>16.377997361581897</v>
      </c>
      <c r="AQ236">
        <v>3.7243814096146366</v>
      </c>
      <c r="AR236">
        <v>0.46516884565936245</v>
      </c>
      <c r="AS236">
        <v>2.6413735998748273</v>
      </c>
      <c r="AT236" t="e">
        <v>#DIV/0!</v>
      </c>
      <c r="AU236" t="e">
        <v>#DIV/0!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4"/>
      <c r="DG236" s="204"/>
      <c r="DH236" s="204"/>
      <c r="DI236" s="204"/>
      <c r="DJ236" s="204"/>
      <c r="DK236" s="204"/>
      <c r="DL236" s="204"/>
      <c r="DM236" s="204"/>
      <c r="DN236" s="204"/>
      <c r="DO236" s="204"/>
      <c r="DP236" s="204"/>
      <c r="DQ236" s="204"/>
      <c r="DR236" s="204"/>
      <c r="DS236" s="204"/>
      <c r="DT236" s="204"/>
      <c r="DU236" s="204"/>
      <c r="DV236" s="204"/>
      <c r="DW236" s="204"/>
      <c r="DX236" s="204"/>
      <c r="DY236" s="204"/>
      <c r="DZ236" s="204"/>
      <c r="EA236" s="204"/>
      <c r="EB236" s="204"/>
      <c r="EC236" s="204"/>
      <c r="ED236" s="204"/>
      <c r="EE236" s="204"/>
      <c r="EF236" s="204"/>
      <c r="EG236" s="204"/>
      <c r="EH236" s="204"/>
      <c r="EI236" s="204"/>
      <c r="EJ236" s="204"/>
      <c r="FY236" s="211">
        <v>231</v>
      </c>
      <c r="FZ236">
        <v>1.1674342706455154</v>
      </c>
      <c r="GA236">
        <v>0.47460065171768845</v>
      </c>
      <c r="GB236">
        <v>0.26768175484046608</v>
      </c>
      <c r="GC236">
        <v>0.18341592548776492</v>
      </c>
      <c r="GD236">
        <v>2.6724553773673727E-2</v>
      </c>
      <c r="GE236">
        <v>0</v>
      </c>
      <c r="GF236">
        <v>0.33021050058332063</v>
      </c>
      <c r="GG236">
        <v>0.29759236750664797</v>
      </c>
      <c r="GH236">
        <v>0</v>
      </c>
      <c r="GI236">
        <v>0.31809937388248111</v>
      </c>
      <c r="GJ236"/>
      <c r="GK236">
        <v>1.1759947796155035</v>
      </c>
      <c r="GL236">
        <v>0.40705572478708768</v>
      </c>
      <c r="GM236">
        <v>0.44573189690518267</v>
      </c>
      <c r="GN236">
        <v>0.55066996213757402</v>
      </c>
      <c r="GO236">
        <v>0.10493806523239137</v>
      </c>
      <c r="GP236">
        <v>0</v>
      </c>
      <c r="GQ236">
        <v>0.45369793096285549</v>
      </c>
      <c r="GR236">
        <v>0.45369793096285549</v>
      </c>
      <c r="GS236">
        <v>0</v>
      </c>
      <c r="GT236">
        <v>0.43607253454318662</v>
      </c>
      <c r="GU236"/>
      <c r="GV236"/>
      <c r="GW236"/>
      <c r="GX236"/>
      <c r="GY236"/>
      <c r="GZ236"/>
      <c r="HA236"/>
      <c r="HB236"/>
      <c r="HC236"/>
    </row>
    <row r="237" spans="1:211" s="7" customFormat="1">
      <c r="A237" s="77"/>
      <c r="B237">
        <v>0.66791039768754334</v>
      </c>
      <c r="C237">
        <v>1</v>
      </c>
      <c r="D237">
        <v>39646</v>
      </c>
      <c r="E237">
        <v>0</v>
      </c>
      <c r="F237">
        <v>0</v>
      </c>
      <c r="G237">
        <v>10.416666666666666</v>
      </c>
      <c r="H237">
        <v>20.833333333333332</v>
      </c>
      <c r="I237">
        <v>10.416666666666666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2.8968749999999996</v>
      </c>
      <c r="AO237">
        <v>0.35852216019484084</v>
      </c>
      <c r="AP237">
        <v>6.4359928066548182</v>
      </c>
      <c r="AQ237">
        <v>3.0799774861246312</v>
      </c>
      <c r="AR237">
        <v>0.39985312744971663</v>
      </c>
      <c r="AS237">
        <v>2.4482333384901187</v>
      </c>
      <c r="AT237" t="e">
        <v>#DIV/0!</v>
      </c>
      <c r="AU237" t="e">
        <v>#DIV/0!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4"/>
      <c r="DG237" s="204"/>
      <c r="DH237" s="204"/>
      <c r="DI237" s="204"/>
      <c r="DJ237" s="204"/>
      <c r="DK237" s="204"/>
      <c r="DL237" s="204"/>
      <c r="DM237" s="204"/>
      <c r="DN237" s="204"/>
      <c r="DO237" s="204"/>
      <c r="DP237" s="204"/>
      <c r="DQ237" s="204"/>
      <c r="DR237" s="204"/>
      <c r="DS237" s="204"/>
      <c r="DT237" s="204"/>
      <c r="DU237" s="204"/>
      <c r="DV237" s="204"/>
      <c r="DW237" s="204"/>
      <c r="DX237" s="204"/>
      <c r="DY237" s="204"/>
      <c r="DZ237" s="204"/>
      <c r="EA237" s="204"/>
      <c r="EB237" s="204"/>
      <c r="EC237" s="204"/>
      <c r="ED237" s="204"/>
      <c r="EE237" s="204"/>
      <c r="EF237" s="204"/>
      <c r="EG237" s="204"/>
      <c r="EH237" s="204"/>
      <c r="EI237" s="204"/>
      <c r="EJ237" s="204"/>
      <c r="FY237" s="211">
        <v>232</v>
      </c>
      <c r="FZ237">
        <v>0.71598567268305369</v>
      </c>
      <c r="GA237">
        <v>0</v>
      </c>
      <c r="GB237">
        <v>0.15840797322414965</v>
      </c>
      <c r="GC237">
        <v>8.8277651303840327E-2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0.14499593982625036</v>
      </c>
      <c r="GJ237"/>
      <c r="GK237">
        <v>0.71396974625477605</v>
      </c>
      <c r="GL237">
        <v>0</v>
      </c>
      <c r="GM237">
        <v>0.26183540241601705</v>
      </c>
      <c r="GN237">
        <v>0.26183540241601705</v>
      </c>
      <c r="GO237">
        <v>0</v>
      </c>
      <c r="GP237">
        <v>0</v>
      </c>
      <c r="GQ237">
        <v>0</v>
      </c>
      <c r="GR237">
        <v>0</v>
      </c>
      <c r="GS237">
        <v>0</v>
      </c>
      <c r="GT237">
        <v>0.19516102973415864</v>
      </c>
      <c r="GU237"/>
      <c r="GV237"/>
      <c r="GW237"/>
      <c r="GX237"/>
      <c r="GY237"/>
      <c r="GZ237"/>
      <c r="HA237"/>
      <c r="HB237"/>
      <c r="HC237"/>
    </row>
    <row r="238" spans="1:211" s="7" customFormat="1">
      <c r="A238" s="77"/>
      <c r="B238">
        <v>0.77678876915220352</v>
      </c>
      <c r="C238">
        <v>8</v>
      </c>
      <c r="D238">
        <v>39673</v>
      </c>
      <c r="E238">
        <v>0</v>
      </c>
      <c r="F238">
        <v>0</v>
      </c>
      <c r="G238">
        <v>0</v>
      </c>
      <c r="H238">
        <v>10.416666666666666</v>
      </c>
      <c r="I238">
        <v>10.416666666666666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2.5760416666666668</v>
      </c>
      <c r="AO238">
        <v>0.26700646965682118</v>
      </c>
      <c r="AP238">
        <v>4.4178043667898041</v>
      </c>
      <c r="AQ238">
        <v>2.2457157354231971</v>
      </c>
      <c r="AR238">
        <v>0.32036919001805558</v>
      </c>
      <c r="AS238">
        <v>1.9393352650936548</v>
      </c>
      <c r="AT238" t="e">
        <v>#DIV/0!</v>
      </c>
      <c r="AU238" t="e">
        <v>#DIV/0!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4"/>
      <c r="DG238" s="204"/>
      <c r="DH238" s="204"/>
      <c r="DI238" s="204"/>
      <c r="DJ238" s="204"/>
      <c r="DK238" s="204"/>
      <c r="DL238" s="204"/>
      <c r="DM238" s="204"/>
      <c r="DN238" s="204"/>
      <c r="DO238" s="204"/>
      <c r="DP238" s="204"/>
      <c r="DQ238" s="204"/>
      <c r="DR238" s="204"/>
      <c r="DS238" s="204"/>
      <c r="DT238" s="204"/>
      <c r="DU238" s="204"/>
      <c r="DV238" s="204"/>
      <c r="DW238" s="204"/>
      <c r="DX238" s="204"/>
      <c r="DY238" s="204"/>
      <c r="DZ238" s="204"/>
      <c r="EA238" s="204"/>
      <c r="EB238" s="204"/>
      <c r="EC238" s="204"/>
      <c r="ED238" s="204"/>
      <c r="EE238" s="204"/>
      <c r="EF238" s="204"/>
      <c r="EG238" s="204"/>
      <c r="EH238" s="204"/>
      <c r="EI238" s="204"/>
      <c r="EJ238" s="204"/>
      <c r="FY238" s="211">
        <v>233</v>
      </c>
      <c r="FZ238">
        <v>1.2182041656555131</v>
      </c>
      <c r="GA238">
        <v>0.9492013034353769</v>
      </c>
      <c r="GB238">
        <v>0.12565184548559416</v>
      </c>
      <c r="GC238">
        <v>0.10445782487688358</v>
      </c>
      <c r="GD238">
        <v>2.6724553773673727E-2</v>
      </c>
      <c r="GE238">
        <v>0</v>
      </c>
      <c r="GF238">
        <v>0</v>
      </c>
      <c r="GG238">
        <v>0</v>
      </c>
      <c r="GH238">
        <v>0</v>
      </c>
      <c r="GI238">
        <v>0.22663284122330296</v>
      </c>
      <c r="GJ238"/>
      <c r="GK238">
        <v>1.2286854342529432</v>
      </c>
      <c r="GL238">
        <v>0.81411144957417536</v>
      </c>
      <c r="GM238">
        <v>0.20987613046478273</v>
      </c>
      <c r="GN238">
        <v>0.31481419569717412</v>
      </c>
      <c r="GO238">
        <v>0.10493806523239137</v>
      </c>
      <c r="GP238">
        <v>0</v>
      </c>
      <c r="GQ238">
        <v>0</v>
      </c>
      <c r="GR238">
        <v>0</v>
      </c>
      <c r="GS238">
        <v>0</v>
      </c>
      <c r="GT238">
        <v>0.30869992599002349</v>
      </c>
      <c r="GU238"/>
      <c r="GV238"/>
      <c r="GW238"/>
      <c r="GX238"/>
      <c r="GY238"/>
      <c r="GZ238"/>
      <c r="HA238"/>
      <c r="HB238"/>
      <c r="HC238"/>
    </row>
    <row r="239" spans="1:211" s="7" customFormat="1">
      <c r="A239" s="77" t="s">
        <v>61</v>
      </c>
      <c r="B239">
        <v>7.3418892857085361E-2</v>
      </c>
      <c r="C239">
        <v>2</v>
      </c>
      <c r="D239">
        <v>39673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3.4385416666666671</v>
      </c>
      <c r="AO239">
        <v>0.53770146510444394</v>
      </c>
      <c r="AP239">
        <v>19.169801959336176</v>
      </c>
      <c r="AQ239">
        <v>4.2683336199041886</v>
      </c>
      <c r="AR239">
        <v>0.54725265864477002</v>
      </c>
      <c r="AS239">
        <v>2.522704736027146</v>
      </c>
      <c r="AT239" t="e">
        <v>#DIV/0!</v>
      </c>
      <c r="AU239" t="e">
        <v>#DIV/0!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3" t="s">
        <v>139</v>
      </c>
      <c r="DF239" s="182" t="s">
        <v>83</v>
      </c>
      <c r="DG239" s="181">
        <v>1</v>
      </c>
      <c r="DH239" s="181">
        <v>2</v>
      </c>
      <c r="DI239" s="181">
        <v>3</v>
      </c>
      <c r="DJ239" s="181">
        <v>4</v>
      </c>
      <c r="DK239" s="181">
        <v>5</v>
      </c>
      <c r="DL239" s="181">
        <v>6</v>
      </c>
      <c r="DM239" s="181">
        <v>7</v>
      </c>
      <c r="DN239" s="181">
        <v>8</v>
      </c>
      <c r="DO239" s="181">
        <v>9</v>
      </c>
      <c r="DP239" s="181">
        <v>10</v>
      </c>
      <c r="DQ239" s="181">
        <v>11</v>
      </c>
      <c r="DR239" s="181">
        <v>12</v>
      </c>
      <c r="DS239" s="181">
        <v>13</v>
      </c>
      <c r="DT239" s="181">
        <v>14</v>
      </c>
      <c r="DU239" s="181">
        <v>15</v>
      </c>
      <c r="DV239" s="181">
        <v>16</v>
      </c>
      <c r="DW239" s="181">
        <v>17</v>
      </c>
      <c r="DX239" s="181">
        <v>18</v>
      </c>
      <c r="DY239" s="181">
        <v>19</v>
      </c>
      <c r="DZ239" s="181">
        <v>20</v>
      </c>
      <c r="EA239" s="181">
        <v>21</v>
      </c>
      <c r="EB239" s="181">
        <v>22</v>
      </c>
      <c r="EC239" s="181">
        <v>23</v>
      </c>
      <c r="ED239" s="181">
        <v>24</v>
      </c>
      <c r="EE239" s="181">
        <v>25</v>
      </c>
      <c r="EF239" s="181">
        <v>26</v>
      </c>
      <c r="EG239" s="181">
        <v>27</v>
      </c>
      <c r="EH239" s="181">
        <v>28</v>
      </c>
      <c r="EI239" s="181">
        <v>29</v>
      </c>
      <c r="EJ239" s="181">
        <v>30</v>
      </c>
      <c r="FY239" s="211">
        <v>234</v>
      </c>
      <c r="FZ239">
        <v>0.79021989090211298</v>
      </c>
      <c r="GA239">
        <v>8.725047411847664E-2</v>
      </c>
      <c r="GB239">
        <v>0.204855832097669</v>
      </c>
      <c r="GC239">
        <v>0.18341592548776492</v>
      </c>
      <c r="GD239">
        <v>5.3449107547347455E-2</v>
      </c>
      <c r="GE239">
        <v>0</v>
      </c>
      <c r="GF239">
        <v>0.33021050058332063</v>
      </c>
      <c r="GG239">
        <v>0.29759236750664797</v>
      </c>
      <c r="GH239">
        <v>0</v>
      </c>
      <c r="GI239">
        <v>0.26240264817545811</v>
      </c>
      <c r="GJ239"/>
      <c r="GK239">
        <v>0.79145386806168028</v>
      </c>
      <c r="GL239">
        <v>7.3740509229249462E-2</v>
      </c>
      <c r="GM239">
        <v>0.34079383167279126</v>
      </c>
      <c r="GN239">
        <v>0.55066996213757402</v>
      </c>
      <c r="GO239">
        <v>0.20987613046478273</v>
      </c>
      <c r="GP239">
        <v>0</v>
      </c>
      <c r="GQ239">
        <v>0.45369793096285549</v>
      </c>
      <c r="GR239">
        <v>0.45369793096285549</v>
      </c>
      <c r="GS239">
        <v>0</v>
      </c>
      <c r="GT239">
        <v>0.35916435223242199</v>
      </c>
      <c r="GU239"/>
      <c r="GV239"/>
      <c r="GW239"/>
      <c r="GX239"/>
      <c r="GY239"/>
      <c r="GZ239"/>
      <c r="HA239"/>
      <c r="HB239"/>
      <c r="HC239"/>
    </row>
    <row r="240" spans="1:211" s="7" customFormat="1">
      <c r="A240" s="77" t="s">
        <v>62</v>
      </c>
      <c r="B240">
        <v>0.91017423111209173</v>
      </c>
      <c r="C240">
        <v>1</v>
      </c>
      <c r="D240">
        <v>39673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2.9364583333333334</v>
      </c>
      <c r="AO240">
        <v>0.54209514420483806</v>
      </c>
      <c r="AP240">
        <v>17.481525999169605</v>
      </c>
      <c r="AQ240">
        <v>4.57211888883801</v>
      </c>
      <c r="AR240">
        <v>0.54629236116812585</v>
      </c>
      <c r="AS240">
        <v>2.5403106459532738</v>
      </c>
      <c r="AT240" t="e">
        <v>#DIV/0!</v>
      </c>
      <c r="AU240" t="e">
        <v>#DIV/0!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6">
        <v>39646</v>
      </c>
      <c r="DF240" s="181">
        <v>0</v>
      </c>
      <c r="DG240" s="181">
        <v>2.083333333333333</v>
      </c>
      <c r="DH240" s="181">
        <v>21.875</v>
      </c>
      <c r="DI240" s="181">
        <v>45.833333333333329</v>
      </c>
      <c r="DJ240" s="181">
        <v>31.25</v>
      </c>
      <c r="DK240" s="181">
        <v>6.2499999999999991</v>
      </c>
      <c r="DL240" s="181">
        <v>16.666666666666668</v>
      </c>
      <c r="DM240" s="181">
        <v>4.1666666666666661</v>
      </c>
      <c r="DN240" s="181">
        <v>4.1666666666666661</v>
      </c>
      <c r="DO240" s="181">
        <v>0</v>
      </c>
      <c r="DP240" s="181">
        <v>0</v>
      </c>
      <c r="DQ240" s="181">
        <v>0</v>
      </c>
      <c r="DR240" s="181">
        <v>0</v>
      </c>
      <c r="DS240" s="181">
        <v>0</v>
      </c>
      <c r="DT240" s="181">
        <v>0</v>
      </c>
      <c r="DU240" s="181">
        <v>0</v>
      </c>
      <c r="DV240" s="181">
        <v>0</v>
      </c>
      <c r="DW240" s="181">
        <v>0</v>
      </c>
      <c r="DX240" s="181">
        <v>0</v>
      </c>
      <c r="DY240" s="181">
        <v>0</v>
      </c>
      <c r="DZ240" s="181">
        <v>0</v>
      </c>
      <c r="EA240" s="181">
        <v>0</v>
      </c>
      <c r="EB240" s="181">
        <v>0</v>
      </c>
      <c r="EC240" s="181">
        <v>0</v>
      </c>
      <c r="ED240" s="181">
        <v>0</v>
      </c>
      <c r="EE240" s="181">
        <v>0</v>
      </c>
      <c r="EF240" s="181">
        <v>0</v>
      </c>
      <c r="EG240" s="181">
        <v>0</v>
      </c>
      <c r="EH240" s="181">
        <v>0</v>
      </c>
      <c r="EI240" s="181">
        <v>0</v>
      </c>
      <c r="EJ240" s="181">
        <v>0</v>
      </c>
      <c r="FY240" s="211">
        <v>235</v>
      </c>
      <c r="FZ240">
        <v>1.2095011745596111</v>
      </c>
      <c r="GA240">
        <v>0.56185112583616514</v>
      </c>
      <c r="GB240">
        <v>0.12565184548559416</v>
      </c>
      <c r="GC240">
        <v>6.9638549917922385E-2</v>
      </c>
      <c r="GD240">
        <v>0</v>
      </c>
      <c r="GE240">
        <v>0</v>
      </c>
      <c r="GF240">
        <v>0.33021050058332063</v>
      </c>
      <c r="GG240">
        <v>0.29759236750664797</v>
      </c>
      <c r="GH240">
        <v>0</v>
      </c>
      <c r="GI240">
        <v>0.27408814122978281</v>
      </c>
      <c r="GJ240"/>
      <c r="GK240">
        <v>1.2156170560671671</v>
      </c>
      <c r="GL240">
        <v>0.48079623401633714</v>
      </c>
      <c r="GM240">
        <v>0.20987613046478273</v>
      </c>
      <c r="GN240">
        <v>0.20987613046478273</v>
      </c>
      <c r="GO240">
        <v>0</v>
      </c>
      <c r="GP240">
        <v>0</v>
      </c>
      <c r="GQ240">
        <v>0.45369793096285549</v>
      </c>
      <c r="GR240">
        <v>0.45369793096285549</v>
      </c>
      <c r="GS240">
        <v>0</v>
      </c>
      <c r="GT240">
        <v>0.37583822349896112</v>
      </c>
      <c r="GU240"/>
      <c r="GV240"/>
      <c r="GW240"/>
      <c r="GX240"/>
      <c r="GY240"/>
      <c r="GZ240"/>
      <c r="HA240"/>
      <c r="HB240"/>
      <c r="HC240"/>
    </row>
    <row r="241" spans="1:211" s="7" customFormat="1">
      <c r="A241" s="77"/>
      <c r="B241">
        <v>0.99037074063915242</v>
      </c>
      <c r="C241">
        <v>9</v>
      </c>
      <c r="D241">
        <v>39673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2.6562499999999996</v>
      </c>
      <c r="AO241">
        <v>0.20466230249164624</v>
      </c>
      <c r="AP241">
        <v>5.7911906833293862</v>
      </c>
      <c r="AQ241">
        <v>1.492113007118405</v>
      </c>
      <c r="AR241">
        <v>0.25019516380106888</v>
      </c>
      <c r="AS241">
        <v>1.6542652236529662</v>
      </c>
      <c r="AT241" t="e">
        <v>#DIV/0!</v>
      </c>
      <c r="AU241" t="e">
        <v>#DIV/0!</v>
      </c>
      <c r="AV241"/>
      <c r="AW241"/>
      <c r="DE241" s="186">
        <v>39673</v>
      </c>
      <c r="DF241" s="184">
        <v>0</v>
      </c>
      <c r="DG241" s="184">
        <v>1.0416666666666665</v>
      </c>
      <c r="DH241" s="184">
        <v>31.354166666666668</v>
      </c>
      <c r="DI241" s="184">
        <v>17.916666666666668</v>
      </c>
      <c r="DJ241" s="184">
        <v>29.464285714285715</v>
      </c>
      <c r="DK241" s="184">
        <v>41.041666666666671</v>
      </c>
      <c r="DL241" s="184">
        <v>21.666666666666664</v>
      </c>
      <c r="DM241" s="184">
        <v>20.625</v>
      </c>
      <c r="DN241" s="184">
        <v>7.2916666666666661</v>
      </c>
      <c r="DO241" s="184">
        <v>7.2916666666666661</v>
      </c>
      <c r="DP241" s="184">
        <v>0</v>
      </c>
      <c r="DQ241" s="184">
        <v>0</v>
      </c>
      <c r="DR241" s="184">
        <v>0</v>
      </c>
      <c r="DS241" s="184">
        <v>0</v>
      </c>
      <c r="DT241" s="184">
        <v>0</v>
      </c>
      <c r="DU241" s="184">
        <v>0</v>
      </c>
      <c r="DV241" s="184">
        <v>0</v>
      </c>
      <c r="DW241" s="184">
        <v>0</v>
      </c>
      <c r="DX241" s="184">
        <v>0</v>
      </c>
      <c r="DY241" s="184">
        <v>0</v>
      </c>
      <c r="DZ241" s="184">
        <v>0</v>
      </c>
      <c r="EA241" s="184">
        <v>0</v>
      </c>
      <c r="EB241" s="184">
        <v>0</v>
      </c>
      <c r="EC241" s="184">
        <v>0</v>
      </c>
      <c r="ED241" s="184">
        <v>0</v>
      </c>
      <c r="EE241" s="184">
        <v>0</v>
      </c>
      <c r="EF241" s="184">
        <v>0</v>
      </c>
      <c r="EG241" s="184">
        <v>0</v>
      </c>
      <c r="EH241" s="184">
        <v>0</v>
      </c>
      <c r="EI241" s="184">
        <v>0</v>
      </c>
      <c r="EJ241" s="184">
        <v>0</v>
      </c>
      <c r="FY241" s="211">
        <v>236</v>
      </c>
      <c r="FZ241">
        <v>1.718110238571938</v>
      </c>
      <c r="GA241">
        <v>1.0364517775538535</v>
      </c>
      <c r="GB241">
        <v>0.22123389596694673</v>
      </c>
      <c r="GC241">
        <v>0.1579162012217627</v>
      </c>
      <c r="GD241">
        <v>2.6724553773673727E-2</v>
      </c>
      <c r="GE241">
        <v>0</v>
      </c>
      <c r="GF241">
        <v>0.33021050058332063</v>
      </c>
      <c r="GG241">
        <v>0.29759236750664797</v>
      </c>
      <c r="GH241">
        <v>0</v>
      </c>
      <c r="GI241">
        <v>0.38818426875728756</v>
      </c>
      <c r="GJ241"/>
      <c r="GK241">
        <v>1.7276606626478377</v>
      </c>
      <c r="GL241">
        <v>0.88785195880342482</v>
      </c>
      <c r="GM241">
        <v>0.3667734676484084</v>
      </c>
      <c r="GN241">
        <v>0.47171153288079981</v>
      </c>
      <c r="GO241">
        <v>0.10493806523239137</v>
      </c>
      <c r="GP241">
        <v>0</v>
      </c>
      <c r="GQ241">
        <v>0.45369793096285549</v>
      </c>
      <c r="GR241">
        <v>0.45369793096285549</v>
      </c>
      <c r="GS241">
        <v>0</v>
      </c>
      <c r="GT241">
        <v>0.5306140252982986</v>
      </c>
      <c r="GU241"/>
      <c r="GV241"/>
      <c r="GW241"/>
      <c r="GX241"/>
      <c r="GY241"/>
      <c r="GZ241"/>
      <c r="HA241"/>
      <c r="HB241"/>
      <c r="HC241"/>
    </row>
    <row r="242" spans="1:211" s="7" customFormat="1">
      <c r="A242" s="1"/>
      <c r="B242">
        <v>0.63734819026262812</v>
      </c>
      <c r="C242">
        <v>2</v>
      </c>
      <c r="D242">
        <v>39673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3.6312500000000001</v>
      </c>
      <c r="AO242">
        <v>0.33631294795109257</v>
      </c>
      <c r="AP242">
        <v>7.2782060228859491</v>
      </c>
      <c r="AQ242">
        <v>2.8456203990517812</v>
      </c>
      <c r="AR242">
        <v>0.3585078343808667</v>
      </c>
      <c r="AS242">
        <v>2.1608163273384151</v>
      </c>
      <c r="AT242" t="e">
        <v>#DIV/0!</v>
      </c>
      <c r="AU242" t="e">
        <v>#DIV/0!</v>
      </c>
      <c r="AV242"/>
      <c r="AW242"/>
      <c r="BI242" s="162"/>
      <c r="DE242" s="186">
        <v>39714</v>
      </c>
      <c r="DF242" s="181">
        <v>9.765625</v>
      </c>
      <c r="DG242" s="181">
        <v>71.52157738095238</v>
      </c>
      <c r="DH242" s="181">
        <v>83.705357142857139</v>
      </c>
      <c r="DI242" s="181">
        <v>68.804603494623649</v>
      </c>
      <c r="DJ242" s="181">
        <v>24.348958333333332</v>
      </c>
      <c r="DK242" s="181">
        <v>0</v>
      </c>
      <c r="DL242" s="181">
        <v>3.125</v>
      </c>
      <c r="DM242" s="181">
        <v>8.3333333333333321</v>
      </c>
      <c r="DN242" s="181">
        <v>10.416666666666666</v>
      </c>
      <c r="DO242" s="181">
        <v>5.208333333333333</v>
      </c>
      <c r="DP242" s="181">
        <v>1.0416666666666665</v>
      </c>
      <c r="DQ242" s="181">
        <v>0</v>
      </c>
      <c r="DR242" s="181">
        <v>0</v>
      </c>
      <c r="DS242" s="181">
        <v>0</v>
      </c>
      <c r="DT242" s="181">
        <v>0</v>
      </c>
      <c r="DU242" s="181">
        <v>0</v>
      </c>
      <c r="DV242" s="181">
        <v>0</v>
      </c>
      <c r="DW242" s="181">
        <v>0</v>
      </c>
      <c r="DX242" s="181">
        <v>0</v>
      </c>
      <c r="DY242" s="181">
        <v>0</v>
      </c>
      <c r="DZ242" s="181">
        <v>0</v>
      </c>
      <c r="EA242" s="181">
        <v>0</v>
      </c>
      <c r="EB242" s="181">
        <v>0</v>
      </c>
      <c r="EC242" s="181">
        <v>0</v>
      </c>
      <c r="ED242" s="181">
        <v>0</v>
      </c>
      <c r="EE242" s="181">
        <v>0</v>
      </c>
      <c r="EF242" s="181">
        <v>0</v>
      </c>
      <c r="EG242" s="181">
        <v>0</v>
      </c>
      <c r="EH242" s="181">
        <v>0</v>
      </c>
      <c r="EI242" s="181">
        <v>0</v>
      </c>
      <c r="EJ242" s="181">
        <v>0</v>
      </c>
      <c r="FY242" s="211">
        <v>237</v>
      </c>
      <c r="FZ242">
        <v>1.3190661997040427</v>
      </c>
      <c r="GA242">
        <v>0.47460065171768845</v>
      </c>
      <c r="GB242">
        <v>6.282592274279708E-2</v>
      </c>
      <c r="GC242">
        <v>0.10445782487688358</v>
      </c>
      <c r="GD242">
        <v>5.3449107547347455E-2</v>
      </c>
      <c r="GE242">
        <v>0</v>
      </c>
      <c r="GF242">
        <v>0.99063150174996206</v>
      </c>
      <c r="GG242">
        <v>0.89277710251994391</v>
      </c>
      <c r="GH242">
        <v>0</v>
      </c>
      <c r="GI242">
        <v>0.43379578149332709</v>
      </c>
      <c r="GJ242"/>
      <c r="GK242">
        <v>1.3298407444419524</v>
      </c>
      <c r="GL242">
        <v>0.40705572478708768</v>
      </c>
      <c r="GM242">
        <v>0.10493806523239137</v>
      </c>
      <c r="GN242">
        <v>0.31481419569717412</v>
      </c>
      <c r="GO242">
        <v>0.20987613046478273</v>
      </c>
      <c r="GP242">
        <v>0</v>
      </c>
      <c r="GQ242">
        <v>1.3610937928885667</v>
      </c>
      <c r="GR242">
        <v>1.3610937928885667</v>
      </c>
      <c r="GS242">
        <v>0</v>
      </c>
      <c r="GT242">
        <v>0.60114974660553866</v>
      </c>
      <c r="GU242"/>
      <c r="GV242"/>
      <c r="GW242"/>
      <c r="GX242"/>
      <c r="GY242"/>
      <c r="GZ242"/>
      <c r="HA242"/>
      <c r="HB242"/>
      <c r="HC242"/>
    </row>
    <row r="243" spans="1:211" s="7" customFormat="1">
      <c r="A243" s="1"/>
      <c r="B243">
        <v>0.40004094488278064</v>
      </c>
      <c r="C243">
        <v>4</v>
      </c>
      <c r="D243">
        <v>39673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3.9281250000000001</v>
      </c>
      <c r="AO243">
        <v>0.30517987256687451</v>
      </c>
      <c r="AP243">
        <v>4.7176758804787635</v>
      </c>
      <c r="AQ243">
        <v>2.9299382965635399</v>
      </c>
      <c r="AR243">
        <v>0.36341834735263506</v>
      </c>
      <c r="AS243">
        <v>2.3193955213106001</v>
      </c>
      <c r="AT243" t="e">
        <v>#DIV/0!</v>
      </c>
      <c r="AU243" t="e">
        <v>#DIV/0!</v>
      </c>
      <c r="AV243"/>
      <c r="AW243"/>
      <c r="DE243" s="186">
        <v>39747</v>
      </c>
      <c r="DF243" s="181">
        <v>0</v>
      </c>
      <c r="DG243" s="181">
        <v>97.276840137831527</v>
      </c>
      <c r="DH243" s="181">
        <v>154.3893277460088</v>
      </c>
      <c r="DI243" s="181">
        <v>34.151785714285708</v>
      </c>
      <c r="DJ243" s="181">
        <v>45.770202020202014</v>
      </c>
      <c r="DK243" s="181">
        <v>37.168560606060609</v>
      </c>
      <c r="DL243" s="181">
        <v>7.7651515151515156</v>
      </c>
      <c r="DM243" s="181">
        <v>2.8409090909090908</v>
      </c>
      <c r="DN243" s="181">
        <v>0</v>
      </c>
      <c r="DO243" s="181">
        <v>0</v>
      </c>
      <c r="DP243" s="181">
        <v>0</v>
      </c>
      <c r="DQ243" s="181">
        <v>0</v>
      </c>
      <c r="DR243" s="181">
        <v>0</v>
      </c>
      <c r="DS243" s="181">
        <v>0</v>
      </c>
      <c r="DT243" s="181">
        <v>0</v>
      </c>
      <c r="DU243" s="181">
        <v>0</v>
      </c>
      <c r="DV243" s="181">
        <v>0</v>
      </c>
      <c r="DW243" s="181">
        <v>0</v>
      </c>
      <c r="DX243" s="181">
        <v>0</v>
      </c>
      <c r="DY243" s="181">
        <v>0</v>
      </c>
      <c r="DZ243" s="181">
        <v>0</v>
      </c>
      <c r="EA243" s="181">
        <v>0</v>
      </c>
      <c r="EB243" s="181">
        <v>0</v>
      </c>
      <c r="EC243" s="181">
        <v>0</v>
      </c>
      <c r="ED243" s="181">
        <v>0</v>
      </c>
      <c r="EE243" s="181">
        <v>0</v>
      </c>
      <c r="EF243" s="181">
        <v>0</v>
      </c>
      <c r="EG243" s="181">
        <v>0</v>
      </c>
      <c r="EH243" s="181">
        <v>0</v>
      </c>
      <c r="EI243" s="181">
        <v>0</v>
      </c>
      <c r="EJ243" s="181">
        <v>0</v>
      </c>
      <c r="FY243" s="211">
        <v>238</v>
      </c>
      <c r="FZ243">
        <v>0.6715980933844532</v>
      </c>
      <c r="GA243">
        <v>0</v>
      </c>
      <c r="GB243">
        <v>7.9203986612074825E-2</v>
      </c>
      <c r="GC243">
        <v>0.14859665052880378</v>
      </c>
      <c r="GD243">
        <v>8.0173661321021189E-2</v>
      </c>
      <c r="GE243">
        <v>0</v>
      </c>
      <c r="GF243">
        <v>0.33021050058332063</v>
      </c>
      <c r="GG243">
        <v>0.29759236750664797</v>
      </c>
      <c r="GH243">
        <v>0</v>
      </c>
      <c r="GI243">
        <v>0.22943720589185534</v>
      </c>
      <c r="GJ243"/>
      <c r="GK243">
        <v>0.67029816155401112</v>
      </c>
      <c r="GL243">
        <v>0</v>
      </c>
      <c r="GM243">
        <v>0.13091770120800852</v>
      </c>
      <c r="GN243">
        <v>0.44573189690518267</v>
      </c>
      <c r="GO243">
        <v>0.31481419569717417</v>
      </c>
      <c r="GP243">
        <v>0</v>
      </c>
      <c r="GQ243">
        <v>0.45369793096285549</v>
      </c>
      <c r="GR243">
        <v>0.45369793096285549</v>
      </c>
      <c r="GS243">
        <v>0</v>
      </c>
      <c r="GT243">
        <v>0.3139455978844099</v>
      </c>
      <c r="GU243"/>
      <c r="GV243"/>
      <c r="GW243"/>
      <c r="GX243"/>
      <c r="GY243"/>
      <c r="GZ243"/>
      <c r="HA243"/>
      <c r="HB243"/>
      <c r="HC243"/>
    </row>
    <row r="244" spans="1:211" s="7" customFormat="1">
      <c r="A244" s="1"/>
      <c r="B244">
        <v>0.90577972394252915</v>
      </c>
      <c r="C244">
        <v>6</v>
      </c>
      <c r="D244">
        <v>39673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4.9989583333333325</v>
      </c>
      <c r="AO244">
        <v>0.65612163070811502</v>
      </c>
      <c r="AP244">
        <v>20.803663010536052</v>
      </c>
      <c r="AQ244">
        <v>5.1805523139317913</v>
      </c>
      <c r="AR244">
        <v>0.65408771031378488</v>
      </c>
      <c r="AS244">
        <v>3.6133520726058106</v>
      </c>
      <c r="AT244" t="e">
        <v>#DIV/0!</v>
      </c>
      <c r="AU244" t="e">
        <v>#DIV/0!</v>
      </c>
      <c r="AV244"/>
      <c r="AW244"/>
      <c r="DE244" s="186">
        <v>39775</v>
      </c>
      <c r="DF244" s="181">
        <v>0</v>
      </c>
      <c r="DG244" s="181">
        <v>31.99404761904762</v>
      </c>
      <c r="DH244" s="181">
        <v>161.89814814814815</v>
      </c>
      <c r="DI244" s="181">
        <v>3.125</v>
      </c>
      <c r="DJ244" s="181">
        <v>34.880050505050505</v>
      </c>
      <c r="DK244" s="181">
        <v>77.639374514374509</v>
      </c>
      <c r="DL244" s="181">
        <v>62.912781662781661</v>
      </c>
      <c r="DM244" s="181">
        <v>10.858585858585858</v>
      </c>
      <c r="DN244" s="181">
        <v>1.0416666666666665</v>
      </c>
      <c r="DO244" s="181">
        <v>0</v>
      </c>
      <c r="DP244" s="181">
        <v>0</v>
      </c>
      <c r="DQ244" s="181">
        <v>0</v>
      </c>
      <c r="DR244" s="181">
        <v>0</v>
      </c>
      <c r="DS244" s="181">
        <v>0</v>
      </c>
      <c r="DT244" s="181">
        <v>0</v>
      </c>
      <c r="DU244" s="181">
        <v>0</v>
      </c>
      <c r="DV244" s="181">
        <v>0</v>
      </c>
      <c r="DW244" s="181">
        <v>0</v>
      </c>
      <c r="DX244" s="181">
        <v>0</v>
      </c>
      <c r="DY244" s="181">
        <v>0</v>
      </c>
      <c r="DZ244" s="181">
        <v>0</v>
      </c>
      <c r="EA244" s="181">
        <v>0</v>
      </c>
      <c r="EB244" s="181">
        <v>0</v>
      </c>
      <c r="EC244" s="181">
        <v>0</v>
      </c>
      <c r="ED244" s="181">
        <v>0</v>
      </c>
      <c r="EE244" s="181">
        <v>0</v>
      </c>
      <c r="EF244" s="181">
        <v>0</v>
      </c>
      <c r="EG244" s="181">
        <v>0</v>
      </c>
      <c r="EH244" s="181">
        <v>0</v>
      </c>
      <c r="EI244" s="181">
        <v>0</v>
      </c>
      <c r="EJ244" s="181">
        <v>0</v>
      </c>
      <c r="FY244" s="211">
        <v>239</v>
      </c>
      <c r="FZ244">
        <v>0.75506310048457526</v>
      </c>
      <c r="GA244">
        <v>0.47460065171768845</v>
      </c>
      <c r="GB244">
        <v>7.9203986612074825E-2</v>
      </c>
      <c r="GC244">
        <v>4.4138825651920163E-2</v>
      </c>
      <c r="GD244">
        <v>0</v>
      </c>
      <c r="GE244">
        <v>0</v>
      </c>
      <c r="GF244">
        <v>0.33021050058332063</v>
      </c>
      <c r="GG244">
        <v>0.29759236750664797</v>
      </c>
      <c r="GH244">
        <v>0</v>
      </c>
      <c r="GI244">
        <v>0.19529526922487814</v>
      </c>
      <c r="GJ244"/>
      <c r="GK244">
        <v>0.7585499347234832</v>
      </c>
      <c r="GL244">
        <v>0.40705572478708768</v>
      </c>
      <c r="GM244">
        <v>0.13091770120800852</v>
      </c>
      <c r="GN244">
        <v>0.13091770120800852</v>
      </c>
      <c r="GO244">
        <v>0</v>
      </c>
      <c r="GP244">
        <v>0</v>
      </c>
      <c r="GQ244">
        <v>0.45369793096285549</v>
      </c>
      <c r="GR244">
        <v>0.45369793096285549</v>
      </c>
      <c r="GS244">
        <v>0</v>
      </c>
      <c r="GT244">
        <v>0.26863311337886941</v>
      </c>
      <c r="GU244"/>
      <c r="GV244"/>
      <c r="GW244"/>
      <c r="GX244"/>
      <c r="GY244"/>
      <c r="GZ244"/>
      <c r="HA244"/>
      <c r="HB244"/>
      <c r="HC244"/>
    </row>
    <row r="245" spans="1:211" s="7" customFormat="1">
      <c r="A245" s="1"/>
      <c r="B245">
        <v>0.29867230749167728</v>
      </c>
      <c r="C245">
        <v>10</v>
      </c>
      <c r="D245">
        <v>39673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18.75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3.1249999999999996</v>
      </c>
      <c r="AO245">
        <v>0.1019900733434395</v>
      </c>
      <c r="AP245">
        <v>0</v>
      </c>
      <c r="AQ245">
        <v>0.97531256276717104</v>
      </c>
      <c r="AR245">
        <v>0.16998345557239916</v>
      </c>
      <c r="AS245">
        <v>1.3824922119119014</v>
      </c>
      <c r="AT245" t="e">
        <v>#DIV/0!</v>
      </c>
      <c r="AU245" t="e">
        <v>#DIV/0!</v>
      </c>
      <c r="AV245"/>
      <c r="AW245"/>
      <c r="DE245" s="186">
        <v>39799</v>
      </c>
      <c r="DF245" s="181">
        <v>15.064102564102564</v>
      </c>
      <c r="DG245" s="181">
        <v>209.39123172579056</v>
      </c>
      <c r="DH245" s="181">
        <v>200.49856664083748</v>
      </c>
      <c r="DI245" s="181">
        <v>14.631782945736433</v>
      </c>
      <c r="DJ245" s="181">
        <v>14.08672480620155</v>
      </c>
      <c r="DK245" s="181">
        <v>56.189582476347177</v>
      </c>
      <c r="DL245" s="181">
        <v>55.863927738927735</v>
      </c>
      <c r="DM245" s="181">
        <v>12.762237762237762</v>
      </c>
      <c r="DN245" s="181">
        <v>0</v>
      </c>
      <c r="DO245" s="181">
        <v>0</v>
      </c>
      <c r="DP245" s="181">
        <v>0</v>
      </c>
      <c r="DQ245" s="181">
        <v>0</v>
      </c>
      <c r="DR245" s="181">
        <v>0</v>
      </c>
      <c r="DS245" s="181">
        <v>0</v>
      </c>
      <c r="DT245" s="181">
        <v>0</v>
      </c>
      <c r="DU245" s="181">
        <v>0</v>
      </c>
      <c r="DV245" s="181">
        <v>0</v>
      </c>
      <c r="DW245" s="181">
        <v>0</v>
      </c>
      <c r="DX245" s="181">
        <v>0</v>
      </c>
      <c r="DY245" s="181">
        <v>0</v>
      </c>
      <c r="DZ245" s="181">
        <v>0</v>
      </c>
      <c r="EA245" s="181">
        <v>0</v>
      </c>
      <c r="EB245" s="181">
        <v>0</v>
      </c>
      <c r="EC245" s="181">
        <v>0</v>
      </c>
      <c r="ED245" s="181">
        <v>0</v>
      </c>
      <c r="EE245" s="181">
        <v>0</v>
      </c>
      <c r="EF245" s="181">
        <v>0</v>
      </c>
      <c r="EG245" s="181">
        <v>0</v>
      </c>
      <c r="EH245" s="181">
        <v>0</v>
      </c>
      <c r="EI245" s="181">
        <v>0</v>
      </c>
      <c r="EJ245" s="181">
        <v>0</v>
      </c>
      <c r="FY245" s="211">
        <v>240</v>
      </c>
      <c r="FZ245">
        <v>1.0887788124511082</v>
      </c>
      <c r="GA245">
        <v>0.64910159995464167</v>
      </c>
      <c r="GB245">
        <v>7.9203986612074825E-2</v>
      </c>
      <c r="GC245">
        <v>0.14859665052880378</v>
      </c>
      <c r="GD245">
        <v>8.0173661321021189E-2</v>
      </c>
      <c r="GE245">
        <v>0</v>
      </c>
      <c r="GF245">
        <v>0</v>
      </c>
      <c r="GG245">
        <v>0</v>
      </c>
      <c r="GH245">
        <v>0</v>
      </c>
      <c r="GI245">
        <v>0.22708271419102052</v>
      </c>
      <c r="GJ245"/>
      <c r="GK245">
        <v>1.0914747050591529</v>
      </c>
      <c r="GL245">
        <v>0.55453674324558655</v>
      </c>
      <c r="GM245">
        <v>0.13091770120800852</v>
      </c>
      <c r="GN245">
        <v>0.44573189690518267</v>
      </c>
      <c r="GO245">
        <v>0.31481419569717417</v>
      </c>
      <c r="GP245">
        <v>0</v>
      </c>
      <c r="GQ245">
        <v>0</v>
      </c>
      <c r="GR245">
        <v>0</v>
      </c>
      <c r="GS245">
        <v>0</v>
      </c>
      <c r="GT245">
        <v>0.30744132039286709</v>
      </c>
      <c r="GU245"/>
      <c r="GV245"/>
      <c r="GW245"/>
      <c r="GX245"/>
      <c r="GY245"/>
      <c r="GZ245"/>
      <c r="HA245"/>
      <c r="HB245"/>
      <c r="HC245"/>
    </row>
    <row r="246" spans="1:211" s="7" customFormat="1">
      <c r="A246" s="1"/>
      <c r="B246">
        <v>0.41526525627629596</v>
      </c>
      <c r="C246">
        <v>8</v>
      </c>
      <c r="D246">
        <v>39673</v>
      </c>
      <c r="E246">
        <v>0</v>
      </c>
      <c r="F246">
        <v>0</v>
      </c>
      <c r="G246">
        <v>0</v>
      </c>
      <c r="H246">
        <v>10.416666666666666</v>
      </c>
      <c r="I246">
        <v>10.416666666666666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2.8572916666666668</v>
      </c>
      <c r="AO246">
        <v>0.43190983470224087</v>
      </c>
      <c r="AP246">
        <v>15.410153432734251</v>
      </c>
      <c r="AQ246">
        <v>3.4249924226737445</v>
      </c>
      <c r="AR246">
        <v>0.4491750807733268</v>
      </c>
      <c r="AS246">
        <v>2.3246939341959854</v>
      </c>
      <c r="AT246" t="e">
        <v>#DIV/0!</v>
      </c>
      <c r="AU246" t="e">
        <v>#DIV/0!</v>
      </c>
      <c r="AV246"/>
      <c r="AW246"/>
      <c r="DE246" s="186">
        <v>39847</v>
      </c>
      <c r="DF246" s="181">
        <v>0</v>
      </c>
      <c r="DG246" s="181">
        <v>48.415798611111114</v>
      </c>
      <c r="DH246" s="181">
        <v>46.6796875</v>
      </c>
      <c r="DI246" s="181">
        <v>1.0416666666666665</v>
      </c>
      <c r="DJ246" s="181">
        <v>4.6875</v>
      </c>
      <c r="DK246" s="181">
        <v>19.010416666666664</v>
      </c>
      <c r="DL246" s="181">
        <v>29.861111111111107</v>
      </c>
      <c r="DM246" s="181">
        <v>40.885416666666671</v>
      </c>
      <c r="DN246" s="181">
        <v>11.458333333333334</v>
      </c>
      <c r="DO246" s="181">
        <v>5.2083333333333339</v>
      </c>
      <c r="DP246" s="181">
        <v>0</v>
      </c>
      <c r="DQ246" s="181">
        <v>0</v>
      </c>
      <c r="DR246" s="181">
        <v>0</v>
      </c>
      <c r="DS246" s="181">
        <v>0</v>
      </c>
      <c r="DT246" s="181">
        <v>0</v>
      </c>
      <c r="DU246" s="181">
        <v>0</v>
      </c>
      <c r="DV246" s="181">
        <v>0</v>
      </c>
      <c r="DW246" s="181">
        <v>0</v>
      </c>
      <c r="DX246" s="181">
        <v>0</v>
      </c>
      <c r="DY246" s="181">
        <v>0</v>
      </c>
      <c r="DZ246" s="181">
        <v>0</v>
      </c>
      <c r="EA246" s="181">
        <v>0</v>
      </c>
      <c r="EB246" s="181">
        <v>0</v>
      </c>
      <c r="EC246" s="181">
        <v>0</v>
      </c>
      <c r="ED246" s="181">
        <v>0</v>
      </c>
      <c r="EE246" s="181">
        <v>0</v>
      </c>
      <c r="EF246" s="181">
        <v>0</v>
      </c>
      <c r="EG246" s="181">
        <v>0</v>
      </c>
      <c r="EH246" s="181">
        <v>0</v>
      </c>
      <c r="EI246" s="181">
        <v>0</v>
      </c>
      <c r="EJ246" s="181">
        <v>0</v>
      </c>
      <c r="FY246" s="211">
        <v>241</v>
      </c>
      <c r="FZ246">
        <v>0.84599793294333647</v>
      </c>
      <c r="GA246">
        <v>0.38735017759921181</v>
      </c>
      <c r="GB246">
        <v>0.14202990935487192</v>
      </c>
      <c r="GC246">
        <v>0.14859665052880375</v>
      </c>
      <c r="GD246">
        <v>5.3449107547347455E-2</v>
      </c>
      <c r="GE246">
        <v>0</v>
      </c>
      <c r="GF246">
        <v>0.66042100116664126</v>
      </c>
      <c r="GG246">
        <v>0.59518473501329594</v>
      </c>
      <c r="GH246">
        <v>0</v>
      </c>
      <c r="GI246">
        <v>0.31914032730348868</v>
      </c>
      <c r="GJ246"/>
      <c r="GK246">
        <v>0.85218698502081192</v>
      </c>
      <c r="GL246">
        <v>0.33331521555783822</v>
      </c>
      <c r="GM246">
        <v>0.23585576644039991</v>
      </c>
      <c r="GN246">
        <v>0.44573189690518267</v>
      </c>
      <c r="GO246">
        <v>0.20987613046478273</v>
      </c>
      <c r="GP246">
        <v>0</v>
      </c>
      <c r="GQ246">
        <v>0.90739586192571098</v>
      </c>
      <c r="GR246">
        <v>0.90739586192571098</v>
      </c>
      <c r="GS246">
        <v>0</v>
      </c>
      <c r="GT246">
        <v>0.44106294877034113</v>
      </c>
      <c r="GU246"/>
      <c r="GV246"/>
      <c r="GW246"/>
      <c r="GX246"/>
      <c r="GY246"/>
      <c r="GZ246"/>
      <c r="HA246"/>
      <c r="HB246"/>
      <c r="HC246"/>
    </row>
    <row r="247" spans="1:211" s="7" customFormat="1">
      <c r="A247" s="77" t="s">
        <v>61</v>
      </c>
      <c r="B247">
        <v>0.52563740239488954</v>
      </c>
      <c r="C247">
        <v>4</v>
      </c>
      <c r="D247">
        <v>39673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2.3572916666666663</v>
      </c>
      <c r="AO247">
        <v>0.40278588251466363</v>
      </c>
      <c r="AP247">
        <v>12.690384270196976</v>
      </c>
      <c r="AQ247">
        <v>3.0657593984375584</v>
      </c>
      <c r="AR247">
        <v>0.43607253454318662</v>
      </c>
      <c r="AS247">
        <v>2.2196038577760331</v>
      </c>
      <c r="AT247" t="e">
        <v>#DIV/0!</v>
      </c>
      <c r="AU247" t="e">
        <v>#DIV/0!</v>
      </c>
      <c r="AV247"/>
      <c r="AW247"/>
      <c r="DE247" s="186">
        <v>39910</v>
      </c>
      <c r="DF247" s="181">
        <v>0</v>
      </c>
      <c r="DG247" s="181">
        <v>28.935185185185183</v>
      </c>
      <c r="DH247" s="181">
        <v>49.768518518518519</v>
      </c>
      <c r="DI247" s="181">
        <v>0</v>
      </c>
      <c r="DJ247" s="181">
        <v>0</v>
      </c>
      <c r="DK247" s="181">
        <v>10.416666666666668</v>
      </c>
      <c r="DL247" s="181">
        <v>16.666666666666668</v>
      </c>
      <c r="DM247" s="181">
        <v>27.604166666666664</v>
      </c>
      <c r="DN247" s="181">
        <v>8.9583333333333321</v>
      </c>
      <c r="DO247" s="181">
        <v>0</v>
      </c>
      <c r="DP247" s="181">
        <v>0</v>
      </c>
      <c r="DQ247" s="181">
        <v>0</v>
      </c>
      <c r="DR247" s="181">
        <v>0</v>
      </c>
      <c r="DS247" s="181">
        <v>0</v>
      </c>
      <c r="DT247" s="181">
        <v>0</v>
      </c>
      <c r="DU247" s="181">
        <v>0</v>
      </c>
      <c r="DV247" s="181">
        <v>0</v>
      </c>
      <c r="DW247" s="181">
        <v>0</v>
      </c>
      <c r="DX247" s="181">
        <v>0</v>
      </c>
      <c r="DY247" s="181">
        <v>0</v>
      </c>
      <c r="DZ247" s="181">
        <v>0</v>
      </c>
      <c r="EA247" s="181">
        <v>0</v>
      </c>
      <c r="EB247" s="181">
        <v>0</v>
      </c>
      <c r="EC247" s="181">
        <v>0</v>
      </c>
      <c r="ED247" s="181">
        <v>0</v>
      </c>
      <c r="EE247" s="181">
        <v>0</v>
      </c>
      <c r="EF247" s="181">
        <v>0</v>
      </c>
      <c r="EG247" s="181">
        <v>0</v>
      </c>
      <c r="EH247" s="181">
        <v>0</v>
      </c>
      <c r="EI247" s="181">
        <v>0</v>
      </c>
      <c r="EJ247" s="181">
        <v>0</v>
      </c>
      <c r="FY247" s="211">
        <v>242</v>
      </c>
      <c r="FZ247">
        <v>0.71751647286714415</v>
      </c>
      <c r="GA247">
        <v>8.725047411847664E-2</v>
      </c>
      <c r="GB247">
        <v>0</v>
      </c>
      <c r="GC247">
        <v>0.10445782487688361</v>
      </c>
      <c r="GD247">
        <v>8.0173661321021189E-2</v>
      </c>
      <c r="GE247">
        <v>0</v>
      </c>
      <c r="GF247">
        <v>0</v>
      </c>
      <c r="GG247">
        <v>0</v>
      </c>
      <c r="GH247">
        <v>0</v>
      </c>
      <c r="GI247">
        <v>0.15276666391055421</v>
      </c>
      <c r="GJ247"/>
      <c r="GK247">
        <v>0.71618451138217187</v>
      </c>
      <c r="GL247">
        <v>7.3740509229249462E-2</v>
      </c>
      <c r="GM247">
        <v>0</v>
      </c>
      <c r="GN247">
        <v>0.31481419569717417</v>
      </c>
      <c r="GO247">
        <v>0.31481419569717417</v>
      </c>
      <c r="GP247">
        <v>0</v>
      </c>
      <c r="GQ247">
        <v>0</v>
      </c>
      <c r="GR247">
        <v>0</v>
      </c>
      <c r="GS247">
        <v>0</v>
      </c>
      <c r="GT247">
        <v>0.20619974141586922</v>
      </c>
      <c r="GU247"/>
      <c r="GV247"/>
      <c r="GW247"/>
      <c r="GX247"/>
      <c r="GY247"/>
      <c r="GZ247"/>
      <c r="HA247"/>
      <c r="HB247"/>
      <c r="HC247"/>
    </row>
    <row r="248" spans="1:211" s="7" customFormat="1">
      <c r="A248" s="77" t="s">
        <v>62</v>
      </c>
      <c r="B248">
        <v>0.85703838077607641</v>
      </c>
      <c r="C248">
        <v>9</v>
      </c>
      <c r="D248">
        <v>39714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3.510416666666667</v>
      </c>
      <c r="AO248">
        <v>0.14328015808209688</v>
      </c>
      <c r="AP248">
        <v>3.0159140654538197</v>
      </c>
      <c r="AQ248">
        <v>1.107667237037294</v>
      </c>
      <c r="AR248">
        <v>0.19516102973415864</v>
      </c>
      <c r="AS248">
        <v>1.6104435204293266</v>
      </c>
      <c r="AT248" t="e">
        <v>#DIV/0!</v>
      </c>
      <c r="AU248" t="e">
        <v>#DIV/0!</v>
      </c>
      <c r="AV248"/>
      <c r="AW248"/>
      <c r="DE248" s="186">
        <v>39949</v>
      </c>
      <c r="DF248" s="181">
        <v>0</v>
      </c>
      <c r="DG248" s="181">
        <v>0</v>
      </c>
      <c r="DH248" s="181">
        <v>0</v>
      </c>
      <c r="DI248" s="181">
        <v>1.0416666666666665</v>
      </c>
      <c r="DJ248" s="181">
        <v>1.0416666666666665</v>
      </c>
      <c r="DK248" s="181">
        <v>4.1666666666666661</v>
      </c>
      <c r="DL248" s="181">
        <v>9.3750000000000018</v>
      </c>
      <c r="DM248" s="181">
        <v>11.458333333333332</v>
      </c>
      <c r="DN248" s="181">
        <v>14.583333333333334</v>
      </c>
      <c r="DO248" s="181">
        <v>8.3333333333333321</v>
      </c>
      <c r="DP248" s="181">
        <v>5.208333333333333</v>
      </c>
      <c r="DQ248" s="181">
        <v>0</v>
      </c>
      <c r="DR248" s="181">
        <v>0</v>
      </c>
      <c r="DS248" s="181">
        <v>0</v>
      </c>
      <c r="DT248" s="181">
        <v>0</v>
      </c>
      <c r="DU248" s="181">
        <v>0</v>
      </c>
      <c r="DV248" s="181">
        <v>0</v>
      </c>
      <c r="DW248" s="181">
        <v>0</v>
      </c>
      <c r="DX248" s="181">
        <v>0</v>
      </c>
      <c r="DY248" s="181">
        <v>0</v>
      </c>
      <c r="DZ248" s="181">
        <v>0</v>
      </c>
      <c r="EA248" s="181">
        <v>0</v>
      </c>
      <c r="EB248" s="181">
        <v>0</v>
      </c>
      <c r="EC248" s="181">
        <v>0</v>
      </c>
      <c r="ED248" s="181">
        <v>0</v>
      </c>
      <c r="EE248" s="181">
        <v>0</v>
      </c>
      <c r="EF248" s="181">
        <v>0</v>
      </c>
      <c r="EG248" s="181">
        <v>0</v>
      </c>
      <c r="EH248" s="181">
        <v>0</v>
      </c>
      <c r="EI248" s="181">
        <v>0</v>
      </c>
      <c r="EJ248" s="181">
        <v>0</v>
      </c>
      <c r="FY248" s="211">
        <v>243</v>
      </c>
      <c r="FZ248">
        <v>0.93054766168253089</v>
      </c>
      <c r="GA248">
        <v>0.47460065171768845</v>
      </c>
      <c r="GB248">
        <v>0.12565184548559416</v>
      </c>
      <c r="GC248">
        <v>0.13927709983584477</v>
      </c>
      <c r="GD248">
        <v>5.3449107547347455E-2</v>
      </c>
      <c r="GE248">
        <v>0</v>
      </c>
      <c r="GF248">
        <v>0.66042100116664126</v>
      </c>
      <c r="GG248">
        <v>0.59518473501329594</v>
      </c>
      <c r="GH248">
        <v>0</v>
      </c>
      <c r="GI248">
        <v>0.32781043181418923</v>
      </c>
      <c r="GJ248"/>
      <c r="GK248">
        <v>0.93388511258307072</v>
      </c>
      <c r="GL248">
        <v>0.40705572478708768</v>
      </c>
      <c r="GM248">
        <v>0.20987613046478273</v>
      </c>
      <c r="GN248">
        <v>0.41975226092956547</v>
      </c>
      <c r="GO248">
        <v>0.20987613046478273</v>
      </c>
      <c r="GP248">
        <v>0</v>
      </c>
      <c r="GQ248">
        <v>0.90739586192571098</v>
      </c>
      <c r="GR248">
        <v>0.90739586192571098</v>
      </c>
      <c r="GS248">
        <v>0</v>
      </c>
      <c r="GT248">
        <v>0.45220664708766944</v>
      </c>
      <c r="GU248"/>
      <c r="GV248"/>
      <c r="GW248"/>
      <c r="GX248"/>
      <c r="GY248"/>
      <c r="GZ248"/>
      <c r="HA248"/>
      <c r="HB248"/>
      <c r="HC248"/>
    </row>
    <row r="249" spans="1:211" s="7" customFormat="1">
      <c r="A249" s="1"/>
      <c r="B249">
        <v>0.10225415576294705</v>
      </c>
      <c r="C249">
        <v>9</v>
      </c>
      <c r="D249">
        <v>39714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1.9020833333333329</v>
      </c>
      <c r="AO249">
        <v>0.29811252012114908</v>
      </c>
      <c r="AP249">
        <v>3.8467878077489637</v>
      </c>
      <c r="AQ249">
        <v>2.6508725344503445</v>
      </c>
      <c r="AR249">
        <v>0.30869992599002349</v>
      </c>
      <c r="AS249">
        <v>1.663275192377448</v>
      </c>
      <c r="AT249" t="e">
        <v>#DIV/0!</v>
      </c>
      <c r="AU249" t="e">
        <v>#DIV/0!</v>
      </c>
      <c r="AV249"/>
      <c r="AW249"/>
      <c r="DE249" s="186">
        <v>39987</v>
      </c>
      <c r="DF249" s="181">
        <v>0</v>
      </c>
      <c r="DG249" s="181">
        <v>0</v>
      </c>
      <c r="DH249" s="181">
        <v>7.7570921985815602</v>
      </c>
      <c r="DI249" s="181">
        <v>42.102730973646274</v>
      </c>
      <c r="DJ249" s="181">
        <v>0</v>
      </c>
      <c r="DK249" s="181">
        <v>7.7570921985815602</v>
      </c>
      <c r="DL249" s="181">
        <v>1.0416666666666665</v>
      </c>
      <c r="DM249" s="181">
        <v>1.0416666666666665</v>
      </c>
      <c r="DN249" s="181">
        <v>3.125</v>
      </c>
      <c r="DO249" s="181">
        <v>1.0416666666666665</v>
      </c>
      <c r="DP249" s="181">
        <v>0</v>
      </c>
      <c r="DQ249" s="181">
        <v>0</v>
      </c>
      <c r="DR249" s="181">
        <v>0</v>
      </c>
      <c r="DS249" s="181">
        <v>0</v>
      </c>
      <c r="DT249" s="181">
        <v>0</v>
      </c>
      <c r="DU249" s="181">
        <v>0</v>
      </c>
      <c r="DV249" s="181">
        <v>0</v>
      </c>
      <c r="DW249" s="181">
        <v>0</v>
      </c>
      <c r="DX249" s="181">
        <v>0</v>
      </c>
      <c r="DY249" s="181">
        <v>0</v>
      </c>
      <c r="DZ249" s="181">
        <v>0</v>
      </c>
      <c r="EA249" s="181">
        <v>0</v>
      </c>
      <c r="EB249" s="181">
        <v>0</v>
      </c>
      <c r="EC249" s="181">
        <v>0</v>
      </c>
      <c r="ED249" s="181">
        <v>0</v>
      </c>
      <c r="EE249" s="181">
        <v>0</v>
      </c>
      <c r="EF249" s="181">
        <v>0</v>
      </c>
      <c r="EG249" s="181">
        <v>0</v>
      </c>
      <c r="EH249" s="181">
        <v>0</v>
      </c>
      <c r="EI249" s="181">
        <v>0</v>
      </c>
      <c r="EJ249" s="181">
        <v>0</v>
      </c>
      <c r="FY249" s="211">
        <v>244</v>
      </c>
      <c r="FZ249">
        <v>0.70225175015445118</v>
      </c>
      <c r="GA249">
        <v>0</v>
      </c>
      <c r="GB249">
        <v>0.22123389596694673</v>
      </c>
      <c r="GC249">
        <v>0.12309692626280153</v>
      </c>
      <c r="GD249">
        <v>0</v>
      </c>
      <c r="GE249">
        <v>0</v>
      </c>
      <c r="GF249">
        <v>0.33021050058332063</v>
      </c>
      <c r="GG249">
        <v>0.29759236750664797</v>
      </c>
      <c r="GH249">
        <v>0</v>
      </c>
      <c r="GI249">
        <v>0.22231568162061854</v>
      </c>
      <c r="GJ249"/>
      <c r="GK249">
        <v>0.70617987198115162</v>
      </c>
      <c r="GL249">
        <v>0</v>
      </c>
      <c r="GM249">
        <v>0.3667734676484084</v>
      </c>
      <c r="GN249">
        <v>0.3667734676484084</v>
      </c>
      <c r="GO249">
        <v>0</v>
      </c>
      <c r="GP249">
        <v>0</v>
      </c>
      <c r="GQ249">
        <v>0.45369793096285549</v>
      </c>
      <c r="GR249">
        <v>0.45369793096285549</v>
      </c>
      <c r="GS249">
        <v>0</v>
      </c>
      <c r="GT249">
        <v>0.30533025411848314</v>
      </c>
      <c r="GU249"/>
      <c r="GV249"/>
      <c r="GW249"/>
      <c r="GX249"/>
      <c r="GY249"/>
      <c r="GZ249"/>
      <c r="HA249"/>
      <c r="HB249"/>
      <c r="HC249"/>
    </row>
    <row r="250" spans="1:211" s="7" customFormat="1">
      <c r="A250" s="1"/>
      <c r="B250">
        <v>0.20515196619922804</v>
      </c>
      <c r="C250">
        <v>3</v>
      </c>
      <c r="D250">
        <v>39714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2.526041666666667</v>
      </c>
      <c r="AO250">
        <v>0.32330945157242108</v>
      </c>
      <c r="AP250">
        <v>10.568220439953318</v>
      </c>
      <c r="AQ250">
        <v>2.2093967464187978</v>
      </c>
      <c r="AR250">
        <v>0.35916435223242199</v>
      </c>
      <c r="AS250">
        <v>2.3582596786298602</v>
      </c>
      <c r="AT250" t="e">
        <v>#DIV/0!</v>
      </c>
      <c r="AU250" t="e">
        <v>#DIV/0!</v>
      </c>
      <c r="AV250"/>
      <c r="AW250"/>
      <c r="DE250" s="186"/>
      <c r="DF250" s="181"/>
      <c r="DG250" s="185"/>
      <c r="DH250" s="185"/>
      <c r="DI250" s="185"/>
      <c r="DJ250" s="185"/>
      <c r="DK250" s="185"/>
      <c r="DL250" s="185"/>
      <c r="DM250" s="185"/>
      <c r="DN250" s="185"/>
      <c r="DO250" s="185"/>
      <c r="DP250" s="185"/>
      <c r="DQ250" s="185"/>
      <c r="DR250" s="185"/>
      <c r="DS250" s="185"/>
      <c r="DT250" s="185"/>
      <c r="DU250" s="185"/>
      <c r="DV250" s="185"/>
      <c r="DW250" s="185"/>
      <c r="DX250" s="185"/>
      <c r="DY250" s="185"/>
      <c r="DZ250" s="185"/>
      <c r="EA250" s="181"/>
      <c r="EB250" s="185"/>
      <c r="EC250" s="181"/>
      <c r="ED250" s="181"/>
      <c r="EE250" s="181"/>
      <c r="EF250" s="181"/>
      <c r="EG250" s="181"/>
      <c r="EH250" s="181"/>
      <c r="EI250" s="181"/>
      <c r="EJ250" s="181"/>
      <c r="FY250" s="211">
        <v>245</v>
      </c>
      <c r="FZ250">
        <v>0.66886748989212363</v>
      </c>
      <c r="GA250">
        <v>0</v>
      </c>
      <c r="GB250">
        <v>7.9203986612074825E-2</v>
      </c>
      <c r="GC250">
        <v>7.8958100610881349E-2</v>
      </c>
      <c r="GD250">
        <v>2.6724553773673727E-2</v>
      </c>
      <c r="GE250">
        <v>0</v>
      </c>
      <c r="GF250">
        <v>0</v>
      </c>
      <c r="GG250">
        <v>0</v>
      </c>
      <c r="GH250">
        <v>0</v>
      </c>
      <c r="GI250">
        <v>0.13388181349079714</v>
      </c>
      <c r="GJ250"/>
      <c r="GK250">
        <v>0.67305323748017076</v>
      </c>
      <c r="GL250">
        <v>0</v>
      </c>
      <c r="GM250">
        <v>0.13091770120800852</v>
      </c>
      <c r="GN250">
        <v>0.23585576644039991</v>
      </c>
      <c r="GO250">
        <v>0.10493806523239137</v>
      </c>
      <c r="GP250">
        <v>0</v>
      </c>
      <c r="GQ250">
        <v>0</v>
      </c>
      <c r="GR250">
        <v>0</v>
      </c>
      <c r="GS250">
        <v>0</v>
      </c>
      <c r="GT250">
        <v>0.18178180078411416</v>
      </c>
      <c r="GU250"/>
      <c r="GV250"/>
      <c r="GW250"/>
      <c r="GX250"/>
      <c r="GY250"/>
      <c r="GZ250"/>
      <c r="HA250"/>
      <c r="HB250"/>
      <c r="HC250"/>
    </row>
    <row r="251" spans="1:211" s="7" customFormat="1">
      <c r="A251" s="1"/>
      <c r="B251">
        <v>5.3270673585319006E-2</v>
      </c>
      <c r="C251">
        <v>5</v>
      </c>
      <c r="D251">
        <v>39714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2.1333333333333333</v>
      </c>
      <c r="AO251">
        <v>0.33993996364377421</v>
      </c>
      <c r="AP251">
        <v>9.629829608434104</v>
      </c>
      <c r="AQ251">
        <v>2.8685337051190443</v>
      </c>
      <c r="AR251">
        <v>0.37583822349896112</v>
      </c>
      <c r="AS251">
        <v>1.9667543214824097</v>
      </c>
      <c r="AT251" t="e">
        <v>#DIV/0!</v>
      </c>
      <c r="AU251" t="e">
        <v>#DIV/0!</v>
      </c>
      <c r="AV251"/>
      <c r="AW251"/>
      <c r="DE251" s="186"/>
      <c r="DF251" s="181"/>
      <c r="DG251" s="185"/>
      <c r="DH251" s="185"/>
      <c r="DI251" s="185"/>
      <c r="DJ251" s="185"/>
      <c r="DK251" s="185"/>
      <c r="DL251" s="185"/>
      <c r="DM251" s="185"/>
      <c r="DN251" s="185"/>
      <c r="DO251" s="185"/>
      <c r="DP251" s="185"/>
      <c r="DQ251" s="185"/>
      <c r="DR251" s="185"/>
      <c r="DS251" s="185"/>
      <c r="DT251" s="185"/>
      <c r="DU251" s="185"/>
      <c r="DV251" s="185"/>
      <c r="DW251" s="185"/>
      <c r="DX251" s="185"/>
      <c r="DY251" s="185"/>
      <c r="DZ251" s="185"/>
      <c r="EA251" s="181"/>
      <c r="EB251" s="185"/>
      <c r="EC251" s="181"/>
      <c r="ED251" s="181"/>
      <c r="EE251" s="181"/>
      <c r="EF251" s="181"/>
      <c r="EG251" s="181"/>
      <c r="EH251" s="181"/>
      <c r="EI251" s="181"/>
      <c r="EJ251" s="181"/>
      <c r="FY251" s="211">
        <v>246</v>
      </c>
      <c r="FZ251">
        <v>1.3345051133566193</v>
      </c>
      <c r="GA251">
        <v>1.0364517775538535</v>
      </c>
      <c r="GB251">
        <v>0.22123389596694673</v>
      </c>
      <c r="GC251">
        <v>0.1579162012217627</v>
      </c>
      <c r="GD251">
        <v>2.6724553773673727E-2</v>
      </c>
      <c r="GE251">
        <v>0</v>
      </c>
      <c r="GF251">
        <v>0.33021050058332063</v>
      </c>
      <c r="GG251">
        <v>0.29759236750664797</v>
      </c>
      <c r="GH251">
        <v>0</v>
      </c>
      <c r="GI251">
        <v>0.3313036360293381</v>
      </c>
      <c r="GJ251"/>
      <c r="GK251">
        <v>1.3447364247920837</v>
      </c>
      <c r="GL251">
        <v>0.88785195880342482</v>
      </c>
      <c r="GM251">
        <v>0.3667734676484084</v>
      </c>
      <c r="GN251">
        <v>0.47171153288079981</v>
      </c>
      <c r="GO251">
        <v>0.10493806523239137</v>
      </c>
      <c r="GP251">
        <v>0</v>
      </c>
      <c r="GQ251">
        <v>0.45369793096285549</v>
      </c>
      <c r="GR251">
        <v>0.45369793096285549</v>
      </c>
      <c r="GS251">
        <v>0</v>
      </c>
      <c r="GT251">
        <v>0.45402917772714779</v>
      </c>
      <c r="GU251"/>
      <c r="GV251"/>
      <c r="GW251"/>
      <c r="GX251"/>
      <c r="GY251"/>
      <c r="GZ251"/>
      <c r="HA251"/>
      <c r="HB251"/>
      <c r="HC251"/>
    </row>
    <row r="252" spans="1:211" s="7" customFormat="1">
      <c r="A252" s="1"/>
      <c r="B252">
        <v>0.36731258857097959</v>
      </c>
      <c r="C252">
        <v>8</v>
      </c>
      <c r="D252">
        <v>39714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4.0791666666666675</v>
      </c>
      <c r="AO252">
        <v>0.49969455744368718</v>
      </c>
      <c r="AP252">
        <v>12.971066356835728</v>
      </c>
      <c r="AQ252">
        <v>4.1764238039354309</v>
      </c>
      <c r="AR252">
        <v>0.5306140252982986</v>
      </c>
      <c r="AS252">
        <v>2.9710911681008398</v>
      </c>
      <c r="AT252" t="e">
        <v>#DIV/0!</v>
      </c>
      <c r="AU252" t="e">
        <v>#DIV/0!</v>
      </c>
      <c r="AV252"/>
      <c r="AW252"/>
      <c r="FY252" s="211">
        <v>247</v>
      </c>
      <c r="FZ252">
        <v>0.7799817975258363</v>
      </c>
      <c r="GA252">
        <v>0</v>
      </c>
      <c r="GB252">
        <v>0.14202990935487192</v>
      </c>
      <c r="GC252">
        <v>0.14859665052880375</v>
      </c>
      <c r="GD252">
        <v>5.3449107547347455E-2</v>
      </c>
      <c r="GE252">
        <v>0</v>
      </c>
      <c r="GF252">
        <v>0.66042100116664126</v>
      </c>
      <c r="GG252">
        <v>0.59518473501329594</v>
      </c>
      <c r="GH252">
        <v>0</v>
      </c>
      <c r="GI252">
        <v>0.30950893511299238</v>
      </c>
      <c r="GJ252"/>
      <c r="GK252">
        <v>0.78096089270616675</v>
      </c>
      <c r="GL252">
        <v>0</v>
      </c>
      <c r="GM252">
        <v>0.23585576644039991</v>
      </c>
      <c r="GN252">
        <v>0.44573189690518267</v>
      </c>
      <c r="GO252">
        <v>0.20987613046478273</v>
      </c>
      <c r="GP252">
        <v>0</v>
      </c>
      <c r="GQ252">
        <v>0.90739586192571098</v>
      </c>
      <c r="GR252">
        <v>0.90739586192571098</v>
      </c>
      <c r="GS252">
        <v>0</v>
      </c>
      <c r="GT252">
        <v>0.4268177303074121</v>
      </c>
      <c r="GU252"/>
      <c r="GV252"/>
      <c r="GW252"/>
      <c r="GX252"/>
      <c r="GY252"/>
      <c r="GZ252"/>
      <c r="HA252"/>
      <c r="HB252"/>
      <c r="HC252"/>
    </row>
    <row r="253" spans="1:211" s="7" customFormat="1">
      <c r="A253" s="1"/>
      <c r="B253">
        <v>0.94351521132375216</v>
      </c>
      <c r="C253">
        <v>2</v>
      </c>
      <c r="D253">
        <v>39714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2.2479166666666663</v>
      </c>
      <c r="AO253">
        <v>0.56898621930060611</v>
      </c>
      <c r="AP253">
        <v>20.878024918120797</v>
      </c>
      <c r="AQ253">
        <v>4.3316040923519923</v>
      </c>
      <c r="AR253">
        <v>0.60114974660553866</v>
      </c>
      <c r="AS253">
        <v>2.7334842762287779</v>
      </c>
      <c r="AT253" t="e">
        <v>#DIV/0!</v>
      </c>
      <c r="AU253" t="e">
        <v>#DIV/0!</v>
      </c>
      <c r="AV253"/>
      <c r="AW253"/>
      <c r="FY253" s="211">
        <v>248</v>
      </c>
      <c r="FZ253">
        <v>0.73895352096498612</v>
      </c>
      <c r="GA253">
        <v>8.725047411847664E-2</v>
      </c>
      <c r="GB253">
        <v>0.12565184548559416</v>
      </c>
      <c r="GC253">
        <v>6.9638549917922385E-2</v>
      </c>
      <c r="GD253">
        <v>0</v>
      </c>
      <c r="GE253">
        <v>0</v>
      </c>
      <c r="GF253">
        <v>0</v>
      </c>
      <c r="GG253">
        <v>0</v>
      </c>
      <c r="GH253">
        <v>0</v>
      </c>
      <c r="GI253">
        <v>0.14048867865968359</v>
      </c>
      <c r="GJ253"/>
      <c r="GK253">
        <v>0.73755794012821796</v>
      </c>
      <c r="GL253">
        <v>7.3740509229249462E-2</v>
      </c>
      <c r="GM253">
        <v>0.20987613046478273</v>
      </c>
      <c r="GN253">
        <v>0.20987613046478273</v>
      </c>
      <c r="GO253">
        <v>0</v>
      </c>
      <c r="GP253">
        <v>0</v>
      </c>
      <c r="GQ253">
        <v>0</v>
      </c>
      <c r="GR253">
        <v>0</v>
      </c>
      <c r="GS253">
        <v>0</v>
      </c>
      <c r="GT253">
        <v>0.18948681411860013</v>
      </c>
      <c r="GU253"/>
      <c r="GV253"/>
      <c r="GW253"/>
      <c r="GX253"/>
      <c r="GY253"/>
      <c r="GZ253"/>
      <c r="HA253"/>
      <c r="HB253"/>
      <c r="HC253"/>
    </row>
    <row r="254" spans="1:211" s="7" customFormat="1">
      <c r="A254" s="1"/>
      <c r="B254">
        <v>5.8103746120342414E-2</v>
      </c>
      <c r="C254">
        <v>3</v>
      </c>
      <c r="D254">
        <v>39714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2.7447916666666665</v>
      </c>
      <c r="AO254">
        <v>0.27831034151744971</v>
      </c>
      <c r="AP254">
        <v>8.0232407173224409</v>
      </c>
      <c r="AQ254">
        <v>1.836812465828177</v>
      </c>
      <c r="AR254">
        <v>0.3139455978844099</v>
      </c>
      <c r="AS254">
        <v>2.0322196499625957</v>
      </c>
      <c r="AT254" t="e">
        <v>#DIV/0!</v>
      </c>
      <c r="AU254" t="e">
        <v>#DIV/0!</v>
      </c>
      <c r="AV254"/>
      <c r="AW254"/>
      <c r="FY254" s="211">
        <v>249</v>
      </c>
      <c r="FZ254">
        <v>1.3079028699367932</v>
      </c>
      <c r="GA254">
        <v>0.64910159995464167</v>
      </c>
      <c r="GB254">
        <v>6.282592274279708E-2</v>
      </c>
      <c r="GC254">
        <v>0.13927709983584477</v>
      </c>
      <c r="GD254">
        <v>8.0173661321021189E-2</v>
      </c>
      <c r="GE254">
        <v>0</v>
      </c>
      <c r="GF254">
        <v>0.33021050058332063</v>
      </c>
      <c r="GG254">
        <v>0.29759236750664797</v>
      </c>
      <c r="GH254">
        <v>0</v>
      </c>
      <c r="GI254">
        <v>0.31968784542064821</v>
      </c>
      <c r="GJ254"/>
      <c r="GK254">
        <v>1.3106641229745304</v>
      </c>
      <c r="GL254">
        <v>0.55453674324558655</v>
      </c>
      <c r="GM254">
        <v>0.10493806523239137</v>
      </c>
      <c r="GN254">
        <v>0.41975226092956547</v>
      </c>
      <c r="GO254">
        <v>0.31481419569717417</v>
      </c>
      <c r="GP254">
        <v>0</v>
      </c>
      <c r="GQ254">
        <v>0.45369793096285549</v>
      </c>
      <c r="GR254">
        <v>0.45369793096285549</v>
      </c>
      <c r="GS254">
        <v>0</v>
      </c>
      <c r="GT254">
        <v>0.43682286297339029</v>
      </c>
      <c r="GU254"/>
      <c r="GV254"/>
      <c r="GW254"/>
      <c r="GX254"/>
      <c r="GY254"/>
      <c r="GZ254"/>
      <c r="HA254"/>
      <c r="HB254"/>
      <c r="HC254"/>
    </row>
    <row r="255" spans="1:211" s="7" customFormat="1">
      <c r="A255" s="1"/>
      <c r="B255">
        <v>0.3698144771831533</v>
      </c>
      <c r="C255">
        <v>4</v>
      </c>
      <c r="D255">
        <v>39714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2.0864583333333333</v>
      </c>
      <c r="AO255">
        <v>0.26034700372311681</v>
      </c>
      <c r="AP255">
        <v>9.0844859193237699</v>
      </c>
      <c r="AQ255">
        <v>2.1761047017811057</v>
      </c>
      <c r="AR255">
        <v>0.26863311337886947</v>
      </c>
      <c r="AS255">
        <v>1.4532149140977624</v>
      </c>
      <c r="AT255" t="e">
        <v>#DIV/0!</v>
      </c>
      <c r="AU255" t="e">
        <v>#DIV/0!</v>
      </c>
      <c r="AV255"/>
      <c r="AW255"/>
      <c r="FY255" s="211">
        <v>250</v>
      </c>
      <c r="FZ255">
        <v>0.93402931062595007</v>
      </c>
      <c r="GA255">
        <v>8.725047411847664E-2</v>
      </c>
      <c r="GB255">
        <v>0</v>
      </c>
      <c r="GC255">
        <v>0</v>
      </c>
      <c r="GD255">
        <v>0</v>
      </c>
      <c r="GE255">
        <v>0</v>
      </c>
      <c r="GF255">
        <v>0</v>
      </c>
      <c r="GG255">
        <v>0</v>
      </c>
      <c r="GH255">
        <v>0</v>
      </c>
      <c r="GI255">
        <v>0.13842165900202216</v>
      </c>
      <c r="GJ255"/>
      <c r="GK255">
        <v>0.9349226418197083</v>
      </c>
      <c r="GL255">
        <v>7.3740509229249462E-2</v>
      </c>
      <c r="GM255">
        <v>0</v>
      </c>
      <c r="GN255">
        <v>0</v>
      </c>
      <c r="GO255">
        <v>0</v>
      </c>
      <c r="GP255">
        <v>0</v>
      </c>
      <c r="GQ255">
        <v>0</v>
      </c>
      <c r="GR255">
        <v>0</v>
      </c>
      <c r="GS255">
        <v>0</v>
      </c>
      <c r="GT255">
        <v>0.18698452836394167</v>
      </c>
      <c r="GU255"/>
      <c r="GV255"/>
      <c r="GW255"/>
      <c r="GX255"/>
      <c r="GY255"/>
      <c r="GZ255"/>
      <c r="HA255"/>
      <c r="HB255"/>
      <c r="HC255"/>
    </row>
    <row r="256" spans="1:211" s="7" customFormat="1">
      <c r="A256" s="1"/>
      <c r="B256">
        <v>0.86050649143833824</v>
      </c>
      <c r="C256">
        <v>6</v>
      </c>
      <c r="D256">
        <v>39714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3.8989583333333337</v>
      </c>
      <c r="AO256">
        <v>0.2844916562507972</v>
      </c>
      <c r="AP256">
        <v>3.5812915787425883</v>
      </c>
      <c r="AQ256">
        <v>2.2729374250586702</v>
      </c>
      <c r="AR256">
        <v>0.30744132039286709</v>
      </c>
      <c r="AS256">
        <v>2.0106307159365668</v>
      </c>
      <c r="AT256" t="e">
        <v>#DIV/0!</v>
      </c>
      <c r="AU256" t="e">
        <v>#DIV/0!</v>
      </c>
      <c r="AV256"/>
      <c r="AW256"/>
      <c r="FY256" s="211">
        <v>251</v>
      </c>
      <c r="FZ256">
        <v>0.704038460518568</v>
      </c>
      <c r="GA256">
        <v>8.725047411847664E-2</v>
      </c>
      <c r="GB256">
        <v>0.18847776822839127</v>
      </c>
      <c r="GC256">
        <v>0.174096374794806</v>
      </c>
      <c r="GD256">
        <v>5.3449107547347455E-2</v>
      </c>
      <c r="GE256">
        <v>0</v>
      </c>
      <c r="GF256">
        <v>0</v>
      </c>
      <c r="GG256">
        <v>0</v>
      </c>
      <c r="GH256">
        <v>0</v>
      </c>
      <c r="GI256">
        <v>0.18169815700279418</v>
      </c>
      <c r="GJ256"/>
      <c r="GK256">
        <v>0.70221654049984139</v>
      </c>
      <c r="GL256">
        <v>7.3740509229249462E-2</v>
      </c>
      <c r="GM256">
        <v>0.31481419569717417</v>
      </c>
      <c r="GN256">
        <v>0.52469032616195688</v>
      </c>
      <c r="GO256">
        <v>0.20987613046478273</v>
      </c>
      <c r="GP256">
        <v>0</v>
      </c>
      <c r="GQ256">
        <v>0</v>
      </c>
      <c r="GR256">
        <v>0</v>
      </c>
      <c r="GS256">
        <v>0</v>
      </c>
      <c r="GT256">
        <v>0.24538137333235965</v>
      </c>
      <c r="GU256"/>
      <c r="GV256"/>
      <c r="GW256"/>
      <c r="GX256"/>
      <c r="GY256"/>
      <c r="GZ256"/>
      <c r="HA256"/>
      <c r="HB256"/>
      <c r="HC256"/>
    </row>
    <row r="257" spans="1:211" s="7" customFormat="1">
      <c r="A257" s="1"/>
      <c r="B257">
        <v>2.7084764387669935E-2</v>
      </c>
      <c r="C257">
        <v>3</v>
      </c>
      <c r="D257">
        <v>39714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2.1906250000000003</v>
      </c>
      <c r="AO257">
        <v>0.43328206670107788</v>
      </c>
      <c r="AP257">
        <v>16.969569735362452</v>
      </c>
      <c r="AQ257">
        <v>3.1521698414569976</v>
      </c>
      <c r="AR257">
        <v>0.44106294877034113</v>
      </c>
      <c r="AS257">
        <v>1.9378864505915998</v>
      </c>
      <c r="AT257" t="e">
        <v>#DIV/0!</v>
      </c>
      <c r="AU257" t="e">
        <v>#DIV/0!</v>
      </c>
      <c r="AV257"/>
      <c r="AW257"/>
      <c r="FY257" s="211">
        <v>252</v>
      </c>
      <c r="FZ257">
        <v>0.84295364965632946</v>
      </c>
      <c r="GA257">
        <v>0.38735017759921181</v>
      </c>
      <c r="GB257">
        <v>6.282592274279708E-2</v>
      </c>
      <c r="GC257">
        <v>3.4819274958961192E-2</v>
      </c>
      <c r="GD257">
        <v>0</v>
      </c>
      <c r="GE257">
        <v>0</v>
      </c>
      <c r="GF257">
        <v>0.33021050058332063</v>
      </c>
      <c r="GG257">
        <v>0.29759236750664797</v>
      </c>
      <c r="GH257">
        <v>0</v>
      </c>
      <c r="GI257">
        <v>0.20429926448517205</v>
      </c>
      <c r="GJ257"/>
      <c r="GK257">
        <v>0.84904749268474333</v>
      </c>
      <c r="GL257">
        <v>0.33331521555783822</v>
      </c>
      <c r="GM257">
        <v>0.10493806523239137</v>
      </c>
      <c r="GN257">
        <v>0.10493806523239137</v>
      </c>
      <c r="GO257">
        <v>0</v>
      </c>
      <c r="GP257">
        <v>0</v>
      </c>
      <c r="GQ257">
        <v>0.45369793096285549</v>
      </c>
      <c r="GR257">
        <v>0.45369793096285549</v>
      </c>
      <c r="GS257">
        <v>0</v>
      </c>
      <c r="GT257">
        <v>0.28153669777599805</v>
      </c>
      <c r="GU257"/>
      <c r="GV257"/>
      <c r="GW257"/>
      <c r="GX257"/>
      <c r="GY257"/>
      <c r="GZ257"/>
      <c r="HA257"/>
      <c r="HB257"/>
      <c r="HC257"/>
    </row>
    <row r="258" spans="1:211" s="7" customFormat="1">
      <c r="A258" s="1"/>
      <c r="B258">
        <v>0.68763743200126348</v>
      </c>
      <c r="C258">
        <v>7</v>
      </c>
      <c r="D258">
        <v>39747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2.7604166666666665</v>
      </c>
      <c r="AO258">
        <v>0.16257531534216388</v>
      </c>
      <c r="AP258">
        <v>4.3444874199799655</v>
      </c>
      <c r="AQ258">
        <v>1.1421650970940798</v>
      </c>
      <c r="AR258">
        <v>0.20619974141586922</v>
      </c>
      <c r="AS258">
        <v>1.465850833403789</v>
      </c>
      <c r="AT258" t="e">
        <v>#DIV/0!</v>
      </c>
      <c r="AU258" t="e">
        <v>#DIV/0!</v>
      </c>
      <c r="AV258"/>
      <c r="AW258"/>
      <c r="FY258" s="211">
        <v>253</v>
      </c>
      <c r="FZ258">
        <v>1.1047142010308137</v>
      </c>
      <c r="GA258">
        <v>0.56185112583616514</v>
      </c>
      <c r="GB258">
        <v>0.14202990935487192</v>
      </c>
      <c r="GC258">
        <v>7.8958100610881349E-2</v>
      </c>
      <c r="GD258">
        <v>0</v>
      </c>
      <c r="GE258">
        <v>0</v>
      </c>
      <c r="GF258">
        <v>0.33021050058332063</v>
      </c>
      <c r="GG258">
        <v>0.29759236750664797</v>
      </c>
      <c r="GH258">
        <v>0</v>
      </c>
      <c r="GI258">
        <v>0.26259877701758988</v>
      </c>
      <c r="GJ258"/>
      <c r="GK258">
        <v>1.1075756587053067</v>
      </c>
      <c r="GL258">
        <v>0.48079623401633714</v>
      </c>
      <c r="GM258">
        <v>0.23585576644039991</v>
      </c>
      <c r="GN258">
        <v>0.23585576644039991</v>
      </c>
      <c r="GO258">
        <v>0</v>
      </c>
      <c r="GP258">
        <v>0</v>
      </c>
      <c r="GQ258">
        <v>0.45369793096285549</v>
      </c>
      <c r="GR258">
        <v>0.45369793096285549</v>
      </c>
      <c r="GS258">
        <v>0</v>
      </c>
      <c r="GT258">
        <v>0.35942587122171249</v>
      </c>
      <c r="GU258"/>
      <c r="GV258"/>
      <c r="GW258"/>
      <c r="GX258"/>
      <c r="GY258"/>
      <c r="GZ258"/>
      <c r="HA258"/>
      <c r="HB258"/>
      <c r="HC258"/>
    </row>
    <row r="259" spans="1:211" s="7" customFormat="1">
      <c r="A259" s="90"/>
      <c r="B259">
        <v>0.80887610018374456</v>
      </c>
      <c r="C259">
        <v>8</v>
      </c>
      <c r="D259">
        <v>39747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2.4354166666666668</v>
      </c>
      <c r="AO259">
        <v>0.44474437301683806</v>
      </c>
      <c r="AP259">
        <v>16.329852352157346</v>
      </c>
      <c r="AQ259">
        <v>3.3069425342631327</v>
      </c>
      <c r="AR259">
        <v>0.45220664708766944</v>
      </c>
      <c r="AS259">
        <v>2.3614996005164897</v>
      </c>
      <c r="AT259" t="e">
        <v>#DIV/0!</v>
      </c>
      <c r="AU259" t="e">
        <v>#DIV/0!</v>
      </c>
      <c r="AV259"/>
      <c r="AW259"/>
      <c r="FY259" s="211">
        <v>254</v>
      </c>
      <c r="FZ259">
        <v>0.64200637385205295</v>
      </c>
      <c r="GA259">
        <v>0.26175142235542992</v>
      </c>
      <c r="GB259">
        <v>0.14202990935487192</v>
      </c>
      <c r="GC259">
        <v>0.11377737556984255</v>
      </c>
      <c r="GD259">
        <v>2.6724553773673727E-2</v>
      </c>
      <c r="GE259">
        <v>0</v>
      </c>
      <c r="GF259">
        <v>0</v>
      </c>
      <c r="GG259">
        <v>0</v>
      </c>
      <c r="GH259">
        <v>0</v>
      </c>
      <c r="GI259">
        <v>0.14550568947678488</v>
      </c>
      <c r="GJ259"/>
      <c r="GK259">
        <v>0.64118377175350127</v>
      </c>
      <c r="GL259">
        <v>0.22122152768774839</v>
      </c>
      <c r="GM259">
        <v>0.23585576644039991</v>
      </c>
      <c r="GN259">
        <v>0.34079383167279126</v>
      </c>
      <c r="GO259">
        <v>0.10493806523239137</v>
      </c>
      <c r="GP259">
        <v>0</v>
      </c>
      <c r="GQ259">
        <v>0</v>
      </c>
      <c r="GR259">
        <v>0</v>
      </c>
      <c r="GS259">
        <v>0</v>
      </c>
      <c r="GT259">
        <v>0.19639552068525851</v>
      </c>
      <c r="GU259"/>
      <c r="GV259"/>
      <c r="GW259"/>
      <c r="GX259"/>
      <c r="GY259"/>
      <c r="GZ259"/>
      <c r="HA259"/>
      <c r="HB259"/>
      <c r="HC259"/>
    </row>
    <row r="260" spans="1:211" s="7" customFormat="1">
      <c r="A260" s="77" t="s">
        <v>61</v>
      </c>
      <c r="B260">
        <v>0.9653127978747098</v>
      </c>
      <c r="C260">
        <v>2</v>
      </c>
      <c r="D260">
        <v>39747</v>
      </c>
      <c r="E260">
        <v>0</v>
      </c>
      <c r="F260">
        <v>0</v>
      </c>
      <c r="G260">
        <v>0</v>
      </c>
      <c r="H260">
        <v>0</v>
      </c>
      <c r="I260">
        <v>26.041666666666668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2.177083333333333</v>
      </c>
      <c r="AO260">
        <v>0.26524529233221628</v>
      </c>
      <c r="AP260">
        <v>10.486829610992951</v>
      </c>
      <c r="AQ260">
        <v>1.8967011220947869</v>
      </c>
      <c r="AR260">
        <v>0.30533025411848314</v>
      </c>
      <c r="AS260">
        <v>1.622903605518244</v>
      </c>
      <c r="AT260" t="e">
        <v>#DIV/0!</v>
      </c>
      <c r="AU260" t="e">
        <v>#DIV/0!</v>
      </c>
      <c r="AV260"/>
      <c r="AW260"/>
      <c r="FY260" s="211">
        <v>255</v>
      </c>
      <c r="FZ260">
        <v>0.72180118642791646</v>
      </c>
      <c r="GA260">
        <v>0</v>
      </c>
      <c r="GB260">
        <v>0</v>
      </c>
      <c r="GC260">
        <v>3.4819274958961192E-2</v>
      </c>
      <c r="GD260">
        <v>2.6724553773673727E-2</v>
      </c>
      <c r="GE260">
        <v>0</v>
      </c>
      <c r="GF260">
        <v>0.33021050058332063</v>
      </c>
      <c r="GG260">
        <v>0.29759236750664797</v>
      </c>
      <c r="GH260">
        <v>0</v>
      </c>
      <c r="GI260">
        <v>0.18639155840991276</v>
      </c>
      <c r="GJ260"/>
      <c r="GK260">
        <v>0.72619219733632367</v>
      </c>
      <c r="GL260">
        <v>0</v>
      </c>
      <c r="GM260">
        <v>0</v>
      </c>
      <c r="GN260">
        <v>0.10493806523239137</v>
      </c>
      <c r="GO260">
        <v>0.10493806523239137</v>
      </c>
      <c r="GP260">
        <v>0</v>
      </c>
      <c r="GQ260">
        <v>0.45369793096285549</v>
      </c>
      <c r="GR260">
        <v>0.45369793096285549</v>
      </c>
      <c r="GS260">
        <v>0</v>
      </c>
      <c r="GT260">
        <v>0.25696563870631411</v>
      </c>
      <c r="GU260"/>
      <c r="GV260"/>
      <c r="GW260"/>
      <c r="GX260"/>
      <c r="GY260"/>
      <c r="GZ260"/>
      <c r="HA260"/>
      <c r="HB260"/>
      <c r="HC260"/>
    </row>
    <row r="261" spans="1:211" s="7" customFormat="1">
      <c r="A261" s="77" t="s">
        <v>62</v>
      </c>
      <c r="B261">
        <v>3.9467792431004733E-2</v>
      </c>
      <c r="C261">
        <v>3</v>
      </c>
      <c r="D261">
        <v>39747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1.5885416666666665</v>
      </c>
      <c r="AO261">
        <v>0.13265465711450847</v>
      </c>
      <c r="AP261">
        <v>1.671898527423213</v>
      </c>
      <c r="AQ261">
        <v>0.98763594437955082</v>
      </c>
      <c r="AR261">
        <v>0.18178180078411416</v>
      </c>
      <c r="AS261">
        <v>1.0722519309610186</v>
      </c>
      <c r="AT261" t="e">
        <v>#DIV/0!</v>
      </c>
      <c r="AU261" t="e">
        <v>#DIV/0!</v>
      </c>
      <c r="AV261"/>
      <c r="AW261"/>
      <c r="FY261" s="211">
        <v>256</v>
      </c>
      <c r="FZ261">
        <v>1.2901593262475619</v>
      </c>
      <c r="GA261">
        <v>0.86195082931690026</v>
      </c>
      <c r="GB261">
        <v>7.9203986612074825E-2</v>
      </c>
      <c r="GC261">
        <v>0.11377737556984255</v>
      </c>
      <c r="GD261">
        <v>5.3449107547347455E-2</v>
      </c>
      <c r="GE261">
        <v>0</v>
      </c>
      <c r="GF261">
        <v>0.33021050058332063</v>
      </c>
      <c r="GG261">
        <v>0.29759236750664797</v>
      </c>
      <c r="GH261">
        <v>0</v>
      </c>
      <c r="GI261">
        <v>0.30524677752246693</v>
      </c>
      <c r="GJ261"/>
      <c r="GK261">
        <v>1.3030820385680495</v>
      </c>
      <c r="GL261">
        <v>0.7403709403449259</v>
      </c>
      <c r="GM261">
        <v>0.13091770120800852</v>
      </c>
      <c r="GN261">
        <v>0.34079383167279126</v>
      </c>
      <c r="GO261">
        <v>0.20987613046478273</v>
      </c>
      <c r="GP261">
        <v>0</v>
      </c>
      <c r="GQ261">
        <v>0.45369793096285549</v>
      </c>
      <c r="GR261">
        <v>0.45369793096285549</v>
      </c>
      <c r="GS261">
        <v>0</v>
      </c>
      <c r="GT261">
        <v>0.41951476024073925</v>
      </c>
      <c r="GU261"/>
      <c r="GV261"/>
      <c r="GW261"/>
      <c r="GX261"/>
      <c r="GY261"/>
      <c r="GZ261"/>
      <c r="HA261"/>
      <c r="HB261"/>
      <c r="HC261"/>
    </row>
    <row r="262" spans="1:211" s="7" customFormat="1" ht="12.75" customHeight="1">
      <c r="A262" s="77"/>
      <c r="B262">
        <v>0.75976760930844933</v>
      </c>
      <c r="C262">
        <v>3</v>
      </c>
      <c r="D262">
        <v>39747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3.1416666666666657</v>
      </c>
      <c r="AO262">
        <v>0.45374364890099661</v>
      </c>
      <c r="AP262">
        <v>12.480457136800968</v>
      </c>
      <c r="AQ262">
        <v>3.7359380459921629</v>
      </c>
      <c r="AR262">
        <v>0.45402917772714785</v>
      </c>
      <c r="AS262">
        <v>2.3086428234540985</v>
      </c>
      <c r="AT262" t="e">
        <v>#DIV/0!</v>
      </c>
      <c r="AU262" t="e">
        <v>#DIV/0!</v>
      </c>
      <c r="AV262"/>
      <c r="AW262"/>
      <c r="FY262" s="211">
        <v>257</v>
      </c>
      <c r="FZ262">
        <v>1.8841006617402534</v>
      </c>
      <c r="GA262">
        <v>1.2493010069161121</v>
      </c>
      <c r="GB262">
        <v>0.14202990935487192</v>
      </c>
      <c r="GC262">
        <v>0.14859665052880375</v>
      </c>
      <c r="GD262">
        <v>5.3449107547347455E-2</v>
      </c>
      <c r="GE262">
        <v>0</v>
      </c>
      <c r="GF262">
        <v>0.66042100116664126</v>
      </c>
      <c r="GG262">
        <v>0.59518473501329594</v>
      </c>
      <c r="GH262">
        <v>0</v>
      </c>
      <c r="GI262">
        <v>0.47278209522006509</v>
      </c>
      <c r="GJ262"/>
      <c r="GK262">
        <v>1.8981657854739726</v>
      </c>
      <c r="GL262">
        <v>1.073686155902764</v>
      </c>
      <c r="GM262">
        <v>0.23585576644039991</v>
      </c>
      <c r="GN262">
        <v>0.44573189690518267</v>
      </c>
      <c r="GO262">
        <v>0.20987613046478273</v>
      </c>
      <c r="GP262">
        <v>0</v>
      </c>
      <c r="GQ262">
        <v>0.90739586192571098</v>
      </c>
      <c r="GR262">
        <v>0.90739586192571098</v>
      </c>
      <c r="GS262">
        <v>0</v>
      </c>
      <c r="GT262">
        <v>0.65025870886097326</v>
      </c>
      <c r="GU262"/>
      <c r="GV262"/>
      <c r="GW262"/>
      <c r="GX262"/>
      <c r="GY262"/>
      <c r="GZ262"/>
      <c r="HA262"/>
      <c r="HB262"/>
      <c r="HC262"/>
    </row>
    <row r="263" spans="1:211" s="7" customFormat="1">
      <c r="A263" s="77"/>
      <c r="B263">
        <v>0.18169925666440756</v>
      </c>
      <c r="C263">
        <v>9</v>
      </c>
      <c r="D263">
        <v>39747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3.109375</v>
      </c>
      <c r="AO263">
        <v>0.39140341406753659</v>
      </c>
      <c r="AP263">
        <v>15.384487500195462</v>
      </c>
      <c r="AQ263">
        <v>2.6891721362497893</v>
      </c>
      <c r="AR263">
        <v>0.4268177303074121</v>
      </c>
      <c r="AS263">
        <v>2.1620513550130966</v>
      </c>
      <c r="AT263" t="e">
        <v>#DIV/0!</v>
      </c>
      <c r="AU263" t="e">
        <v>#DIV/0!</v>
      </c>
      <c r="AV263"/>
      <c r="AW263"/>
      <c r="FY263" s="211">
        <v>258</v>
      </c>
      <c r="FZ263">
        <v>0.58380844567295886</v>
      </c>
      <c r="GA263">
        <v>0</v>
      </c>
      <c r="GB263">
        <v>0.22123389596694673</v>
      </c>
      <c r="GC263">
        <v>0.1579162012217627</v>
      </c>
      <c r="GD263">
        <v>2.6724553773673727E-2</v>
      </c>
      <c r="GE263">
        <v>0</v>
      </c>
      <c r="GF263">
        <v>0.33021050058332063</v>
      </c>
      <c r="GG263">
        <v>0.29759236750664797</v>
      </c>
      <c r="GH263">
        <v>0</v>
      </c>
      <c r="GI263">
        <v>0.22029380574029184</v>
      </c>
      <c r="GJ263"/>
      <c r="GK263">
        <v>0.58512503846493524</v>
      </c>
      <c r="GL263">
        <v>0</v>
      </c>
      <c r="GM263">
        <v>0.3667734676484084</v>
      </c>
      <c r="GN263">
        <v>0.47171153288079981</v>
      </c>
      <c r="GO263">
        <v>0.10493806523239137</v>
      </c>
      <c r="GP263">
        <v>0</v>
      </c>
      <c r="GQ263">
        <v>0.45369793096285549</v>
      </c>
      <c r="GR263">
        <v>0.45369793096285549</v>
      </c>
      <c r="GS263">
        <v>0</v>
      </c>
      <c r="GT263">
        <v>0.30210690046171812</v>
      </c>
      <c r="GU263"/>
      <c r="GV263"/>
      <c r="GW263"/>
      <c r="GX263"/>
      <c r="GY263"/>
      <c r="GZ263"/>
      <c r="HA263"/>
      <c r="HB263"/>
      <c r="HC263"/>
    </row>
    <row r="264" spans="1:211" s="7" customFormat="1">
      <c r="A264" s="77"/>
      <c r="B264">
        <v>0.59729258623561199</v>
      </c>
      <c r="C264">
        <v>3</v>
      </c>
      <c r="D264">
        <v>39747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2.7083333333333335</v>
      </c>
      <c r="AO264">
        <v>0.14205375244056331</v>
      </c>
      <c r="AP264">
        <v>3.0743781507597761</v>
      </c>
      <c r="AQ264">
        <v>1.1619830691466628</v>
      </c>
      <c r="AR264">
        <v>0.18948681411860013</v>
      </c>
      <c r="AS264">
        <v>1.3785033907690099</v>
      </c>
      <c r="AT264" t="e">
        <v>#DIV/0!</v>
      </c>
      <c r="AU264" t="e">
        <v>#DIV/0!</v>
      </c>
      <c r="AV264"/>
      <c r="AW264"/>
      <c r="FY264" s="211">
        <v>259</v>
      </c>
      <c r="FZ264">
        <v>1.0450027897488035</v>
      </c>
      <c r="GA264">
        <v>0.47460065171768845</v>
      </c>
      <c r="GB264">
        <v>0.14202990935487192</v>
      </c>
      <c r="GC264">
        <v>7.8958100610881349E-2</v>
      </c>
      <c r="GD264">
        <v>0</v>
      </c>
      <c r="GE264">
        <v>0</v>
      </c>
      <c r="GF264">
        <v>0.66042100116664126</v>
      </c>
      <c r="GG264">
        <v>0.59518473501329594</v>
      </c>
      <c r="GH264">
        <v>0</v>
      </c>
      <c r="GI264">
        <v>0.31774106020809212</v>
      </c>
      <c r="GJ264"/>
      <c r="GK264">
        <v>1.0505921982080679</v>
      </c>
      <c r="GL264">
        <v>0.40705572478708768</v>
      </c>
      <c r="GM264">
        <v>0.23585576644039991</v>
      </c>
      <c r="GN264">
        <v>0.23585576644039991</v>
      </c>
      <c r="GO264">
        <v>0</v>
      </c>
      <c r="GP264">
        <v>0</v>
      </c>
      <c r="GQ264">
        <v>0.90739586192571098</v>
      </c>
      <c r="GR264">
        <v>0.90739586192571098</v>
      </c>
      <c r="GS264">
        <v>0</v>
      </c>
      <c r="GT264">
        <v>0.43876876531483577</v>
      </c>
      <c r="GU264"/>
      <c r="GV264"/>
      <c r="GW264"/>
      <c r="GX264"/>
      <c r="GY264"/>
      <c r="GZ264"/>
      <c r="HA264"/>
      <c r="HB264"/>
      <c r="HC264"/>
    </row>
    <row r="265" spans="1:211" s="7" customFormat="1">
      <c r="A265" s="77"/>
      <c r="B265">
        <v>0.8250567138086069</v>
      </c>
      <c r="C265">
        <v>6</v>
      </c>
      <c r="D265">
        <v>39747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3.7166666666666663</v>
      </c>
      <c r="AO265">
        <v>0.40489241129783488</v>
      </c>
      <c r="AP265">
        <v>9.0852317386661152</v>
      </c>
      <c r="AQ265">
        <v>3.1867718673017151</v>
      </c>
      <c r="AR265">
        <v>0.43682286297339029</v>
      </c>
      <c r="AS265">
        <v>2.6790320736195175</v>
      </c>
      <c r="AT265" t="e">
        <v>#DIV/0!</v>
      </c>
      <c r="AU265" t="e">
        <v>#DIV/0!</v>
      </c>
      <c r="AV265"/>
      <c r="AW265"/>
      <c r="FY265" s="211">
        <v>260</v>
      </c>
      <c r="FZ265">
        <v>0.62833272581818411</v>
      </c>
      <c r="GA265">
        <v>8.725047411847664E-2</v>
      </c>
      <c r="GB265">
        <v>0.14202990935487192</v>
      </c>
      <c r="GC265">
        <v>7.8958100610881349E-2</v>
      </c>
      <c r="GD265">
        <v>0</v>
      </c>
      <c r="GE265">
        <v>0</v>
      </c>
      <c r="GF265">
        <v>0.33021050058332063</v>
      </c>
      <c r="GG265">
        <v>0.29759236750664797</v>
      </c>
      <c r="GH265">
        <v>0</v>
      </c>
      <c r="GI265">
        <v>0.19211381558575297</v>
      </c>
      <c r="GJ265"/>
      <c r="GK265">
        <v>0.62688029768042242</v>
      </c>
      <c r="GL265">
        <v>7.3740509229249462E-2</v>
      </c>
      <c r="GM265">
        <v>0.23585576644039991</v>
      </c>
      <c r="GN265">
        <v>0.23585576644039991</v>
      </c>
      <c r="GO265">
        <v>0</v>
      </c>
      <c r="GP265">
        <v>0</v>
      </c>
      <c r="GQ265">
        <v>0.45369793096285549</v>
      </c>
      <c r="GR265">
        <v>0.45369793096285549</v>
      </c>
      <c r="GS265">
        <v>0</v>
      </c>
      <c r="GT265">
        <v>0.26328679901673557</v>
      </c>
      <c r="GU265"/>
      <c r="GV265"/>
      <c r="GW265"/>
      <c r="GX265"/>
      <c r="GY265"/>
      <c r="GZ265"/>
      <c r="HA265"/>
      <c r="HB265"/>
      <c r="HC265"/>
    </row>
    <row r="266" spans="1:211" s="7" customFormat="1">
      <c r="A266" s="1"/>
      <c r="B266">
        <v>0.86639001171382146</v>
      </c>
      <c r="C266">
        <v>9</v>
      </c>
      <c r="D266">
        <v>39747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2.3541666666666665</v>
      </c>
      <c r="AO266">
        <v>0.11956476794128994</v>
      </c>
      <c r="AP266">
        <v>0.3510257039512415</v>
      </c>
      <c r="AQ266">
        <v>1.1597014437464488</v>
      </c>
      <c r="AR266">
        <v>0.18698452836394167</v>
      </c>
      <c r="AS266">
        <v>1.4665506692393231</v>
      </c>
      <c r="AT266" t="e">
        <v>#DIV/0!</v>
      </c>
      <c r="AU266" t="e">
        <v>#DIV/0!</v>
      </c>
      <c r="AV266"/>
      <c r="AW266"/>
      <c r="FY266" s="211">
        <v>261</v>
      </c>
      <c r="FZ266">
        <v>0.30335859234208729</v>
      </c>
      <c r="GA266">
        <v>0</v>
      </c>
      <c r="GB266">
        <v>0.14202990935487192</v>
      </c>
      <c r="GC266">
        <v>0.11377737556984255</v>
      </c>
      <c r="GD266">
        <v>2.6724553773673727E-2</v>
      </c>
      <c r="GE266">
        <v>0</v>
      </c>
      <c r="GF266">
        <v>0</v>
      </c>
      <c r="GG266">
        <v>0</v>
      </c>
      <c r="GH266">
        <v>0</v>
      </c>
      <c r="GI266">
        <v>9.5304119978602303E-2</v>
      </c>
      <c r="GJ266"/>
      <c r="GK266">
        <v>0.30270299797146172</v>
      </c>
      <c r="GL266">
        <v>0</v>
      </c>
      <c r="GM266">
        <v>0.23585576644039991</v>
      </c>
      <c r="GN266">
        <v>0.34079383167279126</v>
      </c>
      <c r="GO266">
        <v>0.10493806523239137</v>
      </c>
      <c r="GP266">
        <v>0</v>
      </c>
      <c r="GQ266">
        <v>0</v>
      </c>
      <c r="GR266">
        <v>0</v>
      </c>
      <c r="GS266">
        <v>0</v>
      </c>
      <c r="GT266">
        <v>0.12869936592885062</v>
      </c>
      <c r="GU266"/>
      <c r="GV266"/>
      <c r="GW266"/>
      <c r="GX266"/>
      <c r="GY266"/>
      <c r="GZ266"/>
      <c r="HA266"/>
      <c r="HB266"/>
      <c r="HC266"/>
    </row>
    <row r="267" spans="1:211" s="7" customFormat="1">
      <c r="A267" s="1"/>
      <c r="B267">
        <v>3.2708891315453847E-2</v>
      </c>
      <c r="C267">
        <v>9</v>
      </c>
      <c r="D267">
        <v>39747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3.4895833333333335</v>
      </c>
      <c r="AO267">
        <v>0.20707190753853641</v>
      </c>
      <c r="AP267">
        <v>4.4947338070788483</v>
      </c>
      <c r="AQ267">
        <v>1.3890103422103837</v>
      </c>
      <c r="AR267">
        <v>0.24538137333235965</v>
      </c>
      <c r="AS267">
        <v>1.6976058624314607</v>
      </c>
      <c r="AT267" t="e">
        <v>#DIV/0!</v>
      </c>
      <c r="AU267" t="e">
        <v>#DIV/0!</v>
      </c>
      <c r="AV267"/>
      <c r="AW267"/>
      <c r="FY267" s="211">
        <v>262</v>
      </c>
      <c r="FZ267">
        <v>1.1341693941486386</v>
      </c>
      <c r="GA267">
        <v>0.56185112583616514</v>
      </c>
      <c r="GB267">
        <v>7.9203986612074825E-2</v>
      </c>
      <c r="GC267">
        <v>0.11377737556984255</v>
      </c>
      <c r="GD267">
        <v>5.3449107547347455E-2</v>
      </c>
      <c r="GE267">
        <v>0</v>
      </c>
      <c r="GF267">
        <v>0.66042100116664126</v>
      </c>
      <c r="GG267">
        <v>0.59518473501329594</v>
      </c>
      <c r="GH267">
        <v>0</v>
      </c>
      <c r="GI267">
        <v>0.34641820407307661</v>
      </c>
      <c r="GJ267"/>
      <c r="GK267">
        <v>1.1396617817105219</v>
      </c>
      <c r="GL267">
        <v>0.48079623401633714</v>
      </c>
      <c r="GM267">
        <v>0.13091770120800852</v>
      </c>
      <c r="GN267">
        <v>0.34079383167279126</v>
      </c>
      <c r="GO267">
        <v>0.20987613046478273</v>
      </c>
      <c r="GP267">
        <v>0</v>
      </c>
      <c r="GQ267">
        <v>0.90739586192571098</v>
      </c>
      <c r="GR267">
        <v>0.90739586192571098</v>
      </c>
      <c r="GS267">
        <v>0</v>
      </c>
      <c r="GT267">
        <v>0.47757029506180482</v>
      </c>
      <c r="GU267"/>
      <c r="GV267"/>
      <c r="GW267"/>
      <c r="GX267"/>
      <c r="GY267"/>
      <c r="GZ267"/>
      <c r="HA267"/>
      <c r="HB267"/>
      <c r="HC267"/>
    </row>
    <row r="268" spans="1:211" s="7" customFormat="1">
      <c r="A268" s="1"/>
      <c r="B268">
        <v>0.51794200947665048</v>
      </c>
      <c r="C268">
        <v>2</v>
      </c>
      <c r="D268">
        <v>39775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1.372916666666667</v>
      </c>
      <c r="AO268">
        <v>0.25811713984090734</v>
      </c>
      <c r="AP268">
        <v>8.9167107600780806</v>
      </c>
      <c r="AQ268">
        <v>2.1600511575324406</v>
      </c>
      <c r="AR268">
        <v>0.28153669777599805</v>
      </c>
      <c r="AS268">
        <v>1.4835377821797375</v>
      </c>
      <c r="AT268" t="e">
        <v>#DIV/0!</v>
      </c>
      <c r="AU268" t="e">
        <v>#DIV/0!</v>
      </c>
      <c r="AV268"/>
      <c r="AW268"/>
      <c r="FY268" s="211">
        <v>263</v>
      </c>
      <c r="FZ268">
        <v>1.1183664043192736</v>
      </c>
      <c r="GA268">
        <v>0.86195082931690026</v>
      </c>
      <c r="GB268">
        <v>0.26768175484046608</v>
      </c>
      <c r="GC268">
        <v>0.21823520044672617</v>
      </c>
      <c r="GD268">
        <v>5.3449107547347455E-2</v>
      </c>
      <c r="GE268">
        <v>0</v>
      </c>
      <c r="GF268">
        <v>0.33021050058332063</v>
      </c>
      <c r="GG268">
        <v>0.29759236750664797</v>
      </c>
      <c r="GH268">
        <v>0</v>
      </c>
      <c r="GI268">
        <v>0.3262981611924517</v>
      </c>
      <c r="GJ268"/>
      <c r="GK268">
        <v>1.1264346705367485</v>
      </c>
      <c r="GL268">
        <v>0.7403709403449259</v>
      </c>
      <c r="GM268">
        <v>0.44573189690518267</v>
      </c>
      <c r="GN268">
        <v>0.65560802736996537</v>
      </c>
      <c r="GO268">
        <v>0.20987613046478273</v>
      </c>
      <c r="GP268">
        <v>0</v>
      </c>
      <c r="GQ268">
        <v>0.45369793096285549</v>
      </c>
      <c r="GR268">
        <v>0.45369793096285549</v>
      </c>
      <c r="GS268">
        <v>0</v>
      </c>
      <c r="GT268">
        <v>0.44714812577391388</v>
      </c>
      <c r="GU268"/>
      <c r="GV268"/>
      <c r="GW268"/>
      <c r="GX268"/>
      <c r="GY268"/>
      <c r="GZ268"/>
      <c r="HA268"/>
      <c r="HB268"/>
      <c r="HC268"/>
    </row>
    <row r="269" spans="1:211" s="7" customFormat="1">
      <c r="A269" s="1"/>
      <c r="B269">
        <v>0.2119839362685032</v>
      </c>
      <c r="C269">
        <v>8</v>
      </c>
      <c r="D269">
        <v>39775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3.3677083333333337</v>
      </c>
      <c r="AO269">
        <v>0.33269051587498666</v>
      </c>
      <c r="AP269">
        <v>10.678789576278168</v>
      </c>
      <c r="AQ269">
        <v>2.7779549819402907</v>
      </c>
      <c r="AR269">
        <v>0.35942587122171238</v>
      </c>
      <c r="AS269">
        <v>2.1039831669920175</v>
      </c>
      <c r="AT269" t="e">
        <v>#DIV/0!</v>
      </c>
      <c r="AU269" t="e">
        <v>#DIV/0!</v>
      </c>
      <c r="AV269"/>
      <c r="AW269"/>
      <c r="FY269" s="211">
        <v>264</v>
      </c>
      <c r="FZ269">
        <v>0.72553461788712681</v>
      </c>
      <c r="GA269">
        <v>8.725047411847664E-2</v>
      </c>
      <c r="GB269">
        <v>6.282592274279708E-2</v>
      </c>
      <c r="GC269">
        <v>3.4819274958961192E-2</v>
      </c>
      <c r="GD269">
        <v>0</v>
      </c>
      <c r="GE269">
        <v>0</v>
      </c>
      <c r="GF269">
        <v>0.33021050058332063</v>
      </c>
      <c r="GG269">
        <v>0.29759236750664797</v>
      </c>
      <c r="GH269">
        <v>0</v>
      </c>
      <c r="GI269">
        <v>0.18703444578447437</v>
      </c>
      <c r="GJ269"/>
      <c r="GK269">
        <v>0.72689720564134097</v>
      </c>
      <c r="GL269">
        <v>7.3740509229249462E-2</v>
      </c>
      <c r="GM269">
        <v>0.10493806523239137</v>
      </c>
      <c r="GN269">
        <v>0.10493806523239137</v>
      </c>
      <c r="GO269">
        <v>0</v>
      </c>
      <c r="GP269">
        <v>0</v>
      </c>
      <c r="GQ269">
        <v>0.45369793096285549</v>
      </c>
      <c r="GR269">
        <v>0.45369793096285549</v>
      </c>
      <c r="GS269">
        <v>0</v>
      </c>
      <c r="GT269">
        <v>0.25710664036731756</v>
      </c>
      <c r="GU269"/>
      <c r="GV269"/>
      <c r="GW269"/>
      <c r="GX269"/>
      <c r="GY269"/>
      <c r="GZ269"/>
      <c r="HA269"/>
      <c r="HB269"/>
      <c r="HC269"/>
    </row>
    <row r="270" spans="1:211" s="7" customFormat="1">
      <c r="A270" s="1"/>
      <c r="B270">
        <v>0.18977851919739752</v>
      </c>
      <c r="C270">
        <v>9</v>
      </c>
      <c r="D270">
        <v>39775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2.203125</v>
      </c>
      <c r="AO270">
        <v>0.17403884834720909</v>
      </c>
      <c r="AP270">
        <v>3.1449840695345479</v>
      </c>
      <c r="AQ270">
        <v>1.3317953243826559</v>
      </c>
      <c r="AR270">
        <v>0.19639552068525851</v>
      </c>
      <c r="AS270">
        <v>1.4749070746821176</v>
      </c>
      <c r="AT270" t="e">
        <v>#DIV/0!</v>
      </c>
      <c r="AU270" t="e">
        <v>#DIV/0!</v>
      </c>
      <c r="AV270"/>
      <c r="AW270"/>
      <c r="FY270" s="211">
        <v>265</v>
      </c>
      <c r="FZ270">
        <v>0.8467085258609488</v>
      </c>
      <c r="GA270">
        <v>8.725047411847664E-2</v>
      </c>
      <c r="GB270">
        <v>6.282592274279708E-2</v>
      </c>
      <c r="GC270">
        <v>0.10445782487688358</v>
      </c>
      <c r="GD270">
        <v>5.3449107547347455E-2</v>
      </c>
      <c r="GE270">
        <v>0</v>
      </c>
      <c r="GF270">
        <v>0.33021050058332063</v>
      </c>
      <c r="GG270">
        <v>0.29759236750664797</v>
      </c>
      <c r="GH270">
        <v>0</v>
      </c>
      <c r="GI270">
        <v>0.23599540064520941</v>
      </c>
      <c r="GJ270"/>
      <c r="GK270">
        <v>0.84519696323139781</v>
      </c>
      <c r="GL270">
        <v>7.3740509229249462E-2</v>
      </c>
      <c r="GM270">
        <v>0.10493806523239137</v>
      </c>
      <c r="GN270">
        <v>0.31481419569717412</v>
      </c>
      <c r="GO270">
        <v>0.20987613046478273</v>
      </c>
      <c r="GP270">
        <v>0</v>
      </c>
      <c r="GQ270">
        <v>0.45369793096285549</v>
      </c>
      <c r="GR270">
        <v>0.45369793096285549</v>
      </c>
      <c r="GS270">
        <v>0</v>
      </c>
      <c r="GT270">
        <v>0.32274181797828544</v>
      </c>
      <c r="GU270"/>
      <c r="GV270"/>
      <c r="GW270"/>
      <c r="GX270"/>
      <c r="GY270"/>
      <c r="GZ270"/>
      <c r="HA270"/>
      <c r="HB270"/>
      <c r="HC270"/>
    </row>
    <row r="271" spans="1:211" s="7" customFormat="1">
      <c r="A271" s="77"/>
      <c r="B271">
        <v>3.9628602000912005E-2</v>
      </c>
      <c r="C271">
        <v>7</v>
      </c>
      <c r="D271">
        <v>39775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1.166666666666667</v>
      </c>
      <c r="AO271">
        <v>0.21004298284331316</v>
      </c>
      <c r="AP271">
        <v>7.4871148318667506</v>
      </c>
      <c r="AQ271">
        <v>1.5975394416604327</v>
      </c>
      <c r="AR271">
        <v>0.25696563870631411</v>
      </c>
      <c r="AS271">
        <v>1.3489939891106506</v>
      </c>
      <c r="AT271" t="e">
        <v>#DIV/0!</v>
      </c>
      <c r="AU271" t="e">
        <v>#DIV/0!</v>
      </c>
      <c r="AV271"/>
      <c r="AW271"/>
      <c r="FY271" s="211">
        <v>266</v>
      </c>
      <c r="FZ271">
        <v>0.89280109628352333</v>
      </c>
      <c r="GA271">
        <v>0.47460065171768845</v>
      </c>
      <c r="GB271">
        <v>0.22123389596694673</v>
      </c>
      <c r="GC271">
        <v>0.12309692626280153</v>
      </c>
      <c r="GD271">
        <v>0</v>
      </c>
      <c r="GE271">
        <v>0</v>
      </c>
      <c r="GF271">
        <v>0.66042100116664126</v>
      </c>
      <c r="GG271">
        <v>0.59518473501329594</v>
      </c>
      <c r="GH271">
        <v>0</v>
      </c>
      <c r="GI271">
        <v>0.31465620548419149</v>
      </c>
      <c r="GJ271"/>
      <c r="GK271">
        <v>0.89597435400866954</v>
      </c>
      <c r="GL271">
        <v>0.40705572478708768</v>
      </c>
      <c r="GM271">
        <v>0.3667734676484084</v>
      </c>
      <c r="GN271">
        <v>0.3667734676484084</v>
      </c>
      <c r="GO271">
        <v>0</v>
      </c>
      <c r="GP271">
        <v>0</v>
      </c>
      <c r="GQ271">
        <v>0.90739586192571098</v>
      </c>
      <c r="GR271">
        <v>0.90739586192571098</v>
      </c>
      <c r="GS271">
        <v>0</v>
      </c>
      <c r="GT271">
        <v>0.43402873671655784</v>
      </c>
      <c r="GU271"/>
      <c r="GV271"/>
      <c r="GW271"/>
      <c r="GX271"/>
      <c r="GY271"/>
      <c r="GZ271"/>
      <c r="HA271"/>
      <c r="HB271"/>
      <c r="HC271"/>
    </row>
    <row r="272" spans="1:211" s="7" customFormat="1">
      <c r="A272" s="77"/>
      <c r="B272">
        <v>0.45747967166310222</v>
      </c>
      <c r="C272">
        <v>9</v>
      </c>
      <c r="D272">
        <v>39775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1.9593749999999996</v>
      </c>
      <c r="AO272">
        <v>0.40519512644250077</v>
      </c>
      <c r="AP272">
        <v>9.187593282448141</v>
      </c>
      <c r="AQ272">
        <v>3.3315902709061627</v>
      </c>
      <c r="AR272">
        <v>0.41951476024073925</v>
      </c>
      <c r="AS272">
        <v>2.007313902350738</v>
      </c>
      <c r="AT272" t="e">
        <v>#DIV/0!</v>
      </c>
      <c r="AU272" t="e">
        <v>#DIV/0!</v>
      </c>
      <c r="AV272"/>
      <c r="AW272"/>
      <c r="FY272" s="211">
        <v>267</v>
      </c>
      <c r="FZ272">
        <v>0.70409756978928484</v>
      </c>
      <c r="GA272">
        <v>8.725047411847664E-2</v>
      </c>
      <c r="GB272">
        <v>0.15840797322414965</v>
      </c>
      <c r="GC272">
        <v>8.8277651303840327E-2</v>
      </c>
      <c r="GD272">
        <v>0</v>
      </c>
      <c r="GE272">
        <v>0</v>
      </c>
      <c r="GF272">
        <v>0.33021050058332063</v>
      </c>
      <c r="GG272">
        <v>0.29759236750664797</v>
      </c>
      <c r="GH272">
        <v>0</v>
      </c>
      <c r="GI272">
        <v>0.20720580805948463</v>
      </c>
      <c r="GJ272"/>
      <c r="GK272">
        <v>0.70552377689529489</v>
      </c>
      <c r="GL272">
        <v>7.3740509229249462E-2</v>
      </c>
      <c r="GM272">
        <v>0.26183540241601705</v>
      </c>
      <c r="GN272">
        <v>0.26183540241601705</v>
      </c>
      <c r="GO272">
        <v>0</v>
      </c>
      <c r="GP272">
        <v>0</v>
      </c>
      <c r="GQ272">
        <v>0.45369793096285549</v>
      </c>
      <c r="GR272">
        <v>0.45369793096285549</v>
      </c>
      <c r="GS272">
        <v>0</v>
      </c>
      <c r="GT272">
        <v>0.28421142205483352</v>
      </c>
      <c r="GU272"/>
      <c r="GV272"/>
      <c r="GW272"/>
      <c r="GX272"/>
      <c r="GY272"/>
      <c r="GZ272"/>
      <c r="HA272"/>
      <c r="HB272"/>
      <c r="HC272"/>
    </row>
    <row r="273" spans="1:211" s="7" customFormat="1">
      <c r="A273" s="1"/>
      <c r="B273">
        <v>0.61111881417137592</v>
      </c>
      <c r="C273">
        <v>7</v>
      </c>
      <c r="D273">
        <v>39775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3.7697916666666673</v>
      </c>
      <c r="AO273">
        <v>0.63283661678994974</v>
      </c>
      <c r="AP273">
        <v>18.723604344958353</v>
      </c>
      <c r="AQ273">
        <v>5.2058651674873913</v>
      </c>
      <c r="AR273">
        <v>0.65025870886097314</v>
      </c>
      <c r="AS273">
        <v>3.4023913782641357</v>
      </c>
      <c r="AT273" t="e">
        <v>#DIV/0!</v>
      </c>
      <c r="AU273" t="e">
        <v>#DIV/0!</v>
      </c>
      <c r="AV273"/>
      <c r="AW273"/>
      <c r="FY273" s="211">
        <v>268</v>
      </c>
      <c r="FZ273">
        <v>1.0082001174780086</v>
      </c>
      <c r="GA273">
        <v>0.38735017759921181</v>
      </c>
      <c r="GB273">
        <v>0.204855832097669</v>
      </c>
      <c r="GC273">
        <v>0.14859665052880375</v>
      </c>
      <c r="GD273">
        <v>2.6724553773673727E-2</v>
      </c>
      <c r="GE273">
        <v>0</v>
      </c>
      <c r="GF273">
        <v>0.66042100116664126</v>
      </c>
      <c r="GG273">
        <v>0.59518473501329594</v>
      </c>
      <c r="GH273">
        <v>0</v>
      </c>
      <c r="GI273">
        <v>0.34319777761550713</v>
      </c>
      <c r="GJ273"/>
      <c r="GK273">
        <v>1.0138896951888174</v>
      </c>
      <c r="GL273">
        <v>0.33331521555783822</v>
      </c>
      <c r="GM273">
        <v>0.34079383167279126</v>
      </c>
      <c r="GN273">
        <v>0.44573189690518267</v>
      </c>
      <c r="GO273">
        <v>0.10493806523239137</v>
      </c>
      <c r="GP273">
        <v>0</v>
      </c>
      <c r="GQ273">
        <v>0.90739586192571098</v>
      </c>
      <c r="GR273">
        <v>0.90739586192571098</v>
      </c>
      <c r="GS273">
        <v>0</v>
      </c>
      <c r="GT273">
        <v>0.47340349080394217</v>
      </c>
      <c r="GU273"/>
      <c r="GV273"/>
      <c r="GW273"/>
      <c r="GX273"/>
      <c r="GY273"/>
      <c r="GZ273"/>
      <c r="HA273"/>
      <c r="HB273"/>
      <c r="HC273"/>
    </row>
    <row r="274" spans="1:211" s="7" customFormat="1">
      <c r="A274" s="1"/>
      <c r="B274">
        <v>0.14720964406287718</v>
      </c>
      <c r="C274">
        <v>5</v>
      </c>
      <c r="D274">
        <v>39775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10.416666666666666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2.4166666666666661</v>
      </c>
      <c r="AO274">
        <v>0.27380508666139647</v>
      </c>
      <c r="AP274">
        <v>10.741735630388494</v>
      </c>
      <c r="AQ274">
        <v>1.8377797704656025</v>
      </c>
      <c r="AR274">
        <v>0.30210690046171806</v>
      </c>
      <c r="AS274">
        <v>1.8408433523869743</v>
      </c>
      <c r="AT274" t="e">
        <v>#DIV/0!</v>
      </c>
      <c r="AU274" t="e">
        <v>#DIV/0!</v>
      </c>
      <c r="AV274"/>
      <c r="AW274"/>
      <c r="FY274" s="211">
        <v>269</v>
      </c>
      <c r="FZ274">
        <v>0.87818372955349067</v>
      </c>
      <c r="GA274">
        <v>0.47460065171768845</v>
      </c>
      <c r="GB274">
        <v>0.14202990935487192</v>
      </c>
      <c r="GC274">
        <v>0.18341592548776492</v>
      </c>
      <c r="GD274">
        <v>8.0173661321021189E-2</v>
      </c>
      <c r="GE274">
        <v>0</v>
      </c>
      <c r="GF274">
        <v>0.66042100116664126</v>
      </c>
      <c r="GG274">
        <v>0.59518473501329594</v>
      </c>
      <c r="GH274">
        <v>0</v>
      </c>
      <c r="GI274">
        <v>0.33945288948629671</v>
      </c>
      <c r="GJ274"/>
      <c r="GK274">
        <v>0.88151803209986745</v>
      </c>
      <c r="GL274">
        <v>0.40705572478708768</v>
      </c>
      <c r="GM274">
        <v>0.23585576644039991</v>
      </c>
      <c r="GN274">
        <v>0.55066996213757402</v>
      </c>
      <c r="GO274">
        <v>0.31481419569717417</v>
      </c>
      <c r="GP274">
        <v>0</v>
      </c>
      <c r="GQ274">
        <v>0.90739586192571098</v>
      </c>
      <c r="GR274">
        <v>0.90739586192571098</v>
      </c>
      <c r="GS274">
        <v>0</v>
      </c>
      <c r="GT274">
        <v>0.46791677123263042</v>
      </c>
      <c r="GU274"/>
      <c r="GV274"/>
      <c r="GW274"/>
      <c r="GX274"/>
      <c r="GY274"/>
      <c r="GZ274"/>
      <c r="HA274"/>
      <c r="HB274"/>
      <c r="HC274"/>
    </row>
    <row r="275" spans="1:211" s="7" customFormat="1">
      <c r="A275" s="1"/>
      <c r="B275">
        <v>0.5858859808492507</v>
      </c>
      <c r="C275">
        <v>6</v>
      </c>
      <c r="D275">
        <v>39775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2.6906250000000003</v>
      </c>
      <c r="AO275">
        <v>0.41829199450422133</v>
      </c>
      <c r="AP275">
        <v>16.726254935015817</v>
      </c>
      <c r="AQ275">
        <v>3.3139382478202744</v>
      </c>
      <c r="AR275">
        <v>0.43876876531483577</v>
      </c>
      <c r="AS275">
        <v>2.2146381345415058</v>
      </c>
      <c r="AT275" t="e">
        <v>#DIV/0!</v>
      </c>
      <c r="AU275" t="e">
        <v>#DIV/0!</v>
      </c>
      <c r="AV275"/>
      <c r="AW275"/>
      <c r="FY275" s="211">
        <v>270</v>
      </c>
      <c r="FZ275">
        <v>0.75506310048457526</v>
      </c>
      <c r="GA275">
        <v>0.38735017759921181</v>
      </c>
      <c r="GB275">
        <v>0.22123389596694673</v>
      </c>
      <c r="GC275">
        <v>0.1579162012217627</v>
      </c>
      <c r="GD275">
        <v>2.6724553773673727E-2</v>
      </c>
      <c r="GE275">
        <v>0</v>
      </c>
      <c r="GF275">
        <v>0.33021050058332063</v>
      </c>
      <c r="GG275">
        <v>0.29759236750664797</v>
      </c>
      <c r="GH275">
        <v>0</v>
      </c>
      <c r="GI275">
        <v>0.24561418056127585</v>
      </c>
      <c r="GJ275"/>
      <c r="GK275">
        <v>0.7585499347234832</v>
      </c>
      <c r="GL275">
        <v>0.33331521555783822</v>
      </c>
      <c r="GM275">
        <v>0.3667734676484084</v>
      </c>
      <c r="GN275">
        <v>0.47171153288079981</v>
      </c>
      <c r="GO275">
        <v>0.10493806523239137</v>
      </c>
      <c r="GP275">
        <v>0</v>
      </c>
      <c r="GQ275">
        <v>0.45369793096285549</v>
      </c>
      <c r="GR275">
        <v>0.45369793096285549</v>
      </c>
      <c r="GS275">
        <v>0</v>
      </c>
      <c r="GT275">
        <v>0.33679187971342767</v>
      </c>
      <c r="GU275"/>
      <c r="GV275"/>
      <c r="GW275"/>
      <c r="GX275"/>
      <c r="GY275"/>
      <c r="GZ275"/>
      <c r="HA275"/>
      <c r="HB275"/>
      <c r="HC275"/>
    </row>
    <row r="276" spans="1:211" s="7" customFormat="1">
      <c r="A276" s="1"/>
      <c r="B276">
        <v>0.19805519848843289</v>
      </c>
      <c r="C276">
        <v>1</v>
      </c>
      <c r="D276">
        <v>39775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2.494791666666667</v>
      </c>
      <c r="AO276">
        <v>0.23430150007329181</v>
      </c>
      <c r="AP276">
        <v>9.3727807889598527</v>
      </c>
      <c r="AQ276">
        <v>1.7564878935781356</v>
      </c>
      <c r="AR276">
        <v>0.26328679901673557</v>
      </c>
      <c r="AS276">
        <v>1.8256447515136691</v>
      </c>
      <c r="AT276" t="e">
        <v>#DIV/0!</v>
      </c>
      <c r="AU276" t="e">
        <v>#DIV/0!</v>
      </c>
      <c r="AV276"/>
      <c r="AW276"/>
      <c r="FY276" s="211">
        <v>271</v>
      </c>
      <c r="FZ276">
        <v>1.5273823994066982</v>
      </c>
      <c r="GA276">
        <v>0.47460065171768845</v>
      </c>
      <c r="GB276">
        <v>0</v>
      </c>
      <c r="GC276">
        <v>0.13927709983584477</v>
      </c>
      <c r="GD276">
        <v>0.10689821509469491</v>
      </c>
      <c r="GE276">
        <v>0</v>
      </c>
      <c r="GF276">
        <v>0.33021050058332063</v>
      </c>
      <c r="GG276">
        <v>0.29759236750664797</v>
      </c>
      <c r="GH276">
        <v>0</v>
      </c>
      <c r="GI276">
        <v>0.35199533771127672</v>
      </c>
      <c r="GJ276"/>
      <c r="GK276">
        <v>1.5377653076288669</v>
      </c>
      <c r="GL276">
        <v>0.40705572478708768</v>
      </c>
      <c r="GM276">
        <v>0</v>
      </c>
      <c r="GN276">
        <v>0.41975226092956547</v>
      </c>
      <c r="GO276">
        <v>0.41975226092956547</v>
      </c>
      <c r="GP276">
        <v>0</v>
      </c>
      <c r="GQ276">
        <v>0.45369793096285549</v>
      </c>
      <c r="GR276">
        <v>0.45369793096285549</v>
      </c>
      <c r="GS276">
        <v>0</v>
      </c>
      <c r="GT276">
        <v>0.48224309990425757</v>
      </c>
      <c r="GU276"/>
      <c r="GV276"/>
      <c r="GW276"/>
      <c r="GX276"/>
      <c r="GY276"/>
      <c r="GZ276"/>
      <c r="HA276"/>
      <c r="HB276"/>
      <c r="HC276"/>
    </row>
    <row r="277" spans="1:211" s="7" customFormat="1">
      <c r="A277" s="1"/>
      <c r="B277">
        <v>0.44066864343067658</v>
      </c>
      <c r="C277">
        <v>2</v>
      </c>
      <c r="D277">
        <v>39775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1.578125</v>
      </c>
      <c r="AO277">
        <v>0.11129900272458948</v>
      </c>
      <c r="AP277">
        <v>2.9270912115802536</v>
      </c>
      <c r="AQ277">
        <v>0.68119455101907789</v>
      </c>
      <c r="AR277">
        <v>0.12869936592885062</v>
      </c>
      <c r="AS277">
        <v>0.87145426348859234</v>
      </c>
      <c r="AT277" t="e">
        <v>#DIV/0!</v>
      </c>
      <c r="AU277" t="e">
        <v>#DIV/0!</v>
      </c>
      <c r="AV277"/>
      <c r="AW277"/>
      <c r="FY277" s="211">
        <v>272</v>
      </c>
      <c r="FZ277">
        <v>0.6737404501648393</v>
      </c>
      <c r="GA277">
        <v>0</v>
      </c>
      <c r="GB277">
        <v>6.282592274279708E-2</v>
      </c>
      <c r="GC277">
        <v>0.13927709983584477</v>
      </c>
      <c r="GD277">
        <v>8.0173661321021189E-2</v>
      </c>
      <c r="GE277">
        <v>0</v>
      </c>
      <c r="GF277">
        <v>0</v>
      </c>
      <c r="GG277">
        <v>0</v>
      </c>
      <c r="GH277">
        <v>0</v>
      </c>
      <c r="GI277">
        <v>0.16164979069443527</v>
      </c>
      <c r="GJ277"/>
      <c r="GK277">
        <v>0.67530200453108713</v>
      </c>
      <c r="GL277">
        <v>0</v>
      </c>
      <c r="GM277">
        <v>0.10493806523239137</v>
      </c>
      <c r="GN277">
        <v>0.41975226092956547</v>
      </c>
      <c r="GO277">
        <v>0.31481419569717417</v>
      </c>
      <c r="GP277">
        <v>0</v>
      </c>
      <c r="GQ277">
        <v>0</v>
      </c>
      <c r="GR277">
        <v>0</v>
      </c>
      <c r="GS277">
        <v>0</v>
      </c>
      <c r="GT277">
        <v>0.2190108530921305</v>
      </c>
      <c r="GU277"/>
      <c r="GV277"/>
      <c r="GW277"/>
      <c r="GX277"/>
      <c r="GY277"/>
      <c r="GZ277"/>
      <c r="HA277"/>
      <c r="HB277"/>
      <c r="HC277"/>
    </row>
    <row r="278" spans="1:211" s="7" customFormat="1">
      <c r="A278" s="1"/>
      <c r="B278">
        <v>0.54181957424364957</v>
      </c>
      <c r="C278">
        <v>5</v>
      </c>
      <c r="D278">
        <v>39799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3.0343749999999998</v>
      </c>
      <c r="AO278">
        <v>0.45944076979856679</v>
      </c>
      <c r="AP278">
        <v>15.506442640950299</v>
      </c>
      <c r="AQ278">
        <v>3.5444749299670821</v>
      </c>
      <c r="AR278">
        <v>0.47757029506180482</v>
      </c>
      <c r="AS278">
        <v>2.4789683888997929</v>
      </c>
      <c r="AT278" t="e">
        <v>#DIV/0!</v>
      </c>
      <c r="AU278" t="e">
        <v>#DIV/0!</v>
      </c>
      <c r="AV278"/>
      <c r="AW278"/>
      <c r="FY278" s="211">
        <v>273</v>
      </c>
      <c r="FZ278">
        <v>0.6925244863462594</v>
      </c>
      <c r="GA278">
        <v>0</v>
      </c>
      <c r="GB278">
        <v>7.9203986612074825E-2</v>
      </c>
      <c r="GC278">
        <v>4.4138825651920163E-2</v>
      </c>
      <c r="GD278">
        <v>0</v>
      </c>
      <c r="GE278">
        <v>0</v>
      </c>
      <c r="GF278">
        <v>0.66042100116664126</v>
      </c>
      <c r="GG278">
        <v>0.59518473501329594</v>
      </c>
      <c r="GH278">
        <v>0</v>
      </c>
      <c r="GI278">
        <v>0.25015242071918098</v>
      </c>
      <c r="GJ278"/>
      <c r="GK278">
        <v>0.69420694732256127</v>
      </c>
      <c r="GL278">
        <v>0</v>
      </c>
      <c r="GM278">
        <v>0.13091770120800852</v>
      </c>
      <c r="GN278">
        <v>0.13091770120800852</v>
      </c>
      <c r="GO278">
        <v>0</v>
      </c>
      <c r="GP278">
        <v>0</v>
      </c>
      <c r="GQ278">
        <v>0.90739586192571098</v>
      </c>
      <c r="GR278">
        <v>0.90739586192571098</v>
      </c>
      <c r="GS278">
        <v>0</v>
      </c>
      <c r="GT278">
        <v>0.34650410209125615</v>
      </c>
      <c r="GU278"/>
      <c r="GV278"/>
      <c r="GW278"/>
      <c r="GX278"/>
      <c r="GY278"/>
      <c r="GZ278"/>
      <c r="HA278"/>
      <c r="HB278"/>
      <c r="HC278"/>
    </row>
    <row r="279" spans="1:211" s="7" customFormat="1">
      <c r="A279" s="1"/>
      <c r="B279">
        <v>0.18173134233857269</v>
      </c>
      <c r="C279">
        <v>7</v>
      </c>
      <c r="D279">
        <v>39799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2.7406249999999996</v>
      </c>
      <c r="AO279">
        <v>0.453256565332123</v>
      </c>
      <c r="AP279">
        <v>13.752323275302292</v>
      </c>
      <c r="AQ279">
        <v>3.4737843257531344</v>
      </c>
      <c r="AR279">
        <v>0.44714812577391388</v>
      </c>
      <c r="AS279">
        <v>2.3031077266920321</v>
      </c>
      <c r="AT279" t="e">
        <v>#DIV/0!</v>
      </c>
      <c r="AU279" t="e">
        <v>#DIV/0!</v>
      </c>
      <c r="AV279"/>
      <c r="AW279"/>
      <c r="FY279" s="211">
        <v>274</v>
      </c>
      <c r="FZ279">
        <v>1.2396035492280473</v>
      </c>
      <c r="GA279">
        <v>0.47460065171768845</v>
      </c>
      <c r="GB279">
        <v>0.26768175484046608</v>
      </c>
      <c r="GC279">
        <v>0.14859665052880378</v>
      </c>
      <c r="GD279">
        <v>0</v>
      </c>
      <c r="GE279">
        <v>0</v>
      </c>
      <c r="GF279">
        <v>0.66042100116664126</v>
      </c>
      <c r="GG279">
        <v>0.59518473501329594</v>
      </c>
      <c r="GH279">
        <v>0</v>
      </c>
      <c r="GI279">
        <v>0.37758945949937683</v>
      </c>
      <c r="GJ279"/>
      <c r="GK279">
        <v>1.2421960888451731</v>
      </c>
      <c r="GL279">
        <v>0.40705572478708768</v>
      </c>
      <c r="GM279">
        <v>0.44573189690518267</v>
      </c>
      <c r="GN279">
        <v>0.44573189690518267</v>
      </c>
      <c r="GO279">
        <v>0</v>
      </c>
      <c r="GP279">
        <v>0</v>
      </c>
      <c r="GQ279">
        <v>0.90739586192571098</v>
      </c>
      <c r="GR279">
        <v>0.90739586192571098</v>
      </c>
      <c r="GS279">
        <v>0</v>
      </c>
      <c r="GT279">
        <v>0.51906476953521341</v>
      </c>
      <c r="GU279"/>
      <c r="GV279"/>
      <c r="GW279"/>
      <c r="GX279"/>
      <c r="GY279"/>
      <c r="GZ279"/>
      <c r="HA279"/>
      <c r="HB279"/>
      <c r="HC279"/>
    </row>
    <row r="280" spans="1:211" s="7" customFormat="1">
      <c r="A280" s="1"/>
      <c r="B280">
        <v>0.37769052066453335</v>
      </c>
      <c r="C280">
        <v>1</v>
      </c>
      <c r="D280">
        <v>39799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2.020833333333333</v>
      </c>
      <c r="AO280">
        <v>0.21750163476284018</v>
      </c>
      <c r="AP280">
        <v>7.73750466256576</v>
      </c>
      <c r="AQ280">
        <v>1.7252676035818046</v>
      </c>
      <c r="AR280">
        <v>0.25710664036731756</v>
      </c>
      <c r="AS280">
        <v>1.5528159308850666</v>
      </c>
      <c r="AT280" t="e">
        <v>#DIV/0!</v>
      </c>
      <c r="AU280" t="e">
        <v>#DIV/0!</v>
      </c>
      <c r="AV280"/>
      <c r="AW280"/>
      <c r="FY280" s="211">
        <v>275</v>
      </c>
      <c r="FZ280">
        <v>0.96513038559703213</v>
      </c>
      <c r="GA280">
        <v>0.47460065171768845</v>
      </c>
      <c r="GB280">
        <v>6.282592274279708E-2</v>
      </c>
      <c r="GC280">
        <v>3.4819274958961192E-2</v>
      </c>
      <c r="GD280">
        <v>0</v>
      </c>
      <c r="GE280">
        <v>0</v>
      </c>
      <c r="GF280">
        <v>0</v>
      </c>
      <c r="GG280">
        <v>0</v>
      </c>
      <c r="GH280">
        <v>0</v>
      </c>
      <c r="GI280">
        <v>0.15834771431941047</v>
      </c>
      <c r="GJ280"/>
      <c r="GK280">
        <v>0.970807334505977</v>
      </c>
      <c r="GL280">
        <v>0.40705572478708768</v>
      </c>
      <c r="GM280">
        <v>0.10493806523239137</v>
      </c>
      <c r="GN280">
        <v>0.10493806523239137</v>
      </c>
      <c r="GO280">
        <v>0</v>
      </c>
      <c r="GP280">
        <v>0</v>
      </c>
      <c r="GQ280">
        <v>0</v>
      </c>
      <c r="GR280">
        <v>0</v>
      </c>
      <c r="GS280">
        <v>0</v>
      </c>
      <c r="GT280">
        <v>0.21514907994767368</v>
      </c>
      <c r="GU280"/>
      <c r="GV280"/>
      <c r="GW280"/>
      <c r="GX280"/>
      <c r="GY280"/>
      <c r="GZ280"/>
      <c r="HA280"/>
      <c r="HB280"/>
      <c r="HC280"/>
    </row>
    <row r="281" spans="1:211" s="7" customFormat="1">
      <c r="A281" s="1"/>
      <c r="B281">
        <v>0.33825090734342922</v>
      </c>
      <c r="C281">
        <v>7</v>
      </c>
      <c r="D281">
        <v>39799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2.9375</v>
      </c>
      <c r="AO281">
        <v>0.27787035437589913</v>
      </c>
      <c r="AP281">
        <v>7.945755748674161</v>
      </c>
      <c r="AQ281">
        <v>2.0184901238816315</v>
      </c>
      <c r="AR281">
        <v>0.32274181797828549</v>
      </c>
      <c r="AS281">
        <v>2.0224873616488055</v>
      </c>
      <c r="AT281" t="e">
        <v>#DIV/0!</v>
      </c>
      <c r="AU281" t="e">
        <v>#DIV/0!</v>
      </c>
      <c r="AV281"/>
      <c r="AW281"/>
      <c r="FY281" s="211">
        <v>276</v>
      </c>
      <c r="FZ281">
        <v>1.6107882972361036</v>
      </c>
      <c r="GA281">
        <v>0.77470035519842362</v>
      </c>
      <c r="GB281">
        <v>0.22123389596694673</v>
      </c>
      <c r="GC281">
        <v>0.12309692626280153</v>
      </c>
      <c r="GD281">
        <v>0</v>
      </c>
      <c r="GE281">
        <v>0</v>
      </c>
      <c r="GF281">
        <v>0</v>
      </c>
      <c r="GG281">
        <v>0</v>
      </c>
      <c r="GH281">
        <v>0</v>
      </c>
      <c r="GI281">
        <v>0.29267509642777906</v>
      </c>
      <c r="GJ281"/>
      <c r="GK281">
        <v>1.6227098444028853</v>
      </c>
      <c r="GL281">
        <v>0.66663043111567644</v>
      </c>
      <c r="GM281">
        <v>0.3667734676484084</v>
      </c>
      <c r="GN281">
        <v>0.3667734676484084</v>
      </c>
      <c r="GO281">
        <v>0</v>
      </c>
      <c r="GP281">
        <v>0</v>
      </c>
      <c r="GQ281">
        <v>0</v>
      </c>
      <c r="GR281">
        <v>0</v>
      </c>
      <c r="GS281">
        <v>0</v>
      </c>
      <c r="GT281">
        <v>0.39789666241025878</v>
      </c>
      <c r="GU281"/>
      <c r="GV281"/>
      <c r="GW281"/>
      <c r="GX281"/>
      <c r="GY281"/>
      <c r="GZ281"/>
      <c r="HA281"/>
      <c r="HB281"/>
      <c r="HC281"/>
    </row>
    <row r="282" spans="1:211" s="7" customFormat="1">
      <c r="A282" s="1"/>
      <c r="B282">
        <v>0.92213213760210078</v>
      </c>
      <c r="C282">
        <v>9</v>
      </c>
      <c r="D282">
        <v>39799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3.2270833333333337</v>
      </c>
      <c r="AO282">
        <v>0.42853974746605539</v>
      </c>
      <c r="AP282">
        <v>18.379363756428674</v>
      </c>
      <c r="AQ282">
        <v>3.2819945118950891</v>
      </c>
      <c r="AR282">
        <v>0.43402873671655784</v>
      </c>
      <c r="AS282">
        <v>2.1984669462214943</v>
      </c>
      <c r="AT282" t="e">
        <v>#DIV/0!</v>
      </c>
      <c r="AU282" t="e">
        <v>#DIV/0!</v>
      </c>
      <c r="AV282"/>
      <c r="AW282"/>
      <c r="FY282" s="211">
        <v>277</v>
      </c>
      <c r="FZ282">
        <v>1.4014692695665669</v>
      </c>
      <c r="GA282">
        <v>0.77470035519842362</v>
      </c>
      <c r="GB282">
        <v>0</v>
      </c>
      <c r="GC282">
        <v>0</v>
      </c>
      <c r="GD282">
        <v>0</v>
      </c>
      <c r="GE282">
        <v>0</v>
      </c>
      <c r="GF282">
        <v>0.99063150174996206</v>
      </c>
      <c r="GG282">
        <v>0.89277710251994391</v>
      </c>
      <c r="GH282">
        <v>0</v>
      </c>
      <c r="GI282">
        <v>0.39966503777974915</v>
      </c>
      <c r="GJ282"/>
      <c r="GK282">
        <v>1.4113251969847935</v>
      </c>
      <c r="GL282">
        <v>0.66663043111567644</v>
      </c>
      <c r="GM282">
        <v>0</v>
      </c>
      <c r="GN282">
        <v>0</v>
      </c>
      <c r="GO282">
        <v>0</v>
      </c>
      <c r="GP282">
        <v>0</v>
      </c>
      <c r="GQ282">
        <v>1.3610937928885667</v>
      </c>
      <c r="GR282">
        <v>1.3610937928885667</v>
      </c>
      <c r="GS282">
        <v>0</v>
      </c>
      <c r="GT282">
        <v>0.55448379797467207</v>
      </c>
      <c r="GU282"/>
      <c r="GV282"/>
      <c r="GW282"/>
      <c r="GX282"/>
      <c r="GY282"/>
      <c r="GZ282"/>
      <c r="HA282"/>
      <c r="HB282"/>
      <c r="HC282"/>
    </row>
    <row r="283" spans="1:211" s="7" customFormat="1">
      <c r="A283" s="1"/>
      <c r="B283">
        <v>0.3210004952372747</v>
      </c>
      <c r="C283">
        <v>8</v>
      </c>
      <c r="D283">
        <v>39799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2.4166666666666665</v>
      </c>
      <c r="AO283">
        <v>0.24945423749371232</v>
      </c>
      <c r="AP283">
        <v>9.4590728124494099</v>
      </c>
      <c r="AQ283">
        <v>1.8730423445852047</v>
      </c>
      <c r="AR283">
        <v>0.28421142205483352</v>
      </c>
      <c r="AS283">
        <v>1.7229460433764401</v>
      </c>
      <c r="AT283" t="e">
        <v>#DIV/0!</v>
      </c>
      <c r="AU283" t="e">
        <v>#DIV/0!</v>
      </c>
      <c r="AV283"/>
      <c r="AW283"/>
      <c r="FY283" s="211">
        <v>278</v>
      </c>
      <c r="FZ283">
        <v>0.88331126035016694</v>
      </c>
      <c r="GA283">
        <v>0.38735017759921181</v>
      </c>
      <c r="GB283">
        <v>0.23761195983622446</v>
      </c>
      <c r="GC283">
        <v>0.13241647695576048</v>
      </c>
      <c r="GD283">
        <v>0</v>
      </c>
      <c r="GE283">
        <v>0</v>
      </c>
      <c r="GF283">
        <v>0.66042100116664126</v>
      </c>
      <c r="GG283">
        <v>0.59518473501329594</v>
      </c>
      <c r="GH283">
        <v>0</v>
      </c>
      <c r="GI283">
        <v>0.31720010026266698</v>
      </c>
      <c r="GJ283"/>
      <c r="GK283">
        <v>0.88635413101755822</v>
      </c>
      <c r="GL283">
        <v>0.33331521555783822</v>
      </c>
      <c r="GM283">
        <v>0.39275310362402555</v>
      </c>
      <c r="GN283">
        <v>0.39275310362402555</v>
      </c>
      <c r="GO283">
        <v>0</v>
      </c>
      <c r="GP283">
        <v>0</v>
      </c>
      <c r="GQ283">
        <v>0.90739586192571098</v>
      </c>
      <c r="GR283">
        <v>0.90739586192571098</v>
      </c>
      <c r="GS283">
        <v>0</v>
      </c>
      <c r="GT283">
        <v>0.43730061931345898</v>
      </c>
      <c r="GU283"/>
      <c r="GV283"/>
      <c r="GW283"/>
      <c r="GX283"/>
      <c r="GY283"/>
      <c r="GZ283"/>
      <c r="HA283"/>
      <c r="HB283"/>
      <c r="HC283"/>
    </row>
    <row r="284" spans="1:211" s="7" customFormat="1">
      <c r="A284" s="1"/>
      <c r="B284">
        <v>0.6883926474549229</v>
      </c>
      <c r="C284">
        <v>8</v>
      </c>
      <c r="D284">
        <v>39799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2.7531249999999998</v>
      </c>
      <c r="AO284">
        <v>0.4526863919212385</v>
      </c>
      <c r="AP284">
        <v>18.629314639703946</v>
      </c>
      <c r="AQ284">
        <v>3.3745308452728109</v>
      </c>
      <c r="AR284">
        <v>0.47340349080394228</v>
      </c>
      <c r="AS284">
        <v>2.332780585100878</v>
      </c>
      <c r="AT284" t="e">
        <v>#DIV/0!</v>
      </c>
      <c r="AU284" t="e">
        <v>#DIV/0!</v>
      </c>
      <c r="AV284"/>
      <c r="AW284"/>
      <c r="FY284" s="211">
        <v>279</v>
      </c>
      <c r="FZ284">
        <v>0.51735494459904696</v>
      </c>
      <c r="GA284">
        <v>8.725047411847664E-2</v>
      </c>
      <c r="GB284">
        <v>0.15840797322414965</v>
      </c>
      <c r="GC284">
        <v>0.12309692626280153</v>
      </c>
      <c r="GD284">
        <v>2.6724553773673727E-2</v>
      </c>
      <c r="GE284">
        <v>0</v>
      </c>
      <c r="GF284">
        <v>0.33021050058332063</v>
      </c>
      <c r="GG284">
        <v>0.29759236750664797</v>
      </c>
      <c r="GH284">
        <v>0</v>
      </c>
      <c r="GI284">
        <v>0.19506513671705752</v>
      </c>
      <c r="GJ284"/>
      <c r="GK284">
        <v>0.5160009092497212</v>
      </c>
      <c r="GL284">
        <v>7.3740509229249462E-2</v>
      </c>
      <c r="GM284">
        <v>0.26183540241601705</v>
      </c>
      <c r="GN284">
        <v>0.3667734676484084</v>
      </c>
      <c r="GO284">
        <v>0.10493806523239137</v>
      </c>
      <c r="GP284">
        <v>0</v>
      </c>
      <c r="GQ284">
        <v>0.45369793096285549</v>
      </c>
      <c r="GR284">
        <v>0.45369793096285549</v>
      </c>
      <c r="GS284">
        <v>0</v>
      </c>
      <c r="GT284">
        <v>0.26729446157219705</v>
      </c>
      <c r="GU284"/>
      <c r="GV284"/>
      <c r="GW284"/>
      <c r="GX284"/>
      <c r="GY284"/>
      <c r="GZ284"/>
      <c r="HA284"/>
      <c r="HB284"/>
      <c r="HC284"/>
    </row>
    <row r="285" spans="1:211" s="7" customFormat="1">
      <c r="A285" s="1"/>
      <c r="B285">
        <v>9.7015539284460495E-2</v>
      </c>
      <c r="C285">
        <v>9</v>
      </c>
      <c r="D285">
        <v>39799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2.6593749999999998</v>
      </c>
      <c r="AO285">
        <v>0.46726221762461562</v>
      </c>
      <c r="AP285">
        <v>16.759853573875883</v>
      </c>
      <c r="AQ285">
        <v>3.3534625031010714</v>
      </c>
      <c r="AR285">
        <v>0.46791677123263042</v>
      </c>
      <c r="AS285">
        <v>2.4603028534117537</v>
      </c>
      <c r="AT285" t="e">
        <v>#DIV/0!</v>
      </c>
      <c r="AU285" t="e">
        <v>#DIV/0!</v>
      </c>
      <c r="AV285"/>
      <c r="AW285"/>
      <c r="FY285" s="211">
        <v>280</v>
      </c>
      <c r="FZ285">
        <v>0.62815423278201654</v>
      </c>
      <c r="GA285">
        <v>8.725047411847664E-2</v>
      </c>
      <c r="GB285">
        <v>0.14202990935487192</v>
      </c>
      <c r="GC285">
        <v>0.11377737556984255</v>
      </c>
      <c r="GD285">
        <v>2.6724553773673727E-2</v>
      </c>
      <c r="GE285">
        <v>0</v>
      </c>
      <c r="GF285">
        <v>0</v>
      </c>
      <c r="GG285">
        <v>0</v>
      </c>
      <c r="GH285">
        <v>0</v>
      </c>
      <c r="GI285">
        <v>0.14346875097804559</v>
      </c>
      <c r="GJ285"/>
      <c r="GK285">
        <v>0.62677942468896952</v>
      </c>
      <c r="GL285">
        <v>7.3740509229249462E-2</v>
      </c>
      <c r="GM285">
        <v>0.23585576644039991</v>
      </c>
      <c r="GN285">
        <v>0.34079383167279126</v>
      </c>
      <c r="GO285">
        <v>0.10493806523239137</v>
      </c>
      <c r="GP285">
        <v>0</v>
      </c>
      <c r="GQ285">
        <v>0</v>
      </c>
      <c r="GR285">
        <v>0</v>
      </c>
      <c r="GS285">
        <v>0</v>
      </c>
      <c r="GT285">
        <v>0.19351465127235218</v>
      </c>
      <c r="GU285"/>
      <c r="GV285"/>
      <c r="GW285"/>
      <c r="GX285"/>
      <c r="GY285"/>
      <c r="GZ285"/>
      <c r="HA285"/>
      <c r="HB285"/>
      <c r="HC285"/>
    </row>
    <row r="286" spans="1:211" s="7" customFormat="1">
      <c r="A286" s="1"/>
      <c r="B286">
        <v>8.5816423610176162E-2</v>
      </c>
      <c r="C286">
        <v>9</v>
      </c>
      <c r="D286">
        <v>39799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2.4979166666666663</v>
      </c>
      <c r="AO286">
        <v>0.32794759576820592</v>
      </c>
      <c r="AP286">
        <v>12.455833289946973</v>
      </c>
      <c r="AQ286">
        <v>2.4217049776974147</v>
      </c>
      <c r="AR286">
        <v>0.33679187971342772</v>
      </c>
      <c r="AS286">
        <v>1.7770571319648449</v>
      </c>
      <c r="AT286" t="e">
        <v>#DIV/0!</v>
      </c>
      <c r="AU286" t="e">
        <v>#DIV/0!</v>
      </c>
      <c r="AV286"/>
      <c r="AW286"/>
      <c r="FY286" s="211">
        <v>281</v>
      </c>
      <c r="FZ286">
        <v>0.97860839794560817</v>
      </c>
      <c r="GA286">
        <v>0.47460065171768845</v>
      </c>
      <c r="GB286">
        <v>7.9203986612074825E-2</v>
      </c>
      <c r="GC286">
        <v>7.8958100610881349E-2</v>
      </c>
      <c r="GD286">
        <v>2.6724553773673727E-2</v>
      </c>
      <c r="GE286">
        <v>0</v>
      </c>
      <c r="GF286">
        <v>0</v>
      </c>
      <c r="GG286">
        <v>0</v>
      </c>
      <c r="GH286">
        <v>0</v>
      </c>
      <c r="GI286">
        <v>0.17973513256356821</v>
      </c>
      <c r="GJ286"/>
      <c r="GK286">
        <v>0.98477530538830749</v>
      </c>
      <c r="GL286">
        <v>0.40705572478708768</v>
      </c>
      <c r="GM286">
        <v>0.13091770120800852</v>
      </c>
      <c r="GN286">
        <v>0.23585576644039991</v>
      </c>
      <c r="GO286">
        <v>0.10493806523239137</v>
      </c>
      <c r="GP286">
        <v>0</v>
      </c>
      <c r="GQ286">
        <v>0</v>
      </c>
      <c r="GR286">
        <v>0</v>
      </c>
      <c r="GS286">
        <v>0</v>
      </c>
      <c r="GT286">
        <v>0.24412621436574145</v>
      </c>
      <c r="GU286"/>
      <c r="GV286"/>
      <c r="GW286"/>
      <c r="GX286"/>
      <c r="GY286"/>
      <c r="GZ286"/>
      <c r="HA286"/>
      <c r="HB286"/>
      <c r="HC286"/>
    </row>
    <row r="287" spans="1:211" s="7" customFormat="1">
      <c r="A287" s="1"/>
      <c r="B287">
        <v>0.16671882039124464</v>
      </c>
      <c r="C287">
        <v>6</v>
      </c>
      <c r="D287">
        <v>39799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3.0083333333333329</v>
      </c>
      <c r="AO287">
        <v>0.41739645161050537</v>
      </c>
      <c r="AP287">
        <v>13.037593822279815</v>
      </c>
      <c r="AQ287">
        <v>3.227956571856172</v>
      </c>
      <c r="AR287">
        <v>0.48224309990425757</v>
      </c>
      <c r="AS287">
        <v>2.5525827259055696</v>
      </c>
      <c r="AT287" t="e">
        <v>#DIV/0!</v>
      </c>
      <c r="AU287" t="e">
        <v>#DIV/0!</v>
      </c>
      <c r="AV287"/>
      <c r="AW287"/>
      <c r="FY287" s="211">
        <v>282</v>
      </c>
      <c r="FZ287">
        <v>0.60885954146456067</v>
      </c>
      <c r="GA287">
        <v>8.725047411847664E-2</v>
      </c>
      <c r="GB287">
        <v>6.282592274279708E-2</v>
      </c>
      <c r="GC287">
        <v>3.4819274958961192E-2</v>
      </c>
      <c r="GD287">
        <v>0</v>
      </c>
      <c r="GE287">
        <v>0</v>
      </c>
      <c r="GF287">
        <v>0</v>
      </c>
      <c r="GG287">
        <v>0</v>
      </c>
      <c r="GH287">
        <v>0</v>
      </c>
      <c r="GI287">
        <v>0.10566081923592749</v>
      </c>
      <c r="GJ287"/>
      <c r="GK287">
        <v>0.61040983891999945</v>
      </c>
      <c r="GL287">
        <v>7.3740509229249462E-2</v>
      </c>
      <c r="GM287">
        <v>0.10493806523239137</v>
      </c>
      <c r="GN287">
        <v>0.10493806523239137</v>
      </c>
      <c r="GO287">
        <v>0</v>
      </c>
      <c r="GP287">
        <v>0</v>
      </c>
      <c r="GQ287">
        <v>0</v>
      </c>
      <c r="GR287">
        <v>0</v>
      </c>
      <c r="GS287">
        <v>0</v>
      </c>
      <c r="GT287">
        <v>0.14306958083047816</v>
      </c>
      <c r="GU287"/>
      <c r="GV287"/>
      <c r="GW287"/>
      <c r="GX287"/>
      <c r="GY287"/>
      <c r="GZ287"/>
      <c r="HA287"/>
      <c r="HB287"/>
      <c r="HC287"/>
    </row>
    <row r="288" spans="1:211" s="7" customFormat="1">
      <c r="A288" s="1"/>
      <c r="B288">
        <v>0.29045031124212017</v>
      </c>
      <c r="C288">
        <v>8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1.7708333333333328</v>
      </c>
      <c r="AO288">
        <v>0.17338173794823486</v>
      </c>
      <c r="AP288">
        <v>1.2816558953166293</v>
      </c>
      <c r="AQ288">
        <v>1.1176669247589377</v>
      </c>
      <c r="AR288">
        <v>0.2190108530921305</v>
      </c>
      <c r="AS288">
        <v>1.4370293846337288</v>
      </c>
      <c r="AT288" t="e">
        <v>#DIV/0!</v>
      </c>
      <c r="AU288" t="e">
        <v>#DIV/0!</v>
      </c>
      <c r="AV288"/>
      <c r="AW288"/>
      <c r="FY288" s="211">
        <v>283</v>
      </c>
      <c r="FZ288">
        <v>1.1420866377083612</v>
      </c>
      <c r="GA288">
        <v>0.56185112583616514</v>
      </c>
      <c r="GB288">
        <v>0</v>
      </c>
      <c r="GC288">
        <v>0</v>
      </c>
      <c r="GD288">
        <v>0</v>
      </c>
      <c r="GE288">
        <v>0</v>
      </c>
      <c r="GF288">
        <v>0</v>
      </c>
      <c r="GG288">
        <v>0</v>
      </c>
      <c r="GH288">
        <v>0</v>
      </c>
      <c r="GI288">
        <v>0.16920013163180972</v>
      </c>
      <c r="GJ288"/>
      <c r="GK288">
        <v>1.1450500410975066</v>
      </c>
      <c r="GL288">
        <v>0.48079623401633714</v>
      </c>
      <c r="GM288">
        <v>0</v>
      </c>
      <c r="GN288">
        <v>0</v>
      </c>
      <c r="GO288">
        <v>0</v>
      </c>
      <c r="GP288">
        <v>0</v>
      </c>
      <c r="GQ288">
        <v>0</v>
      </c>
      <c r="GR288">
        <v>0</v>
      </c>
      <c r="GS288">
        <v>0</v>
      </c>
      <c r="GT288">
        <v>0.22901000821950135</v>
      </c>
      <c r="GU288"/>
      <c r="GV288"/>
      <c r="GW288"/>
      <c r="GX288"/>
      <c r="GY288"/>
      <c r="GZ288"/>
      <c r="HA288"/>
      <c r="HB288"/>
      <c r="HC288"/>
    </row>
    <row r="289" spans="1:211" s="7" customFormat="1">
      <c r="A289" s="1"/>
      <c r="B289">
        <v>0.84920400084952608</v>
      </c>
      <c r="C289">
        <v>3</v>
      </c>
      <c r="D289">
        <v>39847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1.703125</v>
      </c>
      <c r="AO289">
        <v>0.31173381756812563</v>
      </c>
      <c r="AP289">
        <v>13.918874905827153</v>
      </c>
      <c r="AQ289">
        <v>2.3216254555093725</v>
      </c>
      <c r="AR289">
        <v>0.34650410209125615</v>
      </c>
      <c r="AS289">
        <v>1.7939161278512092</v>
      </c>
      <c r="AT289" t="e">
        <v>#DIV/0!</v>
      </c>
      <c r="AU289" t="e">
        <v>#DIV/0!</v>
      </c>
      <c r="AV289"/>
      <c r="AW289"/>
      <c r="FY289" s="211">
        <v>284</v>
      </c>
      <c r="FZ289">
        <v>0.86541497046646099</v>
      </c>
      <c r="GA289">
        <v>0</v>
      </c>
      <c r="GB289">
        <v>0.14202990935487192</v>
      </c>
      <c r="GC289">
        <v>7.8958100610881349E-2</v>
      </c>
      <c r="GD289">
        <v>0</v>
      </c>
      <c r="GE289">
        <v>0</v>
      </c>
      <c r="GF289">
        <v>0.33021050058332063</v>
      </c>
      <c r="GG289">
        <v>0.29759236750664797</v>
      </c>
      <c r="GH289">
        <v>0</v>
      </c>
      <c r="GI289">
        <v>0.22709724775032819</v>
      </c>
      <c r="GJ289"/>
      <c r="GK289">
        <v>0.86932546790360332</v>
      </c>
      <c r="GL289">
        <v>0</v>
      </c>
      <c r="GM289">
        <v>0.23585576644039991</v>
      </c>
      <c r="GN289">
        <v>0.23585576644039991</v>
      </c>
      <c r="GO289">
        <v>0</v>
      </c>
      <c r="GP289">
        <v>0</v>
      </c>
      <c r="GQ289">
        <v>0.45369793096285549</v>
      </c>
      <c r="GR289">
        <v>0.45369793096285549</v>
      </c>
      <c r="GS289">
        <v>0</v>
      </c>
      <c r="GT289">
        <v>0.31177583306137174</v>
      </c>
      <c r="GU289"/>
      <c r="GV289"/>
      <c r="GW289"/>
      <c r="GX289"/>
      <c r="GY289"/>
      <c r="GZ289"/>
      <c r="HA289"/>
      <c r="HB289"/>
      <c r="HC289"/>
    </row>
    <row r="290" spans="1:211" s="7" customFormat="1">
      <c r="A290" s="1"/>
      <c r="B290">
        <v>0.73654251690373806</v>
      </c>
      <c r="C290">
        <v>8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4.0447916666666659</v>
      </c>
      <c r="AO290">
        <v>0.48745721008292608</v>
      </c>
      <c r="AP290">
        <v>19.889333582681203</v>
      </c>
      <c r="AQ290">
        <v>3.7636778019943193</v>
      </c>
      <c r="AR290">
        <v>0.51906476953521341</v>
      </c>
      <c r="AS290">
        <v>2.6298776562951893</v>
      </c>
      <c r="AT290" t="e">
        <v>#DIV/0!</v>
      </c>
      <c r="AU290" t="e">
        <v>#DIV/0!</v>
      </c>
      <c r="AV290"/>
      <c r="AW290"/>
      <c r="FY290" s="211">
        <v>285</v>
      </c>
      <c r="FZ290">
        <v>0.45948935295187027</v>
      </c>
      <c r="GA290">
        <v>0</v>
      </c>
      <c r="GB290">
        <v>0.15840797322414965</v>
      </c>
      <c r="GC290">
        <v>0.12309692626280153</v>
      </c>
      <c r="GD290">
        <v>2.6724553773673727E-2</v>
      </c>
      <c r="GE290">
        <v>0</v>
      </c>
      <c r="GF290">
        <v>0.33021050058332063</v>
      </c>
      <c r="GG290">
        <v>0.29759236750664797</v>
      </c>
      <c r="GH290">
        <v>0</v>
      </c>
      <c r="GI290">
        <v>0.18648123292577595</v>
      </c>
      <c r="GJ290"/>
      <c r="GK290">
        <v>0.45836135366662578</v>
      </c>
      <c r="GL290">
        <v>0</v>
      </c>
      <c r="GM290">
        <v>0.26183540241601705</v>
      </c>
      <c r="GN290">
        <v>0.3667734676484084</v>
      </c>
      <c r="GO290">
        <v>0.10493806523239137</v>
      </c>
      <c r="GP290">
        <v>0</v>
      </c>
      <c r="GQ290">
        <v>0.45369793096285549</v>
      </c>
      <c r="GR290">
        <v>0.45369793096285549</v>
      </c>
      <c r="GS290">
        <v>0</v>
      </c>
      <c r="GT290">
        <v>0.25576655045557795</v>
      </c>
      <c r="GU290"/>
      <c r="GV290"/>
      <c r="GW290"/>
      <c r="GX290"/>
      <c r="GY290"/>
      <c r="GZ290"/>
      <c r="HA290"/>
      <c r="HB290"/>
      <c r="HC290"/>
    </row>
    <row r="291" spans="1:211" s="7" customFormat="1">
      <c r="A291" s="1"/>
      <c r="B291">
        <v>9.2320145696729305E-2</v>
      </c>
      <c r="C291">
        <v>9</v>
      </c>
      <c r="D291">
        <v>39847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1.9874999999999996</v>
      </c>
      <c r="AO291">
        <v>0.18028882697055212</v>
      </c>
      <c r="AP291">
        <v>2.7134311862239713</v>
      </c>
      <c r="AQ291">
        <v>1.6957239493358893</v>
      </c>
      <c r="AR291">
        <v>0.21514907994767368</v>
      </c>
      <c r="AS291">
        <v>1.3980324134976045</v>
      </c>
      <c r="AT291" t="e">
        <v>#DIV/0!</v>
      </c>
      <c r="AU291" t="e">
        <v>#DIV/0!</v>
      </c>
      <c r="AV291"/>
      <c r="AW291"/>
      <c r="FY291" s="211">
        <v>286</v>
      </c>
      <c r="FZ291">
        <v>1.4788251882164922</v>
      </c>
      <c r="GA291">
        <v>0.86195082931690026</v>
      </c>
      <c r="GB291">
        <v>0.18847776822839127</v>
      </c>
      <c r="GC291">
        <v>0.174096374794806</v>
      </c>
      <c r="GD291">
        <v>5.3449107547347455E-2</v>
      </c>
      <c r="GE291">
        <v>0</v>
      </c>
      <c r="GF291">
        <v>0.33021050058332063</v>
      </c>
      <c r="GG291">
        <v>0.29759236750664797</v>
      </c>
      <c r="GH291">
        <v>0</v>
      </c>
      <c r="GI291">
        <v>0.36035983075559169</v>
      </c>
      <c r="GJ291"/>
      <c r="GK291">
        <v>1.4856698415276077</v>
      </c>
      <c r="GL291">
        <v>0.7403709403449259</v>
      </c>
      <c r="GM291">
        <v>0.31481419569717417</v>
      </c>
      <c r="GN291">
        <v>0.52469032616195688</v>
      </c>
      <c r="GO291">
        <v>0.20987613046478273</v>
      </c>
      <c r="GP291">
        <v>0</v>
      </c>
      <c r="GQ291">
        <v>0.45369793096285549</v>
      </c>
      <c r="GR291">
        <v>0.45369793096285549</v>
      </c>
      <c r="GS291">
        <v>0</v>
      </c>
      <c r="GT291">
        <v>0.49281161973048404</v>
      </c>
      <c r="GU291"/>
      <c r="GV291"/>
      <c r="GW291"/>
      <c r="GX291"/>
      <c r="GY291"/>
      <c r="GZ291"/>
      <c r="HA291"/>
      <c r="HB291"/>
      <c r="HC291"/>
    </row>
    <row r="292" spans="1:211" s="7" customFormat="1">
      <c r="A292" s="1"/>
      <c r="B292">
        <v>0.83203773769495304</v>
      </c>
      <c r="C292">
        <v>5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3.7875000000000001</v>
      </c>
      <c r="AO292">
        <v>0.34207838732256374</v>
      </c>
      <c r="AP292">
        <v>7.7209656218549236</v>
      </c>
      <c r="AQ292">
        <v>3.0224945710920545</v>
      </c>
      <c r="AR292">
        <v>0.39789666241025878</v>
      </c>
      <c r="AS292">
        <v>2.3551504844710678</v>
      </c>
      <c r="AT292" t="e">
        <v>#DIV/0!</v>
      </c>
      <c r="AU292" t="e">
        <v>#DIV/0!</v>
      </c>
      <c r="AV292"/>
      <c r="AW292"/>
      <c r="FY292" s="211">
        <v>287</v>
      </c>
      <c r="FZ292">
        <v>0.71199336860359885</v>
      </c>
      <c r="GA292">
        <v>0.38735017759921181</v>
      </c>
      <c r="GB292">
        <v>0.14202990935487192</v>
      </c>
      <c r="GC292">
        <v>0.11377737556984255</v>
      </c>
      <c r="GD292">
        <v>2.6724553773673727E-2</v>
      </c>
      <c r="GE292">
        <v>0</v>
      </c>
      <c r="GF292">
        <v>0</v>
      </c>
      <c r="GG292">
        <v>0</v>
      </c>
      <c r="GH292">
        <v>0</v>
      </c>
      <c r="GI292">
        <v>0.15575265351015696</v>
      </c>
      <c r="GJ292"/>
      <c r="GK292">
        <v>0.71546757404064265</v>
      </c>
      <c r="GL292">
        <v>0.33331521555783822</v>
      </c>
      <c r="GM292">
        <v>0.23585576644039991</v>
      </c>
      <c r="GN292">
        <v>0.34079383167279126</v>
      </c>
      <c r="GO292">
        <v>0.10493806523239137</v>
      </c>
      <c r="GP292">
        <v>0</v>
      </c>
      <c r="GQ292">
        <v>0</v>
      </c>
      <c r="GR292">
        <v>0</v>
      </c>
      <c r="GS292">
        <v>0</v>
      </c>
      <c r="GT292">
        <v>0.21125228114268682</v>
      </c>
      <c r="GU292"/>
      <c r="GV292"/>
      <c r="GW292"/>
      <c r="GX292"/>
      <c r="GY292"/>
      <c r="GZ292"/>
      <c r="HA292"/>
      <c r="HB292"/>
      <c r="HC292"/>
    </row>
    <row r="293" spans="1:211" s="7" customFormat="1">
      <c r="A293" s="1"/>
      <c r="B293">
        <v>0.44989897949294821</v>
      </c>
      <c r="C293">
        <v>1</v>
      </c>
      <c r="D293">
        <v>39847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2.6312500000000001</v>
      </c>
      <c r="AO293">
        <v>0.53546270118522765</v>
      </c>
      <c r="AP293">
        <v>21.452469974629722</v>
      </c>
      <c r="AQ293">
        <v>4.4592432668146458</v>
      </c>
      <c r="AR293">
        <v>0.55448379797467207</v>
      </c>
      <c r="AS293">
        <v>2.6765979841951122</v>
      </c>
      <c r="AT293" t="e">
        <v>#DIV/0!</v>
      </c>
      <c r="AU293" t="e">
        <v>#DIV/0!</v>
      </c>
      <c r="AV293"/>
      <c r="AW293"/>
      <c r="FY293" s="211">
        <v>288</v>
      </c>
      <c r="FZ293">
        <v>1.0214233848705752</v>
      </c>
      <c r="GA293">
        <v>0.47460065171768845</v>
      </c>
      <c r="GB293">
        <v>0.12565184548559416</v>
      </c>
      <c r="GC293">
        <v>6.9638549917922385E-2</v>
      </c>
      <c r="GD293">
        <v>0</v>
      </c>
      <c r="GE293">
        <v>0</v>
      </c>
      <c r="GF293">
        <v>0</v>
      </c>
      <c r="GG293">
        <v>0</v>
      </c>
      <c r="GH293">
        <v>0</v>
      </c>
      <c r="GI293">
        <v>0.18223451293785628</v>
      </c>
      <c r="GJ293"/>
      <c r="GK293">
        <v>1.0242149264849461</v>
      </c>
      <c r="GL293">
        <v>0.40705572478708768</v>
      </c>
      <c r="GM293">
        <v>0.20987613046478273</v>
      </c>
      <c r="GN293">
        <v>0.20987613046478273</v>
      </c>
      <c r="GO293">
        <v>0</v>
      </c>
      <c r="GP293">
        <v>0</v>
      </c>
      <c r="GQ293">
        <v>0</v>
      </c>
      <c r="GR293">
        <v>0</v>
      </c>
      <c r="GS293">
        <v>0</v>
      </c>
      <c r="GT293">
        <v>0.24681821138994578</v>
      </c>
      <c r="GU293"/>
      <c r="GV293"/>
      <c r="GW293"/>
      <c r="GX293"/>
      <c r="GY293"/>
      <c r="GZ293"/>
      <c r="HA293"/>
      <c r="HB293"/>
      <c r="HC293"/>
    </row>
    <row r="294" spans="1:211" s="7" customFormat="1">
      <c r="A294" s="1"/>
      <c r="B294">
        <v>0.4907887997450775</v>
      </c>
      <c r="C294">
        <v>2</v>
      </c>
      <c r="D294">
        <v>39847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3.3572916666666672</v>
      </c>
      <c r="AO294">
        <v>0.42572678969883287</v>
      </c>
      <c r="AP294">
        <v>19.064149438047963</v>
      </c>
      <c r="AQ294">
        <v>3.2134957111839686</v>
      </c>
      <c r="AR294">
        <v>0.43730061931345898</v>
      </c>
      <c r="AS294">
        <v>2.2678473604251583</v>
      </c>
      <c r="AT294" t="e">
        <v>#DIV/0!</v>
      </c>
      <c r="AU294" t="e">
        <v>#DIV/0!</v>
      </c>
      <c r="AV294"/>
      <c r="AW294"/>
      <c r="FY294" s="211">
        <v>289</v>
      </c>
      <c r="FZ294">
        <v>1.6405758268858455</v>
      </c>
      <c r="GA294">
        <v>0.9492013034353769</v>
      </c>
      <c r="GB294">
        <v>7.9203986612074825E-2</v>
      </c>
      <c r="GC294">
        <v>7.8958100610881349E-2</v>
      </c>
      <c r="GD294">
        <v>2.6724553773673727E-2</v>
      </c>
      <c r="GE294">
        <v>0</v>
      </c>
      <c r="GF294">
        <v>0.33021050058332063</v>
      </c>
      <c r="GG294">
        <v>0.29759236750664797</v>
      </c>
      <c r="GH294">
        <v>0</v>
      </c>
      <c r="GI294">
        <v>0.34173881684912721</v>
      </c>
      <c r="GJ294"/>
      <c r="GK294">
        <v>1.653215145113571</v>
      </c>
      <c r="GL294">
        <v>0.81411144957417536</v>
      </c>
      <c r="GM294">
        <v>0.13091770120800852</v>
      </c>
      <c r="GN294">
        <v>0.23585576644039991</v>
      </c>
      <c r="GO294">
        <v>0.10493806523239137</v>
      </c>
      <c r="GP294">
        <v>0</v>
      </c>
      <c r="GQ294">
        <v>0.45369793096285549</v>
      </c>
      <c r="GR294">
        <v>0.45369793096285549</v>
      </c>
      <c r="GS294">
        <v>0</v>
      </c>
      <c r="GT294">
        <v>0.46855376850336528</v>
      </c>
      <c r="GU294"/>
      <c r="GV294"/>
      <c r="GW294"/>
      <c r="GX294"/>
      <c r="GY294"/>
      <c r="GZ294"/>
      <c r="HA294"/>
      <c r="HB294"/>
      <c r="HC294"/>
    </row>
    <row r="295" spans="1:211" s="7" customFormat="1">
      <c r="A295" s="1"/>
      <c r="B295">
        <v>0.29534263186991927</v>
      </c>
      <c r="C295">
        <v>1</v>
      </c>
      <c r="D295">
        <v>39847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2.90625</v>
      </c>
      <c r="AO295">
        <v>0.24979786772736956</v>
      </c>
      <c r="AP295">
        <v>9.9493342819976078</v>
      </c>
      <c r="AQ295">
        <v>1.7357028767851748</v>
      </c>
      <c r="AR295">
        <v>0.26729446157219705</v>
      </c>
      <c r="AS295">
        <v>1.5348819634339335</v>
      </c>
      <c r="AT295" t="e">
        <v>#DIV/0!</v>
      </c>
      <c r="AU295" t="e">
        <v>#DIV/0!</v>
      </c>
      <c r="AV295"/>
      <c r="AW295"/>
      <c r="FY295" s="211">
        <v>290</v>
      </c>
      <c r="FZ295">
        <v>0.61074715328893736</v>
      </c>
      <c r="GA295">
        <v>0</v>
      </c>
      <c r="GB295">
        <v>0.204855832097669</v>
      </c>
      <c r="GC295">
        <v>0.11377737556984255</v>
      </c>
      <c r="GD295">
        <v>0</v>
      </c>
      <c r="GE295">
        <v>0</v>
      </c>
      <c r="GF295">
        <v>0.33021050058332063</v>
      </c>
      <c r="GG295">
        <v>0.29759236750664797</v>
      </c>
      <c r="GH295">
        <v>0</v>
      </c>
      <c r="GI295">
        <v>0.20489139732056133</v>
      </c>
      <c r="GJ295"/>
      <c r="GK295">
        <v>0.61177094231087337</v>
      </c>
      <c r="GL295">
        <v>0</v>
      </c>
      <c r="GM295">
        <v>0.34079383167279126</v>
      </c>
      <c r="GN295">
        <v>0.34079383167279126</v>
      </c>
      <c r="GO295">
        <v>0</v>
      </c>
      <c r="GP295">
        <v>0</v>
      </c>
      <c r="GQ295">
        <v>0.45369793096285549</v>
      </c>
      <c r="GR295">
        <v>0.45369793096285549</v>
      </c>
      <c r="GS295">
        <v>0</v>
      </c>
      <c r="GT295">
        <v>0.28125254098930402</v>
      </c>
      <c r="GU295"/>
      <c r="GV295"/>
      <c r="GW295"/>
      <c r="GX295"/>
      <c r="GY295"/>
      <c r="GZ295"/>
      <c r="HA295"/>
      <c r="HB295"/>
      <c r="HC295"/>
    </row>
    <row r="296" spans="1:211" s="7" customFormat="1">
      <c r="A296" s="1"/>
      <c r="B296">
        <v>0.78610267008970514</v>
      </c>
      <c r="C296">
        <v>7</v>
      </c>
      <c r="D296">
        <v>39847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 s="80"/>
      <c r="AK296" s="81"/>
      <c r="AL296" s="81"/>
      <c r="AM296" s="43">
        <v>280</v>
      </c>
      <c r="AN296">
        <v>2.8072916666666665</v>
      </c>
      <c r="AO296">
        <v>0.15756222485361537</v>
      </c>
      <c r="AP296">
        <v>3.4212969530547186</v>
      </c>
      <c r="AQ296">
        <v>1.141405296576927</v>
      </c>
      <c r="AR296">
        <v>0.19351465127235218</v>
      </c>
      <c r="AS296">
        <v>1.3268350300736658</v>
      </c>
      <c r="AT296" t="e">
        <v>#DIV/0!</v>
      </c>
      <c r="AU296" t="e">
        <v>#DIV/0!</v>
      </c>
      <c r="AV296"/>
      <c r="AW296"/>
      <c r="FY296" s="211">
        <v>291</v>
      </c>
      <c r="FZ296">
        <v>0.50755008921494738</v>
      </c>
      <c r="GA296">
        <v>0</v>
      </c>
      <c r="GB296">
        <v>0.22123389596694673</v>
      </c>
      <c r="GC296">
        <v>0.12309692626280153</v>
      </c>
      <c r="GD296">
        <v>0</v>
      </c>
      <c r="GE296">
        <v>0</v>
      </c>
      <c r="GF296">
        <v>0</v>
      </c>
      <c r="GG296">
        <v>0</v>
      </c>
      <c r="GH296">
        <v>0</v>
      </c>
      <c r="GI296">
        <v>0.12944778140806287</v>
      </c>
      <c r="GJ296"/>
      <c r="GK296">
        <v>0.50925154647186233</v>
      </c>
      <c r="GL296">
        <v>0</v>
      </c>
      <c r="GM296">
        <v>0.3667734676484084</v>
      </c>
      <c r="GN296">
        <v>0.3667734676484084</v>
      </c>
      <c r="GO296">
        <v>0</v>
      </c>
      <c r="GP296">
        <v>0</v>
      </c>
      <c r="GQ296">
        <v>0</v>
      </c>
      <c r="GR296">
        <v>0</v>
      </c>
      <c r="GS296">
        <v>0</v>
      </c>
      <c r="GT296">
        <v>0.17520500282405416</v>
      </c>
      <c r="GU296"/>
      <c r="GV296"/>
      <c r="GW296"/>
      <c r="GX296"/>
      <c r="GY296"/>
      <c r="GZ296"/>
      <c r="HA296"/>
      <c r="HB296"/>
      <c r="HC296"/>
    </row>
    <row r="297" spans="1:211" s="7" customFormat="1">
      <c r="A297" s="1"/>
      <c r="B297">
        <v>0.63192238260617928</v>
      </c>
      <c r="C297">
        <v>7</v>
      </c>
      <c r="D297">
        <v>39847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 s="80"/>
      <c r="AK297" s="81"/>
      <c r="AL297" s="81"/>
      <c r="AM297" s="43">
        <v>281</v>
      </c>
      <c r="AN297">
        <v>1.7739583333333333</v>
      </c>
      <c r="AO297">
        <v>0.21076687774219366</v>
      </c>
      <c r="AP297">
        <v>2.6792356555663845</v>
      </c>
      <c r="AQ297">
        <v>1.8178308232234945</v>
      </c>
      <c r="AR297">
        <v>0.24412621436574145</v>
      </c>
      <c r="AS297">
        <v>1.468701055481566</v>
      </c>
      <c r="AT297" t="e">
        <v>#DIV/0!</v>
      </c>
      <c r="AU297" t="e">
        <v>#DIV/0!</v>
      </c>
      <c r="AV297"/>
      <c r="AW297"/>
      <c r="FY297" s="211">
        <v>292</v>
      </c>
      <c r="FZ297">
        <v>0.87186052311281026</v>
      </c>
      <c r="GA297">
        <v>8.725047411847664E-2</v>
      </c>
      <c r="GB297">
        <v>0.204855832097669</v>
      </c>
      <c r="GC297">
        <v>0.18341592548776492</v>
      </c>
      <c r="GD297">
        <v>5.3449107547347455E-2</v>
      </c>
      <c r="GE297">
        <v>0</v>
      </c>
      <c r="GF297">
        <v>0</v>
      </c>
      <c r="GG297">
        <v>0</v>
      </c>
      <c r="GH297">
        <v>0</v>
      </c>
      <c r="GI297">
        <v>0.21035011282633134</v>
      </c>
      <c r="GJ297"/>
      <c r="GK297">
        <v>0.87580619855864605</v>
      </c>
      <c r="GL297">
        <v>7.3740509229249462E-2</v>
      </c>
      <c r="GM297">
        <v>0.34079383167279126</v>
      </c>
      <c r="GN297">
        <v>0.55066996213757402</v>
      </c>
      <c r="GO297">
        <v>0.20987613046478273</v>
      </c>
      <c r="GP297">
        <v>0</v>
      </c>
      <c r="GQ297">
        <v>0</v>
      </c>
      <c r="GR297">
        <v>0</v>
      </c>
      <c r="GS297">
        <v>0</v>
      </c>
      <c r="GT297">
        <v>0.28529523213924401</v>
      </c>
      <c r="GU297"/>
      <c r="GV297"/>
      <c r="GW297"/>
      <c r="GX297"/>
      <c r="GY297"/>
      <c r="GZ297"/>
      <c r="HA297"/>
      <c r="HB297"/>
      <c r="HC297"/>
    </row>
    <row r="298" spans="1:211" s="7" customFormat="1">
      <c r="A298" s="1"/>
      <c r="B298">
        <v>2.2290595660097168E-3</v>
      </c>
      <c r="C298">
        <v>6</v>
      </c>
      <c r="D298">
        <v>39910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1.65625</v>
      </c>
      <c r="AO298">
        <v>0.10370960594445097</v>
      </c>
      <c r="AP298">
        <v>1.5053988286781057</v>
      </c>
      <c r="AQ298">
        <v>0.89941603252072311</v>
      </c>
      <c r="AR298">
        <v>0.14306958083047816</v>
      </c>
      <c r="AS298">
        <v>0.98286793631897151</v>
      </c>
      <c r="AT298" t="e">
        <v>#DIV/0!</v>
      </c>
      <c r="AU298" t="e">
        <v>#DIV/0!</v>
      </c>
      <c r="AV298"/>
      <c r="AW298"/>
      <c r="FY298" s="211">
        <v>293</v>
      </c>
      <c r="FZ298">
        <v>0.98619330497341395</v>
      </c>
      <c r="GA298">
        <v>0.38735017759921181</v>
      </c>
      <c r="GB298">
        <v>6.282592274279708E-2</v>
      </c>
      <c r="GC298">
        <v>3.4819274958961192E-2</v>
      </c>
      <c r="GD298">
        <v>0</v>
      </c>
      <c r="GE298">
        <v>0</v>
      </c>
      <c r="GF298">
        <v>0.66042100116664126</v>
      </c>
      <c r="GG298">
        <v>0.59518473501329594</v>
      </c>
      <c r="GH298">
        <v>0</v>
      </c>
      <c r="GI298">
        <v>0.28962096235940687</v>
      </c>
      <c r="GJ298"/>
      <c r="GK298">
        <v>0.99174438706982193</v>
      </c>
      <c r="GL298">
        <v>0.33331521555783822</v>
      </c>
      <c r="GM298">
        <v>0.10493806523239137</v>
      </c>
      <c r="GN298">
        <v>0.10493806523239137</v>
      </c>
      <c r="GO298">
        <v>0</v>
      </c>
      <c r="GP298">
        <v>0</v>
      </c>
      <c r="GQ298">
        <v>0.90739586192571098</v>
      </c>
      <c r="GR298">
        <v>0.90739586192571098</v>
      </c>
      <c r="GS298">
        <v>0</v>
      </c>
      <c r="GT298">
        <v>0.40081566284558479</v>
      </c>
      <c r="GU298"/>
      <c r="GV298"/>
      <c r="GW298"/>
      <c r="GX298"/>
      <c r="GY298"/>
      <c r="GZ298"/>
      <c r="HA298"/>
      <c r="HB298"/>
      <c r="HC298"/>
    </row>
    <row r="299" spans="1:211" s="7" customFormat="1">
      <c r="A299" s="1"/>
      <c r="B299">
        <v>0.31103469953762275</v>
      </c>
      <c r="C299">
        <v>1</v>
      </c>
      <c r="D299">
        <v>39910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2.6020833333333329</v>
      </c>
      <c r="AO299">
        <v>0.18548562833333451</v>
      </c>
      <c r="AP299">
        <v>1.5491479579807712</v>
      </c>
      <c r="AQ299">
        <v>1.873137895176336</v>
      </c>
      <c r="AR299">
        <v>0.22901000821950135</v>
      </c>
      <c r="AS299">
        <v>1.68899731728267</v>
      </c>
      <c r="AT299" t="e">
        <v>#DIV/0!</v>
      </c>
      <c r="AU299" t="e">
        <v>#DIV/0!</v>
      </c>
      <c r="AV299"/>
      <c r="AW299"/>
      <c r="FY299" s="211">
        <v>294</v>
      </c>
      <c r="FZ299">
        <v>0.79186577275537018</v>
      </c>
      <c r="GA299">
        <v>0.47460065171768845</v>
      </c>
      <c r="GB299">
        <v>6.282592274279708E-2</v>
      </c>
      <c r="GC299">
        <v>6.9638549917922385E-2</v>
      </c>
      <c r="GD299">
        <v>2.6724553773673727E-2</v>
      </c>
      <c r="GE299">
        <v>0</v>
      </c>
      <c r="GF299">
        <v>0.33021050058332063</v>
      </c>
      <c r="GG299">
        <v>0.29759236750664797</v>
      </c>
      <c r="GH299">
        <v>0</v>
      </c>
      <c r="GI299">
        <v>0.21226408612972117</v>
      </c>
      <c r="GJ299"/>
      <c r="GK299">
        <v>0.79525243774273369</v>
      </c>
      <c r="GL299">
        <v>0.40705572478708768</v>
      </c>
      <c r="GM299">
        <v>0.10493806523239137</v>
      </c>
      <c r="GN299">
        <v>0.20987613046478273</v>
      </c>
      <c r="GO299">
        <v>0.10493806523239137</v>
      </c>
      <c r="GP299">
        <v>0</v>
      </c>
      <c r="GQ299">
        <v>0.45369793096285549</v>
      </c>
      <c r="GR299">
        <v>0.45369793096285549</v>
      </c>
      <c r="GS299">
        <v>0</v>
      </c>
      <c r="GT299">
        <v>0.2917652998340744</v>
      </c>
      <c r="GU299"/>
      <c r="GV299"/>
      <c r="GW299"/>
      <c r="GX299"/>
      <c r="GY299"/>
      <c r="GZ299"/>
      <c r="HA299"/>
      <c r="HB299"/>
      <c r="HC299"/>
    </row>
    <row r="300" spans="1:211" s="7" customFormat="1">
      <c r="A300" s="1"/>
      <c r="B300">
        <v>0.58550001148982322</v>
      </c>
      <c r="C300">
        <v>5</v>
      </c>
      <c r="D300">
        <v>39910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2.1406249999999996</v>
      </c>
      <c r="AO300">
        <v>0.25602086957714859</v>
      </c>
      <c r="AP300">
        <v>8.9816081874762741</v>
      </c>
      <c r="AQ300">
        <v>1.9413030962725111</v>
      </c>
      <c r="AR300">
        <v>0.31177583306137174</v>
      </c>
      <c r="AS300">
        <v>1.6350476985168598</v>
      </c>
      <c r="AT300" t="e">
        <v>#DIV/0!</v>
      </c>
      <c r="AU300" t="e">
        <v>#DIV/0!</v>
      </c>
      <c r="AV300"/>
      <c r="AW300"/>
      <c r="FY300" s="211">
        <v>295</v>
      </c>
      <c r="FZ300">
        <v>0.80691637747757983</v>
      </c>
      <c r="GA300">
        <v>0.56185112583616514</v>
      </c>
      <c r="GB300">
        <v>0.26768175484046608</v>
      </c>
      <c r="GC300">
        <v>0.21823520044672617</v>
      </c>
      <c r="GD300">
        <v>5.3449107547347455E-2</v>
      </c>
      <c r="GE300">
        <v>0</v>
      </c>
      <c r="GF300">
        <v>0.33021050058332063</v>
      </c>
      <c r="GG300">
        <v>0.29759236750664797</v>
      </c>
      <c r="GH300">
        <v>0</v>
      </c>
      <c r="GI300">
        <v>0.28017823997915187</v>
      </c>
      <c r="GJ300"/>
      <c r="GK300">
        <v>0.81345237222919065</v>
      </c>
      <c r="GL300">
        <v>0.48079623401633714</v>
      </c>
      <c r="GM300">
        <v>0.44573189690518267</v>
      </c>
      <c r="GN300">
        <v>0.65560802736996537</v>
      </c>
      <c r="GO300">
        <v>0.20987613046478273</v>
      </c>
      <c r="GP300">
        <v>0</v>
      </c>
      <c r="GQ300">
        <v>0.45369793096285549</v>
      </c>
      <c r="GR300">
        <v>0.45369793096285549</v>
      </c>
      <c r="GS300">
        <v>0</v>
      </c>
      <c r="GT300">
        <v>0.38455166611240232</v>
      </c>
      <c r="GU300"/>
      <c r="GV300"/>
      <c r="GW300"/>
      <c r="GX300"/>
      <c r="GY300"/>
      <c r="GZ300"/>
      <c r="HA300"/>
      <c r="HB300"/>
      <c r="HC300"/>
    </row>
    <row r="301" spans="1:211" s="7" customFormat="1">
      <c r="A301" s="1"/>
      <c r="B301">
        <v>4.3043521685123043E-2</v>
      </c>
      <c r="C301">
        <v>4</v>
      </c>
      <c r="D301">
        <v>39910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2.364583333333333</v>
      </c>
      <c r="AO301">
        <v>0.23550707013447317</v>
      </c>
      <c r="AP301">
        <v>9.4763143647219934</v>
      </c>
      <c r="AQ301">
        <v>1.5820029072282396</v>
      </c>
      <c r="AR301">
        <v>0.25576655045557795</v>
      </c>
      <c r="AS301">
        <v>1.505042092031367</v>
      </c>
      <c r="AT301" t="e">
        <v>#DIV/0!</v>
      </c>
      <c r="AU301" t="e">
        <v>#DIV/0!</v>
      </c>
      <c r="AV301"/>
      <c r="AW301"/>
      <c r="FY301" s="211">
        <v>296</v>
      </c>
      <c r="FZ301">
        <v>0.71413572538398506</v>
      </c>
      <c r="GA301">
        <v>0.38735017759921181</v>
      </c>
      <c r="GB301">
        <v>0.14202990935487192</v>
      </c>
      <c r="GC301">
        <v>7.8958100610881349E-2</v>
      </c>
      <c r="GD301">
        <v>0</v>
      </c>
      <c r="GE301">
        <v>0</v>
      </c>
      <c r="GF301">
        <v>0.33021050058332063</v>
      </c>
      <c r="GG301">
        <v>0.29759236750664797</v>
      </c>
      <c r="GH301">
        <v>0</v>
      </c>
      <c r="GI301">
        <v>0.20460196127421582</v>
      </c>
      <c r="GJ301"/>
      <c r="GK301">
        <v>0.72047141701771866</v>
      </c>
      <c r="GL301">
        <v>0.33331521555783822</v>
      </c>
      <c r="GM301">
        <v>0.23585576644039991</v>
      </c>
      <c r="GN301">
        <v>0.23585576644039991</v>
      </c>
      <c r="GO301">
        <v>0</v>
      </c>
      <c r="GP301">
        <v>0</v>
      </c>
      <c r="GQ301">
        <v>0.45369793096285549</v>
      </c>
      <c r="GR301">
        <v>0.45369793096285549</v>
      </c>
      <c r="GS301">
        <v>0</v>
      </c>
      <c r="GT301">
        <v>0.28200502288419482</v>
      </c>
      <c r="GU301"/>
      <c r="GV301"/>
      <c r="GW301"/>
      <c r="GX301"/>
      <c r="GY301"/>
      <c r="GZ301"/>
      <c r="HA301"/>
      <c r="HB301"/>
      <c r="HC301"/>
    </row>
    <row r="302" spans="1:211" s="7" customFormat="1">
      <c r="A302" s="1"/>
      <c r="B302">
        <v>0.80733323856923933</v>
      </c>
      <c r="C302">
        <v>3</v>
      </c>
      <c r="D302">
        <v>39910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4.2666666666666675</v>
      </c>
      <c r="AO302">
        <v>0.46756289158526432</v>
      </c>
      <c r="AP302">
        <v>13.201156463713192</v>
      </c>
      <c r="AQ302">
        <v>3.7449619669494978</v>
      </c>
      <c r="AR302">
        <v>0.49281161973048404</v>
      </c>
      <c r="AS302">
        <v>2.7911412856059141</v>
      </c>
      <c r="AT302" t="e">
        <v>#DIV/0!</v>
      </c>
      <c r="AU302" t="e">
        <v>#DIV/0!</v>
      </c>
      <c r="AV302"/>
      <c r="AW302"/>
      <c r="FY302" s="211">
        <v>297</v>
      </c>
      <c r="FZ302">
        <v>0.99580548711243899</v>
      </c>
      <c r="GA302">
        <v>0</v>
      </c>
      <c r="GB302">
        <v>0.14202990935487192</v>
      </c>
      <c r="GC302">
        <v>0.11377737556984255</v>
      </c>
      <c r="GD302">
        <v>2.6724553773673727E-2</v>
      </c>
      <c r="GE302">
        <v>0</v>
      </c>
      <c r="GF302">
        <v>0</v>
      </c>
      <c r="GG302">
        <v>0</v>
      </c>
      <c r="GH302">
        <v>0</v>
      </c>
      <c r="GI302">
        <v>0.19773684644175871</v>
      </c>
      <c r="GJ302"/>
      <c r="GK302">
        <v>1.0021335071747546</v>
      </c>
      <c r="GL302">
        <v>0</v>
      </c>
      <c r="GM302">
        <v>0.23585576644039991</v>
      </c>
      <c r="GN302">
        <v>0.34079383167279126</v>
      </c>
      <c r="GO302">
        <v>0.10493806523239137</v>
      </c>
      <c r="GP302">
        <v>0</v>
      </c>
      <c r="GQ302">
        <v>0</v>
      </c>
      <c r="GR302">
        <v>0</v>
      </c>
      <c r="GS302">
        <v>0</v>
      </c>
      <c r="GT302">
        <v>0.2685854677695092</v>
      </c>
      <c r="GU302"/>
      <c r="GV302"/>
      <c r="GW302"/>
      <c r="GX302"/>
      <c r="GY302"/>
      <c r="GZ302"/>
      <c r="HA302"/>
      <c r="HB302"/>
      <c r="HC302"/>
    </row>
    <row r="303" spans="1:211" s="7" customFormat="1">
      <c r="A303" s="1"/>
      <c r="B303">
        <v>0.68896070610971627</v>
      </c>
      <c r="C303">
        <v>8</v>
      </c>
      <c r="D303">
        <v>39910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1.9718749999999996</v>
      </c>
      <c r="AO303">
        <v>0.19416227340867503</v>
      </c>
      <c r="AP303">
        <v>4.5520718053716696</v>
      </c>
      <c r="AQ303">
        <v>1.5376280384113559</v>
      </c>
      <c r="AR303">
        <v>0.21125228114268682</v>
      </c>
      <c r="AS303">
        <v>1.3768929360473046</v>
      </c>
      <c r="AT303" t="e">
        <v>#DIV/0!</v>
      </c>
      <c r="AU303" t="e">
        <v>#DIV/0!</v>
      </c>
      <c r="AV303"/>
      <c r="AW303"/>
      <c r="FY303" s="211">
        <v>298</v>
      </c>
      <c r="FZ303">
        <v>1.3191394891836663</v>
      </c>
      <c r="GA303">
        <v>0.86195082931690026</v>
      </c>
      <c r="GB303">
        <v>7.9203986612074825E-2</v>
      </c>
      <c r="GC303">
        <v>0.11377737556984255</v>
      </c>
      <c r="GD303">
        <v>5.3449107547347455E-2</v>
      </c>
      <c r="GE303">
        <v>0</v>
      </c>
      <c r="GF303">
        <v>0.66042100116664126</v>
      </c>
      <c r="GG303">
        <v>0.59518473501329594</v>
      </c>
      <c r="GH303">
        <v>0</v>
      </c>
      <c r="GI303">
        <v>0.37369458548635331</v>
      </c>
      <c r="GJ303"/>
      <c r="GK303">
        <v>1.329407350518879</v>
      </c>
      <c r="GL303">
        <v>0.7403709403449259</v>
      </c>
      <c r="GM303">
        <v>0.13091770120800852</v>
      </c>
      <c r="GN303">
        <v>0.34079383167279126</v>
      </c>
      <c r="GO303">
        <v>0.20987613046478273</v>
      </c>
      <c r="GP303">
        <v>0</v>
      </c>
      <c r="GQ303">
        <v>0.90739586192571098</v>
      </c>
      <c r="GR303">
        <v>0.90739586192571098</v>
      </c>
      <c r="GS303">
        <v>0</v>
      </c>
      <c r="GT303">
        <v>0.51551940882347624</v>
      </c>
      <c r="GU303"/>
      <c r="GV303"/>
      <c r="GW303"/>
      <c r="GX303"/>
      <c r="GY303"/>
      <c r="GZ303"/>
      <c r="HA303"/>
      <c r="HB303"/>
      <c r="HC303"/>
    </row>
    <row r="304" spans="1:211" s="7" customFormat="1">
      <c r="A304" s="1"/>
      <c r="B304">
        <v>0.96808016971577193</v>
      </c>
      <c r="C304">
        <v>10</v>
      </c>
      <c r="D304">
        <v>39910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10.416666666666666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2.9145833333333337</v>
      </c>
      <c r="AO304">
        <v>0.20978411235915448</v>
      </c>
      <c r="AP304">
        <v>4.4400227396446423</v>
      </c>
      <c r="AQ304">
        <v>1.8735489449296363</v>
      </c>
      <c r="AR304">
        <v>0.24681821138994578</v>
      </c>
      <c r="AS304">
        <v>1.6677009877805886</v>
      </c>
      <c r="AT304" t="e">
        <v>#DIV/0!</v>
      </c>
      <c r="AU304" t="e">
        <v>#DIV/0!</v>
      </c>
      <c r="AV304"/>
      <c r="AW304"/>
      <c r="FY304" s="211">
        <v>299</v>
      </c>
      <c r="FZ304">
        <v>1.035138825093987</v>
      </c>
      <c r="GA304">
        <v>0.38735017759921181</v>
      </c>
      <c r="GB304">
        <v>0.22123389596694673</v>
      </c>
      <c r="GC304">
        <v>0.12309692626280153</v>
      </c>
      <c r="GD304">
        <v>0</v>
      </c>
      <c r="GE304">
        <v>0</v>
      </c>
      <c r="GF304">
        <v>0.33021050058332063</v>
      </c>
      <c r="GG304">
        <v>0.29759236750664797</v>
      </c>
      <c r="GH304">
        <v>0</v>
      </c>
      <c r="GI304">
        <v>0.2716150251911571</v>
      </c>
      <c r="GJ304"/>
      <c r="GK304">
        <v>1.0405355990347556</v>
      </c>
      <c r="GL304">
        <v>0.33331521555783822</v>
      </c>
      <c r="GM304">
        <v>0.3667734676484084</v>
      </c>
      <c r="GN304">
        <v>0.3667734676484084</v>
      </c>
      <c r="GO304">
        <v>0</v>
      </c>
      <c r="GP304">
        <v>0</v>
      </c>
      <c r="GQ304">
        <v>0.45369793096285549</v>
      </c>
      <c r="GR304">
        <v>0.45369793096285549</v>
      </c>
      <c r="GS304">
        <v>0</v>
      </c>
      <c r="GT304">
        <v>0.37220139952920395</v>
      </c>
      <c r="GU304"/>
      <c r="GV304"/>
      <c r="GW304"/>
      <c r="GX304"/>
      <c r="GY304"/>
      <c r="GZ304"/>
      <c r="HA304"/>
      <c r="HB304"/>
      <c r="HC304"/>
    </row>
    <row r="305" spans="1:211" s="7" customFormat="1">
      <c r="A305" s="1"/>
      <c r="B305">
        <v>0.53813700319521196</v>
      </c>
      <c r="C305">
        <v>6</v>
      </c>
      <c r="D305">
        <v>39910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2.6989583333333327</v>
      </c>
      <c r="AO305">
        <v>0.43149877579976226</v>
      </c>
      <c r="AP305">
        <v>9.5076543685165866</v>
      </c>
      <c r="AQ305">
        <v>3.7442054562569487</v>
      </c>
      <c r="AR305">
        <v>0.46855376850336522</v>
      </c>
      <c r="AS305">
        <v>2.4886540504704113</v>
      </c>
      <c r="AT305" t="e">
        <v>#DIV/0!</v>
      </c>
      <c r="AU305" t="e">
        <v>#DIV/0!</v>
      </c>
      <c r="AV305"/>
      <c r="AW305"/>
      <c r="FY305" s="211">
        <v>300</v>
      </c>
      <c r="FZ305">
        <v>1.2001855295661383</v>
      </c>
      <c r="GA305">
        <v>0.86195082931690026</v>
      </c>
      <c r="GB305">
        <v>7.9203986612074825E-2</v>
      </c>
      <c r="GC305">
        <v>7.8958100610881349E-2</v>
      </c>
      <c r="GD305">
        <v>2.6724553773673727E-2</v>
      </c>
      <c r="GE305">
        <v>0</v>
      </c>
      <c r="GF305">
        <v>0.33021050058332063</v>
      </c>
      <c r="GG305">
        <v>0.29759236750664797</v>
      </c>
      <c r="GH305">
        <v>0</v>
      </c>
      <c r="GI305">
        <v>0.27651846762670446</v>
      </c>
      <c r="GJ305"/>
      <c r="GK305">
        <v>1.210887874025167</v>
      </c>
      <c r="GL305">
        <v>0.7403709403449259</v>
      </c>
      <c r="GM305">
        <v>0.13091770120800852</v>
      </c>
      <c r="GN305">
        <v>0.23585576644039991</v>
      </c>
      <c r="GO305">
        <v>0.10493806523239137</v>
      </c>
      <c r="GP305">
        <v>0</v>
      </c>
      <c r="GQ305">
        <v>0.45369793096285549</v>
      </c>
      <c r="GR305">
        <v>0.45369793096285549</v>
      </c>
      <c r="GS305">
        <v>0</v>
      </c>
      <c r="GT305">
        <v>0.38008831428568446</v>
      </c>
      <c r="GU305"/>
      <c r="GV305"/>
      <c r="GW305"/>
      <c r="GX305"/>
      <c r="GY305"/>
      <c r="GZ305"/>
      <c r="HA305"/>
      <c r="HB305"/>
      <c r="HC305"/>
    </row>
    <row r="306" spans="1:211" s="7" customFormat="1">
      <c r="A306" s="1"/>
      <c r="B306">
        <v>0.70586188923464288</v>
      </c>
      <c r="C306">
        <v>4</v>
      </c>
      <c r="D306">
        <v>39910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2.567708333333333</v>
      </c>
      <c r="AO306">
        <v>0.24820070085714704</v>
      </c>
      <c r="AP306">
        <v>10.256570896108521</v>
      </c>
      <c r="AQ306">
        <v>1.7620746263669789</v>
      </c>
      <c r="AR306">
        <v>0.28125254098930402</v>
      </c>
      <c r="AS306">
        <v>1.6319797655240547</v>
      </c>
      <c r="AT306" t="e">
        <v>#DIV/0!</v>
      </c>
      <c r="AU306" t="e">
        <v>#DIV/0!</v>
      </c>
      <c r="AV306"/>
      <c r="AW306"/>
      <c r="FY306" s="211">
        <v>301</v>
      </c>
      <c r="FZ306">
        <v>0.86934403761096402</v>
      </c>
      <c r="GA306">
        <v>8.725047411847664E-2</v>
      </c>
      <c r="GB306">
        <v>0.15840797322414965</v>
      </c>
      <c r="GC306">
        <v>8.8277651303840327E-2</v>
      </c>
      <c r="GD306">
        <v>0</v>
      </c>
      <c r="GE306">
        <v>0</v>
      </c>
      <c r="GF306">
        <v>0.33021050058332063</v>
      </c>
      <c r="GG306">
        <v>0.29759236750664797</v>
      </c>
      <c r="GH306">
        <v>0</v>
      </c>
      <c r="GI306">
        <v>0.23171168882466284</v>
      </c>
      <c r="GJ306"/>
      <c r="GK306">
        <v>0.87036597939936899</v>
      </c>
      <c r="GL306">
        <v>7.3740509229249462E-2</v>
      </c>
      <c r="GM306">
        <v>0.26183540241601705</v>
      </c>
      <c r="GN306">
        <v>0.26183540241601705</v>
      </c>
      <c r="GO306">
        <v>0</v>
      </c>
      <c r="GP306">
        <v>0</v>
      </c>
      <c r="GQ306">
        <v>0.45369793096285549</v>
      </c>
      <c r="GR306">
        <v>0.45369793096285549</v>
      </c>
      <c r="GS306">
        <v>0</v>
      </c>
      <c r="GT306">
        <v>0.31717986255564828</v>
      </c>
      <c r="GU306"/>
      <c r="GV306"/>
      <c r="GW306"/>
      <c r="GX306"/>
      <c r="GY306"/>
      <c r="GZ306"/>
      <c r="HA306"/>
      <c r="HB306"/>
      <c r="HC306"/>
    </row>
    <row r="307" spans="1:211" s="7" customFormat="1">
      <c r="A307" s="1"/>
      <c r="B307">
        <v>0.93029557820047737</v>
      </c>
      <c r="C307">
        <v>1</v>
      </c>
      <c r="D307">
        <v>39910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1.875</v>
      </c>
      <c r="AO307">
        <v>0.14180034845927333</v>
      </c>
      <c r="AP307">
        <v>4.2813706744428295</v>
      </c>
      <c r="AQ307">
        <v>0.98132869285275859</v>
      </c>
      <c r="AR307">
        <v>0.17520500282405416</v>
      </c>
      <c r="AS307">
        <v>1.1374311344262704</v>
      </c>
      <c r="AT307" t="e">
        <v>#DIV/0!</v>
      </c>
      <c r="AU307" t="e">
        <v>#DIV/0!</v>
      </c>
      <c r="AV307"/>
      <c r="AW307"/>
      <c r="FY307" s="211">
        <v>302</v>
      </c>
      <c r="FZ307">
        <v>1.4140666257218826</v>
      </c>
      <c r="GA307">
        <v>0.47460065171768845</v>
      </c>
      <c r="GB307">
        <v>0.12565184548559416</v>
      </c>
      <c r="GC307">
        <v>0.10445782487688358</v>
      </c>
      <c r="GD307">
        <v>2.6724553773673727E-2</v>
      </c>
      <c r="GE307">
        <v>0</v>
      </c>
      <c r="GF307">
        <v>0</v>
      </c>
      <c r="GG307">
        <v>0</v>
      </c>
      <c r="GH307">
        <v>0</v>
      </c>
      <c r="GI307">
        <v>0.25575357455442149</v>
      </c>
      <c r="GJ307"/>
      <c r="GK307">
        <v>1.4215465730303416</v>
      </c>
      <c r="GL307">
        <v>0.40705572478708768</v>
      </c>
      <c r="GM307">
        <v>0.20987613046478273</v>
      </c>
      <c r="GN307">
        <v>0.31481419569717412</v>
      </c>
      <c r="GO307">
        <v>0.10493806523239137</v>
      </c>
      <c r="GP307">
        <v>0</v>
      </c>
      <c r="GQ307">
        <v>0</v>
      </c>
      <c r="GR307">
        <v>0</v>
      </c>
      <c r="GS307">
        <v>0</v>
      </c>
      <c r="GT307">
        <v>0.34727215374550313</v>
      </c>
      <c r="GU307"/>
      <c r="GV307"/>
      <c r="GW307"/>
      <c r="GX307"/>
      <c r="GY307"/>
      <c r="GZ307"/>
      <c r="HA307"/>
      <c r="HB307"/>
      <c r="HC307"/>
    </row>
    <row r="308" spans="1:211" s="7" customFormat="1">
      <c r="A308" s="1"/>
      <c r="B308">
        <v>1.9763558722006636E-2</v>
      </c>
      <c r="C308">
        <v>3</v>
      </c>
      <c r="D308">
        <v>39949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2.223958333333333</v>
      </c>
      <c r="AO308">
        <v>0.23361818642022877</v>
      </c>
      <c r="AP308">
        <v>4.2307239936264445</v>
      </c>
      <c r="AQ308">
        <v>1.6111819751904</v>
      </c>
      <c r="AR308">
        <v>0.28529523213924401</v>
      </c>
      <c r="AS308">
        <v>1.8454386917402372</v>
      </c>
      <c r="AT308" t="e">
        <v>#DIV/0!</v>
      </c>
      <c r="AU308" t="e">
        <v>#DIV/0!</v>
      </c>
      <c r="AV308"/>
      <c r="AW308"/>
      <c r="FY308" s="211">
        <v>303</v>
      </c>
      <c r="FZ308">
        <v>1.6616173015168183</v>
      </c>
      <c r="GA308">
        <v>1.2493010069161121</v>
      </c>
      <c r="GB308">
        <v>0</v>
      </c>
      <c r="GC308">
        <v>0</v>
      </c>
      <c r="GD308">
        <v>0</v>
      </c>
      <c r="GE308">
        <v>0</v>
      </c>
      <c r="GF308">
        <v>0.99063150174996206</v>
      </c>
      <c r="GG308">
        <v>0.89277710251994391</v>
      </c>
      <c r="GH308">
        <v>0</v>
      </c>
      <c r="GI308">
        <v>0.43801212759157804</v>
      </c>
      <c r="GJ308"/>
      <c r="GK308">
        <v>1.6787077354357787</v>
      </c>
      <c r="GL308">
        <v>1.073686155902764</v>
      </c>
      <c r="GM308">
        <v>0</v>
      </c>
      <c r="GN308">
        <v>0</v>
      </c>
      <c r="GO308">
        <v>0</v>
      </c>
      <c r="GP308">
        <v>0</v>
      </c>
      <c r="GQ308">
        <v>1.3610937928885667</v>
      </c>
      <c r="GR308">
        <v>1.3610937928885667</v>
      </c>
      <c r="GS308">
        <v>0</v>
      </c>
      <c r="GT308">
        <v>0.60796030566486903</v>
      </c>
      <c r="GU308"/>
      <c r="GV308"/>
      <c r="GW308"/>
      <c r="GX308"/>
      <c r="GY308"/>
      <c r="GZ308"/>
      <c r="HA308"/>
      <c r="HB308"/>
      <c r="HC308"/>
    </row>
    <row r="309" spans="1:211" s="7" customFormat="1">
      <c r="A309" s="1"/>
      <c r="B309">
        <v>0.31428858471610299</v>
      </c>
      <c r="C309">
        <v>8</v>
      </c>
      <c r="D309">
        <v>39949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2.4874999999999998</v>
      </c>
      <c r="AO309">
        <v>0.37505431197894501</v>
      </c>
      <c r="AP309">
        <v>15.840129018223006</v>
      </c>
      <c r="AQ309">
        <v>3.0164153788137287</v>
      </c>
      <c r="AR309">
        <v>0.40081566284558479</v>
      </c>
      <c r="AS309">
        <v>1.8878681412017069</v>
      </c>
      <c r="AT309" t="e">
        <v>#DIV/0!</v>
      </c>
      <c r="AU309" t="e">
        <v>#DIV/0!</v>
      </c>
      <c r="AV309"/>
      <c r="AW309"/>
      <c r="FY309" s="211">
        <v>304</v>
      </c>
      <c r="FZ309">
        <v>1.0954200007827499</v>
      </c>
      <c r="GA309">
        <v>0.47460065171768845</v>
      </c>
      <c r="GB309">
        <v>0</v>
      </c>
      <c r="GC309">
        <v>0.13927709983584477</v>
      </c>
      <c r="GD309">
        <v>0.10689821509469491</v>
      </c>
      <c r="GE309">
        <v>0</v>
      </c>
      <c r="GF309">
        <v>0</v>
      </c>
      <c r="GG309">
        <v>0</v>
      </c>
      <c r="GH309">
        <v>0</v>
      </c>
      <c r="GI309">
        <v>0.22411525414708838</v>
      </c>
      <c r="GJ309"/>
      <c r="GK309">
        <v>1.0982909389049438</v>
      </c>
      <c r="GL309">
        <v>0.40705572478708768</v>
      </c>
      <c r="GM309">
        <v>0</v>
      </c>
      <c r="GN309">
        <v>0.41975226092956547</v>
      </c>
      <c r="GO309">
        <v>0.41975226092956547</v>
      </c>
      <c r="GP309">
        <v>0</v>
      </c>
      <c r="GQ309">
        <v>0</v>
      </c>
      <c r="GR309">
        <v>0</v>
      </c>
      <c r="GS309">
        <v>0</v>
      </c>
      <c r="GT309">
        <v>0.30360863996690185</v>
      </c>
      <c r="GU309"/>
      <c r="GV309"/>
      <c r="GW309"/>
      <c r="GX309"/>
      <c r="GY309"/>
      <c r="GZ309"/>
      <c r="HA309"/>
      <c r="HB309"/>
      <c r="HC309"/>
    </row>
    <row r="310" spans="1:211" s="7" customFormat="1">
      <c r="A310" s="1"/>
      <c r="B310">
        <v>0.30961901524219471</v>
      </c>
      <c r="C310">
        <v>3</v>
      </c>
      <c r="D310">
        <v>39949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2.0916666666666663</v>
      </c>
      <c r="AO310">
        <v>0.28212215852191719</v>
      </c>
      <c r="AP310">
        <v>8.8843409661581898</v>
      </c>
      <c r="AQ310">
        <v>2.2657224051271418</v>
      </c>
      <c r="AR310">
        <v>0.2917652998340744</v>
      </c>
      <c r="AS310">
        <v>1.5623541445623288</v>
      </c>
      <c r="AT310" t="e">
        <v>#DIV/0!</v>
      </c>
      <c r="AU310" t="e">
        <v>#DIV/0!</v>
      </c>
      <c r="AV310"/>
      <c r="AW310"/>
      <c r="FY310" s="211">
        <v>305</v>
      </c>
      <c r="FZ310">
        <v>1.0055471055615866</v>
      </c>
      <c r="GA310">
        <v>0.38735017759921181</v>
      </c>
      <c r="GB310">
        <v>0.18847776822839127</v>
      </c>
      <c r="GC310">
        <v>0.13927709983584477</v>
      </c>
      <c r="GD310">
        <v>2.6724553773673727E-2</v>
      </c>
      <c r="GE310">
        <v>0</v>
      </c>
      <c r="GF310">
        <v>0.66042100116664126</v>
      </c>
      <c r="GG310">
        <v>0.59518473501329594</v>
      </c>
      <c r="GH310">
        <v>0</v>
      </c>
      <c r="GI310">
        <v>0.33885238902568393</v>
      </c>
      <c r="GJ310"/>
      <c r="GK310">
        <v>1.0114212092342456</v>
      </c>
      <c r="GL310">
        <v>0.33331521555783822</v>
      </c>
      <c r="GM310">
        <v>0.31481419569717417</v>
      </c>
      <c r="GN310">
        <v>0.41975226092956547</v>
      </c>
      <c r="GO310">
        <v>0.10493806523239137</v>
      </c>
      <c r="GP310">
        <v>0</v>
      </c>
      <c r="GQ310">
        <v>0.90739586192571098</v>
      </c>
      <c r="GR310">
        <v>0.90739586192571098</v>
      </c>
      <c r="GS310">
        <v>0</v>
      </c>
      <c r="GT310">
        <v>0.46771386641790436</v>
      </c>
      <c r="GU310"/>
      <c r="GV310"/>
      <c r="GW310"/>
      <c r="GX310"/>
      <c r="GY310"/>
      <c r="GZ310"/>
      <c r="HA310"/>
      <c r="HB310"/>
      <c r="HC310"/>
    </row>
    <row r="311" spans="1:211" s="7" customFormat="1">
      <c r="A311" s="1"/>
      <c r="B311">
        <v>0.63632632566142266</v>
      </c>
      <c r="C311">
        <v>4</v>
      </c>
      <c r="D311">
        <v>39949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1.9510416666666663</v>
      </c>
      <c r="AO311">
        <v>0.38974121890235713</v>
      </c>
      <c r="AP311">
        <v>11.882505410246665</v>
      </c>
      <c r="AQ311">
        <v>2.8161146742174057</v>
      </c>
      <c r="AR311">
        <v>0.38455166611240232</v>
      </c>
      <c r="AS311">
        <v>1.9913986633784999</v>
      </c>
      <c r="AT311" t="e">
        <v>#DIV/0!</v>
      </c>
      <c r="AU311" t="e">
        <v>#DIV/0!</v>
      </c>
      <c r="AV311"/>
      <c r="AW311"/>
      <c r="FY311" s="211">
        <v>306</v>
      </c>
      <c r="FZ311">
        <v>1.3144073574218105</v>
      </c>
      <c r="GA311">
        <v>0.56185112583616514</v>
      </c>
      <c r="GB311">
        <v>0.12565184548559416</v>
      </c>
      <c r="GC311">
        <v>0.174096374794806</v>
      </c>
      <c r="GD311">
        <v>8.0173661321021189E-2</v>
      </c>
      <c r="GE311">
        <v>0</v>
      </c>
      <c r="GF311">
        <v>0.33021050058332063</v>
      </c>
      <c r="GG311">
        <v>0.29759236750664797</v>
      </c>
      <c r="GH311">
        <v>0</v>
      </c>
      <c r="GI311">
        <v>0.33604354959044863</v>
      </c>
      <c r="GJ311"/>
      <c r="GK311">
        <v>1.3193966823055994</v>
      </c>
      <c r="GL311">
        <v>0.48079623401633714</v>
      </c>
      <c r="GM311">
        <v>0.20987613046478273</v>
      </c>
      <c r="GN311">
        <v>0.52469032616195688</v>
      </c>
      <c r="GO311">
        <v>0.31481419569717417</v>
      </c>
      <c r="GP311">
        <v>0</v>
      </c>
      <c r="GQ311">
        <v>0.45369793096285549</v>
      </c>
      <c r="GR311">
        <v>0.45369793096285549</v>
      </c>
      <c r="GS311">
        <v>0</v>
      </c>
      <c r="GT311">
        <v>0.45955698788608235</v>
      </c>
      <c r="GU311"/>
      <c r="GV311"/>
      <c r="GW311"/>
      <c r="GX311"/>
      <c r="GY311"/>
      <c r="GZ311"/>
      <c r="HA311"/>
      <c r="HB311"/>
      <c r="HC311"/>
    </row>
    <row r="312" spans="1:211" s="7" customFormat="1">
      <c r="A312" s="1"/>
      <c r="B312">
        <v>0.51028262065413177</v>
      </c>
      <c r="C312">
        <v>9</v>
      </c>
      <c r="D312">
        <v>39949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1.284375</v>
      </c>
      <c r="AO312">
        <v>0.27148990502662629</v>
      </c>
      <c r="AP312">
        <v>10.033279100905933</v>
      </c>
      <c r="AQ312">
        <v>2.1548787423131346</v>
      </c>
      <c r="AR312">
        <v>0.28200502288419482</v>
      </c>
      <c r="AS312">
        <v>1.3331211232416873</v>
      </c>
      <c r="AT312" t="e">
        <v>#DIV/0!</v>
      </c>
      <c r="AU312" t="e">
        <v>#DIV/0!</v>
      </c>
      <c r="AV312"/>
      <c r="AW312"/>
      <c r="FY312" s="211">
        <v>307</v>
      </c>
      <c r="FZ312">
        <v>0.78212415430622251</v>
      </c>
      <c r="GA312">
        <v>0</v>
      </c>
      <c r="GB312">
        <v>0.14202990935487192</v>
      </c>
      <c r="GC312">
        <v>7.8958100610881349E-2</v>
      </c>
      <c r="GD312">
        <v>0</v>
      </c>
      <c r="GE312">
        <v>0</v>
      </c>
      <c r="GF312">
        <v>0.33021050058332063</v>
      </c>
      <c r="GG312">
        <v>0.29759236750664797</v>
      </c>
      <c r="GH312">
        <v>0</v>
      </c>
      <c r="GI312">
        <v>0.21475339321142359</v>
      </c>
      <c r="GJ312"/>
      <c r="GK312">
        <v>0.78596473568324265</v>
      </c>
      <c r="GL312">
        <v>0</v>
      </c>
      <c r="GM312">
        <v>0.23585576644039991</v>
      </c>
      <c r="GN312">
        <v>0.23585576644039991</v>
      </c>
      <c r="GO312">
        <v>0</v>
      </c>
      <c r="GP312">
        <v>0</v>
      </c>
      <c r="GQ312">
        <v>0.45369793096285549</v>
      </c>
      <c r="GR312">
        <v>0.45369793096285549</v>
      </c>
      <c r="GS312">
        <v>0</v>
      </c>
      <c r="GT312">
        <v>0.29510368661729963</v>
      </c>
      <c r="GU312"/>
      <c r="GV312"/>
      <c r="GW312"/>
      <c r="GX312"/>
      <c r="GY312"/>
      <c r="GZ312"/>
      <c r="HA312"/>
      <c r="HB312"/>
      <c r="HC312"/>
    </row>
    <row r="313" spans="1:211" s="7" customFormat="1">
      <c r="A313" s="1"/>
      <c r="B313">
        <v>4.8884738366120839E-2</v>
      </c>
      <c r="C313">
        <v>5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2.1406249999999996</v>
      </c>
      <c r="AO313">
        <v>0.19523066382898463</v>
      </c>
      <c r="AP313">
        <v>2.9270912115802536</v>
      </c>
      <c r="AQ313">
        <v>1.4760741722525861</v>
      </c>
      <c r="AR313">
        <v>0.2685854677695092</v>
      </c>
      <c r="AS313">
        <v>1.6457014652093385</v>
      </c>
      <c r="AT313" t="e">
        <v>#DIV/0!</v>
      </c>
      <c r="AU313" t="e">
        <v>#DIV/0!</v>
      </c>
      <c r="AV313"/>
      <c r="AW313"/>
      <c r="FY313" s="211">
        <v>308</v>
      </c>
      <c r="FZ313">
        <v>0.86566675298225237</v>
      </c>
      <c r="GA313">
        <v>0.47460065171768845</v>
      </c>
      <c r="GB313">
        <v>0.204855832097669</v>
      </c>
      <c r="GC313">
        <v>0.11377737556984255</v>
      </c>
      <c r="GD313">
        <v>0</v>
      </c>
      <c r="GE313">
        <v>0</v>
      </c>
      <c r="GF313">
        <v>0.33021050058332063</v>
      </c>
      <c r="GG313">
        <v>0.29759236750664797</v>
      </c>
      <c r="GH313">
        <v>0</v>
      </c>
      <c r="GI313">
        <v>0.24260924305521062</v>
      </c>
      <c r="GJ313"/>
      <c r="GK313">
        <v>0.86899294697198326</v>
      </c>
      <c r="GL313">
        <v>0.40705572478708768</v>
      </c>
      <c r="GM313">
        <v>0.34079383167279126</v>
      </c>
      <c r="GN313">
        <v>0.34079383167279126</v>
      </c>
      <c r="GO313">
        <v>0</v>
      </c>
      <c r="GP313">
        <v>0</v>
      </c>
      <c r="GQ313">
        <v>0.45369793096285549</v>
      </c>
      <c r="GR313">
        <v>0.45369793096285549</v>
      </c>
      <c r="GS313">
        <v>0</v>
      </c>
      <c r="GT313">
        <v>0.33269694192152599</v>
      </c>
      <c r="GU313"/>
      <c r="GV313"/>
      <c r="GW313"/>
      <c r="GX313"/>
      <c r="GY313"/>
      <c r="GZ313"/>
      <c r="HA313"/>
      <c r="HB313"/>
      <c r="HC313"/>
    </row>
    <row r="314" spans="1:211" s="7" customFormat="1">
      <c r="A314" s="1"/>
      <c r="B314">
        <v>0.13951170540622204</v>
      </c>
      <c r="C314">
        <v>5</v>
      </c>
      <c r="D314">
        <v>39949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2.7614583333333336</v>
      </c>
      <c r="AO314">
        <v>0.50816770868842853</v>
      </c>
      <c r="AP314">
        <v>16.278740722432953</v>
      </c>
      <c r="AQ314">
        <v>4.0568211098961218</v>
      </c>
      <c r="AR314">
        <v>0.51551940882347624</v>
      </c>
      <c r="AS314">
        <v>2.3429102889369378</v>
      </c>
      <c r="AT314" t="e">
        <v>#DIV/0!</v>
      </c>
      <c r="AU314" t="e">
        <v>#DIV/0!</v>
      </c>
      <c r="AV314"/>
      <c r="AW314"/>
      <c r="FY314" s="211">
        <v>309</v>
      </c>
      <c r="FZ314">
        <v>1.441690353845829</v>
      </c>
      <c r="GA314">
        <v>1.0364517775538535</v>
      </c>
      <c r="GB314">
        <v>0.30043788257902154</v>
      </c>
      <c r="GC314">
        <v>0.20205502687368287</v>
      </c>
      <c r="GD314">
        <v>2.6724553773673727E-2</v>
      </c>
      <c r="GE314">
        <v>0</v>
      </c>
      <c r="GF314">
        <v>0</v>
      </c>
      <c r="GG314">
        <v>0</v>
      </c>
      <c r="GH314">
        <v>0</v>
      </c>
      <c r="GI314">
        <v>0.30253112290695144</v>
      </c>
      <c r="GJ314"/>
      <c r="GK314">
        <v>1.4516035685223139</v>
      </c>
      <c r="GL314">
        <v>0.88785195880342482</v>
      </c>
      <c r="GM314">
        <v>0.4976911688564169</v>
      </c>
      <c r="GN314">
        <v>0.60262923408880831</v>
      </c>
      <c r="GO314">
        <v>0.10493806523239137</v>
      </c>
      <c r="GP314">
        <v>0</v>
      </c>
      <c r="GQ314">
        <v>0</v>
      </c>
      <c r="GR314">
        <v>0</v>
      </c>
      <c r="GS314">
        <v>0</v>
      </c>
      <c r="GT314">
        <v>0.41084656052222446</v>
      </c>
      <c r="GU314"/>
      <c r="GV314"/>
      <c r="GW314"/>
      <c r="GX314"/>
      <c r="GY314"/>
      <c r="GZ314"/>
      <c r="HA314"/>
      <c r="HB314"/>
      <c r="HC314"/>
    </row>
    <row r="315" spans="1:211" s="7" customFormat="1">
      <c r="A315" s="1"/>
      <c r="B315">
        <v>0.34286906780801085</v>
      </c>
      <c r="C315">
        <v>7</v>
      </c>
      <c r="D315">
        <v>39949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3.1333333333333329</v>
      </c>
      <c r="AO315">
        <v>0.33869950113443253</v>
      </c>
      <c r="AP315">
        <v>12.761773569948758</v>
      </c>
      <c r="AQ315">
        <v>2.6662377182040728</v>
      </c>
      <c r="AR315">
        <v>0.37220139952920395</v>
      </c>
      <c r="AS315">
        <v>2.1083842759499345</v>
      </c>
      <c r="AT315" t="e">
        <v>#DIV/0!</v>
      </c>
      <c r="AU315" t="e">
        <v>#DIV/0!</v>
      </c>
      <c r="AV315"/>
      <c r="AW315"/>
      <c r="FY315" s="211">
        <v>310</v>
      </c>
      <c r="FZ315">
        <v>0.78004090679655325</v>
      </c>
      <c r="GA315">
        <v>8.725047411847664E-2</v>
      </c>
      <c r="GB315">
        <v>0</v>
      </c>
      <c r="GC315">
        <v>0.10445782487688361</v>
      </c>
      <c r="GD315">
        <v>8.0173661321021189E-2</v>
      </c>
      <c r="GE315">
        <v>0</v>
      </c>
      <c r="GF315">
        <v>0.33021050058332063</v>
      </c>
      <c r="GG315">
        <v>0.29759236750664797</v>
      </c>
      <c r="GH315">
        <v>0</v>
      </c>
      <c r="GI315">
        <v>0.22594389379217356</v>
      </c>
      <c r="GJ315"/>
      <c r="GK315">
        <v>0.78426812910162025</v>
      </c>
      <c r="GL315">
        <v>7.3740509229249462E-2</v>
      </c>
      <c r="GM315">
        <v>0</v>
      </c>
      <c r="GN315">
        <v>0.31481419569717417</v>
      </c>
      <c r="GO315">
        <v>0.31481419569717417</v>
      </c>
      <c r="GP315">
        <v>0</v>
      </c>
      <c r="GQ315">
        <v>0.45369793096285549</v>
      </c>
      <c r="GR315">
        <v>0.45369793096285549</v>
      </c>
      <c r="GS315">
        <v>0</v>
      </c>
      <c r="GT315">
        <v>0.31055605115232998</v>
      </c>
      <c r="GU315"/>
      <c r="GV315"/>
      <c r="GW315"/>
      <c r="GX315"/>
      <c r="GY315"/>
      <c r="GZ315"/>
      <c r="HA315"/>
      <c r="HB315"/>
      <c r="HC315"/>
    </row>
    <row r="316" spans="1:211" s="7" customFormat="1">
      <c r="A316" s="1"/>
      <c r="B316">
        <v>0.38336469521303673</v>
      </c>
      <c r="C316">
        <v>6</v>
      </c>
      <c r="D316">
        <v>39949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1.7822916666666668</v>
      </c>
      <c r="AO316">
        <v>0.37104545234622882</v>
      </c>
      <c r="AP316">
        <v>9.128371591909179</v>
      </c>
      <c r="AQ316">
        <v>3.1513443355963418</v>
      </c>
      <c r="AR316">
        <v>0.38008831428568451</v>
      </c>
      <c r="AS316">
        <v>1.6871790207986672</v>
      </c>
      <c r="AT316" t="e">
        <v>#DIV/0!</v>
      </c>
      <c r="AU316" t="e">
        <v>#DIV/0!</v>
      </c>
      <c r="AV316"/>
      <c r="AW316"/>
      <c r="FY316" s="211">
        <v>311</v>
      </c>
      <c r="FZ316">
        <v>1.0937108819945407</v>
      </c>
      <c r="GA316">
        <v>0.64910159995464167</v>
      </c>
      <c r="GB316">
        <v>0.204855832097669</v>
      </c>
      <c r="GC316">
        <v>0.14859665052880375</v>
      </c>
      <c r="GD316">
        <v>2.6724553773673727E-2</v>
      </c>
      <c r="GE316">
        <v>0</v>
      </c>
      <c r="GF316">
        <v>0</v>
      </c>
      <c r="GG316">
        <v>0</v>
      </c>
      <c r="GH316">
        <v>0</v>
      </c>
      <c r="GI316">
        <v>0.22779534051862943</v>
      </c>
      <c r="GJ316"/>
      <c r="GK316">
        <v>1.0970307085055226</v>
      </c>
      <c r="GL316">
        <v>0.55453674324558655</v>
      </c>
      <c r="GM316">
        <v>0.34079383167279126</v>
      </c>
      <c r="GN316">
        <v>0.44573189690518267</v>
      </c>
      <c r="GO316">
        <v>0.10493806523239137</v>
      </c>
      <c r="GP316">
        <v>0</v>
      </c>
      <c r="GQ316">
        <v>0</v>
      </c>
      <c r="GR316">
        <v>0</v>
      </c>
      <c r="GS316">
        <v>0</v>
      </c>
      <c r="GT316">
        <v>0.30855252108214104</v>
      </c>
      <c r="GU316"/>
      <c r="GV316"/>
      <c r="GW316"/>
      <c r="GX316"/>
      <c r="GY316"/>
      <c r="GZ316"/>
      <c r="HA316"/>
      <c r="HB316"/>
      <c r="HC316"/>
    </row>
    <row r="317" spans="1:211" s="7" customFormat="1">
      <c r="A317" s="1"/>
      <c r="B317">
        <v>0.25995705524644119</v>
      </c>
      <c r="C317">
        <v>7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3.166666666666667</v>
      </c>
      <c r="AO317">
        <v>0.26923530179420119</v>
      </c>
      <c r="AP317">
        <v>9.6657291378571752</v>
      </c>
      <c r="AQ317">
        <v>2.0627946931720622</v>
      </c>
      <c r="AR317">
        <v>0.31717986255564834</v>
      </c>
      <c r="AS317">
        <v>1.8770887718154821</v>
      </c>
      <c r="AT317" t="e">
        <v>#DIV/0!</v>
      </c>
      <c r="AU317" t="e">
        <v>#DIV/0!</v>
      </c>
      <c r="AV317"/>
      <c r="AW317"/>
      <c r="FY317" s="211">
        <v>312</v>
      </c>
      <c r="FZ317">
        <v>0.47619014162362111</v>
      </c>
      <c r="GA317">
        <v>0</v>
      </c>
      <c r="GB317">
        <v>0.14202990935487192</v>
      </c>
      <c r="GC317">
        <v>0.14859665052880375</v>
      </c>
      <c r="GD317">
        <v>5.3449107547347455E-2</v>
      </c>
      <c r="GE317">
        <v>0</v>
      </c>
      <c r="GF317">
        <v>0.66042100116664126</v>
      </c>
      <c r="GG317">
        <v>0.59518473501329594</v>
      </c>
      <c r="GH317">
        <v>0</v>
      </c>
      <c r="GI317">
        <v>0.26452617681477042</v>
      </c>
      <c r="GJ317"/>
      <c r="GK317">
        <v>0.47556968987647763</v>
      </c>
      <c r="GL317">
        <v>0</v>
      </c>
      <c r="GM317">
        <v>0.23585576644039991</v>
      </c>
      <c r="GN317">
        <v>0.44573189690518267</v>
      </c>
      <c r="GO317">
        <v>0.20987613046478273</v>
      </c>
      <c r="GP317">
        <v>0</v>
      </c>
      <c r="GQ317">
        <v>0.90739586192571098</v>
      </c>
      <c r="GR317">
        <v>0.90739586192571098</v>
      </c>
      <c r="GS317">
        <v>0</v>
      </c>
      <c r="GT317">
        <v>0.36573948974147419</v>
      </c>
      <c r="GU317"/>
      <c r="GV317"/>
      <c r="GW317"/>
      <c r="GX317"/>
      <c r="GY317"/>
      <c r="GZ317"/>
      <c r="HA317"/>
      <c r="HB317"/>
      <c r="HC317"/>
    </row>
    <row r="318" spans="1:211" s="7" customFormat="1">
      <c r="A318" s="1"/>
      <c r="B318">
        <v>4.9068698266488298E-2</v>
      </c>
      <c r="C318">
        <v>5</v>
      </c>
      <c r="D318">
        <v>39987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3.5916666666666663</v>
      </c>
      <c r="AO318">
        <v>0.28055028429572804</v>
      </c>
      <c r="AP318">
        <v>4.7787485923604667</v>
      </c>
      <c r="AQ318">
        <v>2.4012550761301439</v>
      </c>
      <c r="AR318">
        <v>0.34727215374550313</v>
      </c>
      <c r="AS318">
        <v>2.1606849456046411</v>
      </c>
      <c r="AT318" t="e">
        <v>#DIV/0!</v>
      </c>
      <c r="AU318" t="e">
        <v>#DIV/0!</v>
      </c>
      <c r="AV318"/>
      <c r="AW318"/>
      <c r="FY318" s="211">
        <v>313</v>
      </c>
      <c r="FZ318">
        <v>0.58964244172301261</v>
      </c>
      <c r="GA318">
        <v>0.17450094823695328</v>
      </c>
      <c r="GB318">
        <v>6.282592274279708E-2</v>
      </c>
      <c r="GC318">
        <v>6.9638549917922385E-2</v>
      </c>
      <c r="GD318">
        <v>2.6724553773673727E-2</v>
      </c>
      <c r="GE318">
        <v>0</v>
      </c>
      <c r="GF318">
        <v>0.33021050058332063</v>
      </c>
      <c r="GG318">
        <v>0.29759236750664797</v>
      </c>
      <c r="GH318">
        <v>0</v>
      </c>
      <c r="GI318">
        <v>0.18241367593729332</v>
      </c>
      <c r="GJ318"/>
      <c r="GK318">
        <v>0.5888166912702979</v>
      </c>
      <c r="GL318">
        <v>0.14748101845849892</v>
      </c>
      <c r="GM318">
        <v>0.10493806523239137</v>
      </c>
      <c r="GN318">
        <v>0.20987613046478273</v>
      </c>
      <c r="GO318">
        <v>0.10493806523239137</v>
      </c>
      <c r="GP318">
        <v>0</v>
      </c>
      <c r="GQ318">
        <v>0.45369793096285549</v>
      </c>
      <c r="GR318">
        <v>0.45369793096285549</v>
      </c>
      <c r="GS318">
        <v>0</v>
      </c>
      <c r="GT318">
        <v>0.25047815053958722</v>
      </c>
      <c r="GU318"/>
      <c r="GV318"/>
      <c r="GW318"/>
      <c r="GX318"/>
      <c r="GY318"/>
      <c r="GZ318"/>
      <c r="HA318"/>
      <c r="HB318"/>
      <c r="HC318"/>
    </row>
    <row r="319" spans="1:211" s="7" customFormat="1">
      <c r="A319" s="1"/>
      <c r="B319">
        <v>4.4715589024938218E-2</v>
      </c>
      <c r="C319">
        <v>9</v>
      </c>
      <c r="D319">
        <v>39987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2.3166666666666664</v>
      </c>
      <c r="AO319">
        <v>0.6082541782780545</v>
      </c>
      <c r="AP319">
        <v>21.071454379953963</v>
      </c>
      <c r="AQ319">
        <v>5.2323390402944145</v>
      </c>
      <c r="AR319">
        <v>0.60796030566486903</v>
      </c>
      <c r="AS319">
        <v>2.6528999262474473</v>
      </c>
      <c r="AT319" t="e">
        <v>#DIV/0!</v>
      </c>
      <c r="AU319" t="e">
        <v>#DIV/0!</v>
      </c>
      <c r="AV319"/>
      <c r="AW319"/>
      <c r="FY319" s="211">
        <v>314</v>
      </c>
      <c r="FZ319">
        <v>0.74506260941518332</v>
      </c>
      <c r="GA319">
        <v>0.38735017759921181</v>
      </c>
      <c r="GB319">
        <v>0.28405981870974384</v>
      </c>
      <c r="GC319">
        <v>0.26237402609864635</v>
      </c>
      <c r="GD319">
        <v>8.0173661321021189E-2</v>
      </c>
      <c r="GE319">
        <v>0</v>
      </c>
      <c r="GF319">
        <v>0.66042100116664126</v>
      </c>
      <c r="GG319">
        <v>0.59518473501329594</v>
      </c>
      <c r="GH319">
        <v>0</v>
      </c>
      <c r="GI319">
        <v>0.35449162494642422</v>
      </c>
      <c r="GJ319"/>
      <c r="GK319">
        <v>0.75146506875487595</v>
      </c>
      <c r="GL319">
        <v>0.33331521555783822</v>
      </c>
      <c r="GM319">
        <v>0.47171153288079981</v>
      </c>
      <c r="GN319">
        <v>0.78652572857797387</v>
      </c>
      <c r="GO319">
        <v>0.31481419569717417</v>
      </c>
      <c r="GP319">
        <v>0</v>
      </c>
      <c r="GQ319">
        <v>0.90739586192571098</v>
      </c>
      <c r="GR319">
        <v>0.90739586192571098</v>
      </c>
      <c r="GS319">
        <v>0</v>
      </c>
      <c r="GT319">
        <v>0.4890773318517122</v>
      </c>
      <c r="GU319"/>
      <c r="GV319"/>
      <c r="GW319"/>
      <c r="GX319"/>
      <c r="GY319"/>
      <c r="GZ319"/>
      <c r="HA319"/>
      <c r="HB319"/>
      <c r="HC319"/>
    </row>
    <row r="320" spans="1:211" s="7" customFormat="1">
      <c r="A320" s="1"/>
      <c r="B320">
        <v>0.42669700749754869</v>
      </c>
      <c r="C320">
        <v>8</v>
      </c>
      <c r="D320">
        <v>39987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3.2687499999999998</v>
      </c>
      <c r="AO320">
        <v>0.26484598255180641</v>
      </c>
      <c r="AP320">
        <v>7.0739538466143568</v>
      </c>
      <c r="AQ320">
        <v>2.0403112215780665</v>
      </c>
      <c r="AR320">
        <v>0.30360863996690185</v>
      </c>
      <c r="AS320">
        <v>1.9197392816615628</v>
      </c>
      <c r="AT320" t="e">
        <v>#DIV/0!</v>
      </c>
      <c r="AU320" t="e">
        <v>#DIV/0!</v>
      </c>
      <c r="AV320"/>
      <c r="AW320"/>
      <c r="FY320" s="211">
        <v>315</v>
      </c>
      <c r="FZ320">
        <v>0.80483725763214553</v>
      </c>
      <c r="GA320">
        <v>0.26175142235542992</v>
      </c>
      <c r="GB320">
        <v>6.282592274279708E-2</v>
      </c>
      <c r="GC320">
        <v>6.9638549917922385E-2</v>
      </c>
      <c r="GD320">
        <v>2.6724553773673727E-2</v>
      </c>
      <c r="GE320">
        <v>0</v>
      </c>
      <c r="GF320">
        <v>0.33021050058332063</v>
      </c>
      <c r="GG320">
        <v>0.29759236750664797</v>
      </c>
      <c r="GH320">
        <v>0</v>
      </c>
      <c r="GI320">
        <v>0.21425517954110393</v>
      </c>
      <c r="GJ320"/>
      <c r="GK320">
        <v>0.80591018997048258</v>
      </c>
      <c r="GL320">
        <v>0.22122152768774839</v>
      </c>
      <c r="GM320">
        <v>0.10493806523239137</v>
      </c>
      <c r="GN320">
        <v>0.20987613046478273</v>
      </c>
      <c r="GO320">
        <v>0.10493806523239137</v>
      </c>
      <c r="GP320">
        <v>0</v>
      </c>
      <c r="GQ320">
        <v>0.45369793096285549</v>
      </c>
      <c r="GR320">
        <v>0.45369793096285549</v>
      </c>
      <c r="GS320">
        <v>0</v>
      </c>
      <c r="GT320">
        <v>0.29389685027962414</v>
      </c>
      <c r="GU320"/>
      <c r="GV320"/>
      <c r="GW320"/>
      <c r="GX320"/>
      <c r="GY320"/>
      <c r="GZ320"/>
      <c r="HA320"/>
      <c r="HB320"/>
      <c r="HC320"/>
    </row>
    <row r="321" spans="1:211" s="7" customFormat="1">
      <c r="A321" s="1"/>
      <c r="B321">
        <v>0.89779322076728896</v>
      </c>
      <c r="C321">
        <v>5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2.3937499999999998</v>
      </c>
      <c r="AO321">
        <v>0.44667465369205406</v>
      </c>
      <c r="AP321">
        <v>18.157410220889012</v>
      </c>
      <c r="AQ321">
        <v>3.3418348302043297</v>
      </c>
      <c r="AR321">
        <v>0.46771386641790436</v>
      </c>
      <c r="AS321">
        <v>2.2210814192125072</v>
      </c>
      <c r="AT321" t="e">
        <v>#DIV/0!</v>
      </c>
      <c r="AU321" t="e">
        <v>#DIV/0!</v>
      </c>
      <c r="AV321"/>
      <c r="AW321"/>
      <c r="FY321" s="211">
        <v>316</v>
      </c>
      <c r="FZ321">
        <v>0.72673308153930027</v>
      </c>
      <c r="GA321">
        <v>0</v>
      </c>
      <c r="GB321">
        <v>6.282592274279708E-2</v>
      </c>
      <c r="GC321">
        <v>3.4819274958961192E-2</v>
      </c>
      <c r="GD321">
        <v>0</v>
      </c>
      <c r="GE321">
        <v>0</v>
      </c>
      <c r="GF321">
        <v>0</v>
      </c>
      <c r="GG321">
        <v>0</v>
      </c>
      <c r="GH321">
        <v>0</v>
      </c>
      <c r="GI321">
        <v>0.12306162116189959</v>
      </c>
      <c r="GJ321"/>
      <c r="GK321">
        <v>0.73069279306326629</v>
      </c>
      <c r="GL321">
        <v>0</v>
      </c>
      <c r="GM321">
        <v>0.10493806523239137</v>
      </c>
      <c r="GN321">
        <v>0.10493806523239137</v>
      </c>
      <c r="GO321">
        <v>0</v>
      </c>
      <c r="GP321">
        <v>0</v>
      </c>
      <c r="GQ321">
        <v>0</v>
      </c>
      <c r="GR321">
        <v>0</v>
      </c>
      <c r="GS321">
        <v>0</v>
      </c>
      <c r="GT321">
        <v>0.16712617165913154</v>
      </c>
      <c r="GU321"/>
      <c r="GV321"/>
      <c r="GW321"/>
      <c r="GX321"/>
      <c r="GY321"/>
      <c r="GZ321"/>
      <c r="HA321"/>
      <c r="HB321"/>
      <c r="HC321"/>
    </row>
    <row r="322" spans="1:211" s="7" customFormat="1">
      <c r="A322" s="1"/>
      <c r="B322">
        <v>0.18828618107758022</v>
      </c>
      <c r="C322">
        <v>10</v>
      </c>
      <c r="D322">
        <v>39987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4.0395833333333337</v>
      </c>
      <c r="AO322">
        <v>0.42165264184576434</v>
      </c>
      <c r="AP322">
        <v>10.6780055161333</v>
      </c>
      <c r="AQ322">
        <v>3.2200267825398146</v>
      </c>
      <c r="AR322">
        <v>0.45955698788608235</v>
      </c>
      <c r="AS322">
        <v>2.6011550001660684</v>
      </c>
      <c r="AT322" t="e">
        <v>#DIV/0!</v>
      </c>
      <c r="AU322" t="e">
        <v>#DIV/0!</v>
      </c>
      <c r="AV322"/>
      <c r="AW322"/>
      <c r="FY322" s="211">
        <v>317</v>
      </c>
      <c r="FZ322">
        <v>0.49079036570452861</v>
      </c>
      <c r="GA322">
        <v>0</v>
      </c>
      <c r="GB322">
        <v>0.44246779193389346</v>
      </c>
      <c r="GC322">
        <v>0.24619385252560305</v>
      </c>
      <c r="GD322">
        <v>0</v>
      </c>
      <c r="GE322">
        <v>0</v>
      </c>
      <c r="GF322">
        <v>0.33021050058332063</v>
      </c>
      <c r="GG322">
        <v>0.29759236750664797</v>
      </c>
      <c r="GH322">
        <v>0</v>
      </c>
      <c r="GI322">
        <v>0.24538266523983709</v>
      </c>
      <c r="GJ322"/>
      <c r="GK322">
        <v>0.48979138158598423</v>
      </c>
      <c r="GL322">
        <v>0</v>
      </c>
      <c r="GM322">
        <v>0.7335469352968168</v>
      </c>
      <c r="GN322">
        <v>0.7335469352968168</v>
      </c>
      <c r="GO322">
        <v>0</v>
      </c>
      <c r="GP322">
        <v>0</v>
      </c>
      <c r="GQ322">
        <v>0.45369793096285549</v>
      </c>
      <c r="GR322">
        <v>0.45369793096285549</v>
      </c>
      <c r="GS322">
        <v>0</v>
      </c>
      <c r="GT322">
        <v>0.33540724956913137</v>
      </c>
      <c r="GU322"/>
      <c r="GV322"/>
      <c r="GW322"/>
      <c r="GX322"/>
      <c r="GY322"/>
      <c r="GZ322"/>
      <c r="HA322"/>
      <c r="HB322"/>
      <c r="HC322"/>
    </row>
    <row r="323" spans="1:211" s="7" customFormat="1">
      <c r="A323" s="1"/>
      <c r="B323">
        <v>0.94586089583731781</v>
      </c>
      <c r="C323">
        <v>10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2.0781249999999996</v>
      </c>
      <c r="AO323">
        <v>0.24601758171070531</v>
      </c>
      <c r="AP323">
        <v>8.9816081874762741</v>
      </c>
      <c r="AQ323">
        <v>1.8456684255733682</v>
      </c>
      <c r="AR323">
        <v>0.29510368661729963</v>
      </c>
      <c r="AS323">
        <v>1.6388781496059612</v>
      </c>
      <c r="AT323" t="e">
        <v>#DIV/0!</v>
      </c>
      <c r="AU323" t="e">
        <v>#DIV/0!</v>
      </c>
      <c r="AV323"/>
      <c r="AW323"/>
      <c r="FY323" s="211">
        <v>318</v>
      </c>
      <c r="FZ323">
        <v>1.0310355670096003</v>
      </c>
      <c r="GA323">
        <v>0.17450094823695328</v>
      </c>
      <c r="GB323">
        <v>7.9203986612074825E-2</v>
      </c>
      <c r="GC323">
        <v>7.8958100610881349E-2</v>
      </c>
      <c r="GD323">
        <v>2.6724553773673727E-2</v>
      </c>
      <c r="GE323">
        <v>0</v>
      </c>
      <c r="GF323">
        <v>0.66042100116664126</v>
      </c>
      <c r="GG323">
        <v>0.59518473501329594</v>
      </c>
      <c r="GH323">
        <v>0</v>
      </c>
      <c r="GI323">
        <v>0.31573046591902626</v>
      </c>
      <c r="GJ323"/>
      <c r="GK323">
        <v>1.0346040465898787</v>
      </c>
      <c r="GL323">
        <v>0.14748101845849892</v>
      </c>
      <c r="GM323">
        <v>0.13091770120800852</v>
      </c>
      <c r="GN323">
        <v>0.23585576644039991</v>
      </c>
      <c r="GO323">
        <v>0.10493806523239137</v>
      </c>
      <c r="GP323">
        <v>0</v>
      </c>
      <c r="GQ323">
        <v>0.90739586192571098</v>
      </c>
      <c r="GR323">
        <v>0.90739586192571098</v>
      </c>
      <c r="GS323">
        <v>0</v>
      </c>
      <c r="GT323">
        <v>0.43557113499119793</v>
      </c>
      <c r="GU323"/>
      <c r="GV323"/>
      <c r="GW323"/>
      <c r="GX323"/>
      <c r="GY323"/>
      <c r="GZ323"/>
      <c r="HA323"/>
      <c r="HB323"/>
      <c r="HC323"/>
    </row>
    <row r="324" spans="1:211" s="7" customFormat="1">
      <c r="A324" s="1"/>
      <c r="B324">
        <v>0.26061485655870009</v>
      </c>
      <c r="C324">
        <v>5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2.5031249999999998</v>
      </c>
      <c r="AO324">
        <v>0.31977291389518897</v>
      </c>
      <c r="AP324">
        <v>11.711277465601384</v>
      </c>
      <c r="AQ324">
        <v>2.5293127235126316</v>
      </c>
      <c r="AR324">
        <v>0.33269694192152599</v>
      </c>
      <c r="AS324">
        <v>1.9090603208681636</v>
      </c>
      <c r="AT324" t="e">
        <v>#DIV/0!</v>
      </c>
      <c r="AU324" t="e">
        <v>#DIV/0!</v>
      </c>
      <c r="AV324"/>
      <c r="AW324"/>
      <c r="FY324" s="211">
        <v>319</v>
      </c>
      <c r="FZ324">
        <v>0.87704716318020359</v>
      </c>
      <c r="GA324">
        <v>8.725047411847664E-2</v>
      </c>
      <c r="GB324">
        <v>0.15840797322414965</v>
      </c>
      <c r="GC324">
        <v>8.8277651303840327E-2</v>
      </c>
      <c r="GD324">
        <v>0</v>
      </c>
      <c r="GE324">
        <v>0</v>
      </c>
      <c r="GF324">
        <v>0.66042100116664126</v>
      </c>
      <c r="GG324">
        <v>0.59518473501329594</v>
      </c>
      <c r="GH324">
        <v>0</v>
      </c>
      <c r="GI324">
        <v>0.2967534453681604</v>
      </c>
      <c r="GJ324"/>
      <c r="GK324">
        <v>0.88394953387179065</v>
      </c>
      <c r="GL324">
        <v>7.3740509229249462E-2</v>
      </c>
      <c r="GM324">
        <v>0.26183540241601705</v>
      </c>
      <c r="GN324">
        <v>0.26183540241601705</v>
      </c>
      <c r="GO324">
        <v>0</v>
      </c>
      <c r="GP324">
        <v>0</v>
      </c>
      <c r="GQ324">
        <v>0.90739586192571098</v>
      </c>
      <c r="GR324">
        <v>0.90739586192571098</v>
      </c>
      <c r="GS324">
        <v>0</v>
      </c>
      <c r="GT324">
        <v>0.41063615964270372</v>
      </c>
      <c r="GU324"/>
      <c r="GV324"/>
      <c r="GW324"/>
      <c r="GX324"/>
      <c r="GY324"/>
      <c r="GZ324"/>
      <c r="HA324"/>
      <c r="HB324"/>
      <c r="HC324"/>
    </row>
    <row r="325" spans="1:211" s="7" customFormat="1">
      <c r="A325" s="1"/>
      <c r="B325">
        <v>0.53204311780165003</v>
      </c>
      <c r="C325">
        <v>5</v>
      </c>
      <c r="D325">
        <v>39987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3.6260416666666666</v>
      </c>
      <c r="AO325">
        <v>0.39555605560255797</v>
      </c>
      <c r="AP325">
        <v>8.0673702954342108</v>
      </c>
      <c r="AQ325">
        <v>3.3098907175330119</v>
      </c>
      <c r="AR325">
        <v>0.41084656052222446</v>
      </c>
      <c r="AS325">
        <v>2.4888869489277869</v>
      </c>
      <c r="AT325" t="e">
        <v>#DIV/0!</v>
      </c>
      <c r="AU325" t="e">
        <v>#DIV/0!</v>
      </c>
      <c r="AV325"/>
      <c r="AW325"/>
      <c r="FY325" s="211">
        <v>320</v>
      </c>
      <c r="FZ325">
        <v>0.67900468180814022</v>
      </c>
      <c r="GA325">
        <v>0.17450094823695328</v>
      </c>
      <c r="GB325">
        <v>0.14202990935487192</v>
      </c>
      <c r="GC325">
        <v>7.8958100610881349E-2</v>
      </c>
      <c r="GD325">
        <v>0</v>
      </c>
      <c r="GE325">
        <v>0</v>
      </c>
      <c r="GF325">
        <v>0.33021050058332063</v>
      </c>
      <c r="GG325">
        <v>0.29759236750664797</v>
      </c>
      <c r="GH325">
        <v>0</v>
      </c>
      <c r="GI325">
        <v>0.19960496589394155</v>
      </c>
      <c r="GJ325"/>
      <c r="GK325">
        <v>0.67822177796350003</v>
      </c>
      <c r="GL325">
        <v>0.14748101845849892</v>
      </c>
      <c r="GM325">
        <v>0.23585576644039991</v>
      </c>
      <c r="GN325">
        <v>0.23585576644039991</v>
      </c>
      <c r="GO325">
        <v>0</v>
      </c>
      <c r="GP325">
        <v>0</v>
      </c>
      <c r="GQ325">
        <v>0.45369793096285549</v>
      </c>
      <c r="GR325">
        <v>0.45369793096285549</v>
      </c>
      <c r="GS325">
        <v>0</v>
      </c>
      <c r="GT325">
        <v>0.27355509507335113</v>
      </c>
      <c r="GU325"/>
      <c r="GV325"/>
      <c r="GW325"/>
      <c r="GX325"/>
      <c r="GY325"/>
      <c r="GZ325"/>
      <c r="HA325"/>
      <c r="HB325"/>
      <c r="HC325"/>
    </row>
    <row r="326" spans="1:211" s="7" customFormat="1">
      <c r="A326" s="1"/>
      <c r="B326">
        <v>0.67688209300569357</v>
      </c>
      <c r="C326">
        <v>1</v>
      </c>
      <c r="D326">
        <v>39987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1.625</v>
      </c>
      <c r="AO326">
        <v>0.27055889428032592</v>
      </c>
      <c r="AP326">
        <v>10.050426622500011</v>
      </c>
      <c r="AQ326">
        <v>1.905669628995077</v>
      </c>
      <c r="AR326">
        <v>0.31055605115232998</v>
      </c>
      <c r="AS326">
        <v>1.6250329028698152</v>
      </c>
      <c r="AT326" t="e">
        <v>#DIV/0!</v>
      </c>
      <c r="AU326" t="e">
        <v>#DIV/0!</v>
      </c>
      <c r="AV326"/>
      <c r="AW326"/>
      <c r="FY326" s="211">
        <v>321</v>
      </c>
      <c r="FZ326">
        <v>0.82039851749039094</v>
      </c>
      <c r="GA326">
        <v>0.17450094823695328</v>
      </c>
      <c r="GB326">
        <v>0</v>
      </c>
      <c r="GC326">
        <v>3.4819274958961192E-2</v>
      </c>
      <c r="GD326">
        <v>2.6724553773673727E-2</v>
      </c>
      <c r="GE326">
        <v>0</v>
      </c>
      <c r="GF326">
        <v>0.99063150174996206</v>
      </c>
      <c r="GG326">
        <v>0.89277710251994391</v>
      </c>
      <c r="GH326">
        <v>0</v>
      </c>
      <c r="GI326">
        <v>0.32924875462978109</v>
      </c>
      <c r="GJ326"/>
      <c r="GK326">
        <v>0.82157476743443536</v>
      </c>
      <c r="GL326">
        <v>0.14748101845849892</v>
      </c>
      <c r="GM326">
        <v>0</v>
      </c>
      <c r="GN326">
        <v>0.10493806523239137</v>
      </c>
      <c r="GO326">
        <v>0.10493806523239137</v>
      </c>
      <c r="GP326">
        <v>0</v>
      </c>
      <c r="GQ326">
        <v>1.3610937928885667</v>
      </c>
      <c r="GR326">
        <v>1.3610937928885667</v>
      </c>
      <c r="GS326">
        <v>0</v>
      </c>
      <c r="GT326">
        <v>0.45752132511107868</v>
      </c>
      <c r="GU326"/>
      <c r="GV326"/>
      <c r="GW326"/>
      <c r="GX326"/>
      <c r="GY326"/>
      <c r="GZ326"/>
      <c r="HA326"/>
      <c r="HB326"/>
      <c r="HC326"/>
    </row>
    <row r="327" spans="1:211" s="7" customFormat="1">
      <c r="A327" s="1"/>
      <c r="B327">
        <v>0.84230771430165663</v>
      </c>
      <c r="C327">
        <v>3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2.8364583333333333</v>
      </c>
      <c r="AO327">
        <v>0.28515837666436156</v>
      </c>
      <c r="AP327">
        <v>5.3070806580286263</v>
      </c>
      <c r="AQ327">
        <v>2.3507848588679581</v>
      </c>
      <c r="AR327">
        <v>0.30855252108214104</v>
      </c>
      <c r="AS327">
        <v>2.0256891339403293</v>
      </c>
      <c r="AT327" t="e">
        <v>#DIV/0!</v>
      </c>
      <c r="AU327" t="e">
        <v>#DIV/0!</v>
      </c>
      <c r="AV327"/>
      <c r="AW327"/>
      <c r="FY327" s="211">
        <v>322</v>
      </c>
      <c r="FZ327">
        <v>1.2826518363636148</v>
      </c>
      <c r="GA327">
        <v>0.77470035519842362</v>
      </c>
      <c r="GB327">
        <v>0</v>
      </c>
      <c r="GC327">
        <v>3.4819274958961192E-2</v>
      </c>
      <c r="GD327">
        <v>2.6724553773673727E-2</v>
      </c>
      <c r="GE327">
        <v>0</v>
      </c>
      <c r="GF327">
        <v>0</v>
      </c>
      <c r="GG327">
        <v>0</v>
      </c>
      <c r="GH327">
        <v>0</v>
      </c>
      <c r="GI327">
        <v>0.20536838243838418</v>
      </c>
      <c r="GJ327"/>
      <c r="GK327">
        <v>1.2898339872863764</v>
      </c>
      <c r="GL327">
        <v>0.66663043111567644</v>
      </c>
      <c r="GM327">
        <v>0</v>
      </c>
      <c r="GN327">
        <v>0.10493806523239137</v>
      </c>
      <c r="GO327">
        <v>0.10493806523239137</v>
      </c>
      <c r="GP327">
        <v>0</v>
      </c>
      <c r="GQ327">
        <v>0</v>
      </c>
      <c r="GR327">
        <v>0</v>
      </c>
      <c r="GS327">
        <v>0</v>
      </c>
      <c r="GT327">
        <v>0.27895441050375358</v>
      </c>
      <c r="GU327"/>
      <c r="GV327"/>
      <c r="GW327"/>
      <c r="GX327"/>
      <c r="GY327"/>
      <c r="GZ327"/>
      <c r="HA327"/>
      <c r="HB327"/>
      <c r="HC327"/>
    </row>
    <row r="328" spans="1:211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1.796875</v>
      </c>
      <c r="AO328">
        <v>0.35475646972797392</v>
      </c>
      <c r="AP328">
        <v>15.384487500195462</v>
      </c>
      <c r="AQ328">
        <v>2.3403977220493517</v>
      </c>
      <c r="AR328">
        <v>0.36573948974147424</v>
      </c>
      <c r="AS328">
        <v>1.7105882937614654</v>
      </c>
      <c r="AT328" t="e">
        <v>#DIV/0!</v>
      </c>
      <c r="AU328" t="e">
        <v>#DIV/0!</v>
      </c>
      <c r="AV328"/>
      <c r="AW328"/>
      <c r="FY328" s="211">
        <v>323</v>
      </c>
      <c r="FZ328">
        <v>1.1713633377900186</v>
      </c>
      <c r="GA328">
        <v>0.47460065171768845</v>
      </c>
      <c r="GB328">
        <v>0.28405981870974384</v>
      </c>
      <c r="GC328">
        <v>0.2275547511396851</v>
      </c>
      <c r="GD328">
        <v>5.3449107547347455E-2</v>
      </c>
      <c r="GE328">
        <v>0</v>
      </c>
      <c r="GF328">
        <v>0</v>
      </c>
      <c r="GG328">
        <v>0</v>
      </c>
      <c r="GH328">
        <v>0</v>
      </c>
      <c r="GI328">
        <v>0.27409750153616591</v>
      </c>
      <c r="GJ328"/>
      <c r="GK328">
        <v>1.1770352911112691</v>
      </c>
      <c r="GL328">
        <v>0.40705572478708768</v>
      </c>
      <c r="GM328">
        <v>0.47171153288079981</v>
      </c>
      <c r="GN328">
        <v>0.68158766334558252</v>
      </c>
      <c r="GO328">
        <v>0.20987613046478273</v>
      </c>
      <c r="GP328">
        <v>0</v>
      </c>
      <c r="GQ328">
        <v>0</v>
      </c>
      <c r="GR328">
        <v>0</v>
      </c>
      <c r="GS328">
        <v>0</v>
      </c>
      <c r="GT328">
        <v>0.37172459089137033</v>
      </c>
      <c r="GU328"/>
      <c r="GV328"/>
      <c r="GW328"/>
      <c r="GX328"/>
      <c r="GY328"/>
      <c r="GZ328"/>
      <c r="HA328"/>
      <c r="HB328"/>
      <c r="HC328"/>
    </row>
    <row r="329" spans="1:211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1.8645833333333333</v>
      </c>
      <c r="AO329">
        <v>0.23139239831236608</v>
      </c>
      <c r="AP329">
        <v>7.6936792129501281</v>
      </c>
      <c r="AQ329">
        <v>1.733548960421621</v>
      </c>
      <c r="AR329">
        <v>0.25047815053958722</v>
      </c>
      <c r="AS329">
        <v>1.4132097160408668</v>
      </c>
      <c r="AT329" t="e">
        <v>#DIV/0!</v>
      </c>
      <c r="AU329" t="e">
        <v>#DIV/0!</v>
      </c>
      <c r="AV329"/>
      <c r="AW329"/>
      <c r="FY329" s="211">
        <v>324</v>
      </c>
      <c r="FZ329">
        <v>0.91024996796614543</v>
      </c>
      <c r="GA329">
        <v>0.38735017759921181</v>
      </c>
      <c r="GB329">
        <v>0.22123389596694673</v>
      </c>
      <c r="GC329">
        <v>0.1579162012217627</v>
      </c>
      <c r="GD329">
        <v>2.6724553773673727E-2</v>
      </c>
      <c r="GE329">
        <v>0</v>
      </c>
      <c r="GF329">
        <v>0.33021050058332063</v>
      </c>
      <c r="GG329">
        <v>0.29759236750664797</v>
      </c>
      <c r="GH329">
        <v>0</v>
      </c>
      <c r="GI329">
        <v>0.26863878603039593</v>
      </c>
      <c r="GJ329"/>
      <c r="GK329">
        <v>0.91300003486349657</v>
      </c>
      <c r="GL329">
        <v>0.33331521555783822</v>
      </c>
      <c r="GM329">
        <v>0.3667734676484084</v>
      </c>
      <c r="GN329">
        <v>0.47171153288079981</v>
      </c>
      <c r="GO329">
        <v>0.10493806523239137</v>
      </c>
      <c r="GP329">
        <v>0</v>
      </c>
      <c r="GQ329">
        <v>0.45369793096285549</v>
      </c>
      <c r="GR329">
        <v>0.45369793096285549</v>
      </c>
      <c r="GS329">
        <v>0</v>
      </c>
      <c r="GT329">
        <v>0.36768189974143034</v>
      </c>
      <c r="GU329"/>
      <c r="GV329"/>
      <c r="GW329"/>
      <c r="GX329"/>
      <c r="GY329"/>
      <c r="GZ329"/>
      <c r="HA329"/>
      <c r="HB329"/>
      <c r="HC329"/>
    </row>
    <row r="330" spans="1:211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2.1437499999999998</v>
      </c>
      <c r="AO330">
        <v>0.49617007971717964</v>
      </c>
      <c r="AP330">
        <v>19.350619452222872</v>
      </c>
      <c r="AQ330">
        <v>3.3691176542701675</v>
      </c>
      <c r="AR330">
        <v>0.4890773318517122</v>
      </c>
      <c r="AS330">
        <v>2.270735081655912</v>
      </c>
      <c r="AT330" t="e">
        <v>#DIV/0!</v>
      </c>
      <c r="AU330" t="e">
        <v>#DIV/0!</v>
      </c>
      <c r="AV330"/>
      <c r="AW330"/>
      <c r="FY330" s="211">
        <v>325</v>
      </c>
      <c r="FZ330">
        <v>1.1111597536771629</v>
      </c>
      <c r="GA330">
        <v>0.56185112583616514</v>
      </c>
      <c r="GB330">
        <v>7.9203986612074825E-2</v>
      </c>
      <c r="GC330">
        <v>4.4138825651920163E-2</v>
      </c>
      <c r="GD330">
        <v>0</v>
      </c>
      <c r="GE330">
        <v>0</v>
      </c>
      <c r="GF330">
        <v>0.33021050058332063</v>
      </c>
      <c r="GG330">
        <v>0.29759236750664797</v>
      </c>
      <c r="GH330">
        <v>0</v>
      </c>
      <c r="GI330">
        <v>0.24809573268991511</v>
      </c>
      <c r="GJ330"/>
      <c r="GK330">
        <v>1.1140563893603495</v>
      </c>
      <c r="GL330">
        <v>0.48079623401633714</v>
      </c>
      <c r="GM330">
        <v>0.13091770120800852</v>
      </c>
      <c r="GN330">
        <v>0.13091770120800852</v>
      </c>
      <c r="GO330">
        <v>0</v>
      </c>
      <c r="GP330">
        <v>0</v>
      </c>
      <c r="GQ330">
        <v>0.45369793096285549</v>
      </c>
      <c r="GR330">
        <v>0.45369793096285549</v>
      </c>
      <c r="GS330">
        <v>0</v>
      </c>
      <c r="GT330">
        <v>0.33973440430624269</v>
      </c>
      <c r="GU330"/>
      <c r="GV330"/>
      <c r="GW330"/>
      <c r="GX330"/>
      <c r="GY330"/>
      <c r="GZ330"/>
      <c r="HA330"/>
      <c r="HB330"/>
      <c r="HC330"/>
    </row>
    <row r="331" spans="1:211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2.8437499999999991</v>
      </c>
      <c r="AO331">
        <v>0.2648176690793132</v>
      </c>
      <c r="AP331">
        <v>7.9735795041583657</v>
      </c>
      <c r="AQ331">
        <v>2.067835754053041</v>
      </c>
      <c r="AR331">
        <v>0.29389685027962414</v>
      </c>
      <c r="AS331">
        <v>1.7121735670889724</v>
      </c>
      <c r="AT331" t="e">
        <v>#DIV/0!</v>
      </c>
      <c r="AU331" t="e">
        <v>#DIV/0!</v>
      </c>
      <c r="AV331"/>
      <c r="AW331"/>
      <c r="FY331" s="211">
        <v>326</v>
      </c>
      <c r="FZ331">
        <v>1.1153853579672184</v>
      </c>
      <c r="GA331">
        <v>0.38735017759921181</v>
      </c>
      <c r="GB331">
        <v>0.18847776822839127</v>
      </c>
      <c r="GC331">
        <v>0.10445782487688361</v>
      </c>
      <c r="GD331">
        <v>0</v>
      </c>
      <c r="GE331">
        <v>0</v>
      </c>
      <c r="GF331">
        <v>0</v>
      </c>
      <c r="GG331">
        <v>0</v>
      </c>
      <c r="GH331">
        <v>0</v>
      </c>
      <c r="GI331">
        <v>0.21154335122400308</v>
      </c>
      <c r="GJ331"/>
      <c r="GK331">
        <v>1.1207568389190476</v>
      </c>
      <c r="GL331">
        <v>0.33331521555783822</v>
      </c>
      <c r="GM331">
        <v>0.31481419569717417</v>
      </c>
      <c r="GN331">
        <v>0.31481419569717417</v>
      </c>
      <c r="GO331">
        <v>0</v>
      </c>
      <c r="GP331">
        <v>0</v>
      </c>
      <c r="GQ331">
        <v>0</v>
      </c>
      <c r="GR331">
        <v>0</v>
      </c>
      <c r="GS331">
        <v>0</v>
      </c>
      <c r="GT331">
        <v>0.28711420692324435</v>
      </c>
      <c r="GU331"/>
      <c r="GV331"/>
      <c r="GW331"/>
      <c r="GX331"/>
      <c r="GY331"/>
      <c r="GZ331"/>
      <c r="HA331"/>
      <c r="HB331"/>
      <c r="HC331"/>
    </row>
    <row r="332" spans="1:211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1.7395833333333333</v>
      </c>
      <c r="AO332">
        <v>0.11076950951871804</v>
      </c>
      <c r="AP332">
        <v>1.2816558953166293</v>
      </c>
      <c r="AQ332">
        <v>0.94743990040295811</v>
      </c>
      <c r="AR332">
        <v>0.16712617165913154</v>
      </c>
      <c r="AS332">
        <v>1.0167773515758576</v>
      </c>
      <c r="AT332" t="e">
        <v>#DIV/0!</v>
      </c>
      <c r="AU332" t="e">
        <v>#DIV/0!</v>
      </c>
      <c r="AV332"/>
      <c r="AW332"/>
      <c r="FY332" s="211">
        <v>327</v>
      </c>
      <c r="FZ332">
        <v>1.3525237494459939</v>
      </c>
      <c r="GA332">
        <v>0.77470035519842362</v>
      </c>
      <c r="GB332">
        <v>6.282592274279708E-2</v>
      </c>
      <c r="GC332">
        <v>6.9638549917922385E-2</v>
      </c>
      <c r="GD332">
        <v>2.6724553773673727E-2</v>
      </c>
      <c r="GE332">
        <v>0</v>
      </c>
      <c r="GF332">
        <v>0.99063150174996206</v>
      </c>
      <c r="GG332">
        <v>0.89277710251994391</v>
      </c>
      <c r="GH332">
        <v>0</v>
      </c>
      <c r="GI332">
        <v>0.42332026137581658</v>
      </c>
      <c r="GJ332"/>
      <c r="GK332">
        <v>1.3625339850198599</v>
      </c>
      <c r="GL332">
        <v>0.66663043111567644</v>
      </c>
      <c r="GM332">
        <v>0.10493806523239137</v>
      </c>
      <c r="GN332">
        <v>0.20987613046478273</v>
      </c>
      <c r="GO332">
        <v>0.10493806523239137</v>
      </c>
      <c r="GP332">
        <v>0</v>
      </c>
      <c r="GQ332">
        <v>1.3610937928885667</v>
      </c>
      <c r="GR332">
        <v>1.3610937928885667</v>
      </c>
      <c r="GS332">
        <v>0</v>
      </c>
      <c r="GT332">
        <v>0.5867007816746419</v>
      </c>
      <c r="GU332"/>
      <c r="GV332"/>
      <c r="GW332"/>
      <c r="GX332"/>
      <c r="GY332"/>
      <c r="GZ332"/>
      <c r="HA332"/>
      <c r="HB332"/>
      <c r="HC332"/>
    </row>
    <row r="333" spans="1:211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2.739583333333333</v>
      </c>
      <c r="AO333">
        <v>0.31996883636744605</v>
      </c>
      <c r="AP333">
        <v>14.76820028543578</v>
      </c>
      <c r="AQ333">
        <v>2.0526375434938311</v>
      </c>
      <c r="AR333">
        <v>0.33540724956913137</v>
      </c>
      <c r="AS333">
        <v>2.1181383078494855</v>
      </c>
      <c r="AT333" t="e">
        <v>#DIV/0!</v>
      </c>
      <c r="AU333" t="e">
        <v>#DIV/0!</v>
      </c>
      <c r="AV333"/>
      <c r="AW333"/>
      <c r="FY333" s="211">
        <v>328</v>
      </c>
      <c r="FZ333">
        <v>1.4733611932236637</v>
      </c>
      <c r="GA333">
        <v>1.2493010069161121</v>
      </c>
      <c r="GB333">
        <v>0.15840797322414965</v>
      </c>
      <c r="GC333">
        <v>0.12309692626280153</v>
      </c>
      <c r="GD333">
        <v>2.6724553773673727E-2</v>
      </c>
      <c r="GE333">
        <v>0</v>
      </c>
      <c r="GF333">
        <v>0</v>
      </c>
      <c r="GG333">
        <v>0</v>
      </c>
      <c r="GH333">
        <v>0</v>
      </c>
      <c r="GI333">
        <v>0.272216748450406</v>
      </c>
      <c r="GJ333"/>
      <c r="GK333">
        <v>1.4882601405815321</v>
      </c>
      <c r="GL333">
        <v>1.073686155902764</v>
      </c>
      <c r="GM333">
        <v>0.26183540241601705</v>
      </c>
      <c r="GN333">
        <v>0.3667734676484084</v>
      </c>
      <c r="GO333">
        <v>0.10493806523239137</v>
      </c>
      <c r="GP333">
        <v>0</v>
      </c>
      <c r="GQ333">
        <v>0</v>
      </c>
      <c r="GR333">
        <v>0</v>
      </c>
      <c r="GS333">
        <v>0</v>
      </c>
      <c r="GT333">
        <v>0.37100672164598814</v>
      </c>
      <c r="GU333"/>
      <c r="GV333"/>
      <c r="GW333"/>
      <c r="GX333"/>
      <c r="GY333"/>
      <c r="GZ333"/>
      <c r="HA333"/>
      <c r="HB333"/>
      <c r="HC333"/>
    </row>
    <row r="334" spans="1:211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2.9010416666666665</v>
      </c>
      <c r="AO334">
        <v>0.39041594567717974</v>
      </c>
      <c r="AP334">
        <v>14.275994847636298</v>
      </c>
      <c r="AQ334">
        <v>2.9617593583421469</v>
      </c>
      <c r="AR334">
        <v>0.43557113499119793</v>
      </c>
      <c r="AS334">
        <v>2.243399915870286</v>
      </c>
      <c r="AT334" t="e">
        <v>#DIV/0!</v>
      </c>
      <c r="AU334" t="e">
        <v>#DIV/0!</v>
      </c>
      <c r="AV334"/>
      <c r="AW334"/>
      <c r="FY334" s="211">
        <v>329</v>
      </c>
      <c r="FZ334">
        <v>0.74697166598496878</v>
      </c>
      <c r="GA334">
        <v>0.17450094823695328</v>
      </c>
      <c r="GB334">
        <v>0.14202990935487192</v>
      </c>
      <c r="GC334">
        <v>7.8958100610881349E-2</v>
      </c>
      <c r="GD334">
        <v>0</v>
      </c>
      <c r="GE334">
        <v>0</v>
      </c>
      <c r="GF334">
        <v>0.33021050058332063</v>
      </c>
      <c r="GG334">
        <v>0.29759236750664797</v>
      </c>
      <c r="GH334">
        <v>0</v>
      </c>
      <c r="GI334">
        <v>0.20961796426189219</v>
      </c>
      <c r="GJ334"/>
      <c r="GK334">
        <v>0.74827063438738706</v>
      </c>
      <c r="GL334">
        <v>0.14748101845849892</v>
      </c>
      <c r="GM334">
        <v>0.23585576644039991</v>
      </c>
      <c r="GN334">
        <v>0.23585576644039991</v>
      </c>
      <c r="GO334">
        <v>0</v>
      </c>
      <c r="GP334">
        <v>0</v>
      </c>
      <c r="GQ334">
        <v>0.45369793096285549</v>
      </c>
      <c r="GR334">
        <v>0.45369793096285549</v>
      </c>
      <c r="GS334">
        <v>0</v>
      </c>
      <c r="GT334">
        <v>0.2875648663581285</v>
      </c>
      <c r="GU334"/>
      <c r="GV334"/>
      <c r="GW334"/>
      <c r="GX334"/>
      <c r="GY334"/>
      <c r="GZ334"/>
      <c r="HA334"/>
      <c r="HB334"/>
      <c r="HC334"/>
    </row>
    <row r="335" spans="1:211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1.78125</v>
      </c>
      <c r="AO335">
        <v>0.37067887314271997</v>
      </c>
      <c r="AP335">
        <v>15.426831938554063</v>
      </c>
      <c r="AQ335">
        <v>2.7633424433747682</v>
      </c>
      <c r="AR335">
        <v>0.41063615964270372</v>
      </c>
      <c r="AS335">
        <v>2.0333471916867309</v>
      </c>
      <c r="AT335" t="e">
        <v>#DIV/0!</v>
      </c>
      <c r="AU335" t="e">
        <v>#DIV/0!</v>
      </c>
      <c r="AV335"/>
      <c r="AW335"/>
      <c r="FY335" s="211">
        <v>330</v>
      </c>
      <c r="FZ335">
        <v>1.2242164803096856</v>
      </c>
      <c r="GA335">
        <v>0.77470035519842362</v>
      </c>
      <c r="GB335">
        <v>6.282592274279708E-2</v>
      </c>
      <c r="GC335">
        <v>6.9638549917922385E-2</v>
      </c>
      <c r="GD335">
        <v>2.6724553773673727E-2</v>
      </c>
      <c r="GE335">
        <v>0</v>
      </c>
      <c r="GF335">
        <v>0.33021050058332063</v>
      </c>
      <c r="GG335">
        <v>0.29759236750664797</v>
      </c>
      <c r="GH335">
        <v>0</v>
      </c>
      <c r="GI335">
        <v>0.27623712572150722</v>
      </c>
      <c r="GJ335"/>
      <c r="GK335">
        <v>1.2314225523303315</v>
      </c>
      <c r="GL335">
        <v>0.66663043111567644</v>
      </c>
      <c r="GM335">
        <v>0.10493806523239137</v>
      </c>
      <c r="GN335">
        <v>0.20987613046478273</v>
      </c>
      <c r="GO335">
        <v>0.10493806523239137</v>
      </c>
      <c r="GP335">
        <v>0</v>
      </c>
      <c r="GQ335">
        <v>0.45369793096285549</v>
      </c>
      <c r="GR335">
        <v>0.45369793096285549</v>
      </c>
      <c r="GS335">
        <v>0</v>
      </c>
      <c r="GT335">
        <v>0.37899932275159393</v>
      </c>
      <c r="GU335"/>
      <c r="GV335"/>
      <c r="GW335"/>
      <c r="GX335"/>
      <c r="GY335"/>
      <c r="GZ335"/>
      <c r="HA335"/>
      <c r="HB335"/>
      <c r="HC335"/>
    </row>
    <row r="336" spans="1:211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2.1614583333333326</v>
      </c>
      <c r="AO336">
        <v>0.24783652863018607</v>
      </c>
      <c r="AP336">
        <v>9.169862482391796</v>
      </c>
      <c r="AQ336">
        <v>1.9019014739947568</v>
      </c>
      <c r="AR336">
        <v>0.27355509507335113</v>
      </c>
      <c r="AS336">
        <v>1.592822018365962</v>
      </c>
      <c r="AT336" t="e">
        <v>#DIV/0!</v>
      </c>
      <c r="AU336" t="e">
        <v>#DIV/0!</v>
      </c>
      <c r="AV336"/>
      <c r="AW336"/>
      <c r="FY336" s="211">
        <v>331</v>
      </c>
      <c r="FZ336">
        <v>1.0089064082993369</v>
      </c>
      <c r="GA336">
        <v>0.56185112583616514</v>
      </c>
      <c r="GB336">
        <v>0.22123389596694673</v>
      </c>
      <c r="GC336">
        <v>0.1579162012217627</v>
      </c>
      <c r="GD336">
        <v>2.6724553773673727E-2</v>
      </c>
      <c r="GE336">
        <v>0</v>
      </c>
      <c r="GF336">
        <v>0.33021050058332063</v>
      </c>
      <c r="GG336">
        <v>0.29759236750664797</v>
      </c>
      <c r="GH336">
        <v>0</v>
      </c>
      <c r="GI336">
        <v>0.28326131602086535</v>
      </c>
      <c r="GJ336"/>
      <c r="GK336">
        <v>1.0116898413570616</v>
      </c>
      <c r="GL336">
        <v>0.48079623401633714</v>
      </c>
      <c r="GM336">
        <v>0.3667734676484084</v>
      </c>
      <c r="GN336">
        <v>0.47171153288079981</v>
      </c>
      <c r="GO336">
        <v>0.10493806523239137</v>
      </c>
      <c r="GP336">
        <v>0</v>
      </c>
      <c r="GQ336">
        <v>0.45369793096285549</v>
      </c>
      <c r="GR336">
        <v>0.45369793096285549</v>
      </c>
      <c r="GS336">
        <v>0</v>
      </c>
      <c r="GT336">
        <v>0.38741986104014342</v>
      </c>
      <c r="GU336"/>
      <c r="GV336"/>
      <c r="GW336"/>
      <c r="GX336"/>
      <c r="GY336"/>
      <c r="GZ336"/>
      <c r="HA336"/>
      <c r="HB336"/>
      <c r="HC336"/>
    </row>
    <row r="337" spans="1:211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2.8541666666666661</v>
      </c>
      <c r="AO337">
        <v>0.43586408272459287</v>
      </c>
      <c r="AP337">
        <v>20.331843183365695</v>
      </c>
      <c r="AQ337">
        <v>3.2691006533596658</v>
      </c>
      <c r="AR337">
        <v>0.45752132511107868</v>
      </c>
      <c r="AS337">
        <v>2.0998431170258849</v>
      </c>
      <c r="AT337" t="e">
        <v>#DIV/0!</v>
      </c>
      <c r="AU337" t="e">
        <v>#DIV/0!</v>
      </c>
      <c r="AV337"/>
      <c r="AW337"/>
      <c r="FY337" s="211">
        <v>332</v>
      </c>
      <c r="FZ337">
        <v>1.415639218095516</v>
      </c>
      <c r="GA337">
        <v>0.38735017759921181</v>
      </c>
      <c r="GB337">
        <v>6.282592274279708E-2</v>
      </c>
      <c r="GC337">
        <v>3.4819274958961192E-2</v>
      </c>
      <c r="GD337">
        <v>0</v>
      </c>
      <c r="GE337">
        <v>0</v>
      </c>
      <c r="GF337">
        <v>0.33021050058332063</v>
      </c>
      <c r="GG337">
        <v>0.29759236750664797</v>
      </c>
      <c r="GH337">
        <v>0</v>
      </c>
      <c r="GI337">
        <v>0.28906699314790724</v>
      </c>
      <c r="GJ337"/>
      <c r="GK337">
        <v>1.425778536634468</v>
      </c>
      <c r="GL337">
        <v>0.33331521555783822</v>
      </c>
      <c r="GM337">
        <v>0.10493806523239137</v>
      </c>
      <c r="GN337">
        <v>0.10493806523239137</v>
      </c>
      <c r="GO337">
        <v>0</v>
      </c>
      <c r="GP337">
        <v>0</v>
      </c>
      <c r="GQ337">
        <v>0.45369793096285549</v>
      </c>
      <c r="GR337">
        <v>0.45369793096285549</v>
      </c>
      <c r="GS337">
        <v>0</v>
      </c>
      <c r="GT337">
        <v>0.39688290656594299</v>
      </c>
      <c r="GU337"/>
      <c r="GV337"/>
      <c r="GW337"/>
      <c r="GX337"/>
      <c r="GY337"/>
      <c r="GZ337"/>
      <c r="HA337"/>
      <c r="HB337"/>
      <c r="HC337"/>
    </row>
    <row r="338" spans="1:211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2.8395833333333336</v>
      </c>
      <c r="AO338">
        <v>0.24452949593705889</v>
      </c>
      <c r="AP338">
        <v>4.3738351255907197</v>
      </c>
      <c r="AQ338">
        <v>2.3242644027330575</v>
      </c>
      <c r="AR338">
        <v>0.27895441050375358</v>
      </c>
      <c r="AS338">
        <v>1.6480046760511871</v>
      </c>
      <c r="AT338" t="e">
        <v>#DIV/0!</v>
      </c>
      <c r="AU338" t="e">
        <v>#DIV/0!</v>
      </c>
      <c r="AV338"/>
      <c r="AW338"/>
      <c r="FY338" s="211">
        <v>333</v>
      </c>
      <c r="FZ338">
        <v>1.479258426208669</v>
      </c>
      <c r="GA338">
        <v>0.9492013034353769</v>
      </c>
      <c r="GB338">
        <v>0.14202990935487192</v>
      </c>
      <c r="GC338">
        <v>0.14859665052880375</v>
      </c>
      <c r="GD338">
        <v>5.3449107547347455E-2</v>
      </c>
      <c r="GE338">
        <v>0</v>
      </c>
      <c r="GF338">
        <v>0.99063150174996206</v>
      </c>
      <c r="GG338">
        <v>0.89277710251994391</v>
      </c>
      <c r="GH338">
        <v>0</v>
      </c>
      <c r="GI338">
        <v>0.47696294591995081</v>
      </c>
      <c r="GJ338"/>
      <c r="GK338">
        <v>1.4894134541052624</v>
      </c>
      <c r="GL338">
        <v>0.81411144957417536</v>
      </c>
      <c r="GM338">
        <v>0.23585576644039991</v>
      </c>
      <c r="GN338">
        <v>0.44573189690518267</v>
      </c>
      <c r="GO338">
        <v>0.20987613046478273</v>
      </c>
      <c r="GP338">
        <v>0</v>
      </c>
      <c r="GQ338">
        <v>1.3610937928885667</v>
      </c>
      <c r="GR338">
        <v>1.3610937928885667</v>
      </c>
      <c r="GS338">
        <v>0</v>
      </c>
      <c r="GT338">
        <v>0.65924782877980226</v>
      </c>
      <c r="GU338"/>
      <c r="GV338"/>
      <c r="GW338"/>
      <c r="GX338"/>
      <c r="GY338"/>
      <c r="GZ338"/>
      <c r="HA338"/>
      <c r="HB338"/>
      <c r="HC338"/>
    </row>
    <row r="339" spans="1:211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3.2791666666666663</v>
      </c>
      <c r="AO339">
        <v>0.33189909334808926</v>
      </c>
      <c r="AP339">
        <v>7.4960064434734903</v>
      </c>
      <c r="AQ339">
        <v>2.485125168440649</v>
      </c>
      <c r="AR339">
        <v>0.37172459089137033</v>
      </c>
      <c r="AS339">
        <v>2.2415377173771973</v>
      </c>
      <c r="AT339" t="e">
        <v>#DIV/0!</v>
      </c>
      <c r="AU339" t="e">
        <v>#DIV/0!</v>
      </c>
      <c r="AV339"/>
      <c r="AW339"/>
      <c r="FY339" s="211">
        <v>334</v>
      </c>
      <c r="FZ339">
        <v>0.79990536252076172</v>
      </c>
      <c r="GA339">
        <v>0.17450094823695328</v>
      </c>
      <c r="GB339">
        <v>0.14202990935487192</v>
      </c>
      <c r="GC339">
        <v>0.14859665052880375</v>
      </c>
      <c r="GD339">
        <v>5.3449107547347455E-2</v>
      </c>
      <c r="GE339">
        <v>0</v>
      </c>
      <c r="GF339">
        <v>0.33021050058332063</v>
      </c>
      <c r="GG339">
        <v>0.29759236750664797</v>
      </c>
      <c r="GH339">
        <v>0</v>
      </c>
      <c r="GI339">
        <v>0.2483728994886463</v>
      </c>
      <c r="GJ339"/>
      <c r="GK339">
        <v>0.80140959424353997</v>
      </c>
      <c r="GL339">
        <v>0.14748101845849892</v>
      </c>
      <c r="GM339">
        <v>0.23585576644039991</v>
      </c>
      <c r="GN339">
        <v>0.44573189690518267</v>
      </c>
      <c r="GO339">
        <v>0.20987613046478273</v>
      </c>
      <c r="GP339">
        <v>0</v>
      </c>
      <c r="GQ339">
        <v>0.45369793096285549</v>
      </c>
      <c r="GR339">
        <v>0.45369793096285549</v>
      </c>
      <c r="GS339">
        <v>0</v>
      </c>
      <c r="GT339">
        <v>0.3401678844223156</v>
      </c>
      <c r="GU339"/>
      <c r="GV339"/>
      <c r="GW339"/>
      <c r="GX339"/>
      <c r="GY339"/>
      <c r="GZ339"/>
      <c r="HA339"/>
      <c r="HB339"/>
      <c r="HC339"/>
    </row>
    <row r="340" spans="1:211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3.6229166666666663</v>
      </c>
      <c r="AO340">
        <v>0.34648160778500753</v>
      </c>
      <c r="AP340">
        <v>13.06778297418834</v>
      </c>
      <c r="AQ340">
        <v>2.5999164506481049</v>
      </c>
      <c r="AR340">
        <v>0.36768189974143045</v>
      </c>
      <c r="AS340">
        <v>2.0932506991601332</v>
      </c>
      <c r="AT340" t="e">
        <v>#DIV/0!</v>
      </c>
      <c r="AU340" t="e">
        <v>#DIV/0!</v>
      </c>
      <c r="AV340"/>
      <c r="AW340"/>
      <c r="FY340" s="211">
        <v>335</v>
      </c>
      <c r="FZ340">
        <v>1.1134763013974327</v>
      </c>
      <c r="GA340">
        <v>0.77470035519842362</v>
      </c>
      <c r="GB340">
        <v>0.14202990935487192</v>
      </c>
      <c r="GC340">
        <v>0.14859665052880375</v>
      </c>
      <c r="GD340">
        <v>5.3449107547347455E-2</v>
      </c>
      <c r="GE340">
        <v>0</v>
      </c>
      <c r="GF340">
        <v>0.66042100116664126</v>
      </c>
      <c r="GG340">
        <v>0.59518473501329594</v>
      </c>
      <c r="GH340">
        <v>0</v>
      </c>
      <c r="GI340">
        <v>0.35866110250485717</v>
      </c>
      <c r="GJ340"/>
      <c r="GK340">
        <v>1.1239512732865364</v>
      </c>
      <c r="GL340">
        <v>0.66663043111567644</v>
      </c>
      <c r="GM340">
        <v>0.23585576644039991</v>
      </c>
      <c r="GN340">
        <v>0.44573189690518267</v>
      </c>
      <c r="GO340">
        <v>0.20987613046478273</v>
      </c>
      <c r="GP340">
        <v>0</v>
      </c>
      <c r="GQ340">
        <v>0.90739586192571098</v>
      </c>
      <c r="GR340">
        <v>0.90739586192571098</v>
      </c>
      <c r="GS340">
        <v>0</v>
      </c>
      <c r="GT340">
        <v>0.49541580642348604</v>
      </c>
      <c r="GU340"/>
      <c r="GV340"/>
      <c r="GW340"/>
      <c r="GX340"/>
      <c r="GY340"/>
      <c r="GZ340"/>
      <c r="HA340"/>
      <c r="HB340"/>
      <c r="HC340"/>
    </row>
    <row r="341" spans="1:211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3.0031249999999998</v>
      </c>
      <c r="AO341">
        <v>0.31038182920246571</v>
      </c>
      <c r="AP341">
        <v>9.2738652974775793</v>
      </c>
      <c r="AQ341">
        <v>2.6722522925572068</v>
      </c>
      <c r="AR341">
        <v>0.33973440430624269</v>
      </c>
      <c r="AS341">
        <v>2.0821101017043433</v>
      </c>
      <c r="AT341" t="e">
        <v>#DIV/0!</v>
      </c>
      <c r="AU341" t="e">
        <v>#DIV/0!</v>
      </c>
      <c r="AV341"/>
      <c r="AW341"/>
      <c r="FY341" s="211">
        <v>336</v>
      </c>
      <c r="FZ341">
        <v>1.2242755895804023</v>
      </c>
      <c r="GA341">
        <v>0.77470035519842362</v>
      </c>
      <c r="GB341">
        <v>0</v>
      </c>
      <c r="GC341">
        <v>0</v>
      </c>
      <c r="GD341">
        <v>0</v>
      </c>
      <c r="GE341">
        <v>0</v>
      </c>
      <c r="GF341">
        <v>0.33021050058332063</v>
      </c>
      <c r="GG341">
        <v>0.29759236750664797</v>
      </c>
      <c r="GH341">
        <v>0</v>
      </c>
      <c r="GI341">
        <v>0.2452350863334081</v>
      </c>
      <c r="GJ341"/>
      <c r="GK341">
        <v>1.2347297887257849</v>
      </c>
      <c r="GL341">
        <v>0.66663043111567644</v>
      </c>
      <c r="GM341">
        <v>0</v>
      </c>
      <c r="GN341">
        <v>0</v>
      </c>
      <c r="GO341">
        <v>0</v>
      </c>
      <c r="GP341">
        <v>0</v>
      </c>
      <c r="GQ341">
        <v>0.45369793096285549</v>
      </c>
      <c r="GR341">
        <v>0.45369793096285549</v>
      </c>
      <c r="GS341">
        <v>0</v>
      </c>
      <c r="GT341">
        <v>0.33768554393772804</v>
      </c>
      <c r="GU341"/>
      <c r="GV341"/>
      <c r="GW341"/>
      <c r="GX341"/>
      <c r="GY341"/>
      <c r="GZ341"/>
      <c r="HA341"/>
      <c r="HB341"/>
      <c r="HC341"/>
    </row>
    <row r="342" spans="1:211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2.5499999999999998</v>
      </c>
      <c r="AO342">
        <v>0.23708146527944787</v>
      </c>
      <c r="AP342">
        <v>6.1069336457283203</v>
      </c>
      <c r="AQ342">
        <v>2.0072144798957083</v>
      </c>
      <c r="AR342">
        <v>0.28711420692324435</v>
      </c>
      <c r="AS342">
        <v>1.8402938566796632</v>
      </c>
      <c r="AT342" t="e">
        <v>#DIV/0!</v>
      </c>
      <c r="AU342" t="e">
        <v>#DIV/0!</v>
      </c>
      <c r="AV342"/>
      <c r="AW342"/>
      <c r="FY342" s="211">
        <v>337</v>
      </c>
      <c r="FZ342">
        <v>1.4358145656062327</v>
      </c>
      <c r="GA342">
        <v>0.9492013034353769</v>
      </c>
      <c r="GB342">
        <v>0.14202990935487192</v>
      </c>
      <c r="GC342">
        <v>7.8958100610881349E-2</v>
      </c>
      <c r="GD342">
        <v>0</v>
      </c>
      <c r="GE342">
        <v>0</v>
      </c>
      <c r="GF342">
        <v>0</v>
      </c>
      <c r="GG342">
        <v>0</v>
      </c>
      <c r="GH342">
        <v>0</v>
      </c>
      <c r="GI342">
        <v>0.24738964134051336</v>
      </c>
      <c r="GJ342"/>
      <c r="GK342">
        <v>1.4458947172402208</v>
      </c>
      <c r="GL342">
        <v>0.81411144957417536</v>
      </c>
      <c r="GM342">
        <v>0.23585576644039991</v>
      </c>
      <c r="GN342">
        <v>0.23585576644039991</v>
      </c>
      <c r="GO342">
        <v>0</v>
      </c>
      <c r="GP342">
        <v>0</v>
      </c>
      <c r="GQ342">
        <v>0</v>
      </c>
      <c r="GR342">
        <v>0</v>
      </c>
      <c r="GS342">
        <v>0</v>
      </c>
      <c r="GT342">
        <v>0.33635009673612415</v>
      </c>
      <c r="GU342"/>
      <c r="GV342"/>
      <c r="GW342"/>
      <c r="GX342"/>
      <c r="GY342"/>
      <c r="GZ342"/>
      <c r="HA342"/>
      <c r="HB342"/>
      <c r="HC342"/>
    </row>
    <row r="343" spans="1:211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2.6729166666666666</v>
      </c>
      <c r="AO343">
        <v>0.57578050445168771</v>
      </c>
      <c r="AP343">
        <v>22.584851291050992</v>
      </c>
      <c r="AQ343">
        <v>4.5931419967245333</v>
      </c>
      <c r="AR343">
        <v>0.5867007816746419</v>
      </c>
      <c r="AS343">
        <v>2.5644886314651858</v>
      </c>
      <c r="AT343" t="e">
        <v>#DIV/0!</v>
      </c>
      <c r="AU343" t="e">
        <v>#DIV/0!</v>
      </c>
      <c r="AV343"/>
      <c r="AW343"/>
      <c r="FY343" s="211">
        <v>338</v>
      </c>
      <c r="FZ343">
        <v>0.7878990410855593</v>
      </c>
      <c r="GA343">
        <v>0.17450094823695328</v>
      </c>
      <c r="GB343">
        <v>0.204855832097669</v>
      </c>
      <c r="GC343">
        <v>0.11377737556984255</v>
      </c>
      <c r="GD343">
        <v>0</v>
      </c>
      <c r="GE343">
        <v>0</v>
      </c>
      <c r="GF343">
        <v>0.33021050058332063</v>
      </c>
      <c r="GG343">
        <v>0.29759236750664797</v>
      </c>
      <c r="GH343">
        <v>0</v>
      </c>
      <c r="GI343">
        <v>0.2312260874287731</v>
      </c>
      <c r="GJ343"/>
      <c r="GK343">
        <v>0.7863491520931517</v>
      </c>
      <c r="GL343">
        <v>0.14748101845849892</v>
      </c>
      <c r="GM343">
        <v>0.34079383167279126</v>
      </c>
      <c r="GN343">
        <v>0.34079383167279126</v>
      </c>
      <c r="GO343">
        <v>0</v>
      </c>
      <c r="GP343">
        <v>0</v>
      </c>
      <c r="GQ343">
        <v>0.45369793096285549</v>
      </c>
      <c r="GR343">
        <v>0.45369793096285549</v>
      </c>
      <c r="GS343">
        <v>0</v>
      </c>
      <c r="GT343">
        <v>0.31616818294575971</v>
      </c>
      <c r="GU343"/>
      <c r="GV343"/>
      <c r="GW343"/>
      <c r="GX343"/>
      <c r="GY343"/>
      <c r="GZ343"/>
      <c r="HA343"/>
      <c r="HB343"/>
      <c r="HC343"/>
    </row>
    <row r="344" spans="1:211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2.2229166666666664</v>
      </c>
      <c r="AO344">
        <v>0.36664999534271009</v>
      </c>
      <c r="AP344">
        <v>5.2770551526703704</v>
      </c>
      <c r="AQ344">
        <v>3.3031084018508063</v>
      </c>
      <c r="AR344">
        <v>0.37100672164598802</v>
      </c>
      <c r="AS344">
        <v>2.0012689650688675</v>
      </c>
      <c r="AT344" t="e">
        <v>#DIV/0!</v>
      </c>
      <c r="AU344" t="e">
        <v>#DIV/0!</v>
      </c>
      <c r="AV344"/>
      <c r="AW344"/>
      <c r="FY344" s="211">
        <v>339</v>
      </c>
      <c r="FZ344">
        <v>1.3345683502915713</v>
      </c>
      <c r="GA344">
        <v>0.47460065171768845</v>
      </c>
      <c r="GB344">
        <v>0.22123389596694673</v>
      </c>
      <c r="GC344">
        <v>0.12309692626280153</v>
      </c>
      <c r="GD344">
        <v>0</v>
      </c>
      <c r="GE344">
        <v>0</v>
      </c>
      <c r="GF344">
        <v>0</v>
      </c>
      <c r="GG344">
        <v>0</v>
      </c>
      <c r="GH344">
        <v>0</v>
      </c>
      <c r="GI344">
        <v>0.25185876024233772</v>
      </c>
      <c r="GJ344"/>
      <c r="GK344">
        <v>1.3421980855104518</v>
      </c>
      <c r="GL344">
        <v>0.40705572478708768</v>
      </c>
      <c r="GM344">
        <v>0.3667734676484084</v>
      </c>
      <c r="GN344">
        <v>0.3667734676484084</v>
      </c>
      <c r="GO344">
        <v>0</v>
      </c>
      <c r="GP344">
        <v>0</v>
      </c>
      <c r="GQ344">
        <v>0</v>
      </c>
      <c r="GR344">
        <v>0</v>
      </c>
      <c r="GS344">
        <v>0</v>
      </c>
      <c r="GT344">
        <v>0.34179431063177201</v>
      </c>
      <c r="GU344"/>
      <c r="GV344"/>
      <c r="GW344"/>
      <c r="GX344"/>
      <c r="GY344"/>
      <c r="GZ344"/>
      <c r="HA344"/>
      <c r="HB344"/>
      <c r="HC344"/>
    </row>
    <row r="345" spans="1:211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2.4739583333333335</v>
      </c>
      <c r="AO345">
        <v>0.25624239140105254</v>
      </c>
      <c r="AP345">
        <v>9.2713491514842694</v>
      </c>
      <c r="AQ345">
        <v>1.9798814565395362</v>
      </c>
      <c r="AR345">
        <v>0.2875648663581285</v>
      </c>
      <c r="AS345">
        <v>1.7186100210816975</v>
      </c>
      <c r="AT345" t="e">
        <v>#DIV/0!</v>
      </c>
      <c r="AU345" t="e">
        <v>#DIV/0!</v>
      </c>
      <c r="AV345"/>
      <c r="AW345"/>
      <c r="FY345" s="211">
        <v>340</v>
      </c>
      <c r="FZ345">
        <v>0.96689861365595808</v>
      </c>
      <c r="GA345">
        <v>0.38735017759921181</v>
      </c>
      <c r="GB345">
        <v>6.282592274279708E-2</v>
      </c>
      <c r="GC345">
        <v>6.9638549917922385E-2</v>
      </c>
      <c r="GD345">
        <v>2.6724553773673727E-2</v>
      </c>
      <c r="GE345">
        <v>0</v>
      </c>
      <c r="GF345">
        <v>0.33021050058332063</v>
      </c>
      <c r="GG345">
        <v>0.29759236750664797</v>
      </c>
      <c r="GH345">
        <v>0</v>
      </c>
      <c r="GI345">
        <v>0.23805822092492726</v>
      </c>
      <c r="GJ345"/>
      <c r="GK345">
        <v>0.97537480130085175</v>
      </c>
      <c r="GL345">
        <v>0.33331521555783822</v>
      </c>
      <c r="GM345">
        <v>0.10493806523239137</v>
      </c>
      <c r="GN345">
        <v>0.20987613046478273</v>
      </c>
      <c r="GO345">
        <v>0.10493806523239137</v>
      </c>
      <c r="GP345">
        <v>0</v>
      </c>
      <c r="GQ345">
        <v>0.45369793096285549</v>
      </c>
      <c r="GR345">
        <v>0.45369793096285549</v>
      </c>
      <c r="GS345">
        <v>0</v>
      </c>
      <c r="GT345">
        <v>0.32778977254569802</v>
      </c>
      <c r="GU345"/>
      <c r="GV345"/>
      <c r="GW345"/>
      <c r="GX345"/>
      <c r="GY345"/>
      <c r="GZ345"/>
      <c r="HA345"/>
      <c r="HB345"/>
      <c r="HC345"/>
    </row>
    <row r="346" spans="1:211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2.9437500000000001</v>
      </c>
      <c r="AO346">
        <v>0.36042004290528784</v>
      </c>
      <c r="AP346">
        <v>10.492022656822673</v>
      </c>
      <c r="AQ346">
        <v>3.062145855753978</v>
      </c>
      <c r="AR346">
        <v>0.37899932275159393</v>
      </c>
      <c r="AS346">
        <v>2.1022845006891351</v>
      </c>
      <c r="AT346" t="e">
        <v>#DIV/0!</v>
      </c>
      <c r="AU346" t="e">
        <v>#DIV/0!</v>
      </c>
      <c r="AV346"/>
      <c r="AW346"/>
      <c r="FY346" s="211">
        <v>341</v>
      </c>
      <c r="FZ346">
        <v>0.90430089024692506</v>
      </c>
      <c r="GA346">
        <v>0</v>
      </c>
      <c r="GB346">
        <v>0.14202990935487192</v>
      </c>
      <c r="GC346">
        <v>0.14859665052880375</v>
      </c>
      <c r="GD346">
        <v>5.3449107547347455E-2</v>
      </c>
      <c r="GE346">
        <v>0</v>
      </c>
      <c r="GF346">
        <v>0</v>
      </c>
      <c r="GG346">
        <v>0</v>
      </c>
      <c r="GH346">
        <v>0</v>
      </c>
      <c r="GI346">
        <v>0.19971665826188062</v>
      </c>
      <c r="GJ346"/>
      <c r="GK346">
        <v>0.90772457750447622</v>
      </c>
      <c r="GL346">
        <v>0</v>
      </c>
      <c r="GM346">
        <v>0.23585576644039991</v>
      </c>
      <c r="GN346">
        <v>0.44573189690518267</v>
      </c>
      <c r="GO346">
        <v>0.20987613046478273</v>
      </c>
      <c r="GP346">
        <v>0</v>
      </c>
      <c r="GQ346">
        <v>0</v>
      </c>
      <c r="GR346">
        <v>0</v>
      </c>
      <c r="GS346">
        <v>0</v>
      </c>
      <c r="GT346">
        <v>0.27069129488193178</v>
      </c>
      <c r="GU346"/>
      <c r="GV346"/>
      <c r="GW346"/>
      <c r="GX346"/>
      <c r="GY346"/>
      <c r="GZ346"/>
      <c r="HA346"/>
      <c r="HB346"/>
      <c r="HC346"/>
    </row>
    <row r="347" spans="1:211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3.8937500000000007</v>
      </c>
      <c r="AO347">
        <v>0.37307248641008528</v>
      </c>
      <c r="AP347">
        <v>12.516180840227415</v>
      </c>
      <c r="AQ347">
        <v>2.8876963692087192</v>
      </c>
      <c r="AR347">
        <v>0.38741986104014342</v>
      </c>
      <c r="AS347">
        <v>2.3052534756646641</v>
      </c>
      <c r="AT347" t="e">
        <v>#DIV/0!</v>
      </c>
      <c r="AU347" t="e">
        <v>#DIV/0!</v>
      </c>
      <c r="AV347"/>
      <c r="AW347"/>
      <c r="FY347" s="211">
        <v>342</v>
      </c>
      <c r="FZ347">
        <v>1.1197504511120675</v>
      </c>
      <c r="GA347">
        <v>0</v>
      </c>
      <c r="GB347">
        <v>6.282592274279708E-2</v>
      </c>
      <c r="GC347">
        <v>3.4819274958961192E-2</v>
      </c>
      <c r="GD347">
        <v>0</v>
      </c>
      <c r="GE347">
        <v>0</v>
      </c>
      <c r="GF347">
        <v>0</v>
      </c>
      <c r="GG347">
        <v>0</v>
      </c>
      <c r="GH347">
        <v>0</v>
      </c>
      <c r="GI347">
        <v>0.18117689154511624</v>
      </c>
      <c r="GJ347"/>
      <c r="GK347">
        <v>1.1284608157908629</v>
      </c>
      <c r="GL347">
        <v>0</v>
      </c>
      <c r="GM347">
        <v>0.10493806523239137</v>
      </c>
      <c r="GN347">
        <v>0.10493806523239137</v>
      </c>
      <c r="GO347">
        <v>0</v>
      </c>
      <c r="GP347">
        <v>0</v>
      </c>
      <c r="GQ347">
        <v>0</v>
      </c>
      <c r="GR347">
        <v>0</v>
      </c>
      <c r="GS347">
        <v>0</v>
      </c>
      <c r="GT347">
        <v>0.2466797762046509</v>
      </c>
      <c r="GU347"/>
      <c r="GV347"/>
      <c r="GW347"/>
      <c r="GX347"/>
      <c r="GY347"/>
      <c r="GZ347"/>
      <c r="HA347"/>
      <c r="HB347"/>
      <c r="HC347"/>
    </row>
    <row r="348" spans="1:211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2.9979166666666663</v>
      </c>
      <c r="AO348">
        <v>0.32732486511487424</v>
      </c>
      <c r="AP348">
        <v>10.251248418253182</v>
      </c>
      <c r="AQ348">
        <v>2.8175044546343617</v>
      </c>
      <c r="AR348">
        <v>0.39688290656594299</v>
      </c>
      <c r="AS348">
        <v>2.0282283020678693</v>
      </c>
      <c r="AT348" t="e">
        <v>#DIV/0!</v>
      </c>
      <c r="AU348" t="e">
        <v>#DIV/0!</v>
      </c>
      <c r="AV348"/>
      <c r="AW348"/>
      <c r="FY348" s="211">
        <v>343</v>
      </c>
      <c r="FZ348">
        <v>0.94762240464369296</v>
      </c>
      <c r="GA348">
        <v>0.47460065171768845</v>
      </c>
      <c r="GB348">
        <v>0.18847776822839127</v>
      </c>
      <c r="GC348">
        <v>0.10445782487688361</v>
      </c>
      <c r="GD348">
        <v>0</v>
      </c>
      <c r="GE348">
        <v>0</v>
      </c>
      <c r="GF348">
        <v>0.99063150174996206</v>
      </c>
      <c r="GG348">
        <v>0.89277710251994391</v>
      </c>
      <c r="GH348">
        <v>0</v>
      </c>
      <c r="GI348">
        <v>0.37897202282693288</v>
      </c>
      <c r="GJ348"/>
      <c r="GK348">
        <v>0.95047441725569648</v>
      </c>
      <c r="GL348">
        <v>0.40705572478708768</v>
      </c>
      <c r="GM348">
        <v>0.31481419569717417</v>
      </c>
      <c r="GN348">
        <v>0.31481419569717417</v>
      </c>
      <c r="GO348">
        <v>0</v>
      </c>
      <c r="GP348">
        <v>0</v>
      </c>
      <c r="GQ348">
        <v>1.3610937928885667</v>
      </c>
      <c r="GR348">
        <v>1.3610937928885667</v>
      </c>
      <c r="GS348">
        <v>0</v>
      </c>
      <c r="GT348">
        <v>0.52527648116828751</v>
      </c>
      <c r="GU348"/>
      <c r="GV348"/>
      <c r="GW348"/>
      <c r="GX348"/>
      <c r="GY348"/>
      <c r="GZ348"/>
      <c r="HA348"/>
      <c r="HB348"/>
      <c r="HC348"/>
    </row>
    <row r="349" spans="1:211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3.1572916666666666</v>
      </c>
      <c r="AO349">
        <v>0.65764241120467393</v>
      </c>
      <c r="AP349">
        <v>23.382174711870384</v>
      </c>
      <c r="AQ349">
        <v>5.1329069472649254</v>
      </c>
      <c r="AR349">
        <v>0.65924782877980226</v>
      </c>
      <c r="AS349">
        <v>3.2927213617766369</v>
      </c>
      <c r="AT349" t="e">
        <v>#DIV/0!</v>
      </c>
      <c r="AU349" t="e">
        <v>#DIV/0!</v>
      </c>
      <c r="AV349"/>
      <c r="AW349"/>
      <c r="FY349" s="211">
        <v>344</v>
      </c>
      <c r="FZ349">
        <v>0.76455293641793154</v>
      </c>
      <c r="GA349">
        <v>0.38735017759921181</v>
      </c>
      <c r="GB349">
        <v>0.204855832097669</v>
      </c>
      <c r="GC349">
        <v>0.14859665052880375</v>
      </c>
      <c r="GD349">
        <v>2.6724553773673727E-2</v>
      </c>
      <c r="GE349">
        <v>0</v>
      </c>
      <c r="GF349">
        <v>0</v>
      </c>
      <c r="GG349">
        <v>0</v>
      </c>
      <c r="GH349">
        <v>0</v>
      </c>
      <c r="GI349">
        <v>0.1789965647540411</v>
      </c>
      <c r="GJ349"/>
      <c r="GK349">
        <v>0.7681701577145944</v>
      </c>
      <c r="GL349">
        <v>0.33331521555783822</v>
      </c>
      <c r="GM349">
        <v>0.34079383167279126</v>
      </c>
      <c r="GN349">
        <v>0.44573189690518267</v>
      </c>
      <c r="GO349">
        <v>0.10493806523239137</v>
      </c>
      <c r="GP349">
        <v>0</v>
      </c>
      <c r="GQ349">
        <v>0</v>
      </c>
      <c r="GR349">
        <v>0</v>
      </c>
      <c r="GS349">
        <v>0</v>
      </c>
      <c r="GT349">
        <v>0.24278041092395541</v>
      </c>
      <c r="GU349"/>
      <c r="GV349"/>
      <c r="GW349"/>
      <c r="GX349"/>
      <c r="GY349"/>
      <c r="GZ349"/>
      <c r="HA349"/>
      <c r="HB349"/>
      <c r="HC349"/>
    </row>
    <row r="350" spans="1:211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2.4531249999999996</v>
      </c>
      <c r="AO350">
        <v>0.30879181528604305</v>
      </c>
      <c r="AP350">
        <v>9.2753093171394241</v>
      </c>
      <c r="AQ350">
        <v>2.1946577457673535</v>
      </c>
      <c r="AR350">
        <v>0.3401678844223156</v>
      </c>
      <c r="AS350">
        <v>2.0213642920850114</v>
      </c>
      <c r="AT350" t="e">
        <v>#DIV/0!</v>
      </c>
      <c r="AU350" t="e">
        <v>#DIV/0!</v>
      </c>
      <c r="AV350"/>
      <c r="AW350"/>
      <c r="FY350" s="211">
        <v>345</v>
      </c>
      <c r="FZ350">
        <v>0.71789060158860418</v>
      </c>
      <c r="GA350">
        <v>0.17450094823695328</v>
      </c>
      <c r="GB350">
        <v>6.282592274279708E-2</v>
      </c>
      <c r="GC350">
        <v>0.10445782487688358</v>
      </c>
      <c r="GD350">
        <v>5.3449107547347455E-2</v>
      </c>
      <c r="GE350">
        <v>0</v>
      </c>
      <c r="GF350">
        <v>0.66042100116664126</v>
      </c>
      <c r="GG350">
        <v>0.59518473501329594</v>
      </c>
      <c r="GH350">
        <v>0</v>
      </c>
      <c r="GI350">
        <v>0.28096772234283324</v>
      </c>
      <c r="GJ350"/>
      <c r="GK350">
        <v>0.71662088756437292</v>
      </c>
      <c r="GL350">
        <v>0.14748101845849892</v>
      </c>
      <c r="GM350">
        <v>0.10493806523239137</v>
      </c>
      <c r="GN350">
        <v>0.31481419569717412</v>
      </c>
      <c r="GO350">
        <v>0.20987613046478273</v>
      </c>
      <c r="GP350">
        <v>0</v>
      </c>
      <c r="GQ350">
        <v>0.90739586192571098</v>
      </c>
      <c r="GR350">
        <v>0.90739586192571098</v>
      </c>
      <c r="GS350">
        <v>0</v>
      </c>
      <c r="GT350">
        <v>0.38776618903745164</v>
      </c>
      <c r="GU350"/>
      <c r="GV350"/>
      <c r="GW350"/>
      <c r="GX350"/>
      <c r="GY350"/>
      <c r="GZ350"/>
      <c r="HA350"/>
      <c r="HB350"/>
      <c r="HC350"/>
    </row>
    <row r="351" spans="1:211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2.0843750000000005</v>
      </c>
      <c r="AO351">
        <v>0.49922530284874861</v>
      </c>
      <c r="AP351">
        <v>17.251220092621324</v>
      </c>
      <c r="AQ351">
        <v>3.8465191627116737</v>
      </c>
      <c r="AR351">
        <v>0.49541580642348604</v>
      </c>
      <c r="AS351">
        <v>2.3457919905806066</v>
      </c>
      <c r="AT351" t="e">
        <v>#DIV/0!</v>
      </c>
      <c r="AU351" t="e">
        <v>#DIV/0!</v>
      </c>
      <c r="AV351"/>
      <c r="AW351"/>
      <c r="FY351" s="211">
        <v>346</v>
      </c>
      <c r="FZ351">
        <v>1.2062569534910275</v>
      </c>
      <c r="GA351">
        <v>0.86195082931690026</v>
      </c>
      <c r="GB351">
        <v>6.282592274279708E-2</v>
      </c>
      <c r="GC351">
        <v>0.13927709983584477</v>
      </c>
      <c r="GD351">
        <v>8.0173661321021189E-2</v>
      </c>
      <c r="GE351">
        <v>0</v>
      </c>
      <c r="GF351">
        <v>0.33021050058332063</v>
      </c>
      <c r="GG351">
        <v>0.29759236750664797</v>
      </c>
      <c r="GH351">
        <v>0</v>
      </c>
      <c r="GI351">
        <v>0.304387341236527</v>
      </c>
      <c r="GJ351"/>
      <c r="GK351">
        <v>1.2169322284980084</v>
      </c>
      <c r="GL351">
        <v>0.7403709403449259</v>
      </c>
      <c r="GM351">
        <v>0.10493806523239137</v>
      </c>
      <c r="GN351">
        <v>0.41975226092956547</v>
      </c>
      <c r="GO351">
        <v>0.31481419569717417</v>
      </c>
      <c r="GP351">
        <v>0</v>
      </c>
      <c r="GQ351">
        <v>0.45369793096285549</v>
      </c>
      <c r="GR351">
        <v>0.45369793096285549</v>
      </c>
      <c r="GS351">
        <v>0</v>
      </c>
      <c r="GT351">
        <v>0.4180764840780859</v>
      </c>
      <c r="GU351"/>
      <c r="GV351"/>
      <c r="GW351"/>
      <c r="GX351"/>
      <c r="GY351"/>
      <c r="GZ351"/>
      <c r="HA351"/>
      <c r="HB351"/>
      <c r="HC351"/>
    </row>
    <row r="352" spans="1:211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1.5270833333333331</v>
      </c>
      <c r="AO352">
        <v>0.31464416257049005</v>
      </c>
      <c r="AP352">
        <v>8.2447316967399633</v>
      </c>
      <c r="AQ352">
        <v>2.8720138992022028</v>
      </c>
      <c r="AR352">
        <v>0.33768554393772804</v>
      </c>
      <c r="AS352">
        <v>1.7129404817322167</v>
      </c>
      <c r="AT352" t="e">
        <v>#DIV/0!</v>
      </c>
      <c r="AU352" t="e">
        <v>#DIV/0!</v>
      </c>
      <c r="AV352"/>
      <c r="AW352"/>
      <c r="FY352" s="211">
        <v>347</v>
      </c>
      <c r="FZ352">
        <v>1.4418859895311218</v>
      </c>
      <c r="GA352">
        <v>0.77470035519842362</v>
      </c>
      <c r="GB352">
        <v>0.28405981870974384</v>
      </c>
      <c r="GC352">
        <v>0.1579162012217627</v>
      </c>
      <c r="GD352">
        <v>0</v>
      </c>
      <c r="GE352">
        <v>0</v>
      </c>
      <c r="GF352">
        <v>0</v>
      </c>
      <c r="GG352">
        <v>0</v>
      </c>
      <c r="GH352">
        <v>0</v>
      </c>
      <c r="GI352">
        <v>0.2831518919744756</v>
      </c>
      <c r="GJ352"/>
      <c r="GK352">
        <v>1.4519390717130622</v>
      </c>
      <c r="GL352">
        <v>0.66663043111567644</v>
      </c>
      <c r="GM352">
        <v>0.47171153288079981</v>
      </c>
      <c r="GN352">
        <v>0.47171153288079981</v>
      </c>
      <c r="GO352">
        <v>0</v>
      </c>
      <c r="GP352">
        <v>0</v>
      </c>
      <c r="GQ352">
        <v>0</v>
      </c>
      <c r="GR352">
        <v>0</v>
      </c>
      <c r="GS352">
        <v>0</v>
      </c>
      <c r="GT352">
        <v>0.38473012091877246</v>
      </c>
      <c r="GU352"/>
      <c r="GV352"/>
      <c r="GW352"/>
      <c r="GX352"/>
      <c r="GY352"/>
      <c r="GZ352"/>
      <c r="HA352"/>
      <c r="HB352"/>
      <c r="HC352"/>
    </row>
    <row r="353" spans="1:211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2.7718750000000001</v>
      </c>
      <c r="AO353">
        <v>0.30680677964313202</v>
      </c>
      <c r="AP353">
        <v>4.8053995195935313</v>
      </c>
      <c r="AQ353">
        <v>2.853393520347876</v>
      </c>
      <c r="AR353">
        <v>0.33635009673612415</v>
      </c>
      <c r="AS353">
        <v>2.075992196826542</v>
      </c>
      <c r="AT353" t="e">
        <v>#DIV/0!</v>
      </c>
      <c r="AU353" t="e">
        <v>#DIV/0!</v>
      </c>
      <c r="AV353"/>
      <c r="AW353"/>
      <c r="FY353" s="211">
        <v>348</v>
      </c>
      <c r="FZ353">
        <v>1.4551540115534494</v>
      </c>
      <c r="GA353">
        <v>0.38735017759921181</v>
      </c>
      <c r="GB353">
        <v>0.204855832097669</v>
      </c>
      <c r="GC353">
        <v>0.14859665052880375</v>
      </c>
      <c r="GD353">
        <v>2.6724553773673727E-2</v>
      </c>
      <c r="GE353">
        <v>0</v>
      </c>
      <c r="GF353">
        <v>0</v>
      </c>
      <c r="GG353">
        <v>0</v>
      </c>
      <c r="GH353">
        <v>0</v>
      </c>
      <c r="GI353">
        <v>0.2810817571702221</v>
      </c>
      <c r="GJ353"/>
      <c r="GK353">
        <v>1.4682567620037439</v>
      </c>
      <c r="GL353">
        <v>0.33331521555783822</v>
      </c>
      <c r="GM353">
        <v>0.34079383167279126</v>
      </c>
      <c r="GN353">
        <v>0.44573189690518267</v>
      </c>
      <c r="GO353">
        <v>0.10493806523239137</v>
      </c>
      <c r="GP353">
        <v>0</v>
      </c>
      <c r="GQ353">
        <v>0</v>
      </c>
      <c r="GR353">
        <v>0</v>
      </c>
      <c r="GS353">
        <v>0</v>
      </c>
      <c r="GT353">
        <v>0.38279773178178533</v>
      </c>
      <c r="GU353"/>
      <c r="GV353"/>
      <c r="GW353"/>
      <c r="GX353"/>
      <c r="GY353"/>
      <c r="GZ353"/>
      <c r="HA353"/>
      <c r="HB353"/>
      <c r="HC353"/>
    </row>
    <row r="354" spans="1:211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3.4010416666666665</v>
      </c>
      <c r="AO354">
        <v>0.28389818787687038</v>
      </c>
      <c r="AP354">
        <v>10.853114991076218</v>
      </c>
      <c r="AQ354">
        <v>2.140062152508766</v>
      </c>
      <c r="AR354">
        <v>0.31616818294575966</v>
      </c>
      <c r="AS354">
        <v>1.8415167899449625</v>
      </c>
      <c r="AT354" t="e">
        <v>#DIV/0!</v>
      </c>
      <c r="AU354" t="e">
        <v>#DIV/0!</v>
      </c>
      <c r="AV354"/>
      <c r="AW354"/>
      <c r="FY354" s="211">
        <v>349</v>
      </c>
      <c r="FZ354">
        <v>1.4999848813888987</v>
      </c>
      <c r="GA354">
        <v>1.1620505327976354</v>
      </c>
      <c r="GB354">
        <v>0.15840797322414965</v>
      </c>
      <c r="GC354">
        <v>0.12309692626280153</v>
      </c>
      <c r="GD354">
        <v>2.6724553773673727E-2</v>
      </c>
      <c r="GE354">
        <v>0</v>
      </c>
      <c r="GF354">
        <v>0.33021050058332063</v>
      </c>
      <c r="GG354">
        <v>0.29759236750664797</v>
      </c>
      <c r="GH354">
        <v>0</v>
      </c>
      <c r="GI354">
        <v>0.3401513166329726</v>
      </c>
      <c r="GJ354"/>
      <c r="GK354">
        <v>1.5177769046407226</v>
      </c>
      <c r="GL354">
        <v>0.9999456466735146</v>
      </c>
      <c r="GM354">
        <v>0.26183540241601705</v>
      </c>
      <c r="GN354">
        <v>0.3667734676484084</v>
      </c>
      <c r="GO354">
        <v>0.10493806523239137</v>
      </c>
      <c r="GP354">
        <v>0</v>
      </c>
      <c r="GQ354">
        <v>0.45369793096285549</v>
      </c>
      <c r="GR354">
        <v>0.45369793096285549</v>
      </c>
      <c r="GS354">
        <v>0</v>
      </c>
      <c r="GT354">
        <v>0.46764966065039731</v>
      </c>
      <c r="GU354"/>
      <c r="GV354"/>
      <c r="GW354"/>
      <c r="GX354"/>
      <c r="GY354"/>
      <c r="GZ354"/>
      <c r="HA354"/>
      <c r="HB354"/>
      <c r="HC354"/>
    </row>
    <row r="355" spans="1:211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3.4354166666666672</v>
      </c>
      <c r="AO355">
        <v>0.28245950562261279</v>
      </c>
      <c r="AP355">
        <v>6.2197304176602177</v>
      </c>
      <c r="AQ355">
        <v>2.4053585844813457</v>
      </c>
      <c r="AR355">
        <v>0.34179431063177201</v>
      </c>
      <c r="AS355">
        <v>2.0901591981364227</v>
      </c>
      <c r="AT355" t="e">
        <v>#DIV/0!</v>
      </c>
      <c r="AU355" t="e">
        <v>#DIV/0!</v>
      </c>
      <c r="AV355"/>
      <c r="AW355"/>
      <c r="FY355" s="211">
        <v>350</v>
      </c>
      <c r="FZ355">
        <v>1.4958225140337955</v>
      </c>
      <c r="GA355">
        <v>0.86195082931690026</v>
      </c>
      <c r="GB355">
        <v>0.34688574145254092</v>
      </c>
      <c r="GC355">
        <v>0.2275547511396851</v>
      </c>
      <c r="GD355">
        <v>2.6724553773673727E-2</v>
      </c>
      <c r="GE355">
        <v>0</v>
      </c>
      <c r="GF355">
        <v>0.66042100116664126</v>
      </c>
      <c r="GG355">
        <v>0.59518473501329594</v>
      </c>
      <c r="GH355">
        <v>0</v>
      </c>
      <c r="GI355">
        <v>0.45013030047722924</v>
      </c>
      <c r="GJ355"/>
      <c r="GK355">
        <v>1.5085381158003923</v>
      </c>
      <c r="GL355">
        <v>0.7403709403449259</v>
      </c>
      <c r="GM355">
        <v>0.57664959811319116</v>
      </c>
      <c r="GN355">
        <v>0.68158766334558252</v>
      </c>
      <c r="GO355">
        <v>0.10493806523239137</v>
      </c>
      <c r="GP355">
        <v>0</v>
      </c>
      <c r="GQ355">
        <v>0.90739586192571098</v>
      </c>
      <c r="GR355">
        <v>0.90739586192571098</v>
      </c>
      <c r="GS355">
        <v>0</v>
      </c>
      <c r="GT355">
        <v>0.61950432821433721</v>
      </c>
      <c r="GU355"/>
      <c r="GV355"/>
      <c r="GW355"/>
      <c r="GX355"/>
      <c r="GY355"/>
      <c r="GZ355"/>
      <c r="HA355"/>
      <c r="HB355"/>
      <c r="HC355"/>
    </row>
    <row r="356" spans="1:211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1.7375</v>
      </c>
      <c r="AO356">
        <v>0.29636279122596643</v>
      </c>
      <c r="AP356">
        <v>9.1462857330717728</v>
      </c>
      <c r="AQ356">
        <v>2.379298906704459</v>
      </c>
      <c r="AR356">
        <v>0.32778977254569797</v>
      </c>
      <c r="AS356">
        <v>1.8808884233702843</v>
      </c>
      <c r="AT356" t="e">
        <v>#DIV/0!</v>
      </c>
      <c r="AU356" t="e">
        <v>#DIV/0!</v>
      </c>
      <c r="AV356"/>
      <c r="AW356"/>
      <c r="FY356" s="211">
        <v>351</v>
      </c>
      <c r="FZ356">
        <v>0.88368538907162719</v>
      </c>
      <c r="GA356">
        <v>0.47460065171768845</v>
      </c>
      <c r="GB356">
        <v>7.9203986612074825E-2</v>
      </c>
      <c r="GC356">
        <v>7.8958100610881349E-2</v>
      </c>
      <c r="GD356">
        <v>2.6724553773673727E-2</v>
      </c>
      <c r="GE356">
        <v>0</v>
      </c>
      <c r="GF356">
        <v>0.99063150174996206</v>
      </c>
      <c r="GG356">
        <v>0.89277710251994391</v>
      </c>
      <c r="GH356">
        <v>0</v>
      </c>
      <c r="GI356">
        <v>0.357976653033938</v>
      </c>
      <c r="GJ356"/>
      <c r="GK356">
        <v>0.88679050719975949</v>
      </c>
      <c r="GL356">
        <v>0.40705572478708768</v>
      </c>
      <c r="GM356">
        <v>0.13091770120800852</v>
      </c>
      <c r="GN356">
        <v>0.23585576644039991</v>
      </c>
      <c r="GO356">
        <v>0.10493806523239137</v>
      </c>
      <c r="GP356">
        <v>0</v>
      </c>
      <c r="GQ356">
        <v>1.3610937928885667</v>
      </c>
      <c r="GR356">
        <v>1.3610937928885667</v>
      </c>
      <c r="GS356">
        <v>0</v>
      </c>
      <c r="GT356">
        <v>0.49674801330574525</v>
      </c>
      <c r="GU356"/>
      <c r="GV356"/>
      <c r="GW356"/>
      <c r="GX356"/>
      <c r="GY356"/>
      <c r="GZ356"/>
      <c r="HA356"/>
      <c r="HB356"/>
      <c r="HC356"/>
    </row>
    <row r="357" spans="1:211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2.8177083333333335</v>
      </c>
      <c r="AO357">
        <v>0.20698796661967736</v>
      </c>
      <c r="AP357">
        <v>2.9735696270952192</v>
      </c>
      <c r="AQ357">
        <v>1.4480932159398288</v>
      </c>
      <c r="AR357">
        <v>0.27069129488193178</v>
      </c>
      <c r="AS357">
        <v>1.7352267297939987</v>
      </c>
      <c r="AT357" t="e">
        <v>#DIV/0!</v>
      </c>
      <c r="AU357" t="e">
        <v>#DIV/0!</v>
      </c>
      <c r="AV357"/>
      <c r="AW357"/>
      <c r="FY357" s="211">
        <v>352</v>
      </c>
      <c r="FZ357">
        <v>1.1102749698196672</v>
      </c>
      <c r="GA357">
        <v>0.56185112583616514</v>
      </c>
      <c r="GB357">
        <v>7.9203986612074825E-2</v>
      </c>
      <c r="GC357">
        <v>7.8958100610881349E-2</v>
      </c>
      <c r="GD357">
        <v>2.6724553773673727E-2</v>
      </c>
      <c r="GE357">
        <v>0</v>
      </c>
      <c r="GF357">
        <v>0</v>
      </c>
      <c r="GG357">
        <v>0</v>
      </c>
      <c r="GH357">
        <v>0</v>
      </c>
      <c r="GI357">
        <v>0.1992600971601601</v>
      </c>
      <c r="GJ357"/>
      <c r="GK357">
        <v>1.1161553702006524</v>
      </c>
      <c r="GL357">
        <v>0.48079623401633714</v>
      </c>
      <c r="GM357">
        <v>0.13091770120800852</v>
      </c>
      <c r="GN357">
        <v>0.23585576644039991</v>
      </c>
      <c r="GO357">
        <v>0.10493806523239137</v>
      </c>
      <c r="GP357">
        <v>0</v>
      </c>
      <c r="GQ357">
        <v>0</v>
      </c>
      <c r="GR357">
        <v>0</v>
      </c>
      <c r="GS357">
        <v>0</v>
      </c>
      <c r="GT357">
        <v>0.27040222732821045</v>
      </c>
      <c r="GU357"/>
      <c r="GV357"/>
      <c r="GW357"/>
      <c r="GX357"/>
      <c r="GY357"/>
      <c r="GZ357"/>
      <c r="HA357"/>
      <c r="HB357"/>
      <c r="HC357"/>
    </row>
    <row r="358" spans="1:211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1.9895833333333333</v>
      </c>
      <c r="AO358">
        <v>0.15850167224602968</v>
      </c>
      <c r="AP358">
        <v>1.2816558953166293</v>
      </c>
      <c r="AQ358">
        <v>1.3985725403589417</v>
      </c>
      <c r="AR358">
        <v>0.2466797762046509</v>
      </c>
      <c r="AS358">
        <v>1.3990351337522065</v>
      </c>
      <c r="AT358" t="e">
        <v>#DIV/0!</v>
      </c>
      <c r="AU358" t="e">
        <v>#DIV/0!</v>
      </c>
      <c r="AV358"/>
      <c r="AW358"/>
      <c r="FY358" s="211">
        <v>353</v>
      </c>
      <c r="FZ358">
        <v>1.3993860220568979</v>
      </c>
      <c r="GA358">
        <v>0.86195082931690026</v>
      </c>
      <c r="GB358">
        <v>0.14202990935487192</v>
      </c>
      <c r="GC358">
        <v>0.11377737556984255</v>
      </c>
      <c r="GD358">
        <v>2.6724553773673727E-2</v>
      </c>
      <c r="GE358">
        <v>0</v>
      </c>
      <c r="GF358">
        <v>0</v>
      </c>
      <c r="GG358">
        <v>0</v>
      </c>
      <c r="GH358">
        <v>0</v>
      </c>
      <c r="GI358">
        <v>0.25744256751457978</v>
      </c>
      <c r="GJ358"/>
      <c r="GK358">
        <v>1.4096285904031713</v>
      </c>
      <c r="GL358">
        <v>0.7403709403449259</v>
      </c>
      <c r="GM358">
        <v>0.23585576644039991</v>
      </c>
      <c r="GN358">
        <v>0.34079383167279126</v>
      </c>
      <c r="GO358">
        <v>0.10493806523239137</v>
      </c>
      <c r="GP358">
        <v>0</v>
      </c>
      <c r="GQ358">
        <v>0</v>
      </c>
      <c r="GR358">
        <v>0</v>
      </c>
      <c r="GS358">
        <v>0</v>
      </c>
      <c r="GT358">
        <v>0.35008448441519252</v>
      </c>
      <c r="GU358"/>
      <c r="GV358"/>
      <c r="GW358"/>
      <c r="GX358"/>
      <c r="GY358"/>
      <c r="GZ358"/>
      <c r="HA358"/>
      <c r="HB358"/>
      <c r="HC358"/>
    </row>
    <row r="359" spans="1:211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3.2479166666666672</v>
      </c>
      <c r="AO359">
        <v>0.52346226003825536</v>
      </c>
      <c r="AP359">
        <v>24.26955502263808</v>
      </c>
      <c r="AQ359">
        <v>3.9775392765634949</v>
      </c>
      <c r="AR359">
        <v>0.52527648116828751</v>
      </c>
      <c r="AS359">
        <v>2.5544605644955785</v>
      </c>
      <c r="AT359" t="e">
        <v>#DIV/0!</v>
      </c>
      <c r="AU359" t="e">
        <v>#DIV/0!</v>
      </c>
      <c r="AV359"/>
      <c r="AW359"/>
      <c r="FY359" s="211">
        <v>354</v>
      </c>
      <c r="FZ359">
        <v>1.1569414323132294</v>
      </c>
      <c r="GA359">
        <v>0.38735017759921181</v>
      </c>
      <c r="GB359">
        <v>7.9203986612074825E-2</v>
      </c>
      <c r="GC359">
        <v>4.4138825651920163E-2</v>
      </c>
      <c r="GD359">
        <v>0</v>
      </c>
      <c r="GE359">
        <v>0</v>
      </c>
      <c r="GF359">
        <v>0.99063150174996206</v>
      </c>
      <c r="GG359">
        <v>0.89277710251994391</v>
      </c>
      <c r="GH359">
        <v>0</v>
      </c>
      <c r="GI359">
        <v>0.38296951800862411</v>
      </c>
      <c r="GJ359"/>
      <c r="GK359">
        <v>1.1618590646737881</v>
      </c>
      <c r="GL359">
        <v>0.33331521555783822</v>
      </c>
      <c r="GM359">
        <v>0.13091770120800852</v>
      </c>
      <c r="GN359">
        <v>0.13091770120800852</v>
      </c>
      <c r="GO359">
        <v>0</v>
      </c>
      <c r="GP359">
        <v>0</v>
      </c>
      <c r="GQ359">
        <v>1.3610937928885667</v>
      </c>
      <c r="GR359">
        <v>1.3610937928885667</v>
      </c>
      <c r="GS359">
        <v>0</v>
      </c>
      <c r="GT359">
        <v>0.53077411175407263</v>
      </c>
      <c r="GU359"/>
      <c r="GV359"/>
      <c r="GW359"/>
      <c r="GX359"/>
      <c r="GY359"/>
      <c r="GZ359"/>
      <c r="HA359"/>
      <c r="HB359"/>
      <c r="HC359"/>
    </row>
    <row r="360" spans="1:211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2.1489583333333333</v>
      </c>
      <c r="AO360">
        <v>0.22357295780067532</v>
      </c>
      <c r="AP360">
        <v>5.8794126646061011</v>
      </c>
      <c r="AQ360">
        <v>1.7110767151713309</v>
      </c>
      <c r="AR360">
        <v>0.24278041092395541</v>
      </c>
      <c r="AS360">
        <v>1.4364723925991039</v>
      </c>
      <c r="AT360" t="e">
        <v>#DIV/0!</v>
      </c>
      <c r="AU360" t="e">
        <v>#DIV/0!</v>
      </c>
      <c r="AV360"/>
      <c r="AW360"/>
      <c r="FY360" s="211">
        <v>355</v>
      </c>
      <c r="FZ360">
        <v>1.0271797893447214</v>
      </c>
      <c r="GA360">
        <v>0.38735017759921181</v>
      </c>
      <c r="GB360">
        <v>0.12565184548559416</v>
      </c>
      <c r="GC360">
        <v>0.20891564975376717</v>
      </c>
      <c r="GD360">
        <v>0.10689821509469491</v>
      </c>
      <c r="GE360">
        <v>0</v>
      </c>
      <c r="GF360">
        <v>0</v>
      </c>
      <c r="GG360">
        <v>0</v>
      </c>
      <c r="GH360">
        <v>0</v>
      </c>
      <c r="GI360">
        <v>0.24482404972932609</v>
      </c>
      <c r="GJ360"/>
      <c r="GK360">
        <v>1.0331301411710401</v>
      </c>
      <c r="GL360">
        <v>0.33331521555783822</v>
      </c>
      <c r="GM360">
        <v>0.20987613046478273</v>
      </c>
      <c r="GN360">
        <v>0.62962839139434823</v>
      </c>
      <c r="GO360">
        <v>0.41975226092956547</v>
      </c>
      <c r="GP360">
        <v>0</v>
      </c>
      <c r="GQ360">
        <v>0</v>
      </c>
      <c r="GR360">
        <v>0</v>
      </c>
      <c r="GS360">
        <v>0</v>
      </c>
      <c r="GT360">
        <v>0.33255170651307764</v>
      </c>
      <c r="GU360"/>
      <c r="GV360"/>
      <c r="GW360"/>
      <c r="GX360"/>
      <c r="GY360"/>
      <c r="GZ360"/>
      <c r="HA360"/>
      <c r="HB360"/>
      <c r="HC360"/>
    </row>
    <row r="361" spans="1:211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2.78125</v>
      </c>
      <c r="AO361">
        <v>0.36962882103060934</v>
      </c>
      <c r="AP361">
        <v>14.119309617193837</v>
      </c>
      <c r="AQ361">
        <v>2.6496978635153559</v>
      </c>
      <c r="AR361">
        <v>0.38776618903745164</v>
      </c>
      <c r="AS361">
        <v>2.1025099444832205</v>
      </c>
      <c r="AT361" t="e">
        <v>#DIV/0!</v>
      </c>
      <c r="AU361" t="e">
        <v>#DIV/0!</v>
      </c>
      <c r="AV361"/>
      <c r="AW361"/>
      <c r="FY361" s="211">
        <v>356</v>
      </c>
      <c r="FZ361">
        <v>0.73932764968644626</v>
      </c>
      <c r="GA361">
        <v>0.26175142235542992</v>
      </c>
      <c r="GB361">
        <v>6.282592274279708E-2</v>
      </c>
      <c r="GC361">
        <v>0.10445782487688358</v>
      </c>
      <c r="GD361">
        <v>5.3449107547347455E-2</v>
      </c>
      <c r="GE361">
        <v>0</v>
      </c>
      <c r="GF361">
        <v>0</v>
      </c>
      <c r="GG361">
        <v>0</v>
      </c>
      <c r="GH361">
        <v>0</v>
      </c>
      <c r="GI361">
        <v>0.15599970264255356</v>
      </c>
      <c r="GJ361"/>
      <c r="GK361">
        <v>0.73799431631041923</v>
      </c>
      <c r="GL361">
        <v>0.22122152768774839</v>
      </c>
      <c r="GM361">
        <v>0.10493806523239137</v>
      </c>
      <c r="GN361">
        <v>0.31481419569717412</v>
      </c>
      <c r="GO361">
        <v>0.20987613046478273</v>
      </c>
      <c r="GP361">
        <v>0</v>
      </c>
      <c r="GQ361">
        <v>0</v>
      </c>
      <c r="GR361">
        <v>0</v>
      </c>
      <c r="GS361">
        <v>0</v>
      </c>
      <c r="GT361">
        <v>0.21056170240151864</v>
      </c>
      <c r="GU361"/>
      <c r="GV361"/>
      <c r="GW361"/>
      <c r="GX361"/>
      <c r="GY361"/>
      <c r="GZ361"/>
      <c r="HA361"/>
      <c r="HB361"/>
      <c r="HC361"/>
    </row>
    <row r="362" spans="1:211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1.9020833333333329</v>
      </c>
      <c r="AO362">
        <v>0.41222800367058621</v>
      </c>
      <c r="AP362">
        <v>8.8448262467679992</v>
      </c>
      <c r="AQ362">
        <v>3.2826746760340866</v>
      </c>
      <c r="AR362">
        <v>0.4180764840780859</v>
      </c>
      <c r="AS362">
        <v>2.1116090758399202</v>
      </c>
      <c r="AT362" t="e">
        <v>#DIV/0!</v>
      </c>
      <c r="AU362" t="e">
        <v>#DIV/0!</v>
      </c>
      <c r="AV362"/>
      <c r="AW362"/>
      <c r="FY362" s="211">
        <v>357</v>
      </c>
      <c r="FZ362">
        <v>0.91119386109435829</v>
      </c>
      <c r="GA362">
        <v>0.38735017759921181</v>
      </c>
      <c r="GB362">
        <v>0.14202990935487192</v>
      </c>
      <c r="GC362">
        <v>0.11377737556984255</v>
      </c>
      <c r="GD362">
        <v>2.6724553773673727E-2</v>
      </c>
      <c r="GE362">
        <v>0</v>
      </c>
      <c r="GF362">
        <v>0</v>
      </c>
      <c r="GG362">
        <v>0</v>
      </c>
      <c r="GH362">
        <v>0</v>
      </c>
      <c r="GI362">
        <v>0.18529306681868218</v>
      </c>
      <c r="GJ362"/>
      <c r="GK362">
        <v>0.91420829041864726</v>
      </c>
      <c r="GL362">
        <v>0.33331521555783822</v>
      </c>
      <c r="GM362">
        <v>0.23585576644039991</v>
      </c>
      <c r="GN362">
        <v>0.34079383167279126</v>
      </c>
      <c r="GO362">
        <v>0.10493806523239137</v>
      </c>
      <c r="GP362">
        <v>0</v>
      </c>
      <c r="GQ362">
        <v>0</v>
      </c>
      <c r="GR362">
        <v>0</v>
      </c>
      <c r="GS362">
        <v>0</v>
      </c>
      <c r="GT362">
        <v>0.25100042441828774</v>
      </c>
      <c r="GU362"/>
      <c r="GV362"/>
      <c r="GW362"/>
      <c r="GX362"/>
      <c r="GY362"/>
      <c r="GZ362"/>
      <c r="HA362"/>
      <c r="HB362"/>
      <c r="HC362"/>
    </row>
    <row r="363" spans="1:211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3.0270833333333331</v>
      </c>
      <c r="AO363">
        <v>0.34467226895091108</v>
      </c>
      <c r="AP363">
        <v>8.3436818395725716</v>
      </c>
      <c r="AQ363">
        <v>2.9417142566355277</v>
      </c>
      <c r="AR363">
        <v>0.38473012091877246</v>
      </c>
      <c r="AS363">
        <v>2.1907246456378977</v>
      </c>
      <c r="AT363" t="e">
        <v>#DIV/0!</v>
      </c>
      <c r="AU363" t="e">
        <v>#DIV/0!</v>
      </c>
      <c r="AV363"/>
      <c r="AW363"/>
      <c r="FY363" s="211">
        <v>358</v>
      </c>
      <c r="FZ363">
        <v>1.2496417048227473</v>
      </c>
      <c r="GA363">
        <v>0.77470035519842362</v>
      </c>
      <c r="GB363">
        <v>0.12565184548559416</v>
      </c>
      <c r="GC363">
        <v>6.9638549917922385E-2</v>
      </c>
      <c r="GD363">
        <v>0</v>
      </c>
      <c r="GE363">
        <v>0</v>
      </c>
      <c r="GF363">
        <v>0.66042100116664126</v>
      </c>
      <c r="GG363">
        <v>0.59518473501329594</v>
      </c>
      <c r="GH363">
        <v>0</v>
      </c>
      <c r="GI363">
        <v>0.34407079749788944</v>
      </c>
      <c r="GJ363"/>
      <c r="GK363">
        <v>1.2571437289675966</v>
      </c>
      <c r="GL363">
        <v>0.66663043111567644</v>
      </c>
      <c r="GM363">
        <v>0.20987613046478273</v>
      </c>
      <c r="GN363">
        <v>0.20987613046478273</v>
      </c>
      <c r="GO363">
        <v>0</v>
      </c>
      <c r="GP363">
        <v>0</v>
      </c>
      <c r="GQ363">
        <v>0.90739586192571098</v>
      </c>
      <c r="GR363">
        <v>0.90739586192571098</v>
      </c>
      <c r="GS363">
        <v>0</v>
      </c>
      <c r="GT363">
        <v>0.47488314427161804</v>
      </c>
      <c r="GU363"/>
      <c r="GV363"/>
      <c r="GW363"/>
      <c r="GX363"/>
      <c r="GY363"/>
      <c r="GZ363"/>
      <c r="HA363"/>
      <c r="HB363"/>
      <c r="HC363"/>
    </row>
    <row r="364" spans="1:211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2.4614583333333329</v>
      </c>
      <c r="AO364">
        <v>0.30758335031537326</v>
      </c>
      <c r="AP364">
        <v>6.318218514402326</v>
      </c>
      <c r="AQ364">
        <v>2.5037629827230297</v>
      </c>
      <c r="AR364">
        <v>0.38279773178178533</v>
      </c>
      <c r="AS364">
        <v>2.0097595047535615</v>
      </c>
      <c r="AT364" t="e">
        <v>#DIV/0!</v>
      </c>
      <c r="AU364" t="e">
        <v>#DIV/0!</v>
      </c>
      <c r="AV364"/>
      <c r="AW364"/>
      <c r="FY364" s="211">
        <v>359</v>
      </c>
      <c r="FZ364">
        <v>0.74911402276535499</v>
      </c>
      <c r="GA364">
        <v>0</v>
      </c>
      <c r="GB364">
        <v>0.12565184548559416</v>
      </c>
      <c r="GC364">
        <v>0.10445782487688358</v>
      </c>
      <c r="GD364">
        <v>2.6724553773673727E-2</v>
      </c>
      <c r="GE364">
        <v>0</v>
      </c>
      <c r="GF364">
        <v>0</v>
      </c>
      <c r="GG364">
        <v>0</v>
      </c>
      <c r="GH364">
        <v>0</v>
      </c>
      <c r="GI364">
        <v>0.15728795667258144</v>
      </c>
      <c r="GJ364"/>
      <c r="GK364">
        <v>0.75327447736446296</v>
      </c>
      <c r="GL364">
        <v>0</v>
      </c>
      <c r="GM364">
        <v>0.20987613046478273</v>
      </c>
      <c r="GN364">
        <v>0.31481419569717412</v>
      </c>
      <c r="GO364">
        <v>0.10493806523239137</v>
      </c>
      <c r="GP364">
        <v>0</v>
      </c>
      <c r="GQ364">
        <v>0</v>
      </c>
      <c r="GR364">
        <v>0</v>
      </c>
      <c r="GS364">
        <v>0</v>
      </c>
      <c r="GT364">
        <v>0.21361773461232741</v>
      </c>
      <c r="GU364"/>
      <c r="GV364"/>
      <c r="GW364"/>
      <c r="GX364"/>
      <c r="GY364"/>
      <c r="GZ364"/>
      <c r="HA364"/>
      <c r="HB364"/>
      <c r="HC364"/>
    </row>
    <row r="365" spans="1:211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1.7958333333333336</v>
      </c>
      <c r="AO365">
        <v>0.46263150091871613</v>
      </c>
      <c r="AP365">
        <v>10.63500347838103</v>
      </c>
      <c r="AQ365">
        <v>3.9382190521701004</v>
      </c>
      <c r="AR365">
        <v>0.46764966065039731</v>
      </c>
      <c r="AS365">
        <v>2.3024087403171785</v>
      </c>
      <c r="AT365" t="e">
        <v>#DIV/0!</v>
      </c>
      <c r="AU365" t="e">
        <v>#DIV/0!</v>
      </c>
      <c r="AV365"/>
      <c r="AW365"/>
      <c r="FY365" s="211">
        <v>360</v>
      </c>
      <c r="FZ365">
        <v>1.702307248742573</v>
      </c>
      <c r="GA365">
        <v>1.3365514810345887</v>
      </c>
      <c r="GB365">
        <v>0.3168159464482993</v>
      </c>
      <c r="GC365">
        <v>0.17655530260768065</v>
      </c>
      <c r="GD365">
        <v>0</v>
      </c>
      <c r="GE365">
        <v>0</v>
      </c>
      <c r="GF365">
        <v>0.33021050058332063</v>
      </c>
      <c r="GG365">
        <v>0.29759236750664797</v>
      </c>
      <c r="GH365">
        <v>0</v>
      </c>
      <c r="GI365">
        <v>0.39365910110523361</v>
      </c>
      <c r="GJ365"/>
      <c r="GK365">
        <v>1.7144335514740641</v>
      </c>
      <c r="GL365">
        <v>1.1474266651320135</v>
      </c>
      <c r="GM365">
        <v>0.5236708048320341</v>
      </c>
      <c r="GN365">
        <v>0.5236708048320341</v>
      </c>
      <c r="GO365">
        <v>0</v>
      </c>
      <c r="GP365">
        <v>0</v>
      </c>
      <c r="GQ365">
        <v>0.45369793096285549</v>
      </c>
      <c r="GR365">
        <v>0.45369793096285549</v>
      </c>
      <c r="GS365">
        <v>0</v>
      </c>
      <c r="GT365">
        <v>0.53836045745379069</v>
      </c>
      <c r="GU365"/>
      <c r="GV365"/>
      <c r="GW365"/>
      <c r="GX365"/>
      <c r="GY365"/>
      <c r="GZ365"/>
      <c r="HA365"/>
      <c r="HB365"/>
      <c r="HC365"/>
    </row>
    <row r="366" spans="1:211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3.2770833333333336</v>
      </c>
      <c r="AO366">
        <v>0.60463804349022421</v>
      </c>
      <c r="AP366">
        <v>21.501709209025169</v>
      </c>
      <c r="AQ366">
        <v>4.6646744263737627</v>
      </c>
      <c r="AR366">
        <v>0.61950432821433721</v>
      </c>
      <c r="AS366">
        <v>2.9109710170901799</v>
      </c>
      <c r="AT366" t="e">
        <v>#DIV/0!</v>
      </c>
      <c r="AU366" t="e">
        <v>#DIV/0!</v>
      </c>
      <c r="AV366"/>
      <c r="AW366"/>
      <c r="FY366" s="211">
        <v>361</v>
      </c>
      <c r="FZ366">
        <v>0.76093888872417192</v>
      </c>
      <c r="GA366">
        <v>0.47460065171768845</v>
      </c>
      <c r="GB366">
        <v>0.12565184548559416</v>
      </c>
      <c r="GC366">
        <v>0.10445782487688358</v>
      </c>
      <c r="GD366">
        <v>2.6724553773673727E-2</v>
      </c>
      <c r="GE366">
        <v>0</v>
      </c>
      <c r="GF366">
        <v>0.66042100116664126</v>
      </c>
      <c r="GG366">
        <v>0.59518473501329594</v>
      </c>
      <c r="GH366">
        <v>0</v>
      </c>
      <c r="GI366">
        <v>0.28721299867575667</v>
      </c>
      <c r="GJ366"/>
      <c r="GK366">
        <v>0.76425878600557628</v>
      </c>
      <c r="GL366">
        <v>0.40705572478708768</v>
      </c>
      <c r="GM366">
        <v>0.20987613046478273</v>
      </c>
      <c r="GN366">
        <v>0.31481419569717412</v>
      </c>
      <c r="GO366">
        <v>0.10493806523239137</v>
      </c>
      <c r="GP366">
        <v>0</v>
      </c>
      <c r="GQ366">
        <v>0.90739586192571098</v>
      </c>
      <c r="GR366">
        <v>0.90739586192571098</v>
      </c>
      <c r="GS366">
        <v>0</v>
      </c>
      <c r="GT366">
        <v>0.39729376872569228</v>
      </c>
      <c r="GU366"/>
      <c r="GV366"/>
      <c r="GW366"/>
      <c r="GX366"/>
      <c r="GY366"/>
      <c r="GZ366"/>
      <c r="HA366"/>
      <c r="HB366"/>
      <c r="HC366"/>
    </row>
    <row r="367" spans="1:211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2.8052083333333337</v>
      </c>
      <c r="AO367">
        <v>0.49844933639505251</v>
      </c>
      <c r="AP367">
        <v>21.847973254525016</v>
      </c>
      <c r="AQ367">
        <v>3.784557939089789</v>
      </c>
      <c r="AR367">
        <v>0.49674801330574525</v>
      </c>
      <c r="AS367">
        <v>2.288528057682707</v>
      </c>
      <c r="AT367" t="e">
        <v>#DIV/0!</v>
      </c>
      <c r="AU367" t="e">
        <v>#DIV/0!</v>
      </c>
      <c r="AV367"/>
      <c r="AW367"/>
      <c r="FY367" s="211">
        <v>362</v>
      </c>
      <c r="FZ367">
        <v>0.56598544526887673</v>
      </c>
      <c r="GA367">
        <v>0</v>
      </c>
      <c r="GB367">
        <v>0.22123389596694673</v>
      </c>
      <c r="GC367">
        <v>0.1579162012217627</v>
      </c>
      <c r="GD367">
        <v>2.6724553773673727E-2</v>
      </c>
      <c r="GE367">
        <v>0</v>
      </c>
      <c r="GF367">
        <v>0.66042100116664126</v>
      </c>
      <c r="GG367">
        <v>0.59518473501329594</v>
      </c>
      <c r="GH367">
        <v>0</v>
      </c>
      <c r="GI367">
        <v>0.28171501642743602</v>
      </c>
      <c r="GJ367"/>
      <c r="GK367">
        <v>0.56766298142790728</v>
      </c>
      <c r="GL367">
        <v>0</v>
      </c>
      <c r="GM367">
        <v>0.3667734676484084</v>
      </c>
      <c r="GN367">
        <v>0.47171153288079981</v>
      </c>
      <c r="GO367">
        <v>0.10493806523239137</v>
      </c>
      <c r="GP367">
        <v>0</v>
      </c>
      <c r="GQ367">
        <v>0.90739586192571098</v>
      </c>
      <c r="GR367">
        <v>0.90739586192571098</v>
      </c>
      <c r="GS367">
        <v>0</v>
      </c>
      <c r="GT367">
        <v>0.38935407524688365</v>
      </c>
      <c r="GU367"/>
      <c r="GV367"/>
      <c r="GW367"/>
      <c r="GX367"/>
      <c r="GY367"/>
      <c r="GZ367"/>
      <c r="HA367"/>
      <c r="HB367"/>
      <c r="HC367"/>
    </row>
    <row r="368" spans="1:211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2.4406249999999998</v>
      </c>
      <c r="AO368">
        <v>0.23390653644259998</v>
      </c>
      <c r="AP368">
        <v>2.8488148047541482</v>
      </c>
      <c r="AQ368">
        <v>2.0562728338126224</v>
      </c>
      <c r="AR368">
        <v>0.27040222732821045</v>
      </c>
      <c r="AS368">
        <v>1.7037892824793086</v>
      </c>
      <c r="AT368" t="e">
        <v>#DIV/0!</v>
      </c>
      <c r="AU368" t="e">
        <v>#DIV/0!</v>
      </c>
      <c r="AV368"/>
      <c r="AW368"/>
      <c r="FY368" s="211">
        <v>363</v>
      </c>
      <c r="FZ368">
        <v>1.2340804449645018</v>
      </c>
      <c r="GA368">
        <v>0.77470035519842362</v>
      </c>
      <c r="GB368">
        <v>0.12565184548559416</v>
      </c>
      <c r="GC368">
        <v>0.13927709983584477</v>
      </c>
      <c r="GD368">
        <v>5.3449107547347455E-2</v>
      </c>
      <c r="GE368">
        <v>0</v>
      </c>
      <c r="GF368">
        <v>0</v>
      </c>
      <c r="GG368">
        <v>0</v>
      </c>
      <c r="GH368">
        <v>0</v>
      </c>
      <c r="GI368">
        <v>0.24453463001732151</v>
      </c>
      <c r="GJ368"/>
      <c r="GK368">
        <v>1.2414791515036439</v>
      </c>
      <c r="GL368">
        <v>0.66663043111567644</v>
      </c>
      <c r="GM368">
        <v>0.20987613046478273</v>
      </c>
      <c r="GN368">
        <v>0.41975226092956547</v>
      </c>
      <c r="GO368">
        <v>0.20987613046478273</v>
      </c>
      <c r="GP368">
        <v>0</v>
      </c>
      <c r="GQ368">
        <v>0</v>
      </c>
      <c r="GR368">
        <v>0</v>
      </c>
      <c r="GS368">
        <v>0</v>
      </c>
      <c r="GT368">
        <v>0.33224628248664184</v>
      </c>
      <c r="GU368"/>
      <c r="GV368"/>
      <c r="GW368"/>
      <c r="GX368"/>
      <c r="GY368"/>
      <c r="GZ368"/>
      <c r="HA368"/>
      <c r="HB368"/>
      <c r="HC368"/>
    </row>
    <row r="369" spans="1:211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2.4072916666666666</v>
      </c>
      <c r="AO369">
        <v>0.31816716785088722</v>
      </c>
      <c r="AP369">
        <v>4.8638474447222713</v>
      </c>
      <c r="AQ369">
        <v>2.8013112575867662</v>
      </c>
      <c r="AR369">
        <v>0.35008448441519252</v>
      </c>
      <c r="AS369">
        <v>2.1262610495042176</v>
      </c>
      <c r="AT369" t="e">
        <v>#DIV/0!</v>
      </c>
      <c r="AU369" t="e">
        <v>#DIV/0!</v>
      </c>
      <c r="AV369"/>
      <c r="AW369"/>
      <c r="FY369" s="211">
        <v>364</v>
      </c>
      <c r="FZ369">
        <v>1.1739316680260794</v>
      </c>
      <c r="GA369">
        <v>1.1620505327976354</v>
      </c>
      <c r="GB369">
        <v>0.14202990935487192</v>
      </c>
      <c r="GC369">
        <v>7.8958100610881349E-2</v>
      </c>
      <c r="GD369">
        <v>0</v>
      </c>
      <c r="GE369">
        <v>0</v>
      </c>
      <c r="GF369">
        <v>0.99063150174996206</v>
      </c>
      <c r="GG369">
        <v>0.89277710251994391</v>
      </c>
      <c r="GH369">
        <v>0</v>
      </c>
      <c r="GI369">
        <v>0.40071635933656469</v>
      </c>
      <c r="GJ369"/>
      <c r="GK369">
        <v>1.1865976541058358</v>
      </c>
      <c r="GL369">
        <v>0.9999456466735146</v>
      </c>
      <c r="GM369">
        <v>0.23585576644039991</v>
      </c>
      <c r="GN369">
        <v>0.23585576644039991</v>
      </c>
      <c r="GO369">
        <v>0</v>
      </c>
      <c r="GP369">
        <v>0</v>
      </c>
      <c r="GQ369">
        <v>1.3610937928885667</v>
      </c>
      <c r="GR369">
        <v>1.3610937928885667</v>
      </c>
      <c r="GS369">
        <v>0</v>
      </c>
      <c r="GT369">
        <v>0.55670944268696054</v>
      </c>
      <c r="GU369"/>
      <c r="GV369"/>
      <c r="GW369"/>
      <c r="GX369"/>
      <c r="GY369"/>
      <c r="GZ369"/>
      <c r="HA369"/>
      <c r="HB369"/>
      <c r="HC369"/>
    </row>
    <row r="370" spans="1:211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3.8989583333333337</v>
      </c>
      <c r="AO370">
        <v>0.50099713801788492</v>
      </c>
      <c r="AP370">
        <v>22.905188333900352</v>
      </c>
      <c r="AQ370">
        <v>3.9340125444549665</v>
      </c>
      <c r="AR370">
        <v>0.53077411175407263</v>
      </c>
      <c r="AS370">
        <v>2.6774028780033521</v>
      </c>
      <c r="AT370" t="e">
        <v>#DIV/0!</v>
      </c>
      <c r="AU370" t="e">
        <v>#DIV/0!</v>
      </c>
      <c r="AV370"/>
      <c r="AW370"/>
      <c r="FY370" s="211">
        <v>365</v>
      </c>
      <c r="FZ370">
        <v>1.3207120815573001</v>
      </c>
      <c r="GA370">
        <v>0.77470035519842362</v>
      </c>
      <c r="GB370">
        <v>7.9203986612074825E-2</v>
      </c>
      <c r="GC370">
        <v>0.11377737556984255</v>
      </c>
      <c r="GD370">
        <v>5.3449107547347455E-2</v>
      </c>
      <c r="GE370">
        <v>0</v>
      </c>
      <c r="GF370">
        <v>0</v>
      </c>
      <c r="GG370">
        <v>0</v>
      </c>
      <c r="GH370">
        <v>0</v>
      </c>
      <c r="GI370">
        <v>0.24570165620978002</v>
      </c>
      <c r="GJ370"/>
      <c r="GK370">
        <v>1.3336393141230058</v>
      </c>
      <c r="GL370">
        <v>0.66663043111567644</v>
      </c>
      <c r="GM370">
        <v>0.13091770120800852</v>
      </c>
      <c r="GN370">
        <v>0.34079383167279126</v>
      </c>
      <c r="GO370">
        <v>0.20987613046478273</v>
      </c>
      <c r="GP370">
        <v>0</v>
      </c>
      <c r="GQ370">
        <v>0</v>
      </c>
      <c r="GR370">
        <v>0</v>
      </c>
      <c r="GS370">
        <v>0</v>
      </c>
      <c r="GT370">
        <v>0.33488662915915934</v>
      </c>
      <c r="GU370"/>
      <c r="GV370"/>
      <c r="GW370"/>
      <c r="GX370"/>
      <c r="GY370"/>
      <c r="GZ370"/>
      <c r="HA370"/>
      <c r="HB370"/>
      <c r="HC370"/>
    </row>
    <row r="371" spans="1:211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2.4562499999999998</v>
      </c>
      <c r="AO371">
        <v>0.29582538460306529</v>
      </c>
      <c r="AP371">
        <v>4.5152685040569569</v>
      </c>
      <c r="AQ371">
        <v>2.1008197270073157</v>
      </c>
      <c r="AR371">
        <v>0.33255170651307764</v>
      </c>
      <c r="AS371">
        <v>1.8619176264978401</v>
      </c>
      <c r="AT371" t="e">
        <v>#DIV/0!</v>
      </c>
      <c r="AU371" t="e">
        <v>#DIV/0!</v>
      </c>
      <c r="AV371"/>
      <c r="AW371"/>
      <c r="FY371" s="211">
        <v>366</v>
      </c>
      <c r="FZ371">
        <v>0.63214240919723641</v>
      </c>
      <c r="GA371">
        <v>0.17450094823695328</v>
      </c>
      <c r="GB371">
        <v>0.15840797322414965</v>
      </c>
      <c r="GC371">
        <v>0.12309692626280153</v>
      </c>
      <c r="GD371">
        <v>2.6724553773673727E-2</v>
      </c>
      <c r="GE371">
        <v>0</v>
      </c>
      <c r="GF371">
        <v>0.33021050058332063</v>
      </c>
      <c r="GG371">
        <v>0.29759236750664797</v>
      </c>
      <c r="GH371">
        <v>0</v>
      </c>
      <c r="GI371">
        <v>0.21206968890925895</v>
      </c>
      <c r="GJ371"/>
      <c r="GK371">
        <v>0.6311271725801888</v>
      </c>
      <c r="GL371">
        <v>0.14748101845849892</v>
      </c>
      <c r="GM371">
        <v>0.26183540241601705</v>
      </c>
      <c r="GN371">
        <v>0.3667734676484084</v>
      </c>
      <c r="GO371">
        <v>0.10493806523239137</v>
      </c>
      <c r="GP371">
        <v>0</v>
      </c>
      <c r="GQ371">
        <v>0.45369793096285549</v>
      </c>
      <c r="GR371">
        <v>0.45369793096285549</v>
      </c>
      <c r="GS371">
        <v>0</v>
      </c>
      <c r="GT371">
        <v>0.29031971423829056</v>
      </c>
      <c r="GU371"/>
      <c r="GV371"/>
      <c r="GW371"/>
      <c r="GX371"/>
      <c r="GY371"/>
      <c r="GZ371"/>
      <c r="HA371"/>
      <c r="HB371"/>
      <c r="HC371"/>
    </row>
    <row r="372" spans="1:211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1.5460882565275302E-4</v>
      </c>
      <c r="H372" s="59">
        <f t="shared" ref="H372:AK372" si="360">+H36</f>
        <v>1.3395E-3</v>
      </c>
      <c r="I372" s="59">
        <f t="shared" si="360"/>
        <v>1.1605160587855814E-2</v>
      </c>
      <c r="J372" s="59">
        <f t="shared" si="360"/>
        <v>4.1036983192408429E-2</v>
      </c>
      <c r="K372" s="59">
        <f t="shared" si="360"/>
        <v>0.10054479452775054</v>
      </c>
      <c r="L372" s="59">
        <f t="shared" si="360"/>
        <v>0.20148108524619146</v>
      </c>
      <c r="M372" s="59">
        <f t="shared" si="360"/>
        <v>0.35553622992836076</v>
      </c>
      <c r="N372" s="59">
        <f t="shared" si="360"/>
        <v>0.57467606929839166</v>
      </c>
      <c r="O372" s="59">
        <f t="shared" si="360"/>
        <v>0.87110002744868265</v>
      </c>
      <c r="P372" s="59">
        <f t="shared" si="360"/>
        <v>1.2572108917760445</v>
      </c>
      <c r="Q372" s="59">
        <f t="shared" si="360"/>
        <v>1.7455918997368574</v>
      </c>
      <c r="R372" s="59">
        <f t="shared" si="360"/>
        <v>2.3489887250867154</v>
      </c>
      <c r="S372" s="59">
        <f t="shared" si="360"/>
        <v>3.0802949183422608</v>
      </c>
      <c r="T372" s="59">
        <f t="shared" si="360"/>
        <v>3.9525398786004713</v>
      </c>
      <c r="U372" s="59">
        <f t="shared" si="360"/>
        <v>4.9788787384886826</v>
      </c>
      <c r="V372" s="59">
        <f t="shared" si="360"/>
        <v>6.1725837318672401</v>
      </c>
      <c r="W372" s="59">
        <f t="shared" si="360"/>
        <v>7.5470367350709795</v>
      </c>
      <c r="X372" s="59">
        <f t="shared" si="360"/>
        <v>9.1157227535838086</v>
      </c>
      <c r="Y372" s="59">
        <f t="shared" si="360"/>
        <v>10.892224182054795</v>
      </c>
      <c r="Z372" s="59">
        <f t="shared" si="360"/>
        <v>12.890215705291629</v>
      </c>
      <c r="AA372" s="59">
        <f t="shared" si="360"/>
        <v>15.123459736697646</v>
      </c>
      <c r="AB372" s="59">
        <f t="shared" si="360"/>
        <v>17.605802311965238</v>
      </c>
      <c r="AC372" s="59">
        <f t="shared" si="360"/>
        <v>20.351169371925362</v>
      </c>
      <c r="AD372" s="59">
        <f t="shared" si="360"/>
        <v>23.373563380766857</v>
      </c>
      <c r="AE372" s="59">
        <f t="shared" si="360"/>
        <v>26.68706023539988</v>
      </c>
      <c r="AF372" s="59">
        <f t="shared" si="360"/>
        <v>30.305806429252016</v>
      </c>
      <c r="AG372" s="59">
        <f t="shared" si="360"/>
        <v>34.244016439763037</v>
      </c>
      <c r="AH372" s="59">
        <f t="shared" si="360"/>
        <v>38.515970313644125</v>
      </c>
      <c r="AI372" s="59">
        <f t="shared" si="360"/>
        <v>43.136011427862769</v>
      </c>
      <c r="AJ372" s="59">
        <f t="shared" si="360"/>
        <v>48.118544407499712</v>
      </c>
      <c r="AK372" s="59">
        <f t="shared" si="360"/>
        <v>53.478033184252119</v>
      </c>
      <c r="AL372" s="78"/>
      <c r="AM372" s="43">
        <v>356</v>
      </c>
      <c r="AN372">
        <v>2.71875</v>
      </c>
      <c r="AO372">
        <v>0.17994059377940347</v>
      </c>
      <c r="AP372">
        <v>1.7655135194906606</v>
      </c>
      <c r="AQ372">
        <v>1.3778116298514578</v>
      </c>
      <c r="AR372">
        <v>0.21056170240151867</v>
      </c>
      <c r="AS372">
        <v>1.56372844928455</v>
      </c>
      <c r="AT372" t="e">
        <v>#DIV/0!</v>
      </c>
      <c r="AU372" t="e">
        <v>#DIV/0!</v>
      </c>
      <c r="AV372"/>
      <c r="AW372"/>
      <c r="FY372" s="211">
        <v>367</v>
      </c>
      <c r="FZ372">
        <v>1.9938642850101957</v>
      </c>
      <c r="GA372">
        <v>0.86195082931690026</v>
      </c>
      <c r="GB372">
        <v>0.12565184548559416</v>
      </c>
      <c r="GC372">
        <v>0.10445782487688358</v>
      </c>
      <c r="GD372">
        <v>2.6724553773673727E-2</v>
      </c>
      <c r="GE372">
        <v>0</v>
      </c>
      <c r="GF372">
        <v>0</v>
      </c>
      <c r="GG372">
        <v>0</v>
      </c>
      <c r="GH372">
        <v>0</v>
      </c>
      <c r="GI372">
        <v>0.34124126614703693</v>
      </c>
      <c r="GJ372"/>
      <c r="GK372">
        <v>2.0167002375573286</v>
      </c>
      <c r="GL372">
        <v>0.7403709403449259</v>
      </c>
      <c r="GM372">
        <v>0.20987613046478273</v>
      </c>
      <c r="GN372">
        <v>0.31481419569717412</v>
      </c>
      <c r="GO372">
        <v>0.10493806523239137</v>
      </c>
      <c r="GP372">
        <v>0</v>
      </c>
      <c r="GQ372">
        <v>0</v>
      </c>
      <c r="GR372">
        <v>0</v>
      </c>
      <c r="GS372">
        <v>0</v>
      </c>
      <c r="GT372">
        <v>0.46630288665090053</v>
      </c>
      <c r="GU372"/>
      <c r="GV372"/>
      <c r="GW372"/>
      <c r="GX372"/>
      <c r="GY372"/>
      <c r="GZ372"/>
      <c r="HA372"/>
      <c r="HB372"/>
      <c r="HC372"/>
    </row>
    <row r="373" spans="1:211" s="7" customFormat="1">
      <c r="A373" s="95"/>
      <c r="B373" s="71">
        <f t="shared" ref="B373:B378" si="361">+C4</f>
        <v>39646</v>
      </c>
      <c r="C373" s="18">
        <f t="shared" ref="C373:C382" si="362">+D70</f>
        <v>46.875</v>
      </c>
      <c r="D373" s="18">
        <f t="shared" ref="D373:D382" si="363">SUM(G373:AK373)</f>
        <v>1.3737749324532738</v>
      </c>
      <c r="E373" s="19">
        <f t="shared" ref="E373:E382" si="364">IF(C373&lt;1, 0.000001, D373/C373)</f>
        <v>2.9307198559003173E-2</v>
      </c>
      <c r="F373" s="19"/>
      <c r="G373" s="18">
        <f>AVERAGE(E228:E237)*G$372</f>
        <v>0</v>
      </c>
      <c r="H373" s="18">
        <f t="shared" ref="H373:AK373" si="365">AVERAGE(F228:F237)*H$372</f>
        <v>0</v>
      </c>
      <c r="I373" s="18">
        <f t="shared" si="365"/>
        <v>0.29012901469639529</v>
      </c>
      <c r="J373" s="18">
        <f t="shared" si="365"/>
        <v>0.76944343485765798</v>
      </c>
      <c r="K373" s="18">
        <f t="shared" si="365"/>
        <v>0.31420248289922043</v>
      </c>
      <c r="L373" s="18">
        <f t="shared" si="365"/>
        <v>0</v>
      </c>
      <c r="M373" s="18">
        <f t="shared" si="365"/>
        <v>0</v>
      </c>
      <c r="N373" s="18">
        <f t="shared" si="365"/>
        <v>0</v>
      </c>
      <c r="O373" s="18">
        <f t="shared" si="365"/>
        <v>0</v>
      </c>
      <c r="P373" s="18">
        <f t="shared" si="365"/>
        <v>0</v>
      </c>
      <c r="Q373" s="18">
        <f t="shared" si="365"/>
        <v>0</v>
      </c>
      <c r="R373" s="18">
        <f t="shared" si="365"/>
        <v>0</v>
      </c>
      <c r="S373" s="18">
        <f t="shared" si="365"/>
        <v>0</v>
      </c>
      <c r="T373" s="18">
        <f t="shared" si="365"/>
        <v>0</v>
      </c>
      <c r="U373" s="18">
        <f t="shared" si="365"/>
        <v>0</v>
      </c>
      <c r="V373" s="18">
        <f t="shared" si="365"/>
        <v>0</v>
      </c>
      <c r="W373" s="18">
        <f t="shared" si="365"/>
        <v>0</v>
      </c>
      <c r="X373" s="18">
        <f t="shared" si="365"/>
        <v>0</v>
      </c>
      <c r="Y373" s="18">
        <f t="shared" si="365"/>
        <v>0</v>
      </c>
      <c r="Z373" s="18">
        <f t="shared" si="365"/>
        <v>0</v>
      </c>
      <c r="AA373" s="18">
        <f t="shared" si="365"/>
        <v>0</v>
      </c>
      <c r="AB373" s="18">
        <f t="shared" si="365"/>
        <v>0</v>
      </c>
      <c r="AC373" s="18">
        <f t="shared" si="365"/>
        <v>0</v>
      </c>
      <c r="AD373" s="18">
        <f t="shared" si="365"/>
        <v>0</v>
      </c>
      <c r="AE373" s="18">
        <f t="shared" si="365"/>
        <v>0</v>
      </c>
      <c r="AF373" s="18">
        <f t="shared" si="365"/>
        <v>0</v>
      </c>
      <c r="AG373" s="18">
        <f t="shared" si="365"/>
        <v>0</v>
      </c>
      <c r="AH373" s="18">
        <f t="shared" si="365"/>
        <v>0</v>
      </c>
      <c r="AI373" s="18">
        <f t="shared" si="365"/>
        <v>0</v>
      </c>
      <c r="AJ373" s="18">
        <f t="shared" si="365"/>
        <v>0</v>
      </c>
      <c r="AK373" s="18">
        <f t="shared" si="365"/>
        <v>0</v>
      </c>
      <c r="AL373" s="78"/>
      <c r="AM373" s="43">
        <v>357</v>
      </c>
      <c r="AN373">
        <v>2.5968749999999998</v>
      </c>
      <c r="AO373">
        <v>0.21801115937403556</v>
      </c>
      <c r="AP373">
        <v>4.9913119582647436</v>
      </c>
      <c r="AQ373">
        <v>1.7663689442106407</v>
      </c>
      <c r="AR373">
        <v>0.25100042441828774</v>
      </c>
      <c r="AS373">
        <v>1.7256583694655512</v>
      </c>
      <c r="AT373" t="e">
        <v>#DIV/0!</v>
      </c>
      <c r="AU373" t="e">
        <v>#DIV/0!</v>
      </c>
      <c r="AV373"/>
      <c r="AW373"/>
      <c r="FY373" s="211">
        <v>368</v>
      </c>
      <c r="FZ373">
        <v>1.3448797331474716</v>
      </c>
      <c r="GA373">
        <v>0.86195082931690026</v>
      </c>
      <c r="GB373">
        <v>0.409711664195338</v>
      </c>
      <c r="GC373">
        <v>0.2275547511396851</v>
      </c>
      <c r="GD373">
        <v>0</v>
      </c>
      <c r="GE373">
        <v>0</v>
      </c>
      <c r="GF373">
        <v>0</v>
      </c>
      <c r="GG373">
        <v>0</v>
      </c>
      <c r="GH373">
        <v>0</v>
      </c>
      <c r="GI373">
        <v>0.29976684605949688</v>
      </c>
      <c r="GJ373"/>
      <c r="GK373">
        <v>1.3522576669428921</v>
      </c>
      <c r="GL373">
        <v>0.7403709403449259</v>
      </c>
      <c r="GM373">
        <v>0.68158766334558252</v>
      </c>
      <c r="GN373">
        <v>0.68158766334558252</v>
      </c>
      <c r="GO373">
        <v>0</v>
      </c>
      <c r="GP373">
        <v>0</v>
      </c>
      <c r="GQ373">
        <v>0</v>
      </c>
      <c r="GR373">
        <v>0</v>
      </c>
      <c r="GS373">
        <v>0</v>
      </c>
      <c r="GT373">
        <v>0.40676906605769497</v>
      </c>
      <c r="GU373"/>
      <c r="GV373"/>
      <c r="GW373"/>
      <c r="GX373"/>
      <c r="GY373"/>
      <c r="GZ373"/>
      <c r="HA373"/>
      <c r="HB373"/>
      <c r="HC373"/>
    </row>
    <row r="374" spans="1:211" s="7" customFormat="1">
      <c r="A374" s="95"/>
      <c r="B374" s="71">
        <f t="shared" si="361"/>
        <v>39673</v>
      </c>
      <c r="C374" s="18">
        <f t="shared" si="362"/>
        <v>6.0416666666666661</v>
      </c>
      <c r="D374" s="18">
        <f t="shared" si="363"/>
        <v>0.96159246803267429</v>
      </c>
      <c r="E374" s="19">
        <f t="shared" si="364"/>
        <v>0.15916013263989093</v>
      </c>
      <c r="F374" s="19">
        <f>IF(F388&lt;0,0,F388)</f>
        <v>6.2669542536214734E-2</v>
      </c>
      <c r="G374" s="18">
        <f>AVERAGE(E238:E247)*G$372</f>
        <v>0</v>
      </c>
      <c r="H374" s="18">
        <f t="shared" ref="H374:AK374" si="366">AVERAGE(F238:F247)*H$372</f>
        <v>0</v>
      </c>
      <c r="I374" s="18">
        <f t="shared" si="366"/>
        <v>0</v>
      </c>
      <c r="J374" s="18">
        <f t="shared" si="366"/>
        <v>8.5493714984184219E-2</v>
      </c>
      <c r="K374" s="18">
        <f t="shared" si="366"/>
        <v>0.20946832193281362</v>
      </c>
      <c r="L374" s="18">
        <f t="shared" si="366"/>
        <v>0</v>
      </c>
      <c r="M374" s="18">
        <f t="shared" si="366"/>
        <v>0.66663043111567644</v>
      </c>
      <c r="N374" s="18">
        <f t="shared" si="366"/>
        <v>0</v>
      </c>
      <c r="O374" s="18">
        <f t="shared" si="366"/>
        <v>0</v>
      </c>
      <c r="P374" s="18">
        <f t="shared" si="366"/>
        <v>0</v>
      </c>
      <c r="Q374" s="18">
        <f t="shared" si="366"/>
        <v>0</v>
      </c>
      <c r="R374" s="18">
        <f t="shared" si="366"/>
        <v>0</v>
      </c>
      <c r="S374" s="18">
        <f t="shared" si="366"/>
        <v>0</v>
      </c>
      <c r="T374" s="18">
        <f t="shared" si="366"/>
        <v>0</v>
      </c>
      <c r="U374" s="18">
        <f t="shared" si="366"/>
        <v>0</v>
      </c>
      <c r="V374" s="18">
        <f t="shared" si="366"/>
        <v>0</v>
      </c>
      <c r="W374" s="18">
        <f t="shared" si="366"/>
        <v>0</v>
      </c>
      <c r="X374" s="18">
        <f t="shared" si="366"/>
        <v>0</v>
      </c>
      <c r="Y374" s="18">
        <f t="shared" si="366"/>
        <v>0</v>
      </c>
      <c r="Z374" s="18">
        <f t="shared" si="366"/>
        <v>0</v>
      </c>
      <c r="AA374" s="18">
        <f t="shared" si="366"/>
        <v>0</v>
      </c>
      <c r="AB374" s="18">
        <f t="shared" si="366"/>
        <v>0</v>
      </c>
      <c r="AC374" s="18">
        <f t="shared" si="366"/>
        <v>0</v>
      </c>
      <c r="AD374" s="18">
        <f t="shared" si="366"/>
        <v>0</v>
      </c>
      <c r="AE374" s="18">
        <f t="shared" si="366"/>
        <v>0</v>
      </c>
      <c r="AF374" s="18">
        <f t="shared" si="366"/>
        <v>0</v>
      </c>
      <c r="AG374" s="18">
        <f t="shared" si="366"/>
        <v>0</v>
      </c>
      <c r="AH374" s="18">
        <f t="shared" si="366"/>
        <v>0</v>
      </c>
      <c r="AI374" s="18">
        <f t="shared" si="366"/>
        <v>0</v>
      </c>
      <c r="AJ374" s="18">
        <f t="shared" si="366"/>
        <v>0</v>
      </c>
      <c r="AK374" s="18">
        <f t="shared" si="366"/>
        <v>0</v>
      </c>
      <c r="AL374" s="78"/>
      <c r="AM374" s="43">
        <v>358</v>
      </c>
      <c r="AN374">
        <v>2.683333333333334</v>
      </c>
      <c r="AO374">
        <v>0.46332012891358787</v>
      </c>
      <c r="AP374">
        <v>17.749507257086776</v>
      </c>
      <c r="AQ374">
        <v>3.819308989102514</v>
      </c>
      <c r="AR374">
        <v>0.47488314427161804</v>
      </c>
      <c r="AS374">
        <v>2.3141120881577435</v>
      </c>
      <c r="AT374" t="e">
        <v>#DIV/0!</v>
      </c>
      <c r="AU374" t="e">
        <v>#DIV/0!</v>
      </c>
      <c r="AV374"/>
      <c r="AW374"/>
      <c r="FY374" s="211">
        <v>369</v>
      </c>
      <c r="FZ374">
        <v>0.89828857559275299</v>
      </c>
      <c r="GA374">
        <v>0.26175142235542992</v>
      </c>
      <c r="GB374">
        <v>0.204855832097669</v>
      </c>
      <c r="GC374">
        <v>0.14859665052880375</v>
      </c>
      <c r="GD374">
        <v>2.6724553773673727E-2</v>
      </c>
      <c r="GE374">
        <v>0</v>
      </c>
      <c r="GF374">
        <v>0.33021050058332063</v>
      </c>
      <c r="GG374">
        <v>0.29759236750664797</v>
      </c>
      <c r="GH374">
        <v>0</v>
      </c>
      <c r="GI374">
        <v>0.26280240821308548</v>
      </c>
      <c r="GJ374"/>
      <c r="GK374">
        <v>0.90498745942708836</v>
      </c>
      <c r="GL374">
        <v>0.22122152768774839</v>
      </c>
      <c r="GM374">
        <v>0.34079383167279126</v>
      </c>
      <c r="GN374">
        <v>0.44573189690518267</v>
      </c>
      <c r="GO374">
        <v>0.10493806523239137</v>
      </c>
      <c r="GP374">
        <v>0</v>
      </c>
      <c r="GQ374">
        <v>0.45369793096285549</v>
      </c>
      <c r="GR374">
        <v>0.45369793096285549</v>
      </c>
      <c r="GS374">
        <v>0</v>
      </c>
      <c r="GT374">
        <v>0.36088345745902534</v>
      </c>
      <c r="GU374"/>
      <c r="GV374"/>
      <c r="GW374"/>
      <c r="GX374"/>
      <c r="GY374"/>
      <c r="GZ374"/>
      <c r="HA374"/>
      <c r="HB374"/>
      <c r="HC374"/>
    </row>
    <row r="375" spans="1:211" s="7" customFormat="1">
      <c r="A375" s="95"/>
      <c r="B375" s="71">
        <f t="shared" si="361"/>
        <v>39714</v>
      </c>
      <c r="C375" s="18">
        <f t="shared" si="362"/>
        <v>0</v>
      </c>
      <c r="D375" s="18">
        <f t="shared" si="363"/>
        <v>0</v>
      </c>
      <c r="E375" s="19">
        <f t="shared" si="364"/>
        <v>9.9999999999999995E-7</v>
      </c>
      <c r="F375" s="19">
        <f>IF(F389&lt;0,0,F389)</f>
        <v>0</v>
      </c>
      <c r="G375" s="18">
        <f>AVERAGE(E248:E257)*G$372</f>
        <v>0</v>
      </c>
      <c r="H375" s="18">
        <f t="shared" ref="H375:AK375" si="367">AVERAGE(F248:F257)*H$372</f>
        <v>0</v>
      </c>
      <c r="I375" s="18">
        <f t="shared" si="367"/>
        <v>0</v>
      </c>
      <c r="J375" s="18">
        <f t="shared" si="367"/>
        <v>0</v>
      </c>
      <c r="K375" s="18">
        <f t="shared" si="367"/>
        <v>0</v>
      </c>
      <c r="L375" s="18">
        <f t="shared" si="367"/>
        <v>0</v>
      </c>
      <c r="M375" s="18">
        <f t="shared" si="367"/>
        <v>0</v>
      </c>
      <c r="N375" s="18">
        <f t="shared" si="367"/>
        <v>0</v>
      </c>
      <c r="O375" s="18">
        <f t="shared" si="367"/>
        <v>0</v>
      </c>
      <c r="P375" s="18">
        <f t="shared" si="367"/>
        <v>0</v>
      </c>
      <c r="Q375" s="18">
        <f t="shared" si="367"/>
        <v>0</v>
      </c>
      <c r="R375" s="18">
        <f t="shared" si="367"/>
        <v>0</v>
      </c>
      <c r="S375" s="18">
        <f t="shared" si="367"/>
        <v>0</v>
      </c>
      <c r="T375" s="18">
        <f t="shared" si="367"/>
        <v>0</v>
      </c>
      <c r="U375" s="18">
        <f t="shared" si="367"/>
        <v>0</v>
      </c>
      <c r="V375" s="18">
        <f t="shared" si="367"/>
        <v>0</v>
      </c>
      <c r="W375" s="18">
        <f t="shared" si="367"/>
        <v>0</v>
      </c>
      <c r="X375" s="18">
        <f t="shared" si="367"/>
        <v>0</v>
      </c>
      <c r="Y375" s="18">
        <f t="shared" si="367"/>
        <v>0</v>
      </c>
      <c r="Z375" s="18">
        <f t="shared" si="367"/>
        <v>0</v>
      </c>
      <c r="AA375" s="18">
        <f t="shared" si="367"/>
        <v>0</v>
      </c>
      <c r="AB375" s="18">
        <f t="shared" si="367"/>
        <v>0</v>
      </c>
      <c r="AC375" s="18">
        <f t="shared" si="367"/>
        <v>0</v>
      </c>
      <c r="AD375" s="18">
        <f t="shared" si="367"/>
        <v>0</v>
      </c>
      <c r="AE375" s="18">
        <f t="shared" si="367"/>
        <v>0</v>
      </c>
      <c r="AF375" s="18">
        <f t="shared" si="367"/>
        <v>0</v>
      </c>
      <c r="AG375" s="18">
        <f t="shared" si="367"/>
        <v>0</v>
      </c>
      <c r="AH375" s="18">
        <f t="shared" si="367"/>
        <v>0</v>
      </c>
      <c r="AI375" s="18">
        <f t="shared" si="367"/>
        <v>0</v>
      </c>
      <c r="AJ375" s="18">
        <f t="shared" si="367"/>
        <v>0</v>
      </c>
      <c r="AK375" s="18">
        <f t="shared" si="367"/>
        <v>0</v>
      </c>
      <c r="AL375" s="78"/>
      <c r="AM375" s="43">
        <v>359</v>
      </c>
      <c r="AN375">
        <v>1.40625</v>
      </c>
      <c r="AO375">
        <v>0.15965206033711385</v>
      </c>
      <c r="AP375">
        <v>2.5633117906332585</v>
      </c>
      <c r="AQ375">
        <v>1.1632362035740877</v>
      </c>
      <c r="AR375">
        <v>0.21361773461232741</v>
      </c>
      <c r="AS375">
        <v>1.3973641003122035</v>
      </c>
      <c r="AT375" t="e">
        <v>#DIV/0!</v>
      </c>
      <c r="AU375" t="e">
        <v>#DIV/0!</v>
      </c>
      <c r="AV375"/>
      <c r="AW375"/>
      <c r="FY375" s="211">
        <v>370</v>
      </c>
      <c r="FZ375">
        <v>1.4397436327507356</v>
      </c>
      <c r="GA375">
        <v>0.9492013034353769</v>
      </c>
      <c r="GB375">
        <v>6.282592274279708E-2</v>
      </c>
      <c r="GC375">
        <v>3.4819274958961192E-2</v>
      </c>
      <c r="GD375">
        <v>0</v>
      </c>
      <c r="GE375">
        <v>0</v>
      </c>
      <c r="GF375">
        <v>0.33021050058332063</v>
      </c>
      <c r="GG375">
        <v>0.29759236750664797</v>
      </c>
      <c r="GH375">
        <v>0</v>
      </c>
      <c r="GI375">
        <v>0.29272701881135832</v>
      </c>
      <c r="GJ375"/>
      <c r="GK375">
        <v>1.4469352287359865</v>
      </c>
      <c r="GL375">
        <v>0.81411144957417536</v>
      </c>
      <c r="GM375">
        <v>0.10493806523239137</v>
      </c>
      <c r="GN375">
        <v>0.10493806523239137</v>
      </c>
      <c r="GO375">
        <v>0</v>
      </c>
      <c r="GP375">
        <v>0</v>
      </c>
      <c r="GQ375">
        <v>0.45369793096285549</v>
      </c>
      <c r="GR375">
        <v>0.45369793096285549</v>
      </c>
      <c r="GS375">
        <v>0</v>
      </c>
      <c r="GT375">
        <v>0.4011142449862467</v>
      </c>
      <c r="GU375"/>
      <c r="GV375"/>
      <c r="GW375"/>
      <c r="GX375"/>
      <c r="GY375"/>
      <c r="GZ375"/>
      <c r="HA375"/>
      <c r="HB375"/>
      <c r="HC375"/>
    </row>
    <row r="376" spans="1:211" s="7" customFormat="1">
      <c r="A376" s="95"/>
      <c r="B376" s="71">
        <f t="shared" si="361"/>
        <v>39747</v>
      </c>
      <c r="C376" s="18">
        <f t="shared" si="362"/>
        <v>2.604166666666667</v>
      </c>
      <c r="D376" s="18">
        <f t="shared" si="363"/>
        <v>0.26183540241601705</v>
      </c>
      <c r="E376" s="19">
        <f t="shared" si="364"/>
        <v>0.10054479452775053</v>
      </c>
      <c r="F376" s="19">
        <f>IF(F390&lt;0,0,F390)</f>
        <v>0.34904117042039767</v>
      </c>
      <c r="G376" s="18">
        <f>AVERAGE(E258:E267)*G$372</f>
        <v>0</v>
      </c>
      <c r="H376" s="18">
        <f t="shared" ref="H376:AK376" si="368">AVERAGE(F258:F267)*H$372</f>
        <v>0</v>
      </c>
      <c r="I376" s="18">
        <f t="shared" si="368"/>
        <v>0</v>
      </c>
      <c r="J376" s="18">
        <f t="shared" si="368"/>
        <v>0</v>
      </c>
      <c r="K376" s="18">
        <f t="shared" si="368"/>
        <v>0.26183540241601705</v>
      </c>
      <c r="L376" s="18">
        <f t="shared" si="368"/>
        <v>0</v>
      </c>
      <c r="M376" s="18">
        <f t="shared" si="368"/>
        <v>0</v>
      </c>
      <c r="N376" s="18">
        <f t="shared" si="368"/>
        <v>0</v>
      </c>
      <c r="O376" s="18">
        <f t="shared" si="368"/>
        <v>0</v>
      </c>
      <c r="P376" s="18">
        <f t="shared" si="368"/>
        <v>0</v>
      </c>
      <c r="Q376" s="18">
        <f t="shared" si="368"/>
        <v>0</v>
      </c>
      <c r="R376" s="18">
        <f t="shared" si="368"/>
        <v>0</v>
      </c>
      <c r="S376" s="18">
        <f t="shared" si="368"/>
        <v>0</v>
      </c>
      <c r="T376" s="18">
        <f t="shared" si="368"/>
        <v>0</v>
      </c>
      <c r="U376" s="18">
        <f t="shared" si="368"/>
        <v>0</v>
      </c>
      <c r="V376" s="18">
        <f t="shared" si="368"/>
        <v>0</v>
      </c>
      <c r="W376" s="18">
        <f t="shared" si="368"/>
        <v>0</v>
      </c>
      <c r="X376" s="18">
        <f t="shared" si="368"/>
        <v>0</v>
      </c>
      <c r="Y376" s="18">
        <f t="shared" si="368"/>
        <v>0</v>
      </c>
      <c r="Z376" s="18">
        <f t="shared" si="368"/>
        <v>0</v>
      </c>
      <c r="AA376" s="18">
        <f t="shared" si="368"/>
        <v>0</v>
      </c>
      <c r="AB376" s="18">
        <f t="shared" si="368"/>
        <v>0</v>
      </c>
      <c r="AC376" s="18">
        <f t="shared" si="368"/>
        <v>0</v>
      </c>
      <c r="AD376" s="18">
        <f t="shared" si="368"/>
        <v>0</v>
      </c>
      <c r="AE376" s="18">
        <f t="shared" si="368"/>
        <v>0</v>
      </c>
      <c r="AF376" s="18">
        <f t="shared" si="368"/>
        <v>0</v>
      </c>
      <c r="AG376" s="18">
        <f t="shared" si="368"/>
        <v>0</v>
      </c>
      <c r="AH376" s="18">
        <f t="shared" si="368"/>
        <v>0</v>
      </c>
      <c r="AI376" s="18">
        <f t="shared" si="368"/>
        <v>0</v>
      </c>
      <c r="AJ376" s="18">
        <f t="shared" si="368"/>
        <v>0</v>
      </c>
      <c r="AK376" s="18">
        <f t="shared" si="368"/>
        <v>0</v>
      </c>
      <c r="AL376" s="78"/>
      <c r="AM376" s="43">
        <v>360</v>
      </c>
      <c r="AN376">
        <v>3.9</v>
      </c>
      <c r="AO376">
        <v>0.53549581456496465</v>
      </c>
      <c r="AP376">
        <v>15.122801690719722</v>
      </c>
      <c r="AQ376">
        <v>4.5536919480283444</v>
      </c>
      <c r="AR376">
        <v>0.53836045745379069</v>
      </c>
      <c r="AS376">
        <v>3.088904925608503</v>
      </c>
      <c r="AT376" t="e">
        <v>#DIV/0!</v>
      </c>
      <c r="AU376" t="e">
        <v>#DIV/0!</v>
      </c>
      <c r="AV376"/>
      <c r="AW376"/>
      <c r="FY376" s="211">
        <v>371</v>
      </c>
      <c r="FZ376">
        <v>1.0759296737800015</v>
      </c>
      <c r="GA376">
        <v>0.56185112583616514</v>
      </c>
      <c r="GB376">
        <v>0.204855832097669</v>
      </c>
      <c r="GC376">
        <v>0.18341592548776492</v>
      </c>
      <c r="GD376">
        <v>5.3449107547347455E-2</v>
      </c>
      <c r="GE376">
        <v>0</v>
      </c>
      <c r="GF376">
        <v>0.66042100116664126</v>
      </c>
      <c r="GG376">
        <v>0.59518473501329594</v>
      </c>
      <c r="GH376">
        <v>0</v>
      </c>
      <c r="GI376">
        <v>0.36869549912325295</v>
      </c>
      <c r="GJ376"/>
      <c r="GK376">
        <v>1.0815858499452253</v>
      </c>
      <c r="GL376">
        <v>0.48079623401633714</v>
      </c>
      <c r="GM376">
        <v>0.34079383167279126</v>
      </c>
      <c r="GN376">
        <v>0.55066996213757402</v>
      </c>
      <c r="GO376">
        <v>0.20987613046478273</v>
      </c>
      <c r="GP376">
        <v>0</v>
      </c>
      <c r="GQ376">
        <v>0.90739586192571098</v>
      </c>
      <c r="GR376">
        <v>0.90739586192571098</v>
      </c>
      <c r="GS376">
        <v>0</v>
      </c>
      <c r="GT376">
        <v>0.50793033480170202</v>
      </c>
      <c r="GU376"/>
      <c r="GV376"/>
      <c r="GW376"/>
      <c r="GX376"/>
      <c r="GY376"/>
      <c r="GZ376"/>
      <c r="HA376"/>
      <c r="HB376"/>
      <c r="HC376"/>
    </row>
    <row r="377" spans="1:211" s="7" customFormat="1">
      <c r="A377" s="95"/>
      <c r="B377" s="71">
        <f t="shared" si="361"/>
        <v>39775</v>
      </c>
      <c r="C377" s="18">
        <f t="shared" si="362"/>
        <v>1.0416666666666665</v>
      </c>
      <c r="D377" s="18">
        <f t="shared" si="363"/>
        <v>0.20987613046478273</v>
      </c>
      <c r="E377" s="19">
        <f t="shared" si="364"/>
        <v>0.20148108524619146</v>
      </c>
      <c r="F377" s="19">
        <f>IF(F391&lt;0,0,F391)</f>
        <v>2.4824720083705835E-2</v>
      </c>
      <c r="G377" s="18">
        <f>AVERAGE(E268:E277)*G$372</f>
        <v>0</v>
      </c>
      <c r="H377" s="18">
        <f t="shared" ref="H377:AK377" si="369">AVERAGE(F268:F277)*H$372</f>
        <v>0</v>
      </c>
      <c r="I377" s="18">
        <f t="shared" si="369"/>
        <v>0</v>
      </c>
      <c r="J377" s="18">
        <f t="shared" si="369"/>
        <v>0</v>
      </c>
      <c r="K377" s="18">
        <f t="shared" si="369"/>
        <v>0</v>
      </c>
      <c r="L377" s="18">
        <f t="shared" si="369"/>
        <v>0.20987613046478273</v>
      </c>
      <c r="M377" s="18">
        <f t="shared" si="369"/>
        <v>0</v>
      </c>
      <c r="N377" s="18">
        <f t="shared" si="369"/>
        <v>0</v>
      </c>
      <c r="O377" s="18">
        <f t="shared" si="369"/>
        <v>0</v>
      </c>
      <c r="P377" s="18">
        <f t="shared" si="369"/>
        <v>0</v>
      </c>
      <c r="Q377" s="18">
        <f t="shared" si="369"/>
        <v>0</v>
      </c>
      <c r="R377" s="18">
        <f t="shared" si="369"/>
        <v>0</v>
      </c>
      <c r="S377" s="18">
        <f t="shared" si="369"/>
        <v>0</v>
      </c>
      <c r="T377" s="18">
        <f t="shared" si="369"/>
        <v>0</v>
      </c>
      <c r="U377" s="18">
        <f t="shared" si="369"/>
        <v>0</v>
      </c>
      <c r="V377" s="18">
        <f t="shared" si="369"/>
        <v>0</v>
      </c>
      <c r="W377" s="18">
        <f t="shared" si="369"/>
        <v>0</v>
      </c>
      <c r="X377" s="18">
        <f t="shared" si="369"/>
        <v>0</v>
      </c>
      <c r="Y377" s="18">
        <f t="shared" si="369"/>
        <v>0</v>
      </c>
      <c r="Z377" s="18">
        <f t="shared" si="369"/>
        <v>0</v>
      </c>
      <c r="AA377" s="18">
        <f t="shared" si="369"/>
        <v>0</v>
      </c>
      <c r="AB377" s="18">
        <f t="shared" si="369"/>
        <v>0</v>
      </c>
      <c r="AC377" s="18">
        <f t="shared" si="369"/>
        <v>0</v>
      </c>
      <c r="AD377" s="18">
        <f t="shared" si="369"/>
        <v>0</v>
      </c>
      <c r="AE377" s="18">
        <f t="shared" si="369"/>
        <v>0</v>
      </c>
      <c r="AF377" s="18">
        <f t="shared" si="369"/>
        <v>0</v>
      </c>
      <c r="AG377" s="18">
        <f t="shared" si="369"/>
        <v>0</v>
      </c>
      <c r="AH377" s="18">
        <f t="shared" si="369"/>
        <v>0</v>
      </c>
      <c r="AI377" s="18">
        <f t="shared" si="369"/>
        <v>0</v>
      </c>
      <c r="AJ377" s="18">
        <f t="shared" si="369"/>
        <v>0</v>
      </c>
      <c r="AK377" s="18">
        <f t="shared" si="369"/>
        <v>0</v>
      </c>
      <c r="AL377" s="78"/>
      <c r="AM377" s="43">
        <v>361</v>
      </c>
      <c r="AN377">
        <v>2.3208333333333333</v>
      </c>
      <c r="AO377">
        <v>0.40130283947641265</v>
      </c>
      <c r="AP377">
        <v>16.380593494823941</v>
      </c>
      <c r="AQ377">
        <v>3.0351924994337054</v>
      </c>
      <c r="AR377">
        <v>0.39729376872569228</v>
      </c>
      <c r="AS377">
        <v>1.9549751844625027</v>
      </c>
      <c r="AT377" t="e">
        <v>#DIV/0!</v>
      </c>
      <c r="AU377" t="e">
        <v>#DIV/0!</v>
      </c>
      <c r="AV377"/>
      <c r="AW377"/>
      <c r="FY377" s="211">
        <v>372</v>
      </c>
      <c r="FZ377">
        <v>1.374907478680218</v>
      </c>
      <c r="GA377">
        <v>0.38735017759921181</v>
      </c>
      <c r="GB377">
        <v>6.282592274279708E-2</v>
      </c>
      <c r="GC377">
        <v>3.4819274958961192E-2</v>
      </c>
      <c r="GD377">
        <v>0</v>
      </c>
      <c r="GE377">
        <v>0</v>
      </c>
      <c r="GF377">
        <v>0</v>
      </c>
      <c r="GG377">
        <v>0</v>
      </c>
      <c r="GH377">
        <v>0</v>
      </c>
      <c r="GI377">
        <v>0.2188674217480796</v>
      </c>
      <c r="GJ377"/>
      <c r="GK377">
        <v>1.3880355221194516</v>
      </c>
      <c r="GL377">
        <v>0.33331521555783822</v>
      </c>
      <c r="GM377">
        <v>0.10493806523239137</v>
      </c>
      <c r="GN377">
        <v>0.10493806523239137</v>
      </c>
      <c r="GO377">
        <v>0</v>
      </c>
      <c r="GP377">
        <v>0</v>
      </c>
      <c r="GQ377">
        <v>0</v>
      </c>
      <c r="GR377">
        <v>0</v>
      </c>
      <c r="GS377">
        <v>0</v>
      </c>
      <c r="GT377">
        <v>0.29859471747036864</v>
      </c>
      <c r="GU377"/>
      <c r="GV377"/>
      <c r="GW377"/>
      <c r="GX377"/>
      <c r="GY377"/>
      <c r="GZ377"/>
      <c r="HA377"/>
      <c r="HB377"/>
      <c r="HC377"/>
    </row>
    <row r="378" spans="1:211" s="7" customFormat="1">
      <c r="A378" s="95"/>
      <c r="B378" s="71">
        <f t="shared" si="361"/>
        <v>39799</v>
      </c>
      <c r="C378" s="18">
        <f t="shared" si="362"/>
        <v>0</v>
      </c>
      <c r="D378" s="18">
        <f t="shared" si="363"/>
        <v>0</v>
      </c>
      <c r="E378" s="19">
        <f t="shared" si="364"/>
        <v>9.9999999999999995E-7</v>
      </c>
      <c r="F378" s="19">
        <f t="shared" ref="F378:F382" si="370">IF(F392&lt;0,0,F392)</f>
        <v>0</v>
      </c>
      <c r="G378" s="18">
        <f>AVERAGE(E278:E287)*G$372</f>
        <v>0</v>
      </c>
      <c r="H378" s="18">
        <f t="shared" ref="H378:AK378" si="371">AVERAGE(F278:F287)*H$372</f>
        <v>0</v>
      </c>
      <c r="I378" s="18">
        <f t="shared" si="371"/>
        <v>0</v>
      </c>
      <c r="J378" s="18">
        <f t="shared" si="371"/>
        <v>0</v>
      </c>
      <c r="K378" s="18">
        <f t="shared" si="371"/>
        <v>0</v>
      </c>
      <c r="L378" s="18">
        <f t="shared" si="371"/>
        <v>0</v>
      </c>
      <c r="M378" s="18">
        <f t="shared" si="371"/>
        <v>0</v>
      </c>
      <c r="N378" s="18">
        <f t="shared" si="371"/>
        <v>0</v>
      </c>
      <c r="O378" s="18">
        <f t="shared" si="371"/>
        <v>0</v>
      </c>
      <c r="P378" s="18">
        <f t="shared" si="371"/>
        <v>0</v>
      </c>
      <c r="Q378" s="18">
        <f t="shared" si="371"/>
        <v>0</v>
      </c>
      <c r="R378" s="18">
        <f t="shared" si="371"/>
        <v>0</v>
      </c>
      <c r="S378" s="18">
        <f t="shared" si="371"/>
        <v>0</v>
      </c>
      <c r="T378" s="18">
        <f t="shared" si="371"/>
        <v>0</v>
      </c>
      <c r="U378" s="18">
        <f t="shared" si="371"/>
        <v>0</v>
      </c>
      <c r="V378" s="18">
        <f t="shared" si="371"/>
        <v>0</v>
      </c>
      <c r="W378" s="18">
        <f t="shared" si="371"/>
        <v>0</v>
      </c>
      <c r="X378" s="18">
        <f t="shared" si="371"/>
        <v>0</v>
      </c>
      <c r="Y378" s="18">
        <f t="shared" si="371"/>
        <v>0</v>
      </c>
      <c r="Z378" s="18">
        <f t="shared" si="371"/>
        <v>0</v>
      </c>
      <c r="AA378" s="18">
        <f t="shared" si="371"/>
        <v>0</v>
      </c>
      <c r="AB378" s="18">
        <f t="shared" si="371"/>
        <v>0</v>
      </c>
      <c r="AC378" s="18">
        <f t="shared" si="371"/>
        <v>0</v>
      </c>
      <c r="AD378" s="18">
        <f t="shared" si="371"/>
        <v>0</v>
      </c>
      <c r="AE378" s="18">
        <f t="shared" si="371"/>
        <v>0</v>
      </c>
      <c r="AF378" s="18">
        <f t="shared" si="371"/>
        <v>0</v>
      </c>
      <c r="AG378" s="18">
        <f t="shared" si="371"/>
        <v>0</v>
      </c>
      <c r="AH378" s="18">
        <f t="shared" si="371"/>
        <v>0</v>
      </c>
      <c r="AI378" s="18">
        <f t="shared" si="371"/>
        <v>0</v>
      </c>
      <c r="AJ378" s="18">
        <f t="shared" si="371"/>
        <v>0</v>
      </c>
      <c r="AK378" s="18">
        <f t="shared" si="371"/>
        <v>0</v>
      </c>
      <c r="AL378" s="78"/>
      <c r="AM378" s="43">
        <v>362</v>
      </c>
      <c r="AN378">
        <v>2.3437500000000004</v>
      </c>
      <c r="AO378">
        <v>0.37152318462878126</v>
      </c>
      <c r="AP378">
        <v>16.947194566938617</v>
      </c>
      <c r="AQ378">
        <v>2.5091808488386333</v>
      </c>
      <c r="AR378">
        <v>0.38935407524688365</v>
      </c>
      <c r="AS378">
        <v>1.8672817099385637</v>
      </c>
      <c r="AT378" t="e">
        <v>#DIV/0!</v>
      </c>
      <c r="AU378" t="e">
        <v>#DIV/0!</v>
      </c>
      <c r="AV378"/>
      <c r="AW378"/>
      <c r="FY378" s="211">
        <v>373</v>
      </c>
      <c r="FZ378">
        <v>0.98619330497341395</v>
      </c>
      <c r="GA378">
        <v>0.47460065171768845</v>
      </c>
      <c r="GB378">
        <v>0.15840797322414965</v>
      </c>
      <c r="GC378">
        <v>8.8277651303840327E-2</v>
      </c>
      <c r="GD378">
        <v>0</v>
      </c>
      <c r="GE378">
        <v>0</v>
      </c>
      <c r="GF378">
        <v>0</v>
      </c>
      <c r="GG378">
        <v>0</v>
      </c>
      <c r="GH378">
        <v>0</v>
      </c>
      <c r="GI378">
        <v>0.18482430493413743</v>
      </c>
      <c r="GJ378"/>
      <c r="GK378">
        <v>0.99174438706982193</v>
      </c>
      <c r="GL378">
        <v>0.40705572478708768</v>
      </c>
      <c r="GM378">
        <v>0.26183540241601705</v>
      </c>
      <c r="GN378">
        <v>0.26183540241601705</v>
      </c>
      <c r="GO378">
        <v>0</v>
      </c>
      <c r="GP378">
        <v>0</v>
      </c>
      <c r="GQ378">
        <v>0</v>
      </c>
      <c r="GR378">
        <v>0</v>
      </c>
      <c r="GS378">
        <v>0</v>
      </c>
      <c r="GT378">
        <v>0.25071595789716777</v>
      </c>
      <c r="GU378"/>
      <c r="GV378"/>
      <c r="GW378"/>
      <c r="GX378"/>
      <c r="GY378"/>
      <c r="GZ378"/>
      <c r="HA378"/>
      <c r="HB378"/>
      <c r="HC378"/>
    </row>
    <row r="379" spans="1:211" s="7" customFormat="1">
      <c r="A379" s="77" t="s">
        <v>61</v>
      </c>
      <c r="B379" s="71">
        <f t="shared" ref="B379:B382" si="372">+C10</f>
        <v>39847</v>
      </c>
      <c r="C379" s="18">
        <f t="shared" si="362"/>
        <v>0</v>
      </c>
      <c r="D379" s="18">
        <f t="shared" si="363"/>
        <v>0</v>
      </c>
      <c r="E379" s="19">
        <f t="shared" si="364"/>
        <v>9.9999999999999995E-7</v>
      </c>
      <c r="F379" s="19">
        <f t="shared" si="370"/>
        <v>0</v>
      </c>
      <c r="G379" s="18">
        <f>AVERAGE(E288:E297)*G$372</f>
        <v>0</v>
      </c>
      <c r="H379" s="18">
        <f t="shared" ref="H379:AK379" si="373">AVERAGE(F288:F297)*H$372</f>
        <v>0</v>
      </c>
      <c r="I379" s="18">
        <f t="shared" si="373"/>
        <v>0</v>
      </c>
      <c r="J379" s="18">
        <f t="shared" si="373"/>
        <v>0</v>
      </c>
      <c r="K379" s="18">
        <f t="shared" si="373"/>
        <v>0</v>
      </c>
      <c r="L379" s="18">
        <f t="shared" si="373"/>
        <v>0</v>
      </c>
      <c r="M379" s="18">
        <f t="shared" si="373"/>
        <v>0</v>
      </c>
      <c r="N379" s="18">
        <f t="shared" si="373"/>
        <v>0</v>
      </c>
      <c r="O379" s="18">
        <f t="shared" si="373"/>
        <v>0</v>
      </c>
      <c r="P379" s="18">
        <f t="shared" si="373"/>
        <v>0</v>
      </c>
      <c r="Q379" s="18">
        <f t="shared" si="373"/>
        <v>0</v>
      </c>
      <c r="R379" s="18">
        <f t="shared" si="373"/>
        <v>0</v>
      </c>
      <c r="S379" s="18">
        <f t="shared" si="373"/>
        <v>0</v>
      </c>
      <c r="T379" s="18">
        <f t="shared" si="373"/>
        <v>0</v>
      </c>
      <c r="U379" s="18">
        <f t="shared" si="373"/>
        <v>0</v>
      </c>
      <c r="V379" s="18">
        <f t="shared" si="373"/>
        <v>0</v>
      </c>
      <c r="W379" s="18">
        <f t="shared" si="373"/>
        <v>0</v>
      </c>
      <c r="X379" s="18">
        <f t="shared" si="373"/>
        <v>0</v>
      </c>
      <c r="Y379" s="18">
        <f t="shared" si="373"/>
        <v>0</v>
      </c>
      <c r="Z379" s="18">
        <f t="shared" si="373"/>
        <v>0</v>
      </c>
      <c r="AA379" s="18">
        <f t="shared" si="373"/>
        <v>0</v>
      </c>
      <c r="AB379" s="18">
        <f t="shared" si="373"/>
        <v>0</v>
      </c>
      <c r="AC379" s="18">
        <f t="shared" si="373"/>
        <v>0</v>
      </c>
      <c r="AD379" s="18">
        <f t="shared" si="373"/>
        <v>0</v>
      </c>
      <c r="AE379" s="18">
        <f t="shared" si="373"/>
        <v>0</v>
      </c>
      <c r="AF379" s="18">
        <f t="shared" si="373"/>
        <v>0</v>
      </c>
      <c r="AG379" s="18">
        <f t="shared" si="373"/>
        <v>0</v>
      </c>
      <c r="AH379" s="18">
        <f t="shared" si="373"/>
        <v>0</v>
      </c>
      <c r="AI379" s="18">
        <f t="shared" si="373"/>
        <v>0</v>
      </c>
      <c r="AJ379" s="18">
        <f t="shared" si="373"/>
        <v>0</v>
      </c>
      <c r="AK379" s="18">
        <f t="shared" si="373"/>
        <v>0</v>
      </c>
      <c r="AL379" s="78"/>
      <c r="AM379" s="43">
        <v>363</v>
      </c>
      <c r="AN379">
        <v>2.6833333333333336</v>
      </c>
      <c r="AO379">
        <v>0.30798603869650931</v>
      </c>
      <c r="AP379">
        <v>5.3373856440362175</v>
      </c>
      <c r="AQ379">
        <v>2.5716934830490339</v>
      </c>
      <c r="AR379">
        <v>0.33224628248664184</v>
      </c>
      <c r="AS379">
        <v>2.0453485909089046</v>
      </c>
      <c r="AT379" t="e">
        <v>#DIV/0!</v>
      </c>
      <c r="AU379" t="e">
        <v>#DIV/0!</v>
      </c>
      <c r="AV379"/>
      <c r="AW379"/>
      <c r="FY379" s="211">
        <v>374</v>
      </c>
      <c r="FZ379">
        <v>0.92017304189167892</v>
      </c>
      <c r="GA379">
        <v>0.56185112583616514</v>
      </c>
      <c r="GB379">
        <v>0.18847776822839127</v>
      </c>
      <c r="GC379">
        <v>0.10445782487688361</v>
      </c>
      <c r="GD379">
        <v>0</v>
      </c>
      <c r="GE379">
        <v>0</v>
      </c>
      <c r="GF379">
        <v>0</v>
      </c>
      <c r="GG379">
        <v>0</v>
      </c>
      <c r="GH379">
        <v>0</v>
      </c>
      <c r="GI379">
        <v>0.1825834663058622</v>
      </c>
      <c r="GJ379"/>
      <c r="GK379">
        <v>0.92636387043226254</v>
      </c>
      <c r="GL379">
        <v>0.48079623401633714</v>
      </c>
      <c r="GM379">
        <v>0.31481419569717417</v>
      </c>
      <c r="GN379">
        <v>0.31481419569717417</v>
      </c>
      <c r="GO379">
        <v>0</v>
      </c>
      <c r="GP379">
        <v>0</v>
      </c>
      <c r="GQ379">
        <v>0</v>
      </c>
      <c r="GR379">
        <v>0</v>
      </c>
      <c r="GS379">
        <v>0</v>
      </c>
      <c r="GT379">
        <v>0.24823561322588733</v>
      </c>
      <c r="GU379"/>
      <c r="GV379"/>
      <c r="GW379"/>
      <c r="GX379"/>
      <c r="GY379"/>
      <c r="GZ379"/>
      <c r="HA379"/>
      <c r="HB379"/>
      <c r="HC379"/>
    </row>
    <row r="380" spans="1:211" s="7" customFormat="1">
      <c r="A380" s="77" t="s">
        <v>62</v>
      </c>
      <c r="B380" s="71">
        <f t="shared" si="372"/>
        <v>39910</v>
      </c>
      <c r="C380" s="18">
        <f t="shared" si="362"/>
        <v>1.0416666666666665</v>
      </c>
      <c r="D380" s="18">
        <f t="shared" si="363"/>
        <v>0.90739586192571098</v>
      </c>
      <c r="E380" s="19">
        <f t="shared" si="364"/>
        <v>0.87110002744868265</v>
      </c>
      <c r="F380" s="19">
        <f t="shared" si="370"/>
        <v>0.21710336652884685</v>
      </c>
      <c r="G380" s="18">
        <f>AVERAGE(E298:E307)*G$372</f>
        <v>0</v>
      </c>
      <c r="H380" s="18">
        <f t="shared" ref="H380:AK380" si="374">AVERAGE(F298:F307)*H$372</f>
        <v>0</v>
      </c>
      <c r="I380" s="18">
        <f t="shared" si="374"/>
        <v>0</v>
      </c>
      <c r="J380" s="18">
        <f t="shared" si="374"/>
        <v>0</v>
      </c>
      <c r="K380" s="18">
        <f t="shared" si="374"/>
        <v>0</v>
      </c>
      <c r="L380" s="18">
        <f t="shared" si="374"/>
        <v>0</v>
      </c>
      <c r="M380" s="18">
        <f t="shared" si="374"/>
        <v>0</v>
      </c>
      <c r="N380" s="18">
        <f t="shared" si="374"/>
        <v>0</v>
      </c>
      <c r="O380" s="18">
        <f t="shared" si="374"/>
        <v>0.90739586192571098</v>
      </c>
      <c r="P380" s="18">
        <f t="shared" si="374"/>
        <v>0</v>
      </c>
      <c r="Q380" s="18">
        <f t="shared" si="374"/>
        <v>0</v>
      </c>
      <c r="R380" s="18">
        <f t="shared" si="374"/>
        <v>0</v>
      </c>
      <c r="S380" s="18">
        <f t="shared" si="374"/>
        <v>0</v>
      </c>
      <c r="T380" s="18">
        <f t="shared" si="374"/>
        <v>0</v>
      </c>
      <c r="U380" s="18">
        <f t="shared" si="374"/>
        <v>0</v>
      </c>
      <c r="V380" s="18">
        <f t="shared" si="374"/>
        <v>0</v>
      </c>
      <c r="W380" s="18">
        <f t="shared" si="374"/>
        <v>0</v>
      </c>
      <c r="X380" s="18">
        <f t="shared" si="374"/>
        <v>0</v>
      </c>
      <c r="Y380" s="18">
        <f t="shared" si="374"/>
        <v>0</v>
      </c>
      <c r="Z380" s="18">
        <f t="shared" si="374"/>
        <v>0</v>
      </c>
      <c r="AA380" s="18">
        <f t="shared" si="374"/>
        <v>0</v>
      </c>
      <c r="AB380" s="18">
        <f t="shared" si="374"/>
        <v>0</v>
      </c>
      <c r="AC380" s="18">
        <f t="shared" si="374"/>
        <v>0</v>
      </c>
      <c r="AD380" s="18">
        <f t="shared" si="374"/>
        <v>0</v>
      </c>
      <c r="AE380" s="18">
        <f t="shared" si="374"/>
        <v>0</v>
      </c>
      <c r="AF380" s="18">
        <f t="shared" si="374"/>
        <v>0</v>
      </c>
      <c r="AG380" s="18">
        <f t="shared" si="374"/>
        <v>0</v>
      </c>
      <c r="AH380" s="18">
        <f t="shared" si="374"/>
        <v>0</v>
      </c>
      <c r="AI380" s="18">
        <f t="shared" si="374"/>
        <v>0</v>
      </c>
      <c r="AJ380" s="18">
        <f t="shared" si="374"/>
        <v>0</v>
      </c>
      <c r="AK380" s="18">
        <f t="shared" si="374"/>
        <v>0</v>
      </c>
      <c r="AL380" s="78"/>
      <c r="AM380" s="43">
        <v>364</v>
      </c>
      <c r="AN380">
        <v>1.8635416666666669</v>
      </c>
      <c r="AO380">
        <v>0.59371518621242436</v>
      </c>
      <c r="AP380">
        <v>23.850560196174701</v>
      </c>
      <c r="AQ380">
        <v>4.8410951743959387</v>
      </c>
      <c r="AR380">
        <v>0.55670944268696054</v>
      </c>
      <c r="AS380">
        <v>2.3465989058802483</v>
      </c>
      <c r="AT380" t="e">
        <v>#DIV/0!</v>
      </c>
      <c r="AU380" t="e">
        <v>#DIV/0!</v>
      </c>
      <c r="AV380"/>
      <c r="AW380"/>
      <c r="FY380" s="211">
        <v>375</v>
      </c>
      <c r="FZ380">
        <v>1.2170084900115092</v>
      </c>
      <c r="GA380">
        <v>0.47460065171768845</v>
      </c>
      <c r="GB380">
        <v>0</v>
      </c>
      <c r="GC380">
        <v>3.4819274958961192E-2</v>
      </c>
      <c r="GD380">
        <v>2.6724553773673727E-2</v>
      </c>
      <c r="GE380">
        <v>0</v>
      </c>
      <c r="GF380">
        <v>0</v>
      </c>
      <c r="GG380">
        <v>0</v>
      </c>
      <c r="GH380">
        <v>0</v>
      </c>
      <c r="GI380">
        <v>0.1955313403730867</v>
      </c>
      <c r="GJ380"/>
      <c r="GK380">
        <v>1.227809699629413</v>
      </c>
      <c r="GL380">
        <v>0.40705572478708768</v>
      </c>
      <c r="GM380">
        <v>0</v>
      </c>
      <c r="GN380">
        <v>0.10493806523239137</v>
      </c>
      <c r="GO380">
        <v>0.10493806523239137</v>
      </c>
      <c r="GP380">
        <v>0</v>
      </c>
      <c r="GQ380">
        <v>0</v>
      </c>
      <c r="GR380">
        <v>0</v>
      </c>
      <c r="GS380">
        <v>0</v>
      </c>
      <c r="GT380">
        <v>0.26654955297236088</v>
      </c>
      <c r="GU380"/>
      <c r="GV380"/>
      <c r="GW380"/>
      <c r="GX380"/>
      <c r="GY380"/>
      <c r="GZ380"/>
      <c r="HA380"/>
      <c r="HB380"/>
      <c r="HC380"/>
    </row>
    <row r="381" spans="1:211" s="7" customFormat="1">
      <c r="A381" s="1"/>
      <c r="B381" s="71">
        <f t="shared" si="372"/>
        <v>39949</v>
      </c>
      <c r="C381" s="18">
        <f t="shared" si="362"/>
        <v>0</v>
      </c>
      <c r="D381" s="18">
        <f t="shared" si="363"/>
        <v>0</v>
      </c>
      <c r="E381" s="19">
        <f t="shared" si="364"/>
        <v>9.9999999999999995E-7</v>
      </c>
      <c r="F381" s="19">
        <f t="shared" si="370"/>
        <v>0</v>
      </c>
      <c r="G381" s="18">
        <f>AVERAGE(E308:E317)*G$372</f>
        <v>0</v>
      </c>
      <c r="H381" s="18">
        <f t="shared" ref="H381:AK381" si="375">AVERAGE(F308:F317)*H$372</f>
        <v>0</v>
      </c>
      <c r="I381" s="18">
        <f t="shared" si="375"/>
        <v>0</v>
      </c>
      <c r="J381" s="18">
        <f t="shared" si="375"/>
        <v>0</v>
      </c>
      <c r="K381" s="18">
        <f t="shared" si="375"/>
        <v>0</v>
      </c>
      <c r="L381" s="18">
        <f t="shared" si="375"/>
        <v>0</v>
      </c>
      <c r="M381" s="18">
        <f t="shared" si="375"/>
        <v>0</v>
      </c>
      <c r="N381" s="18">
        <f t="shared" si="375"/>
        <v>0</v>
      </c>
      <c r="O381" s="18">
        <f t="shared" si="375"/>
        <v>0</v>
      </c>
      <c r="P381" s="18">
        <f t="shared" si="375"/>
        <v>0</v>
      </c>
      <c r="Q381" s="18">
        <f t="shared" si="375"/>
        <v>0</v>
      </c>
      <c r="R381" s="18">
        <f t="shared" si="375"/>
        <v>0</v>
      </c>
      <c r="S381" s="18">
        <f t="shared" si="375"/>
        <v>0</v>
      </c>
      <c r="T381" s="18">
        <f t="shared" si="375"/>
        <v>0</v>
      </c>
      <c r="U381" s="18">
        <f t="shared" si="375"/>
        <v>0</v>
      </c>
      <c r="V381" s="18">
        <f t="shared" si="375"/>
        <v>0</v>
      </c>
      <c r="W381" s="18">
        <f t="shared" si="375"/>
        <v>0</v>
      </c>
      <c r="X381" s="18">
        <f t="shared" si="375"/>
        <v>0</v>
      </c>
      <c r="Y381" s="18">
        <f t="shared" si="375"/>
        <v>0</v>
      </c>
      <c r="Z381" s="18">
        <f t="shared" si="375"/>
        <v>0</v>
      </c>
      <c r="AA381" s="18">
        <f t="shared" si="375"/>
        <v>0</v>
      </c>
      <c r="AB381" s="18">
        <f t="shared" si="375"/>
        <v>0</v>
      </c>
      <c r="AC381" s="18">
        <f t="shared" si="375"/>
        <v>0</v>
      </c>
      <c r="AD381" s="18">
        <f t="shared" si="375"/>
        <v>0</v>
      </c>
      <c r="AE381" s="18">
        <f t="shared" si="375"/>
        <v>0</v>
      </c>
      <c r="AF381" s="18">
        <f t="shared" si="375"/>
        <v>0</v>
      </c>
      <c r="AG381" s="18">
        <f t="shared" si="375"/>
        <v>0</v>
      </c>
      <c r="AH381" s="18">
        <f t="shared" si="375"/>
        <v>0</v>
      </c>
      <c r="AI381" s="18">
        <f t="shared" si="375"/>
        <v>0</v>
      </c>
      <c r="AJ381" s="18">
        <f t="shared" si="375"/>
        <v>0</v>
      </c>
      <c r="AK381" s="18">
        <f t="shared" si="375"/>
        <v>0</v>
      </c>
      <c r="AL381" s="78"/>
      <c r="AM381" s="43">
        <v>365</v>
      </c>
      <c r="AN381">
        <v>2.0531250000000005</v>
      </c>
      <c r="AO381">
        <v>0.30167440377434246</v>
      </c>
      <c r="AP381">
        <v>3.89049292395632</v>
      </c>
      <c r="AQ381">
        <v>2.5875445626947684</v>
      </c>
      <c r="AR381">
        <v>0.33488662915915934</v>
      </c>
      <c r="AS381">
        <v>1.7130678628283136</v>
      </c>
      <c r="AT381" t="e">
        <v>#DIV/0!</v>
      </c>
      <c r="AU381" t="e">
        <v>#DIV/0!</v>
      </c>
      <c r="AV381"/>
      <c r="AW381"/>
      <c r="FY381" s="211">
        <v>376</v>
      </c>
      <c r="FZ381">
        <v>1.9758570411215584</v>
      </c>
      <c r="GA381">
        <v>1.5494007103968472</v>
      </c>
      <c r="GB381">
        <v>0.204855832097669</v>
      </c>
      <c r="GC381">
        <v>0.11377737556984255</v>
      </c>
      <c r="GD381">
        <v>0</v>
      </c>
      <c r="GE381">
        <v>0</v>
      </c>
      <c r="GF381">
        <v>0.33021050058332063</v>
      </c>
      <c r="GG381">
        <v>0.29759236750664797</v>
      </c>
      <c r="GH381">
        <v>0</v>
      </c>
      <c r="GI381">
        <v>0.40678315006795718</v>
      </c>
      <c r="GJ381"/>
      <c r="GK381">
        <v>1.9922421942126305</v>
      </c>
      <c r="GL381">
        <v>1.3332608622313529</v>
      </c>
      <c r="GM381">
        <v>0.34079383167279126</v>
      </c>
      <c r="GN381">
        <v>0.34079383167279126</v>
      </c>
      <c r="GO381">
        <v>0</v>
      </c>
      <c r="GP381">
        <v>0</v>
      </c>
      <c r="GQ381">
        <v>0.45369793096285549</v>
      </c>
      <c r="GR381">
        <v>0.45369793096285549</v>
      </c>
      <c r="GS381">
        <v>0</v>
      </c>
      <c r="GT381">
        <v>0.55734679136965537</v>
      </c>
      <c r="GU381"/>
      <c r="GV381"/>
      <c r="GW381"/>
      <c r="GX381"/>
      <c r="GY381"/>
      <c r="GZ381"/>
      <c r="HA381"/>
      <c r="HB381"/>
      <c r="HC381"/>
    </row>
    <row r="382" spans="1:211" s="7" customFormat="1">
      <c r="A382" s="1"/>
      <c r="B382" s="71">
        <f t="shared" si="372"/>
        <v>39987</v>
      </c>
      <c r="C382" s="18">
        <f t="shared" si="362"/>
        <v>0</v>
      </c>
      <c r="D382" s="18">
        <f t="shared" si="363"/>
        <v>0</v>
      </c>
      <c r="E382" s="19">
        <f t="shared" si="364"/>
        <v>9.9999999999999995E-7</v>
      </c>
      <c r="F382" s="19">
        <f t="shared" si="370"/>
        <v>0</v>
      </c>
      <c r="G382" s="18">
        <f>AVERAGE(E318:E327)*G$372</f>
        <v>0</v>
      </c>
      <c r="H382" s="18">
        <f t="shared" ref="H382:AK382" si="376">AVERAGE(F318:F327)*H$372</f>
        <v>0</v>
      </c>
      <c r="I382" s="18">
        <f t="shared" si="376"/>
        <v>0</v>
      </c>
      <c r="J382" s="18">
        <f t="shared" si="376"/>
        <v>0</v>
      </c>
      <c r="K382" s="18">
        <f t="shared" si="376"/>
        <v>0</v>
      </c>
      <c r="L382" s="18">
        <f t="shared" si="376"/>
        <v>0</v>
      </c>
      <c r="M382" s="18">
        <f t="shared" si="376"/>
        <v>0</v>
      </c>
      <c r="N382" s="18">
        <f t="shared" si="376"/>
        <v>0</v>
      </c>
      <c r="O382" s="18">
        <f t="shared" si="376"/>
        <v>0</v>
      </c>
      <c r="P382" s="18">
        <f t="shared" si="376"/>
        <v>0</v>
      </c>
      <c r="Q382" s="18">
        <f t="shared" si="376"/>
        <v>0</v>
      </c>
      <c r="R382" s="18">
        <f t="shared" si="376"/>
        <v>0</v>
      </c>
      <c r="S382" s="18">
        <f t="shared" si="376"/>
        <v>0</v>
      </c>
      <c r="T382" s="18">
        <f t="shared" si="376"/>
        <v>0</v>
      </c>
      <c r="U382" s="18">
        <f t="shared" si="376"/>
        <v>0</v>
      </c>
      <c r="V382" s="18">
        <f t="shared" si="376"/>
        <v>0</v>
      </c>
      <c r="W382" s="18">
        <f t="shared" si="376"/>
        <v>0</v>
      </c>
      <c r="X382" s="18">
        <f t="shared" si="376"/>
        <v>0</v>
      </c>
      <c r="Y382" s="18">
        <f t="shared" si="376"/>
        <v>0</v>
      </c>
      <c r="Z382" s="18">
        <f t="shared" si="376"/>
        <v>0</v>
      </c>
      <c r="AA382" s="18">
        <f t="shared" si="376"/>
        <v>0</v>
      </c>
      <c r="AB382" s="18">
        <f t="shared" si="376"/>
        <v>0</v>
      </c>
      <c r="AC382" s="18">
        <f t="shared" si="376"/>
        <v>0</v>
      </c>
      <c r="AD382" s="18">
        <f t="shared" si="376"/>
        <v>0</v>
      </c>
      <c r="AE382" s="18">
        <f t="shared" si="376"/>
        <v>0</v>
      </c>
      <c r="AF382" s="18">
        <f t="shared" si="376"/>
        <v>0</v>
      </c>
      <c r="AG382" s="18">
        <f t="shared" si="376"/>
        <v>0</v>
      </c>
      <c r="AH382" s="18">
        <f t="shared" si="376"/>
        <v>0</v>
      </c>
      <c r="AI382" s="18">
        <f t="shared" si="376"/>
        <v>0</v>
      </c>
      <c r="AJ382" s="18">
        <f t="shared" si="376"/>
        <v>0</v>
      </c>
      <c r="AK382" s="18">
        <f t="shared" si="376"/>
        <v>0</v>
      </c>
      <c r="AL382" s="78"/>
      <c r="AM382" s="43">
        <v>366</v>
      </c>
      <c r="AN382">
        <v>2.7604166666666665</v>
      </c>
      <c r="AO382">
        <v>0.27098707024995061</v>
      </c>
      <c r="AP382">
        <v>9.8575816949197943</v>
      </c>
      <c r="AQ382">
        <v>1.9547453676940423</v>
      </c>
      <c r="AR382">
        <v>0.29031971423829056</v>
      </c>
      <c r="AS382">
        <v>1.7649715508559773</v>
      </c>
      <c r="AT382" t="e">
        <v>#DIV/0!</v>
      </c>
      <c r="AU382" t="e">
        <v>#DIV/0!</v>
      </c>
      <c r="AV382"/>
      <c r="AW382"/>
      <c r="FY382" s="211">
        <v>377</v>
      </c>
      <c r="FZ382">
        <v>1.6309636447468203</v>
      </c>
      <c r="GA382">
        <v>1.1620505327976354</v>
      </c>
      <c r="GB382">
        <v>0.12565184548559416</v>
      </c>
      <c r="GC382">
        <v>0.13927709983584477</v>
      </c>
      <c r="GD382">
        <v>5.3449107547347455E-2</v>
      </c>
      <c r="GE382">
        <v>0</v>
      </c>
      <c r="GF382">
        <v>0</v>
      </c>
      <c r="GG382">
        <v>0</v>
      </c>
      <c r="GH382">
        <v>0</v>
      </c>
      <c r="GI382">
        <v>0.30323140011293492</v>
      </c>
      <c r="GJ382"/>
      <c r="GK382">
        <v>1.6428260250086382</v>
      </c>
      <c r="GL382">
        <v>0.9999456466735146</v>
      </c>
      <c r="GM382">
        <v>0.20987613046478273</v>
      </c>
      <c r="GN382">
        <v>0.41975226092956547</v>
      </c>
      <c r="GO382">
        <v>0.20987613046478273</v>
      </c>
      <c r="GP382">
        <v>0</v>
      </c>
      <c r="GQ382">
        <v>0</v>
      </c>
      <c r="GR382">
        <v>0</v>
      </c>
      <c r="GS382">
        <v>0</v>
      </c>
      <c r="GT382">
        <v>0.41251565718764072</v>
      </c>
      <c r="GU382"/>
      <c r="GV382"/>
      <c r="GW382"/>
      <c r="GX382"/>
      <c r="GY382"/>
      <c r="GZ382"/>
      <c r="HA382"/>
      <c r="HB382"/>
      <c r="HC382"/>
    </row>
    <row r="383" spans="1:211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1.7979166666666664</v>
      </c>
      <c r="AO383">
        <v>0.38530024559475035</v>
      </c>
      <c r="AP383">
        <v>3.1634628052594751</v>
      </c>
      <c r="AQ383">
        <v>3.4538906046102844</v>
      </c>
      <c r="AR383">
        <v>0.46630288665090053</v>
      </c>
      <c r="AS383">
        <v>3.5988819802445677</v>
      </c>
      <c r="AT383" t="e">
        <v>#DIV/0!</v>
      </c>
      <c r="AU383" t="e">
        <v>#DIV/0!</v>
      </c>
      <c r="AV383"/>
      <c r="AW383"/>
      <c r="FY383" s="211">
        <v>378</v>
      </c>
      <c r="FZ383">
        <v>1.5371240178558458</v>
      </c>
      <c r="GA383">
        <v>0.9492013034353769</v>
      </c>
      <c r="GB383">
        <v>0.14202990935487192</v>
      </c>
      <c r="GC383">
        <v>0.11377737556984255</v>
      </c>
      <c r="GD383">
        <v>2.6724553773673727E-2</v>
      </c>
      <c r="GE383">
        <v>0</v>
      </c>
      <c r="GF383">
        <v>0.33021050058332063</v>
      </c>
      <c r="GG383">
        <v>0.29759236750664797</v>
      </c>
      <c r="GH383">
        <v>0</v>
      </c>
      <c r="GI383">
        <v>0.34194200004560471</v>
      </c>
      <c r="GJ383"/>
      <c r="GK383">
        <v>1.5470530096883579</v>
      </c>
      <c r="GL383">
        <v>0.81411144957417536</v>
      </c>
      <c r="GM383">
        <v>0.23585576644039991</v>
      </c>
      <c r="GN383">
        <v>0.34079383167279126</v>
      </c>
      <c r="GO383">
        <v>0.10493806523239137</v>
      </c>
      <c r="GP383">
        <v>0</v>
      </c>
      <c r="GQ383">
        <v>0.45369793096285549</v>
      </c>
      <c r="GR383">
        <v>0.45369793096285549</v>
      </c>
      <c r="GS383">
        <v>0</v>
      </c>
      <c r="GT383">
        <v>0.46830895446480097</v>
      </c>
      <c r="GU383"/>
      <c r="GV383"/>
      <c r="GW383"/>
      <c r="GX383"/>
      <c r="GY383"/>
      <c r="GZ383"/>
      <c r="HA383"/>
      <c r="HB383"/>
      <c r="HC383"/>
    </row>
    <row r="384" spans="1:211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3.5479166666666666</v>
      </c>
      <c r="AO384">
        <v>0.38625730000366776</v>
      </c>
      <c r="AP384">
        <v>10.629640742645933</v>
      </c>
      <c r="AQ384">
        <v>3.1438638238588918</v>
      </c>
      <c r="AR384">
        <v>0.40676906605769497</v>
      </c>
      <c r="AS384">
        <v>2.4223098850274334</v>
      </c>
      <c r="AT384" t="e">
        <v>#DIV/0!</v>
      </c>
      <c r="AU384" t="e">
        <v>#DIV/0!</v>
      </c>
      <c r="AV384"/>
      <c r="AW384"/>
      <c r="FY384" s="211">
        <v>379</v>
      </c>
      <c r="FZ384">
        <v>0.49686178962941774</v>
      </c>
      <c r="GA384">
        <v>0</v>
      </c>
      <c r="GB384">
        <v>7.9203986612074825E-2</v>
      </c>
      <c r="GC384">
        <v>4.4138825651920163E-2</v>
      </c>
      <c r="GD384">
        <v>0</v>
      </c>
      <c r="GE384">
        <v>0</v>
      </c>
      <c r="GF384">
        <v>0.33021050058332063</v>
      </c>
      <c r="GG384">
        <v>0.29759236750664797</v>
      </c>
      <c r="GH384">
        <v>0</v>
      </c>
      <c r="GI384">
        <v>0.15715630856875501</v>
      </c>
      <c r="GJ384"/>
      <c r="GK384">
        <v>0.4958357360588258</v>
      </c>
      <c r="GL384">
        <v>0</v>
      </c>
      <c r="GM384">
        <v>0.13091770120800852</v>
      </c>
      <c r="GN384">
        <v>0.13091770120800852</v>
      </c>
      <c r="GO384">
        <v>0</v>
      </c>
      <c r="GP384">
        <v>0</v>
      </c>
      <c r="GQ384">
        <v>0.45369793096285549</v>
      </c>
      <c r="GR384">
        <v>0.45369793096285549</v>
      </c>
      <c r="GS384">
        <v>0</v>
      </c>
      <c r="GT384">
        <v>0.21609027364593797</v>
      </c>
      <c r="GU384"/>
      <c r="GV384"/>
      <c r="GW384"/>
      <c r="GX384"/>
      <c r="GY384"/>
      <c r="GZ384"/>
      <c r="HA384"/>
      <c r="HB384"/>
      <c r="HC384"/>
    </row>
    <row r="385" spans="1:211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1.9947916666666661</v>
      </c>
      <c r="AO385">
        <v>0.32859521003099379</v>
      </c>
      <c r="AP385">
        <v>10.401955279054302</v>
      </c>
      <c r="AQ385">
        <v>2.4308223106513833</v>
      </c>
      <c r="AR385">
        <v>0.36088345745902534</v>
      </c>
      <c r="AS385">
        <v>1.6681659560543862</v>
      </c>
      <c r="AT385" t="e">
        <v>#DIV/0!</v>
      </c>
      <c r="AU385" t="e">
        <v>#DIV/0!</v>
      </c>
      <c r="AV385"/>
      <c r="AW385"/>
      <c r="FY385" s="211">
        <v>380</v>
      </c>
      <c r="FZ385">
        <v>1.2233316964521894</v>
      </c>
      <c r="GA385">
        <v>0.77470035519842362</v>
      </c>
      <c r="GB385">
        <v>0.15840797322414965</v>
      </c>
      <c r="GC385">
        <v>0.12309692626280153</v>
      </c>
      <c r="GD385">
        <v>2.6724553773673727E-2</v>
      </c>
      <c r="GE385">
        <v>0</v>
      </c>
      <c r="GF385">
        <v>0.33021050058332063</v>
      </c>
      <c r="GG385">
        <v>0.29759236750664797</v>
      </c>
      <c r="GH385">
        <v>0</v>
      </c>
      <c r="GI385">
        <v>0.29936858824465107</v>
      </c>
      <c r="GJ385"/>
      <c r="GK385">
        <v>1.2335215331706342</v>
      </c>
      <c r="GL385">
        <v>0.66663043111567644</v>
      </c>
      <c r="GM385">
        <v>0.26183540241601705</v>
      </c>
      <c r="GN385">
        <v>0.3667734676484084</v>
      </c>
      <c r="GO385">
        <v>0.10493806523239137</v>
      </c>
      <c r="GP385">
        <v>0</v>
      </c>
      <c r="GQ385">
        <v>0.45369793096285549</v>
      </c>
      <c r="GR385">
        <v>0.45369793096285549</v>
      </c>
      <c r="GS385">
        <v>0</v>
      </c>
      <c r="GT385">
        <v>0.41079858635637961</v>
      </c>
      <c r="GU385"/>
      <c r="GV385"/>
      <c r="GW385"/>
      <c r="GX385"/>
      <c r="GY385"/>
      <c r="GZ385"/>
      <c r="HA385"/>
      <c r="HB385"/>
      <c r="HC385"/>
    </row>
    <row r="386" spans="1:211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3.3499999999999992</v>
      </c>
      <c r="AO386">
        <v>0.37794329156869017</v>
      </c>
      <c r="AP386">
        <v>10.102126101336435</v>
      </c>
      <c r="AQ386">
        <v>3.4071200207891978</v>
      </c>
      <c r="AR386">
        <v>0.4011142449862467</v>
      </c>
      <c r="AS386">
        <v>2.1199173347813094</v>
      </c>
      <c r="AT386" t="e">
        <v>#DIV/0!</v>
      </c>
      <c r="AU386" t="e">
        <v>#DIV/0!</v>
      </c>
      <c r="AV386"/>
      <c r="AW386"/>
      <c r="FY386" s="211">
        <v>381</v>
      </c>
      <c r="FZ386">
        <v>1.2586208856200678</v>
      </c>
      <c r="GA386">
        <v>0.86195082931690026</v>
      </c>
      <c r="GB386">
        <v>6.282592274279708E-2</v>
      </c>
      <c r="GC386">
        <v>0.17409637479480597</v>
      </c>
      <c r="GD386">
        <v>0.10689821509469491</v>
      </c>
      <c r="GE386">
        <v>0</v>
      </c>
      <c r="GF386">
        <v>0.33021050058332063</v>
      </c>
      <c r="GG386">
        <v>0.29759236750664797</v>
      </c>
      <c r="GH386">
        <v>0</v>
      </c>
      <c r="GI386">
        <v>0.32760638729270797</v>
      </c>
      <c r="GJ386"/>
      <c r="GK386">
        <v>1.2692993089812119</v>
      </c>
      <c r="GL386">
        <v>0.7403709403449259</v>
      </c>
      <c r="GM386">
        <v>0.10493806523239137</v>
      </c>
      <c r="GN386">
        <v>0.52469032616195677</v>
      </c>
      <c r="GO386">
        <v>0.41975226092956547</v>
      </c>
      <c r="GP386">
        <v>0</v>
      </c>
      <c r="GQ386">
        <v>0.45369793096285549</v>
      </c>
      <c r="GR386">
        <v>0.45369793096285549</v>
      </c>
      <c r="GS386">
        <v>0</v>
      </c>
      <c r="GT386">
        <v>0.44953751322120483</v>
      </c>
      <c r="GU386"/>
      <c r="GV386"/>
      <c r="GW386"/>
      <c r="GX386"/>
      <c r="GY386"/>
      <c r="GZ386"/>
      <c r="HA386"/>
      <c r="HB386"/>
      <c r="HC386"/>
    </row>
    <row r="387" spans="1:211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3.1385416666666672</v>
      </c>
      <c r="AO387">
        <v>0.49864440668898347</v>
      </c>
      <c r="AP387">
        <v>17.936726973376814</v>
      </c>
      <c r="AQ387">
        <v>3.7038029000521382</v>
      </c>
      <c r="AR387">
        <v>0.50793033480170202</v>
      </c>
      <c r="AS387">
        <v>2.3322217650216794</v>
      </c>
      <c r="AT387" t="e">
        <v>#DIV/0!</v>
      </c>
      <c r="AU387" t="e">
        <v>#DIV/0!</v>
      </c>
      <c r="AV387"/>
      <c r="AW387"/>
      <c r="FY387" s="211">
        <v>382</v>
      </c>
      <c r="FZ387">
        <v>0.89317522500498336</v>
      </c>
      <c r="GA387">
        <v>0.47460065171768845</v>
      </c>
      <c r="GB387">
        <v>0.22123389596694673</v>
      </c>
      <c r="GC387">
        <v>0.1927354761807239</v>
      </c>
      <c r="GD387">
        <v>5.3449107547347455E-2</v>
      </c>
      <c r="GE387">
        <v>0</v>
      </c>
      <c r="GF387">
        <v>0.33021050058332063</v>
      </c>
      <c r="GG387">
        <v>0.29759236750664797</v>
      </c>
      <c r="GH387">
        <v>0</v>
      </c>
      <c r="GI387">
        <v>0.28155091604641153</v>
      </c>
      <c r="GJ387"/>
      <c r="GK387">
        <v>0.89641073019087081</v>
      </c>
      <c r="GL387">
        <v>0.40705572478708768</v>
      </c>
      <c r="GM387">
        <v>0.3667734676484084</v>
      </c>
      <c r="GN387">
        <v>0.57664959811319116</v>
      </c>
      <c r="GO387">
        <v>0.20987613046478273</v>
      </c>
      <c r="GP387">
        <v>0</v>
      </c>
      <c r="GQ387">
        <v>0.45369793096285549</v>
      </c>
      <c r="GR387">
        <v>0.45369793096285549</v>
      </c>
      <c r="GS387">
        <v>0</v>
      </c>
      <c r="GT387">
        <v>0.38535165185338349</v>
      </c>
      <c r="GU387"/>
      <c r="GV387"/>
      <c r="GW387"/>
      <c r="GX387"/>
      <c r="GY387"/>
      <c r="GZ387"/>
      <c r="HA387"/>
      <c r="HB387"/>
      <c r="HC387"/>
    </row>
    <row r="388" spans="1:211" s="7" customFormat="1">
      <c r="A388" s="1"/>
      <c r="B388" s="13"/>
      <c r="C388" s="21"/>
      <c r="D388" s="96"/>
      <c r="E388" s="3"/>
      <c r="F388" s="19">
        <f t="shared" ref="F388:F398" si="377">IF(C374&lt;1,0,LN(E374/E373)/E21)</f>
        <v>6.2669542536214734E-2</v>
      </c>
      <c r="G388" s="13"/>
      <c r="H388" s="19">
        <f>IF(G406&lt;0,0,G406)</f>
        <v>8.8969699779377076E-3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2.0708333333333329</v>
      </c>
      <c r="AO388">
        <v>0.22298215856124415</v>
      </c>
      <c r="AP388">
        <v>3.4920685716369091</v>
      </c>
      <c r="AQ388">
        <v>2.0787702757292674</v>
      </c>
      <c r="AR388">
        <v>0.29859471747036864</v>
      </c>
      <c r="AS388">
        <v>1.6666848635899434</v>
      </c>
      <c r="AT388" t="e">
        <v>#DIV/0!</v>
      </c>
      <c r="AU388" t="e">
        <v>#DIV/0!</v>
      </c>
      <c r="AV388"/>
      <c r="AW388"/>
      <c r="FY388" s="211">
        <v>383</v>
      </c>
      <c r="FZ388">
        <v>1.1184296412542256</v>
      </c>
      <c r="GA388">
        <v>0.47460065171768845</v>
      </c>
      <c r="GB388">
        <v>6.282592274279708E-2</v>
      </c>
      <c r="GC388">
        <v>3.4819274958961192E-2</v>
      </c>
      <c r="GD388">
        <v>0</v>
      </c>
      <c r="GE388">
        <v>0</v>
      </c>
      <c r="GF388">
        <v>0.99063150174996206</v>
      </c>
      <c r="GG388">
        <v>0.89277710251994391</v>
      </c>
      <c r="GH388">
        <v>0</v>
      </c>
      <c r="GI388">
        <v>0.37329812954722186</v>
      </c>
      <c r="GJ388"/>
      <c r="GK388">
        <v>1.1238963312551165</v>
      </c>
      <c r="GL388">
        <v>0.40705572478708768</v>
      </c>
      <c r="GM388">
        <v>0.10493806523239137</v>
      </c>
      <c r="GN388">
        <v>0.10493806523239137</v>
      </c>
      <c r="GO388">
        <v>0</v>
      </c>
      <c r="GP388">
        <v>0</v>
      </c>
      <c r="GQ388">
        <v>1.3610937928885667</v>
      </c>
      <c r="GR388">
        <v>1.3610937928885667</v>
      </c>
      <c r="GS388">
        <v>0</v>
      </c>
      <c r="GT388">
        <v>0.51798563787521479</v>
      </c>
      <c r="GU388"/>
      <c r="GV388"/>
      <c r="GW388"/>
      <c r="GX388"/>
      <c r="GY388"/>
      <c r="GZ388"/>
      <c r="HA388"/>
      <c r="HB388"/>
      <c r="HC388"/>
    </row>
    <row r="389" spans="1:211" s="7" customFormat="1">
      <c r="A389" s="1"/>
      <c r="B389" s="13"/>
      <c r="C389" s="21"/>
      <c r="D389" s="96"/>
      <c r="E389" s="3"/>
      <c r="F389" s="19">
        <f t="shared" si="377"/>
        <v>0</v>
      </c>
      <c r="G389" s="13"/>
      <c r="H389" s="19" t="e">
        <f t="shared" ref="H389:H398" si="378">IF(G407&lt;0,0,G407)</f>
        <v>#DIV/0!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2.8208333333333337</v>
      </c>
      <c r="AO389">
        <v>0.21731868745861113</v>
      </c>
      <c r="AP389">
        <v>4.6722911777141372</v>
      </c>
      <c r="AQ389">
        <v>1.8923038861532298</v>
      </c>
      <c r="AR389">
        <v>0.25071595789716777</v>
      </c>
      <c r="AS389">
        <v>1.5042034040283871</v>
      </c>
      <c r="AT389" t="e">
        <v>#DIV/0!</v>
      </c>
      <c r="AU389" t="e">
        <v>#DIV/0!</v>
      </c>
      <c r="AV389"/>
      <c r="AW389"/>
      <c r="FY389" s="211">
        <v>384</v>
      </c>
      <c r="FZ389">
        <v>0.74431865406854703</v>
      </c>
      <c r="GA389">
        <v>0.17450094823695328</v>
      </c>
      <c r="GB389">
        <v>6.282592274279708E-2</v>
      </c>
      <c r="GC389">
        <v>6.9638549917922385E-2</v>
      </c>
      <c r="GD389">
        <v>2.6724553773673727E-2</v>
      </c>
      <c r="GE389">
        <v>0</v>
      </c>
      <c r="GF389">
        <v>0</v>
      </c>
      <c r="GG389">
        <v>0</v>
      </c>
      <c r="GH389">
        <v>0</v>
      </c>
      <c r="GI389">
        <v>0.14119885464330981</v>
      </c>
      <c r="GJ389"/>
      <c r="GK389">
        <v>0.74580214843281523</v>
      </c>
      <c r="GL389">
        <v>0.14748101845849892</v>
      </c>
      <c r="GM389">
        <v>0.10493806523239137</v>
      </c>
      <c r="GN389">
        <v>0.20987613046478273</v>
      </c>
      <c r="GO389">
        <v>0.10493806523239137</v>
      </c>
      <c r="GP389">
        <v>0</v>
      </c>
      <c r="GQ389">
        <v>0</v>
      </c>
      <c r="GR389">
        <v>0</v>
      </c>
      <c r="GS389">
        <v>0</v>
      </c>
      <c r="GT389">
        <v>0.1911356557795196</v>
      </c>
      <c r="GU389"/>
      <c r="GV389"/>
      <c r="GW389"/>
      <c r="GX389"/>
      <c r="GY389"/>
      <c r="GZ389"/>
      <c r="HA389"/>
      <c r="HB389"/>
      <c r="HC389"/>
    </row>
    <row r="390" spans="1:211" s="7" customFormat="1">
      <c r="A390" s="1"/>
      <c r="B390" s="13"/>
      <c r="C390" s="21"/>
      <c r="D390" s="96"/>
      <c r="E390" s="3"/>
      <c r="F390" s="19">
        <f t="shared" si="377"/>
        <v>0.34904117042039767</v>
      </c>
      <c r="G390" s="13"/>
      <c r="H390" s="19">
        <f t="shared" si="378"/>
        <v>0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1.6958333333333333</v>
      </c>
      <c r="AO390">
        <v>0.22850241090688353</v>
      </c>
      <c r="AP390">
        <v>4.508366357277767</v>
      </c>
      <c r="AQ390">
        <v>1.9575432271389812</v>
      </c>
      <c r="AR390">
        <v>0.24823561322588733</v>
      </c>
      <c r="AS390">
        <v>1.4400255888220705</v>
      </c>
      <c r="AT390" t="e">
        <v>#DIV/0!</v>
      </c>
      <c r="AU390" t="e">
        <v>#DIV/0!</v>
      </c>
      <c r="AV390"/>
      <c r="AW390"/>
      <c r="FY390" s="211">
        <v>385</v>
      </c>
      <c r="FZ390">
        <v>0.82701826107662391</v>
      </c>
      <c r="GA390">
        <v>0.38735017759921181</v>
      </c>
      <c r="GB390">
        <v>7.9203986612074825E-2</v>
      </c>
      <c r="GC390">
        <v>4.4138825651920163E-2</v>
      </c>
      <c r="GD390">
        <v>0</v>
      </c>
      <c r="GE390">
        <v>0</v>
      </c>
      <c r="GF390">
        <v>0.99063150174996206</v>
      </c>
      <c r="GG390">
        <v>0.89277710251994391</v>
      </c>
      <c r="GH390">
        <v>0</v>
      </c>
      <c r="GI390">
        <v>0.33403623804073151</v>
      </c>
      <c r="GJ390"/>
      <c r="GK390">
        <v>0.8329465390385894</v>
      </c>
      <c r="GL390">
        <v>0.33331521555783822</v>
      </c>
      <c r="GM390">
        <v>0.13091770120800852</v>
      </c>
      <c r="GN390">
        <v>0.13091770120800852</v>
      </c>
      <c r="GO390">
        <v>0</v>
      </c>
      <c r="GP390">
        <v>0</v>
      </c>
      <c r="GQ390">
        <v>1.3610937928885667</v>
      </c>
      <c r="GR390">
        <v>1.3610937928885667</v>
      </c>
      <c r="GS390">
        <v>0</v>
      </c>
      <c r="GT390">
        <v>0.46499160662703287</v>
      </c>
      <c r="GU390"/>
      <c r="GV390"/>
      <c r="GW390"/>
      <c r="GX390"/>
      <c r="GY390"/>
      <c r="GZ390"/>
      <c r="HA390"/>
      <c r="HB390"/>
      <c r="HC390"/>
    </row>
    <row r="391" spans="1:211" s="7" customFormat="1">
      <c r="A391" s="1"/>
      <c r="B391" s="13"/>
      <c r="C391" s="21"/>
      <c r="D391" s="96"/>
      <c r="E391" s="3"/>
      <c r="F391" s="19">
        <f t="shared" si="377"/>
        <v>2.4824720083705835E-2</v>
      </c>
      <c r="G391" s="13"/>
      <c r="H391" s="19">
        <f t="shared" si="378"/>
        <v>0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2.0499999999999998</v>
      </c>
      <c r="AO391">
        <v>0.21112911078536442</v>
      </c>
      <c r="AP391">
        <v>2.6835437866186584</v>
      </c>
      <c r="AQ391">
        <v>1.9486843108349192</v>
      </c>
      <c r="AR391">
        <v>0.26654955297236094</v>
      </c>
      <c r="AS391">
        <v>1.4326408146904341</v>
      </c>
      <c r="AT391" t="e">
        <v>#DIV/0!</v>
      </c>
      <c r="AU391" t="e">
        <v>#DIV/0!</v>
      </c>
      <c r="AV391"/>
      <c r="AW391"/>
      <c r="FY391" s="211">
        <v>386</v>
      </c>
      <c r="FZ391">
        <v>0.7554372292060354</v>
      </c>
      <c r="GA391">
        <v>0.38735017759921181</v>
      </c>
      <c r="GB391">
        <v>0.204855832097669</v>
      </c>
      <c r="GC391">
        <v>0.18341592548776492</v>
      </c>
      <c r="GD391">
        <v>5.3449107547347455E-2</v>
      </c>
      <c r="GE391">
        <v>0</v>
      </c>
      <c r="GF391">
        <v>0.99063150174996206</v>
      </c>
      <c r="GG391">
        <v>0.89277710251994391</v>
      </c>
      <c r="GH391">
        <v>0</v>
      </c>
      <c r="GI391">
        <v>0.38532595808959441</v>
      </c>
      <c r="GJ391"/>
      <c r="GK391">
        <v>0.75898631090568425</v>
      </c>
      <c r="GL391">
        <v>0.33331521555783822</v>
      </c>
      <c r="GM391">
        <v>0.34079383167279126</v>
      </c>
      <c r="GN391">
        <v>0.55066996213757402</v>
      </c>
      <c r="GO391">
        <v>0.20987613046478273</v>
      </c>
      <c r="GP391">
        <v>0</v>
      </c>
      <c r="GQ391">
        <v>1.3610937928885667</v>
      </c>
      <c r="GR391">
        <v>1.3610937928885667</v>
      </c>
      <c r="GS391">
        <v>0</v>
      </c>
      <c r="GT391">
        <v>0.53415001318636501</v>
      </c>
      <c r="GU391"/>
      <c r="GV391"/>
      <c r="GW391"/>
      <c r="GX391"/>
      <c r="GY391"/>
      <c r="GZ391"/>
      <c r="HA391"/>
      <c r="HB391"/>
      <c r="HC391"/>
    </row>
    <row r="392" spans="1:211" s="7" customFormat="1">
      <c r="A392" s="1"/>
      <c r="B392" s="13"/>
      <c r="C392" s="21"/>
      <c r="D392" s="96"/>
      <c r="E392" s="3"/>
      <c r="F392" s="19">
        <f t="shared" si="377"/>
        <v>0</v>
      </c>
      <c r="G392" s="13"/>
      <c r="H392" s="19" t="e">
        <f t="shared" si="378"/>
        <v>#DIV/0!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3.0177083333333328</v>
      </c>
      <c r="AO392">
        <v>0.54718333730849311</v>
      </c>
      <c r="AP392">
        <v>14.140412367141696</v>
      </c>
      <c r="AQ392">
        <v>4.8784769773438432</v>
      </c>
      <c r="AR392">
        <v>0.55734679136965537</v>
      </c>
      <c r="AS392">
        <v>3.09190253326986</v>
      </c>
      <c r="AT392" t="e">
        <v>#DIV/0!</v>
      </c>
      <c r="AU392" t="e">
        <v>#DIV/0!</v>
      </c>
      <c r="AV392"/>
      <c r="AW392"/>
      <c r="FY392" s="211">
        <v>387</v>
      </c>
      <c r="FZ392">
        <v>1.3057205861058072</v>
      </c>
      <c r="GA392">
        <v>0.86195082931690026</v>
      </c>
      <c r="GB392">
        <v>0.15840797322414965</v>
      </c>
      <c r="GC392">
        <v>0.12309692626280153</v>
      </c>
      <c r="GD392">
        <v>2.6724553773673727E-2</v>
      </c>
      <c r="GE392">
        <v>0</v>
      </c>
      <c r="GF392">
        <v>0</v>
      </c>
      <c r="GG392">
        <v>0</v>
      </c>
      <c r="GH392">
        <v>0</v>
      </c>
      <c r="GI392">
        <v>0.24742328564504565</v>
      </c>
      <c r="GJ392"/>
      <c r="GK392">
        <v>1.3187466160320023</v>
      </c>
      <c r="GL392">
        <v>0.7403709403449259</v>
      </c>
      <c r="GM392">
        <v>0.26183540241601705</v>
      </c>
      <c r="GN392">
        <v>0.3667734676484084</v>
      </c>
      <c r="GO392">
        <v>0.10493806523239137</v>
      </c>
      <c r="GP392">
        <v>0</v>
      </c>
      <c r="GQ392">
        <v>0</v>
      </c>
      <c r="GR392">
        <v>0</v>
      </c>
      <c r="GS392">
        <v>0</v>
      </c>
      <c r="GT392">
        <v>0.33710401673608215</v>
      </c>
      <c r="GU392"/>
      <c r="GV392"/>
      <c r="GW392"/>
      <c r="GX392"/>
      <c r="GY392"/>
      <c r="GZ392"/>
      <c r="HA392"/>
      <c r="HB392"/>
      <c r="HC392"/>
    </row>
    <row r="393" spans="1:211" s="7" customFormat="1">
      <c r="A393" s="1"/>
      <c r="B393" s="13"/>
      <c r="C393" s="21"/>
      <c r="D393" s="96"/>
      <c r="E393" s="3"/>
      <c r="F393" s="19">
        <f t="shared" si="377"/>
        <v>0</v>
      </c>
      <c r="G393" s="13"/>
      <c r="H393" s="19" t="e">
        <f t="shared" si="378"/>
        <v>#DIV/0!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2.9520833333333334</v>
      </c>
      <c r="AO393">
        <v>0.38947918507289248</v>
      </c>
      <c r="AP393">
        <v>6.1061329472486587</v>
      </c>
      <c r="AQ393">
        <v>3.4146236305261772</v>
      </c>
      <c r="AR393">
        <v>0.41251565718764072</v>
      </c>
      <c r="AS393">
        <v>2.3778087615598706</v>
      </c>
      <c r="AT393" t="e">
        <v>#DIV/0!</v>
      </c>
      <c r="AU393" t="e">
        <v>#DIV/0!</v>
      </c>
      <c r="AV393"/>
      <c r="AW393"/>
      <c r="FY393" s="211">
        <v>388</v>
      </c>
      <c r="FZ393">
        <v>0.39897074938827159</v>
      </c>
      <c r="GA393">
        <v>8.725047411847664E-2</v>
      </c>
      <c r="GB393">
        <v>0.14202990935487192</v>
      </c>
      <c r="GC393">
        <v>0.11377737556984255</v>
      </c>
      <c r="GD393">
        <v>2.6724553773673727E-2</v>
      </c>
      <c r="GE393">
        <v>0</v>
      </c>
      <c r="GF393">
        <v>0.33021050058332063</v>
      </c>
      <c r="GG393">
        <v>0.29759236750664797</v>
      </c>
      <c r="GH393">
        <v>0</v>
      </c>
      <c r="GI393">
        <v>0.17355194054467118</v>
      </c>
      <c r="GJ393"/>
      <c r="GK393">
        <v>0.39825331212895837</v>
      </c>
      <c r="GL393">
        <v>7.3740509229249462E-2</v>
      </c>
      <c r="GM393">
        <v>0.23585576644039991</v>
      </c>
      <c r="GN393">
        <v>0.34079383167279126</v>
      </c>
      <c r="GO393">
        <v>0.10493806523239137</v>
      </c>
      <c r="GP393">
        <v>0</v>
      </c>
      <c r="GQ393">
        <v>0.45369793096285549</v>
      </c>
      <c r="GR393">
        <v>0.45369793096285549</v>
      </c>
      <c r="GS393">
        <v>0</v>
      </c>
      <c r="GT393">
        <v>0.23854901495292102</v>
      </c>
      <c r="GU393"/>
      <c r="GV393"/>
      <c r="GW393"/>
      <c r="GX393"/>
      <c r="GY393"/>
      <c r="GZ393"/>
      <c r="HA393"/>
      <c r="HB393"/>
      <c r="HC393"/>
    </row>
    <row r="394" spans="1:211" s="7" customFormat="1">
      <c r="A394" s="1"/>
      <c r="B394" s="13"/>
      <c r="C394" s="21"/>
      <c r="D394" s="96"/>
      <c r="E394" s="3"/>
      <c r="F394" s="19">
        <f t="shared" si="377"/>
        <v>0.21710336652884685</v>
      </c>
      <c r="G394" s="13"/>
      <c r="H394" s="19">
        <f t="shared" si="378"/>
        <v>0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3.2510416666666666</v>
      </c>
      <c r="AO394">
        <v>0.44184569389986272</v>
      </c>
      <c r="AP394">
        <v>11.312483304523766</v>
      </c>
      <c r="AQ394">
        <v>3.7386020281251846</v>
      </c>
      <c r="AR394">
        <v>0.46830895446480092</v>
      </c>
      <c r="AS394">
        <v>2.547402703310794</v>
      </c>
      <c r="AT394" t="e">
        <v>#DIV/0!</v>
      </c>
      <c r="AU394" t="e">
        <v>#DIV/0!</v>
      </c>
      <c r="AV394"/>
      <c r="AW394"/>
      <c r="FY394" s="211">
        <v>389</v>
      </c>
      <c r="FZ394">
        <v>0.47846902481858289</v>
      </c>
      <c r="GA394">
        <v>0</v>
      </c>
      <c r="GB394">
        <v>0.36326380532181862</v>
      </c>
      <c r="GC394">
        <v>0.30651285175056647</v>
      </c>
      <c r="GD394">
        <v>8.0173661321021189E-2</v>
      </c>
      <c r="GE394">
        <v>0</v>
      </c>
      <c r="GF394">
        <v>0.66042100116664126</v>
      </c>
      <c r="GG394">
        <v>0.59518473501329594</v>
      </c>
      <c r="GH394">
        <v>0</v>
      </c>
      <c r="GI394">
        <v>0.33459426797433994</v>
      </c>
      <c r="GJ394"/>
      <c r="GK394">
        <v>0.47760179964884836</v>
      </c>
      <c r="GL394">
        <v>0</v>
      </c>
      <c r="GM394">
        <v>0.60262923408880831</v>
      </c>
      <c r="GN394">
        <v>0.91744342978598237</v>
      </c>
      <c r="GO394">
        <v>0.31481419569717417</v>
      </c>
      <c r="GP394">
        <v>0</v>
      </c>
      <c r="GQ394">
        <v>0.90739586192571098</v>
      </c>
      <c r="GR394">
        <v>0.90739586192571098</v>
      </c>
      <c r="GS394">
        <v>0</v>
      </c>
      <c r="GT394">
        <v>0.46048821827210829</v>
      </c>
      <c r="GU394"/>
      <c r="GV394"/>
      <c r="GW394"/>
      <c r="GX394"/>
      <c r="GY394"/>
      <c r="GZ394"/>
      <c r="HA394"/>
      <c r="HB394"/>
      <c r="HC394"/>
    </row>
    <row r="395" spans="1:211" s="7" customFormat="1">
      <c r="A395" s="1"/>
      <c r="B395" s="13"/>
      <c r="C395" s="21"/>
      <c r="D395" s="96"/>
      <c r="E395" s="3"/>
      <c r="F395" s="19">
        <f t="shared" si="377"/>
        <v>0</v>
      </c>
      <c r="G395" s="13"/>
      <c r="H395" s="19" t="e">
        <f t="shared" si="378"/>
        <v>#DIV/0!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1.7135416666666667</v>
      </c>
      <c r="AO395">
        <v>0.18811572740464916</v>
      </c>
      <c r="AP395">
        <v>7.7134159692770314</v>
      </c>
      <c r="AQ395">
        <v>1.4051637785521365</v>
      </c>
      <c r="AR395">
        <v>0.21609027364593797</v>
      </c>
      <c r="AS395">
        <v>1.5132346316149128</v>
      </c>
      <c r="AT395" t="e">
        <v>#DIV/0!</v>
      </c>
      <c r="AU395" t="e">
        <v>#DIV/0!</v>
      </c>
      <c r="AV395"/>
      <c r="AW395"/>
      <c r="FY395" s="211">
        <v>390</v>
      </c>
      <c r="FZ395">
        <v>0.99206909321301051</v>
      </c>
      <c r="GA395">
        <v>0.38735017759921181</v>
      </c>
      <c r="GB395">
        <v>0.14202990935487192</v>
      </c>
      <c r="GC395">
        <v>0.14859665052880375</v>
      </c>
      <c r="GD395">
        <v>5.3449107547347455E-2</v>
      </c>
      <c r="GE395">
        <v>0</v>
      </c>
      <c r="GF395">
        <v>0</v>
      </c>
      <c r="GG395">
        <v>0</v>
      </c>
      <c r="GH395">
        <v>0</v>
      </c>
      <c r="GI395">
        <v>0.2126683133562568</v>
      </c>
      <c r="GJ395"/>
      <c r="GK395">
        <v>0.99745323835191513</v>
      </c>
      <c r="GL395">
        <v>0.33331521555783822</v>
      </c>
      <c r="GM395">
        <v>0.23585576644039991</v>
      </c>
      <c r="GN395">
        <v>0.44573189690518267</v>
      </c>
      <c r="GO395">
        <v>0.20987613046478273</v>
      </c>
      <c r="GP395">
        <v>0</v>
      </c>
      <c r="GQ395">
        <v>0</v>
      </c>
      <c r="GR395">
        <v>0</v>
      </c>
      <c r="GS395">
        <v>0</v>
      </c>
      <c r="GT395">
        <v>0.28863702705141953</v>
      </c>
      <c r="GU395"/>
      <c r="GV395"/>
      <c r="GW395"/>
      <c r="GX395"/>
      <c r="GY395"/>
      <c r="GZ395"/>
      <c r="HA395"/>
      <c r="HB395"/>
      <c r="HC395"/>
    </row>
    <row r="396" spans="1:211" s="7" customFormat="1">
      <c r="A396" s="1"/>
      <c r="B396" s="13"/>
      <c r="C396" s="21"/>
      <c r="D396" s="96"/>
      <c r="E396" s="3"/>
      <c r="F396" s="19">
        <f t="shared" si="377"/>
        <v>0</v>
      </c>
      <c r="G396" s="13"/>
      <c r="H396" s="19" t="e">
        <f t="shared" si="378"/>
        <v>#DIV/0!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2.8395833333333331</v>
      </c>
      <c r="AO396">
        <v>0.39518933478652174</v>
      </c>
      <c r="AP396">
        <v>12.115102217000702</v>
      </c>
      <c r="AQ396">
        <v>3.2334329612458577</v>
      </c>
      <c r="AR396">
        <v>0.41079858635637961</v>
      </c>
      <c r="AS396">
        <v>2.030414364913443</v>
      </c>
      <c r="AT396" t="e">
        <v>#DIV/0!</v>
      </c>
      <c r="AU396" t="e">
        <v>#DIV/0!</v>
      </c>
      <c r="AV396"/>
      <c r="AW396"/>
      <c r="FY396" s="211">
        <v>391</v>
      </c>
      <c r="FZ396">
        <v>1.4654653944093501</v>
      </c>
      <c r="GA396">
        <v>0.77470035519842362</v>
      </c>
      <c r="GB396">
        <v>0.15840797322414965</v>
      </c>
      <c r="GC396">
        <v>8.8277651303840327E-2</v>
      </c>
      <c r="GD396">
        <v>0</v>
      </c>
      <c r="GE396">
        <v>0</v>
      </c>
      <c r="GF396">
        <v>0</v>
      </c>
      <c r="GG396">
        <v>0</v>
      </c>
      <c r="GH396">
        <v>0</v>
      </c>
      <c r="GI396">
        <v>0.25564949345890464</v>
      </c>
      <c r="GJ396"/>
      <c r="GK396">
        <v>1.4783163434361843</v>
      </c>
      <c r="GL396">
        <v>0.66663043111567644</v>
      </c>
      <c r="GM396">
        <v>0.26183540241601705</v>
      </c>
      <c r="GN396">
        <v>0.26183540241601705</v>
      </c>
      <c r="GO396">
        <v>0</v>
      </c>
      <c r="GP396">
        <v>0</v>
      </c>
      <c r="GQ396">
        <v>0</v>
      </c>
      <c r="GR396">
        <v>0</v>
      </c>
      <c r="GS396">
        <v>0</v>
      </c>
      <c r="GT396">
        <v>0.34803034917044029</v>
      </c>
      <c r="GU396"/>
      <c r="GV396"/>
      <c r="GW396"/>
      <c r="GX396"/>
      <c r="GY396"/>
      <c r="GZ396"/>
      <c r="HA396"/>
      <c r="HB396"/>
      <c r="HC396"/>
    </row>
    <row r="397" spans="1:211" s="7" customFormat="1">
      <c r="A397" s="1"/>
      <c r="B397" s="13"/>
      <c r="C397" s="21"/>
      <c r="D397" s="96"/>
      <c r="E397" s="3"/>
      <c r="F397" s="19">
        <f t="shared" si="377"/>
        <v>0</v>
      </c>
      <c r="G397" s="13"/>
      <c r="H397" s="19">
        <f t="shared" si="378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2.0791666666666662</v>
      </c>
      <c r="AO397">
        <v>0.44159842767969665</v>
      </c>
      <c r="AP397">
        <v>8.8813618954889009</v>
      </c>
      <c r="AQ397">
        <v>3.419801482951943</v>
      </c>
      <c r="AR397">
        <v>0.44953751322120489</v>
      </c>
      <c r="AS397">
        <v>2.1235437460140947</v>
      </c>
      <c r="AT397" t="e">
        <v>#DIV/0!</v>
      </c>
      <c r="AU397" t="e">
        <v>#DIV/0!</v>
      </c>
      <c r="AV397"/>
      <c r="AW397"/>
      <c r="FY397" s="211">
        <v>392</v>
      </c>
      <c r="FZ397">
        <v>1.0814313332981382</v>
      </c>
      <c r="GA397">
        <v>0.47460065171768845</v>
      </c>
      <c r="GB397">
        <v>0.28405981870974384</v>
      </c>
      <c r="GC397">
        <v>0.1927354761807239</v>
      </c>
      <c r="GD397">
        <v>2.6724553773673727E-2</v>
      </c>
      <c r="GE397">
        <v>0</v>
      </c>
      <c r="GF397">
        <v>0.66042100116664126</v>
      </c>
      <c r="GG397">
        <v>0.59518473501329594</v>
      </c>
      <c r="GH397">
        <v>0</v>
      </c>
      <c r="GI397">
        <v>0.3734644529785327</v>
      </c>
      <c r="GJ397"/>
      <c r="GK397">
        <v>1.0868583250451174</v>
      </c>
      <c r="GL397">
        <v>0.40705572478708768</v>
      </c>
      <c r="GM397">
        <v>0.47171153288079981</v>
      </c>
      <c r="GN397">
        <v>0.57664959811319116</v>
      </c>
      <c r="GO397">
        <v>0.10493806523239137</v>
      </c>
      <c r="GP397">
        <v>0</v>
      </c>
      <c r="GQ397">
        <v>0.90739586192571098</v>
      </c>
      <c r="GR397">
        <v>0.90739586192571098</v>
      </c>
      <c r="GS397">
        <v>0</v>
      </c>
      <c r="GT397">
        <v>0.51418075701680388</v>
      </c>
      <c r="GU397"/>
      <c r="GV397"/>
      <c r="GW397"/>
      <c r="GX397"/>
      <c r="GY397"/>
      <c r="GZ397"/>
      <c r="HA397"/>
      <c r="HB397"/>
      <c r="HC397"/>
    </row>
    <row r="398" spans="1:211" s="7" customFormat="1">
      <c r="A398" s="1"/>
      <c r="B398" s="13"/>
      <c r="C398" s="21"/>
      <c r="D398" s="96"/>
      <c r="E398" s="3"/>
      <c r="F398" s="19">
        <f t="shared" si="377"/>
        <v>0</v>
      </c>
      <c r="G398" s="13"/>
      <c r="H398" s="19">
        <f t="shared" si="378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3.0291666666666668</v>
      </c>
      <c r="AO398">
        <v>0.37495131649834351</v>
      </c>
      <c r="AP398">
        <v>12.322104791484049</v>
      </c>
      <c r="AQ398">
        <v>2.7445481405540697</v>
      </c>
      <c r="AR398">
        <v>0.38535165185338355</v>
      </c>
      <c r="AS398">
        <v>2.1571604304976049</v>
      </c>
      <c r="AT398" t="e">
        <v>#DIV/0!</v>
      </c>
      <c r="AU398" t="e">
        <v>#DIV/0!</v>
      </c>
      <c r="AV398"/>
      <c r="AW398"/>
      <c r="FY398" s="211">
        <v>393</v>
      </c>
      <c r="FZ398">
        <v>1.2877651869513842</v>
      </c>
      <c r="GA398">
        <v>0.47460065171768845</v>
      </c>
      <c r="GB398">
        <v>0</v>
      </c>
      <c r="GC398">
        <v>6.9638549917922385E-2</v>
      </c>
      <c r="GD398">
        <v>5.3449107547347455E-2</v>
      </c>
      <c r="GE398">
        <v>0</v>
      </c>
      <c r="GF398">
        <v>0</v>
      </c>
      <c r="GG398">
        <v>0</v>
      </c>
      <c r="GH398">
        <v>0</v>
      </c>
      <c r="GI398">
        <v>0.22148137833334652</v>
      </c>
      <c r="GJ398"/>
      <c r="GK398">
        <v>1.2984107165225938</v>
      </c>
      <c r="GL398">
        <v>0.40705572478708768</v>
      </c>
      <c r="GM398">
        <v>0</v>
      </c>
      <c r="GN398">
        <v>0.20987613046478273</v>
      </c>
      <c r="GO398">
        <v>0.20987613046478273</v>
      </c>
      <c r="GP398">
        <v>0</v>
      </c>
      <c r="GQ398">
        <v>0</v>
      </c>
      <c r="GR398">
        <v>0</v>
      </c>
      <c r="GS398">
        <v>0</v>
      </c>
      <c r="GT398">
        <v>0.30165736939747534</v>
      </c>
      <c r="GU398"/>
      <c r="GV398"/>
      <c r="GW398"/>
      <c r="GX398"/>
      <c r="GY398"/>
      <c r="GZ398"/>
      <c r="HA398"/>
      <c r="HB398"/>
      <c r="HC398"/>
    </row>
    <row r="399" spans="1:211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2.9562499999999998</v>
      </c>
      <c r="AO399">
        <v>0.49810014101593347</v>
      </c>
      <c r="AP399">
        <v>21.691325149390195</v>
      </c>
      <c r="AQ399">
        <v>3.9473822244907999</v>
      </c>
      <c r="AR399">
        <v>0.51798563787521479</v>
      </c>
      <c r="AS399">
        <v>2.2860128842671528</v>
      </c>
      <c r="AT399" t="e">
        <v>#DIV/0!</v>
      </c>
      <c r="AU399" t="e">
        <v>#DIV/0!</v>
      </c>
      <c r="AV399"/>
      <c r="AW399"/>
      <c r="FY399" s="211">
        <v>394</v>
      </c>
      <c r="FZ399">
        <v>1.1248751939005746</v>
      </c>
      <c r="GA399">
        <v>0.38735017759921181</v>
      </c>
      <c r="GB399">
        <v>0</v>
      </c>
      <c r="GC399">
        <v>0</v>
      </c>
      <c r="GD399">
        <v>0</v>
      </c>
      <c r="GE399">
        <v>0</v>
      </c>
      <c r="GF399">
        <v>0</v>
      </c>
      <c r="GG399">
        <v>0</v>
      </c>
      <c r="GH399">
        <v>0</v>
      </c>
      <c r="GI399">
        <v>0.16657392213326949</v>
      </c>
      <c r="GJ399"/>
      <c r="GK399">
        <v>1.130377061910159</v>
      </c>
      <c r="GL399">
        <v>0.33331521555783822</v>
      </c>
      <c r="GM399">
        <v>0</v>
      </c>
      <c r="GN399">
        <v>0</v>
      </c>
      <c r="GO399">
        <v>0</v>
      </c>
      <c r="GP399">
        <v>0</v>
      </c>
      <c r="GQ399">
        <v>0</v>
      </c>
      <c r="GR399">
        <v>0</v>
      </c>
      <c r="GS399">
        <v>0</v>
      </c>
      <c r="GT399">
        <v>0.22607541238203177</v>
      </c>
      <c r="GU399"/>
      <c r="GV399"/>
      <c r="GW399"/>
      <c r="GX399"/>
      <c r="GY399"/>
      <c r="GZ399"/>
      <c r="HA399"/>
      <c r="HB399"/>
      <c r="HC399"/>
    </row>
    <row r="400" spans="1:211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2</v>
      </c>
      <c r="AO400">
        <v>0.15041710836003994</v>
      </c>
      <c r="AP400">
        <v>1.4739236438566401</v>
      </c>
      <c r="AQ400">
        <v>1.2192074833832034</v>
      </c>
      <c r="AR400">
        <v>0.1911356557795196</v>
      </c>
      <c r="AS400">
        <v>1.285891220610341</v>
      </c>
      <c r="AT400" t="e">
        <v>#DIV/0!</v>
      </c>
      <c r="AU400" t="e">
        <v>#DIV/0!</v>
      </c>
      <c r="AV400"/>
      <c r="AW400"/>
      <c r="FY400" s="211">
        <v>395</v>
      </c>
      <c r="FZ400">
        <v>1.0095352819768064</v>
      </c>
      <c r="GA400">
        <v>0.56185112583616514</v>
      </c>
      <c r="GB400">
        <v>0.15840797322414965</v>
      </c>
      <c r="GC400">
        <v>8.8277651303840327E-2</v>
      </c>
      <c r="GD400">
        <v>0</v>
      </c>
      <c r="GE400">
        <v>0</v>
      </c>
      <c r="GF400">
        <v>0.33021050058332063</v>
      </c>
      <c r="GG400">
        <v>0.29759236750664797</v>
      </c>
      <c r="GH400">
        <v>0</v>
      </c>
      <c r="GI400">
        <v>0.25233775819523013</v>
      </c>
      <c r="GJ400"/>
      <c r="GK400">
        <v>1.0157689571254647</v>
      </c>
      <c r="GL400">
        <v>0.48079623401633714</v>
      </c>
      <c r="GM400">
        <v>0.26183540241601705</v>
      </c>
      <c r="GN400">
        <v>0.26183540241601705</v>
      </c>
      <c r="GO400">
        <v>0</v>
      </c>
      <c r="GP400">
        <v>0</v>
      </c>
      <c r="GQ400">
        <v>0.45369793096285549</v>
      </c>
      <c r="GR400">
        <v>0.45369793096285549</v>
      </c>
      <c r="GS400">
        <v>0</v>
      </c>
      <c r="GT400">
        <v>0.34626045810086747</v>
      </c>
      <c r="GU400"/>
      <c r="GV400"/>
      <c r="GW400"/>
      <c r="GX400"/>
      <c r="GY400"/>
      <c r="GZ400"/>
      <c r="HA400"/>
      <c r="HB400"/>
      <c r="HC400"/>
    </row>
    <row r="401" spans="1:211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2.0864583333333337</v>
      </c>
      <c r="AO401">
        <v>0.4615276349416611</v>
      </c>
      <c r="AP401">
        <v>21.792862172356791</v>
      </c>
      <c r="AQ401">
        <v>3.555156093250468</v>
      </c>
      <c r="AR401">
        <v>0.46499160662703287</v>
      </c>
      <c r="AS401">
        <v>2.0188762056401832</v>
      </c>
      <c r="AT401" t="e">
        <v>#DIV/0!</v>
      </c>
      <c r="AU401" t="e">
        <v>#DIV/0!</v>
      </c>
      <c r="AV401"/>
      <c r="AW401"/>
      <c r="FY401" s="211">
        <v>396</v>
      </c>
      <c r="FZ401">
        <v>0.99637525151919171</v>
      </c>
      <c r="GA401">
        <v>0</v>
      </c>
      <c r="GB401">
        <v>0.14202990935487192</v>
      </c>
      <c r="GC401">
        <v>7.8958100610881349E-2</v>
      </c>
      <c r="GD401">
        <v>0</v>
      </c>
      <c r="GE401">
        <v>0</v>
      </c>
      <c r="GF401">
        <v>0.33021050058332063</v>
      </c>
      <c r="GG401">
        <v>0.29759236750664797</v>
      </c>
      <c r="GH401">
        <v>0</v>
      </c>
      <c r="GI401">
        <v>0.24643164142487251</v>
      </c>
      <c r="GJ401"/>
      <c r="GK401">
        <v>1.0029053865477042</v>
      </c>
      <c r="GL401">
        <v>0</v>
      </c>
      <c r="GM401">
        <v>0.23585576644039991</v>
      </c>
      <c r="GN401">
        <v>0.23585576644039991</v>
      </c>
      <c r="GO401">
        <v>0</v>
      </c>
      <c r="GP401">
        <v>0</v>
      </c>
      <c r="GQ401">
        <v>0.45369793096285549</v>
      </c>
      <c r="GR401">
        <v>0.45369793096285549</v>
      </c>
      <c r="GS401">
        <v>0</v>
      </c>
      <c r="GT401">
        <v>0.33849181679019191</v>
      </c>
      <c r="GU401"/>
      <c r="GV401"/>
      <c r="GW401"/>
      <c r="GX401"/>
      <c r="GY401"/>
      <c r="GZ401"/>
      <c r="HA401"/>
      <c r="HB401"/>
      <c r="HC401"/>
    </row>
    <row r="402" spans="1:211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2.3572916666666668</v>
      </c>
      <c r="AO402">
        <v>0.54499790497021694</v>
      </c>
      <c r="AP402">
        <v>24.365717306000359</v>
      </c>
      <c r="AQ402">
        <v>3.8532428342975291</v>
      </c>
      <c r="AR402">
        <v>0.53415001318636501</v>
      </c>
      <c r="AS402">
        <v>2.5462549928603586</v>
      </c>
      <c r="AT402" t="e">
        <v>#DIV/0!</v>
      </c>
      <c r="AU402" t="e">
        <v>#DIV/0!</v>
      </c>
      <c r="AV402"/>
      <c r="AW402"/>
      <c r="FY402" s="211">
        <v>397</v>
      </c>
      <c r="FZ402">
        <v>1.6462516773438653</v>
      </c>
      <c r="GA402">
        <v>1.1620505327976354</v>
      </c>
      <c r="GB402">
        <v>6.282592274279708E-2</v>
      </c>
      <c r="GC402">
        <v>6.9638549917922385E-2</v>
      </c>
      <c r="GD402">
        <v>2.6724553773673727E-2</v>
      </c>
      <c r="GE402">
        <v>0</v>
      </c>
      <c r="GF402">
        <v>0.66042100116664126</v>
      </c>
      <c r="GG402">
        <v>0.59518473501329594</v>
      </c>
      <c r="GH402">
        <v>0</v>
      </c>
      <c r="GI402">
        <v>0.40257454632747258</v>
      </c>
      <c r="GJ402"/>
      <c r="GK402">
        <v>1.663378661162574</v>
      </c>
      <c r="GL402">
        <v>0.9999456466735146</v>
      </c>
      <c r="GM402">
        <v>0.10493806523239137</v>
      </c>
      <c r="GN402">
        <v>0.20987613046478273</v>
      </c>
      <c r="GO402">
        <v>0.10493806523239137</v>
      </c>
      <c r="GP402">
        <v>0</v>
      </c>
      <c r="GQ402">
        <v>0.90739586192571098</v>
      </c>
      <c r="GR402">
        <v>0.90739586192571098</v>
      </c>
      <c r="GS402">
        <v>0</v>
      </c>
      <c r="GT402">
        <v>0.55613013071061357</v>
      </c>
      <c r="GU402"/>
      <c r="GV402"/>
      <c r="GW402"/>
      <c r="GX402"/>
      <c r="GY402"/>
      <c r="GZ402"/>
      <c r="HA402"/>
      <c r="HB402"/>
      <c r="HC402"/>
    </row>
    <row r="403" spans="1:211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2.0166666666666666</v>
      </c>
      <c r="AO403">
        <v>0.31297685084098265</v>
      </c>
      <c r="AP403">
        <v>4.486814173488761</v>
      </c>
      <c r="AQ403">
        <v>2.7233241543283779</v>
      </c>
      <c r="AR403">
        <v>0.33710401673608215</v>
      </c>
      <c r="AS403">
        <v>1.7528561055755949</v>
      </c>
      <c r="AT403" t="e">
        <v>#DIV/0!</v>
      </c>
      <c r="AU403" t="e">
        <v>#DIV/0!</v>
      </c>
      <c r="AV403"/>
      <c r="AW403"/>
      <c r="FY403" s="211">
        <v>398</v>
      </c>
      <c r="FZ403">
        <v>1.1288633703157944</v>
      </c>
      <c r="GA403">
        <v>0.47460065171768845</v>
      </c>
      <c r="GB403">
        <v>0.14202990935487192</v>
      </c>
      <c r="GC403">
        <v>0.14859665052880375</v>
      </c>
      <c r="GD403">
        <v>5.3449107547347455E-2</v>
      </c>
      <c r="GE403">
        <v>0</v>
      </c>
      <c r="GF403">
        <v>0</v>
      </c>
      <c r="GG403">
        <v>0</v>
      </c>
      <c r="GH403">
        <v>0</v>
      </c>
      <c r="GI403">
        <v>0.23293076946816083</v>
      </c>
      <c r="GJ403"/>
      <c r="GK403">
        <v>1.1347248098013782</v>
      </c>
      <c r="GL403">
        <v>0.40705572478708768</v>
      </c>
      <c r="GM403">
        <v>0.23585576644039991</v>
      </c>
      <c r="GN403">
        <v>0.44573189690518267</v>
      </c>
      <c r="GO403">
        <v>0.20987613046478273</v>
      </c>
      <c r="GP403">
        <v>0</v>
      </c>
      <c r="GQ403">
        <v>0</v>
      </c>
      <c r="GR403">
        <v>0</v>
      </c>
      <c r="GS403">
        <v>0</v>
      </c>
      <c r="GT403">
        <v>0.31609134134131217</v>
      </c>
      <c r="GU403"/>
      <c r="GV403"/>
      <c r="GW403"/>
      <c r="GX403"/>
      <c r="GY403"/>
      <c r="GZ403"/>
      <c r="HA403"/>
      <c r="HB403"/>
      <c r="HC403"/>
    </row>
    <row r="404" spans="1:211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1.671875</v>
      </c>
      <c r="AO404">
        <v>0.22995263615824224</v>
      </c>
      <c r="AP404">
        <v>9.287880682686648</v>
      </c>
      <c r="AQ404">
        <v>1.5701078708397764</v>
      </c>
      <c r="AR404">
        <v>0.23854901495292102</v>
      </c>
      <c r="AS404">
        <v>1.3787752352203921</v>
      </c>
      <c r="AT404" t="e">
        <v>#DIV/0!</v>
      </c>
      <c r="AU404" t="e">
        <v>#DIV/0!</v>
      </c>
      <c r="AV404"/>
      <c r="AW404"/>
      <c r="FY404" s="211">
        <v>399</v>
      </c>
      <c r="FZ404">
        <v>1.4133746895415098</v>
      </c>
      <c r="GA404">
        <v>0.9492013034353769</v>
      </c>
      <c r="GB404">
        <v>0.204855832097669</v>
      </c>
      <c r="GC404">
        <v>0.11377737556984255</v>
      </c>
      <c r="GD404">
        <v>0</v>
      </c>
      <c r="GE404">
        <v>0</v>
      </c>
      <c r="GF404">
        <v>0.33021050058332063</v>
      </c>
      <c r="GG404">
        <v>0.29759236750664797</v>
      </c>
      <c r="GH404">
        <v>0</v>
      </c>
      <c r="GI404">
        <v>0.32366531640166196</v>
      </c>
      <c r="GJ404"/>
      <c r="GK404">
        <v>1.421061204262998</v>
      </c>
      <c r="GL404">
        <v>0.81411144957417536</v>
      </c>
      <c r="GM404">
        <v>0.34079383167279126</v>
      </c>
      <c r="GN404">
        <v>0.34079383167279126</v>
      </c>
      <c r="GO404">
        <v>0</v>
      </c>
      <c r="GP404">
        <v>0</v>
      </c>
      <c r="GQ404">
        <v>0.45369793096285549</v>
      </c>
      <c r="GR404">
        <v>0.45369793096285549</v>
      </c>
      <c r="GS404">
        <v>0</v>
      </c>
      <c r="GT404">
        <v>0.44311059337972897</v>
      </c>
      <c r="GU404"/>
      <c r="GV404"/>
      <c r="GW404"/>
      <c r="GX404"/>
      <c r="GY404"/>
      <c r="GZ404"/>
      <c r="HA404"/>
      <c r="HB404"/>
      <c r="HC404"/>
    </row>
    <row r="405" spans="1:211" s="7" customFormat="1">
      <c r="A405" s="188">
        <v>13.69</v>
      </c>
      <c r="B405" s="71">
        <f t="shared" ref="B405:B414" si="379">+C4</f>
        <v>39646</v>
      </c>
      <c r="C405" s="61">
        <v>0</v>
      </c>
      <c r="D405" s="61">
        <f t="shared" ref="D405:D414" si="380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2.5333333333333332</v>
      </c>
      <c r="E405" s="108">
        <f t="shared" ref="E405:E414" si="381">IF(D405=0,0.00000001,(1-$A$43/100)*($A$39*(D405^($A$41))))</f>
        <v>2.4235073960958312E-2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3.0989583333333335</v>
      </c>
      <c r="AO405">
        <v>0.45877686013443436</v>
      </c>
      <c r="AP405">
        <v>19.929565233551962</v>
      </c>
      <c r="AQ405">
        <v>2.818619347366266</v>
      </c>
      <c r="AR405">
        <v>0.46048821827210829</v>
      </c>
      <c r="AS405">
        <v>2.4998628406344592</v>
      </c>
      <c r="AT405" t="e">
        <v>#DIV/0!</v>
      </c>
      <c r="AU405" t="e">
        <v>#DIV/0!</v>
      </c>
      <c r="AV405"/>
      <c r="AW405"/>
      <c r="FY405" s="211">
        <v>400</v>
      </c>
      <c r="FZ405">
        <v>0.28779733248384187</v>
      </c>
      <c r="GA405">
        <v>8.725047411847664E-2</v>
      </c>
      <c r="GB405">
        <v>0.18847776822839127</v>
      </c>
      <c r="GC405">
        <v>0.10445782487688361</v>
      </c>
      <c r="GD405">
        <v>0</v>
      </c>
      <c r="GE405">
        <v>0</v>
      </c>
      <c r="GF405">
        <v>0</v>
      </c>
      <c r="GG405">
        <v>0</v>
      </c>
      <c r="GH405">
        <v>0</v>
      </c>
      <c r="GI405">
        <v>8.9053890827264393E-2</v>
      </c>
      <c r="GJ405"/>
      <c r="GK405">
        <v>0.28703842050750888</v>
      </c>
      <c r="GL405">
        <v>7.3740509229249462E-2</v>
      </c>
      <c r="GM405">
        <v>0.31481419569717417</v>
      </c>
      <c r="GN405">
        <v>0.31481419569717417</v>
      </c>
      <c r="GO405">
        <v>0</v>
      </c>
      <c r="GP405">
        <v>0</v>
      </c>
      <c r="GQ405">
        <v>0</v>
      </c>
      <c r="GR405">
        <v>0</v>
      </c>
      <c r="GS405">
        <v>0</v>
      </c>
      <c r="GT405">
        <v>0.12037052324093661</v>
      </c>
      <c r="GU405"/>
      <c r="GV405"/>
      <c r="GW405"/>
      <c r="GX405"/>
      <c r="GY405"/>
      <c r="GZ405"/>
      <c r="HA405"/>
      <c r="HB405"/>
      <c r="HC405"/>
    </row>
    <row r="406" spans="1:211" s="7" customFormat="1">
      <c r="A406" s="188">
        <v>9.4499999999999993</v>
      </c>
      <c r="B406" s="71">
        <f t="shared" si="379"/>
        <v>39673</v>
      </c>
      <c r="C406" s="61">
        <f>B406-B405</f>
        <v>27</v>
      </c>
      <c r="D406" s="61">
        <f t="shared" si="380"/>
        <v>4.2758620689655178</v>
      </c>
      <c r="E406" s="108">
        <f t="shared" si="381"/>
        <v>0.12376034283913229</v>
      </c>
      <c r="F406" s="19">
        <f t="shared" ref="F406:F414" si="382">IF(C374&lt;1,0,LN(E406/E405)/E21)</f>
        <v>6.039059464213023E-2</v>
      </c>
      <c r="G406" s="19">
        <f t="shared" ref="G406:G414" si="383">IF(D406=0, 0, 0.051-(0.068*LN(D406))+(0.006*A406))</f>
        <v>8.8969699779377076E-3</v>
      </c>
      <c r="H406" s="19">
        <f t="shared" ref="H406:H414" si="384">+IF((G406&gt;0),G406,0)</f>
        <v>8.8969699779377076E-3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2.8364583333333333</v>
      </c>
      <c r="AO406">
        <v>0.25108692747715378</v>
      </c>
      <c r="AP406">
        <v>5.1565437971686068</v>
      </c>
      <c r="AQ406">
        <v>1.9361632515995022</v>
      </c>
      <c r="AR406">
        <v>0.28863702705141958</v>
      </c>
      <c r="AS406">
        <v>1.7419863075886248</v>
      </c>
      <c r="AT406" t="e">
        <v>#DIV/0!</v>
      </c>
      <c r="AU406" t="e">
        <v>#DIV/0!</v>
      </c>
      <c r="AV406"/>
      <c r="AW406"/>
      <c r="FY406" s="211">
        <v>401</v>
      </c>
      <c r="FZ406">
        <v>1.1157594866886784</v>
      </c>
      <c r="GA406">
        <v>0.38735017759921181</v>
      </c>
      <c r="GB406">
        <v>0.204855832097669</v>
      </c>
      <c r="GC406">
        <v>0.14859665052880375</v>
      </c>
      <c r="GD406">
        <v>2.6724553773673727E-2</v>
      </c>
      <c r="GE406">
        <v>0</v>
      </c>
      <c r="GF406">
        <v>0.33021050058332063</v>
      </c>
      <c r="GG406">
        <v>0.29759236750664797</v>
      </c>
      <c r="GH406">
        <v>0</v>
      </c>
      <c r="GI406">
        <v>0.2950747847477021</v>
      </c>
      <c r="GJ406"/>
      <c r="GK406">
        <v>1.1211932151012489</v>
      </c>
      <c r="GL406">
        <v>0.33331521555783822</v>
      </c>
      <c r="GM406">
        <v>0.34079383167279126</v>
      </c>
      <c r="GN406">
        <v>0.44573189690518267</v>
      </c>
      <c r="GO406">
        <v>0.10493806523239137</v>
      </c>
      <c r="GP406">
        <v>0</v>
      </c>
      <c r="GQ406">
        <v>0.45369793096285549</v>
      </c>
      <c r="GR406">
        <v>0.45369793096285549</v>
      </c>
      <c r="GS406">
        <v>0</v>
      </c>
      <c r="GT406">
        <v>0.4041246085938574</v>
      </c>
      <c r="GU406"/>
      <c r="GV406"/>
      <c r="GW406"/>
      <c r="GX406"/>
      <c r="GY406"/>
      <c r="GZ406"/>
      <c r="HA406"/>
      <c r="HB406"/>
      <c r="HC406"/>
    </row>
    <row r="407" spans="1:211" s="7" customFormat="1">
      <c r="A407" s="188">
        <v>4.03</v>
      </c>
      <c r="B407" s="71">
        <f t="shared" si="379"/>
        <v>39714</v>
      </c>
      <c r="C407" s="61">
        <f>B407-$B$405</f>
        <v>68</v>
      </c>
      <c r="D407" s="61" t="e">
        <f t="shared" si="380"/>
        <v>#DIV/0!</v>
      </c>
      <c r="E407" s="108" t="e">
        <f t="shared" si="381"/>
        <v>#DIV/0!</v>
      </c>
      <c r="F407" s="19">
        <f t="shared" si="382"/>
        <v>0</v>
      </c>
      <c r="G407" s="19" t="e">
        <f t="shared" si="383"/>
        <v>#DIV/0!</v>
      </c>
      <c r="H407" s="19" t="e">
        <f t="shared" si="384"/>
        <v>#DIV/0!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2.1729166666666666</v>
      </c>
      <c r="AO407">
        <v>0.30166479285543352</v>
      </c>
      <c r="AP407">
        <v>5.1840534565058167</v>
      </c>
      <c r="AQ407">
        <v>2.7425008675946687</v>
      </c>
      <c r="AR407">
        <v>0.34803034917044029</v>
      </c>
      <c r="AS407">
        <v>1.9669213526142759</v>
      </c>
      <c r="AT407" t="e">
        <v>#DIV/0!</v>
      </c>
      <c r="AU407" t="e">
        <v>#DIV/0!</v>
      </c>
      <c r="AV407"/>
      <c r="AW407"/>
      <c r="FY407" s="211">
        <v>402</v>
      </c>
      <c r="FZ407">
        <v>1.240665486465645</v>
      </c>
      <c r="GA407">
        <v>0.56185112583616514</v>
      </c>
      <c r="GB407">
        <v>0.14202990935487192</v>
      </c>
      <c r="GC407">
        <v>0.11377737556984255</v>
      </c>
      <c r="GD407">
        <v>2.6724553773673727E-2</v>
      </c>
      <c r="GE407">
        <v>0</v>
      </c>
      <c r="GF407">
        <v>0.66042100116664126</v>
      </c>
      <c r="GG407">
        <v>0.59518473501329594</v>
      </c>
      <c r="GH407">
        <v>0</v>
      </c>
      <c r="GI407">
        <v>0.36212085893786816</v>
      </c>
      <c r="GJ407"/>
      <c r="GK407">
        <v>1.2489634094718034</v>
      </c>
      <c r="GL407">
        <v>0.48079623401633714</v>
      </c>
      <c r="GM407">
        <v>0.23585576644039991</v>
      </c>
      <c r="GN407">
        <v>0.34079383167279126</v>
      </c>
      <c r="GO407">
        <v>0.10493806523239137</v>
      </c>
      <c r="GP407">
        <v>0</v>
      </c>
      <c r="GQ407">
        <v>0.90739586192571098</v>
      </c>
      <c r="GR407">
        <v>0.90739586192571098</v>
      </c>
      <c r="GS407">
        <v>0</v>
      </c>
      <c r="GT407">
        <v>0.49943062061406118</v>
      </c>
      <c r="GU407"/>
      <c r="GV407"/>
      <c r="GW407"/>
      <c r="GX407"/>
      <c r="GY407"/>
      <c r="GZ407"/>
      <c r="HA407"/>
      <c r="HB407"/>
      <c r="HC407"/>
    </row>
    <row r="408" spans="1:211" s="7" customFormat="1">
      <c r="A408" s="188">
        <v>0.78</v>
      </c>
      <c r="B408" s="71">
        <f t="shared" si="379"/>
        <v>39747</v>
      </c>
      <c r="C408" s="61">
        <f t="shared" ref="C408:C414" si="385">B408-$B$405</f>
        <v>101</v>
      </c>
      <c r="D408" s="61">
        <f t="shared" si="380"/>
        <v>4</v>
      </c>
      <c r="E408" s="108">
        <f t="shared" si="381"/>
        <v>0.10054479452775054</v>
      </c>
      <c r="F408" s="19" t="e">
        <f t="shared" si="382"/>
        <v>#DIV/0!</v>
      </c>
      <c r="G408" s="19">
        <f t="shared" si="383"/>
        <v>-3.8588016556152571E-2</v>
      </c>
      <c r="H408" s="19">
        <f t="shared" si="384"/>
        <v>0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3.5812499999999998</v>
      </c>
      <c r="AO408">
        <v>0.49761857269268123</v>
      </c>
      <c r="AP408">
        <v>19.977030907632063</v>
      </c>
      <c r="AQ408">
        <v>3.6886220228384379</v>
      </c>
      <c r="AR408">
        <v>0.51418075701680399</v>
      </c>
      <c r="AS408">
        <v>2.5424327917296083</v>
      </c>
      <c r="AT408" t="e">
        <v>#DIV/0!</v>
      </c>
      <c r="AU408" t="e">
        <v>#DIV/0!</v>
      </c>
      <c r="AV408"/>
      <c r="AW408"/>
      <c r="FY408" s="211">
        <v>403</v>
      </c>
      <c r="FZ408">
        <v>1.0677750023454431</v>
      </c>
      <c r="GA408">
        <v>0.64910159995464167</v>
      </c>
      <c r="GB408">
        <v>0</v>
      </c>
      <c r="GC408">
        <v>0</v>
      </c>
      <c r="GD408">
        <v>0</v>
      </c>
      <c r="GE408">
        <v>0</v>
      </c>
      <c r="GF408">
        <v>0.66042100116664126</v>
      </c>
      <c r="GG408">
        <v>0.59518473501329594</v>
      </c>
      <c r="GH408">
        <v>0</v>
      </c>
      <c r="GI408">
        <v>0.28624080714967337</v>
      </c>
      <c r="GJ408"/>
      <c r="GK408">
        <v>1.0738448888907612</v>
      </c>
      <c r="GL408">
        <v>0.55453674324558655</v>
      </c>
      <c r="GM408">
        <v>0</v>
      </c>
      <c r="GN408">
        <v>0</v>
      </c>
      <c r="GO408">
        <v>0</v>
      </c>
      <c r="GP408">
        <v>0</v>
      </c>
      <c r="GQ408">
        <v>0.90739586192571098</v>
      </c>
      <c r="GR408">
        <v>0.90739586192571098</v>
      </c>
      <c r="GS408">
        <v>0</v>
      </c>
      <c r="GT408">
        <v>0.39624815016329445</v>
      </c>
      <c r="GU408"/>
      <c r="GV408"/>
      <c r="GW408"/>
      <c r="GX408"/>
      <c r="GY408"/>
      <c r="GZ408"/>
      <c r="HA408"/>
      <c r="HB408"/>
      <c r="HC408"/>
    </row>
    <row r="409" spans="1:211" s="7" customFormat="1">
      <c r="A409" s="188">
        <v>0.14000000000000001</v>
      </c>
      <c r="B409" s="71">
        <f t="shared" si="379"/>
        <v>39775</v>
      </c>
      <c r="C409" s="61">
        <f t="shared" si="385"/>
        <v>129</v>
      </c>
      <c r="D409" s="61">
        <f t="shared" si="380"/>
        <v>5</v>
      </c>
      <c r="E409" s="108">
        <f t="shared" si="381"/>
        <v>0.20148108524619146</v>
      </c>
      <c r="F409" s="19">
        <f t="shared" si="382"/>
        <v>2.4824720083705825E-2</v>
      </c>
      <c r="G409" s="19">
        <f t="shared" si="383"/>
        <v>-5.7601778045518831E-2</v>
      </c>
      <c r="H409" s="19">
        <f t="shared" si="384"/>
        <v>0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2.1020833333333333</v>
      </c>
      <c r="AO409">
        <v>0.24268760716367224</v>
      </c>
      <c r="AP409">
        <v>3.883406581084119</v>
      </c>
      <c r="AQ409">
        <v>2.1069348744676892</v>
      </c>
      <c r="AR409">
        <v>0.30165736939747534</v>
      </c>
      <c r="AS409">
        <v>1.6519339243972571</v>
      </c>
      <c r="AT409" t="e">
        <v>#DIV/0!</v>
      </c>
      <c r="AU409" t="e">
        <v>#DIV/0!</v>
      </c>
      <c r="AV409"/>
      <c r="AW409"/>
      <c r="FY409" s="211">
        <v>404</v>
      </c>
      <c r="FZ409">
        <v>0.39498257297305184</v>
      </c>
      <c r="GA409">
        <v>0</v>
      </c>
      <c r="GB409">
        <v>0.15840797322414965</v>
      </c>
      <c r="GC409">
        <v>0.1579162012217627</v>
      </c>
      <c r="GD409">
        <v>5.3449107547347455E-2</v>
      </c>
      <c r="GE409">
        <v>0</v>
      </c>
      <c r="GF409">
        <v>0</v>
      </c>
      <c r="GG409">
        <v>0</v>
      </c>
      <c r="GH409">
        <v>0</v>
      </c>
      <c r="GI409">
        <v>0.12830178724570676</v>
      </c>
      <c r="GJ409"/>
      <c r="GK409">
        <v>0.39390556423773926</v>
      </c>
      <c r="GL409">
        <v>0</v>
      </c>
      <c r="GM409">
        <v>0.26183540241601705</v>
      </c>
      <c r="GN409">
        <v>0.47171153288079981</v>
      </c>
      <c r="GO409">
        <v>0.20987613046478273</v>
      </c>
      <c r="GP409">
        <v>0</v>
      </c>
      <c r="GQ409">
        <v>0</v>
      </c>
      <c r="GR409">
        <v>0</v>
      </c>
      <c r="GS409">
        <v>0</v>
      </c>
      <c r="GT409">
        <v>0.17312341942370779</v>
      </c>
      <c r="GU409"/>
      <c r="GV409"/>
      <c r="GW409"/>
      <c r="GX409"/>
      <c r="GY409"/>
      <c r="GZ409"/>
      <c r="HA409"/>
      <c r="HB409"/>
      <c r="HC409"/>
    </row>
    <row r="410" spans="1:211" s="7" customFormat="1">
      <c r="A410" s="188">
        <v>0.21</v>
      </c>
      <c r="B410" s="71">
        <f t="shared" si="379"/>
        <v>39799</v>
      </c>
      <c r="C410" s="61">
        <f t="shared" si="385"/>
        <v>153</v>
      </c>
      <c r="D410" s="61" t="e">
        <f t="shared" si="380"/>
        <v>#DIV/0!</v>
      </c>
      <c r="E410" s="108" t="e">
        <f t="shared" si="381"/>
        <v>#DIV/0!</v>
      </c>
      <c r="F410" s="19">
        <f t="shared" si="382"/>
        <v>0</v>
      </c>
      <c r="G410" s="19" t="e">
        <f t="shared" si="383"/>
        <v>#DIV/0!</v>
      </c>
      <c r="H410" s="19" t="e">
        <f t="shared" si="384"/>
        <v>#DIV/0!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2.1437499999999998</v>
      </c>
      <c r="AO410">
        <v>0.16897676898500288</v>
      </c>
      <c r="AP410">
        <v>2.2317677522106401</v>
      </c>
      <c r="AQ410">
        <v>1.6787992936330558</v>
      </c>
      <c r="AR410">
        <v>0.22607541238203177</v>
      </c>
      <c r="AS410">
        <v>1.5157094119587535</v>
      </c>
      <c r="AT410" t="e">
        <v>#DIV/0!</v>
      </c>
      <c r="AU410" t="e">
        <v>#DIV/0!</v>
      </c>
      <c r="AV410"/>
      <c r="AW410"/>
      <c r="FY410" s="211">
        <v>405</v>
      </c>
      <c r="FZ410">
        <v>1.4766686512271994</v>
      </c>
      <c r="GA410">
        <v>0.64910159995464167</v>
      </c>
      <c r="GB410">
        <v>0.26768175484046608</v>
      </c>
      <c r="GC410">
        <v>0.18341592548776492</v>
      </c>
      <c r="GD410">
        <v>2.6724553773673727E-2</v>
      </c>
      <c r="GE410">
        <v>0</v>
      </c>
      <c r="GF410">
        <v>0.33021050058332063</v>
      </c>
      <c r="GG410">
        <v>0.29759236750664797</v>
      </c>
      <c r="GH410">
        <v>0</v>
      </c>
      <c r="GI410">
        <v>0.36396046424265638</v>
      </c>
      <c r="GJ410"/>
      <c r="GK410">
        <v>1.4844066288690585</v>
      </c>
      <c r="GL410">
        <v>0.55453674324558655</v>
      </c>
      <c r="GM410">
        <v>0.44573189690518267</v>
      </c>
      <c r="GN410">
        <v>0.55066996213757402</v>
      </c>
      <c r="GO410">
        <v>0.10493806523239137</v>
      </c>
      <c r="GP410">
        <v>0</v>
      </c>
      <c r="GQ410">
        <v>0.45369793096285549</v>
      </c>
      <c r="GR410">
        <v>0.45369793096285549</v>
      </c>
      <c r="GS410">
        <v>0</v>
      </c>
      <c r="GT410">
        <v>0.49775490439389763</v>
      </c>
      <c r="GU410"/>
      <c r="GV410"/>
      <c r="GW410"/>
      <c r="GX410"/>
      <c r="GY410"/>
      <c r="GZ410"/>
      <c r="HA410"/>
      <c r="HB410"/>
      <c r="HC410"/>
    </row>
    <row r="411" spans="1:211" s="7" customFormat="1">
      <c r="A411" s="188">
        <v>1.28</v>
      </c>
      <c r="B411" s="71">
        <f>+C10</f>
        <v>39847</v>
      </c>
      <c r="C411" s="61">
        <f t="shared" si="385"/>
        <v>201</v>
      </c>
      <c r="D411" s="61" t="e">
        <f t="shared" si="380"/>
        <v>#DIV/0!</v>
      </c>
      <c r="E411" s="108" t="e">
        <f t="shared" si="381"/>
        <v>#DIV/0!</v>
      </c>
      <c r="F411" s="19">
        <f t="shared" si="382"/>
        <v>0</v>
      </c>
      <c r="G411" s="19" t="e">
        <f t="shared" si="383"/>
        <v>#DIV/0!</v>
      </c>
      <c r="H411" s="19" t="e">
        <f t="shared" si="384"/>
        <v>#DIV/0!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2.1645833333333333</v>
      </c>
      <c r="AO411">
        <v>0.32738923160004141</v>
      </c>
      <c r="AP411">
        <v>9.9327355355109397</v>
      </c>
      <c r="AQ411">
        <v>2.6982126586261601</v>
      </c>
      <c r="AR411">
        <v>0.34626045810086747</v>
      </c>
      <c r="AS411">
        <v>2.0505464548264523</v>
      </c>
      <c r="AT411" t="e">
        <v>#DIV/0!</v>
      </c>
      <c r="AU411" t="e">
        <v>#DIV/0!</v>
      </c>
      <c r="AV411"/>
      <c r="AW411"/>
      <c r="FY411" s="211">
        <v>406</v>
      </c>
      <c r="FZ411">
        <v>1.0835360255532163</v>
      </c>
      <c r="GA411">
        <v>8.725047411847664E-2</v>
      </c>
      <c r="GB411">
        <v>0.15840797322414965</v>
      </c>
      <c r="GC411">
        <v>0.12309692626280153</v>
      </c>
      <c r="GD411">
        <v>2.6724553773673727E-2</v>
      </c>
      <c r="GE411">
        <v>0</v>
      </c>
      <c r="GF411">
        <v>0</v>
      </c>
      <c r="GG411">
        <v>0</v>
      </c>
      <c r="GH411">
        <v>0</v>
      </c>
      <c r="GI411">
        <v>0.21486084778934239</v>
      </c>
      <c r="GJ411"/>
      <c r="GK411">
        <v>1.083999393868377</v>
      </c>
      <c r="GL411">
        <v>7.3740509229249462E-2</v>
      </c>
      <c r="GM411">
        <v>0.26183540241601705</v>
      </c>
      <c r="GN411">
        <v>0.3667734676484084</v>
      </c>
      <c r="GO411">
        <v>0.10493806523239137</v>
      </c>
      <c r="GP411">
        <v>0</v>
      </c>
      <c r="GQ411">
        <v>0</v>
      </c>
      <c r="GR411">
        <v>0</v>
      </c>
      <c r="GS411">
        <v>0</v>
      </c>
      <c r="GT411">
        <v>0.29015457230335706</v>
      </c>
      <c r="GU411"/>
      <c r="GV411"/>
      <c r="GW411"/>
      <c r="GX411"/>
      <c r="GY411"/>
      <c r="GZ411"/>
      <c r="HA411"/>
      <c r="HB411"/>
      <c r="HC411"/>
    </row>
    <row r="412" spans="1:211" s="7" customFormat="1">
      <c r="A412" s="188">
        <v>4</v>
      </c>
      <c r="B412" s="71">
        <f t="shared" si="379"/>
        <v>39910</v>
      </c>
      <c r="C412" s="61">
        <f t="shared" si="385"/>
        <v>264</v>
      </c>
      <c r="D412" s="61">
        <f t="shared" si="380"/>
        <v>8</v>
      </c>
      <c r="E412" s="108">
        <f t="shared" si="381"/>
        <v>0.87110002744868265</v>
      </c>
      <c r="F412" s="19" t="e">
        <f t="shared" si="382"/>
        <v>#DIV/0!</v>
      </c>
      <c r="G412" s="19">
        <f t="shared" si="383"/>
        <v>-6.6402024834228857E-2</v>
      </c>
      <c r="H412" s="19">
        <f t="shared" si="384"/>
        <v>0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1.828125</v>
      </c>
      <c r="AO412">
        <v>0.2720504598144407</v>
      </c>
      <c r="AP412">
        <v>8.9816081874762741</v>
      </c>
      <c r="AQ412">
        <v>2.0915977709997859</v>
      </c>
      <c r="AR412">
        <v>0.33849181679019191</v>
      </c>
      <c r="AS412">
        <v>1.7977976777619649</v>
      </c>
      <c r="AT412" t="e">
        <v>#DIV/0!</v>
      </c>
      <c r="AU412" t="e">
        <v>#DIV/0!</v>
      </c>
      <c r="AV412"/>
      <c r="AW412"/>
      <c r="FY412" s="211">
        <v>407</v>
      </c>
      <c r="FZ412">
        <v>1.6124975904563619</v>
      </c>
      <c r="GA412">
        <v>1.1237022516723303</v>
      </c>
      <c r="GB412">
        <v>6.282592274279708E-2</v>
      </c>
      <c r="GC412">
        <v>0.13927709983584477</v>
      </c>
      <c r="GD412">
        <v>8.0173661321021189E-2</v>
      </c>
      <c r="GE412">
        <v>0</v>
      </c>
      <c r="GF412">
        <v>0.33021050058332063</v>
      </c>
      <c r="GG412">
        <v>0.29759236750664797</v>
      </c>
      <c r="GH412">
        <v>0</v>
      </c>
      <c r="GI412">
        <v>0.36454829272789957</v>
      </c>
      <c r="GJ412"/>
      <c r="GK412">
        <v>1.6250254825217338</v>
      </c>
      <c r="GL412">
        <v>0.96159246803267429</v>
      </c>
      <c r="GM412">
        <v>0.10493806523239137</v>
      </c>
      <c r="GN412">
        <v>0.41975226092956547</v>
      </c>
      <c r="GO412">
        <v>0.31481419569717417</v>
      </c>
      <c r="GP412">
        <v>0</v>
      </c>
      <c r="GQ412">
        <v>0.45369793096285549</v>
      </c>
      <c r="GR412">
        <v>0.45369793096285549</v>
      </c>
      <c r="GS412">
        <v>0</v>
      </c>
      <c r="GT412">
        <v>0.49969513488283096</v>
      </c>
      <c r="GU412"/>
      <c r="GV412"/>
      <c r="GW412"/>
      <c r="GX412"/>
      <c r="GY412"/>
      <c r="GZ412"/>
      <c r="HA412"/>
      <c r="HB412"/>
      <c r="HC412"/>
    </row>
    <row r="413" spans="1:211" s="7" customFormat="1">
      <c r="A413" s="189">
        <v>7.33</v>
      </c>
      <c r="B413" s="71">
        <f t="shared" si="379"/>
        <v>39949</v>
      </c>
      <c r="C413" s="61">
        <f t="shared" si="385"/>
        <v>303</v>
      </c>
      <c r="D413" s="61" t="e">
        <f t="shared" si="380"/>
        <v>#DIV/0!</v>
      </c>
      <c r="E413" s="108" t="e">
        <f t="shared" si="381"/>
        <v>#DIV/0!</v>
      </c>
      <c r="F413" s="19">
        <f t="shared" si="382"/>
        <v>0</v>
      </c>
      <c r="G413" s="19" t="e">
        <f t="shared" si="383"/>
        <v>#DIV/0!</v>
      </c>
      <c r="H413" s="19" t="e">
        <f t="shared" si="384"/>
        <v>#DIV/0!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2.3270833333333334</v>
      </c>
      <c r="AO413">
        <v>0.54539984233276895</v>
      </c>
      <c r="AP413">
        <v>16.552930282099968</v>
      </c>
      <c r="AQ413">
        <v>4.625671519083304</v>
      </c>
      <c r="AR413">
        <v>0.55613013071061357</v>
      </c>
      <c r="AS413">
        <v>3.6472902931379201</v>
      </c>
      <c r="AT413" t="e">
        <v>#DIV/0!</v>
      </c>
      <c r="AU413" t="e">
        <v>#DIV/0!</v>
      </c>
      <c r="AV413"/>
      <c r="AW413"/>
      <c r="FY413" s="211">
        <v>408</v>
      </c>
      <c r="FZ413">
        <v>0.93573430174992422</v>
      </c>
      <c r="GA413">
        <v>0.47460065171768845</v>
      </c>
      <c r="GB413">
        <v>0.23761195983622446</v>
      </c>
      <c r="GC413">
        <v>0.16723575191472168</v>
      </c>
      <c r="GD413">
        <v>2.6724553773673727E-2</v>
      </c>
      <c r="GE413">
        <v>0</v>
      </c>
      <c r="GF413">
        <v>0.33021050058332063</v>
      </c>
      <c r="GG413">
        <v>0.29759236750664797</v>
      </c>
      <c r="GH413">
        <v>0</v>
      </c>
      <c r="GI413">
        <v>0.27625820111820826</v>
      </c>
      <c r="GJ413"/>
      <c r="GK413">
        <v>0.94202844789621532</v>
      </c>
      <c r="GL413">
        <v>0.40705572478708768</v>
      </c>
      <c r="GM413">
        <v>0.39275310362402555</v>
      </c>
      <c r="GN413">
        <v>0.4976911688564169</v>
      </c>
      <c r="GO413">
        <v>0.10493806523239137</v>
      </c>
      <c r="GP413">
        <v>0</v>
      </c>
      <c r="GQ413">
        <v>0.45369793096285549</v>
      </c>
      <c r="GR413">
        <v>0.45369793096285549</v>
      </c>
      <c r="GS413">
        <v>0</v>
      </c>
      <c r="GT413">
        <v>0.3786835095430976</v>
      </c>
      <c r="GU413"/>
      <c r="GV413"/>
      <c r="GW413"/>
      <c r="GX413"/>
      <c r="GY413"/>
      <c r="GZ413"/>
      <c r="HA413"/>
      <c r="HB413"/>
      <c r="HC413"/>
    </row>
    <row r="414" spans="1:211" s="7" customFormat="1">
      <c r="A414" s="188">
        <v>10.51</v>
      </c>
      <c r="B414" s="71">
        <f t="shared" si="379"/>
        <v>39987</v>
      </c>
      <c r="C414" s="61">
        <f t="shared" si="385"/>
        <v>341</v>
      </c>
      <c r="D414" s="61" t="e">
        <f t="shared" si="380"/>
        <v>#DIV/0!</v>
      </c>
      <c r="E414" s="108" t="e">
        <f t="shared" si="381"/>
        <v>#DIV/0!</v>
      </c>
      <c r="F414" s="19">
        <f t="shared" si="382"/>
        <v>0</v>
      </c>
      <c r="G414" s="19" t="e">
        <f t="shared" si="383"/>
        <v>#DIV/0!</v>
      </c>
      <c r="H414" s="19" t="e">
        <f t="shared" si="384"/>
        <v>#DIV/0!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2.4406249999999998</v>
      </c>
      <c r="AO414">
        <v>0.27493356697401439</v>
      </c>
      <c r="AP414">
        <v>4.3070359128060529</v>
      </c>
      <c r="AQ414">
        <v>2.1804704589326667</v>
      </c>
      <c r="AR414">
        <v>0.31609134134131217</v>
      </c>
      <c r="AS414">
        <v>2.0450232287655798</v>
      </c>
      <c r="AT414" t="e">
        <v>#DIV/0!</v>
      </c>
      <c r="AU414" t="e">
        <v>#DIV/0!</v>
      </c>
      <c r="AV414"/>
      <c r="AW414"/>
      <c r="FY414" s="211">
        <v>409</v>
      </c>
      <c r="FZ414">
        <v>0.83026248214520737</v>
      </c>
      <c r="GA414">
        <v>8.725047411847664E-2</v>
      </c>
      <c r="GB414">
        <v>0</v>
      </c>
      <c r="GC414">
        <v>6.9638549917922385E-2</v>
      </c>
      <c r="GD414">
        <v>5.3449107547347455E-2</v>
      </c>
      <c r="GE414">
        <v>0</v>
      </c>
      <c r="GF414">
        <v>0.33021050058332063</v>
      </c>
      <c r="GG414">
        <v>0.29759236750664797</v>
      </c>
      <c r="GH414">
        <v>0</v>
      </c>
      <c r="GI414">
        <v>0.21801513028872696</v>
      </c>
      <c r="GJ414"/>
      <c r="GK414">
        <v>0.83163136660774784</v>
      </c>
      <c r="GL414">
        <v>7.3740509229249462E-2</v>
      </c>
      <c r="GM414">
        <v>0</v>
      </c>
      <c r="GN414">
        <v>0.20987613046478273</v>
      </c>
      <c r="GO414">
        <v>0.20987613046478273</v>
      </c>
      <c r="GP414">
        <v>0</v>
      </c>
      <c r="GQ414">
        <v>0.45369793096285549</v>
      </c>
      <c r="GR414">
        <v>0.45369793096285549</v>
      </c>
      <c r="GS414">
        <v>0</v>
      </c>
      <c r="GT414">
        <v>0.29904108560707721</v>
      </c>
      <c r="GU414"/>
      <c r="GV414"/>
      <c r="GW414"/>
      <c r="GX414"/>
      <c r="GY414"/>
      <c r="GZ414"/>
      <c r="HA414"/>
      <c r="HB414"/>
      <c r="HC414"/>
    </row>
    <row r="415" spans="1:211" s="7" customFormat="1">
      <c r="A415" s="188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3.0010416666666662</v>
      </c>
      <c r="AO415">
        <v>0.42672667724881952</v>
      </c>
      <c r="AP415">
        <v>12.307953523906793</v>
      </c>
      <c r="AQ415">
        <v>3.6326773851360286</v>
      </c>
      <c r="AR415">
        <v>0.44311059337972897</v>
      </c>
      <c r="AS415">
        <v>2.3423274173530952</v>
      </c>
      <c r="AT415" t="e">
        <v>#DIV/0!</v>
      </c>
      <c r="AU415" t="e">
        <v>#DIV/0!</v>
      </c>
      <c r="AV415"/>
      <c r="AW415"/>
      <c r="FY415" s="211">
        <v>410</v>
      </c>
      <c r="FZ415">
        <v>0.98652564150533095</v>
      </c>
      <c r="GA415">
        <v>0.47460065171768845</v>
      </c>
      <c r="GB415">
        <v>0.15840797322414965</v>
      </c>
      <c r="GC415">
        <v>0.12309692626280153</v>
      </c>
      <c r="GD415">
        <v>2.6724553773673727E-2</v>
      </c>
      <c r="GE415">
        <v>0</v>
      </c>
      <c r="GF415">
        <v>0.33021050058332063</v>
      </c>
      <c r="GG415">
        <v>0.29759236750664797</v>
      </c>
      <c r="GH415">
        <v>0</v>
      </c>
      <c r="GI415">
        <v>0.2644612306651557</v>
      </c>
      <c r="GJ415"/>
      <c r="GK415">
        <v>0.99016356477529222</v>
      </c>
      <c r="GL415">
        <v>0.40705572478708768</v>
      </c>
      <c r="GM415">
        <v>0.26183540241601705</v>
      </c>
      <c r="GN415">
        <v>0.3667734676484084</v>
      </c>
      <c r="GO415">
        <v>0.10493806523239137</v>
      </c>
      <c r="GP415">
        <v>0</v>
      </c>
      <c r="GQ415">
        <v>0.45369793096285549</v>
      </c>
      <c r="GR415">
        <v>0.45369793096285549</v>
      </c>
      <c r="GS415">
        <v>0</v>
      </c>
      <c r="GT415">
        <v>0.36212699267731124</v>
      </c>
      <c r="GU415"/>
      <c r="GV415"/>
      <c r="GW415"/>
      <c r="GX415"/>
      <c r="GY415"/>
      <c r="GZ415"/>
      <c r="HA415"/>
      <c r="HB415"/>
      <c r="HC415"/>
    </row>
    <row r="416" spans="1:211" s="7" customFormat="1">
      <c r="A416" s="188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1.5104166666666667</v>
      </c>
      <c r="AO416">
        <v>0.11107778443720433</v>
      </c>
      <c r="AP416">
        <v>4.1184479861791869</v>
      </c>
      <c r="AQ416">
        <v>0.75703729053485769</v>
      </c>
      <c r="AR416">
        <v>0.12037052324093661</v>
      </c>
      <c r="AS416">
        <v>0.83052194583339223</v>
      </c>
      <c r="AT416" t="e">
        <v>#DIV/0!</v>
      </c>
      <c r="AU416" t="e">
        <v>#DIV/0!</v>
      </c>
      <c r="AV416"/>
      <c r="AW416"/>
      <c r="FY416" s="211">
        <v>411</v>
      </c>
      <c r="FZ416">
        <v>1.091490933638247</v>
      </c>
      <c r="GA416">
        <v>0.38735017759921181</v>
      </c>
      <c r="GB416">
        <v>0.12565184548559416</v>
      </c>
      <c r="GC416">
        <v>0.10445782487688358</v>
      </c>
      <c r="GD416">
        <v>2.6724553773673727E-2</v>
      </c>
      <c r="GE416">
        <v>0</v>
      </c>
      <c r="GF416">
        <v>0</v>
      </c>
      <c r="GG416">
        <v>0</v>
      </c>
      <c r="GH416">
        <v>0</v>
      </c>
      <c r="GI416">
        <v>0.20799009397671425</v>
      </c>
      <c r="GJ416"/>
      <c r="GK416">
        <v>1.0972504274091781</v>
      </c>
      <c r="GL416">
        <v>0.33331521555783822</v>
      </c>
      <c r="GM416">
        <v>0.20987613046478273</v>
      </c>
      <c r="GN416">
        <v>0.31481419569717412</v>
      </c>
      <c r="GO416">
        <v>0.10493806523239137</v>
      </c>
      <c r="GP416">
        <v>0</v>
      </c>
      <c r="GQ416">
        <v>0</v>
      </c>
      <c r="GR416">
        <v>0</v>
      </c>
      <c r="GS416">
        <v>0</v>
      </c>
      <c r="GT416">
        <v>0.28241292462127043</v>
      </c>
      <c r="GU416"/>
      <c r="GV416"/>
      <c r="GW416"/>
      <c r="GX416"/>
      <c r="GY416"/>
      <c r="GZ416"/>
      <c r="HA416"/>
      <c r="HB416"/>
      <c r="HC416"/>
    </row>
    <row r="417" spans="1:211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2.6385416666666659</v>
      </c>
      <c r="AO417">
        <v>0.36574926949890207</v>
      </c>
      <c r="AP417">
        <v>12.473691148100443</v>
      </c>
      <c r="AQ417">
        <v>2.8061643535257073</v>
      </c>
      <c r="AR417">
        <v>0.40412460859385746</v>
      </c>
      <c r="AS417">
        <v>2.4090778001631774</v>
      </c>
      <c r="AT417" t="e">
        <v>#DIV/0!</v>
      </c>
      <c r="AU417" t="e">
        <v>#DIV/0!</v>
      </c>
      <c r="AV417"/>
      <c r="AW417"/>
      <c r="FY417" s="211">
        <v>412</v>
      </c>
      <c r="FZ417">
        <v>1.0329964683136008</v>
      </c>
      <c r="GA417">
        <v>0.47460065171768845</v>
      </c>
      <c r="GB417">
        <v>0</v>
      </c>
      <c r="GC417">
        <v>0</v>
      </c>
      <c r="GD417">
        <v>0</v>
      </c>
      <c r="GE417">
        <v>0</v>
      </c>
      <c r="GF417">
        <v>0.66042100116664126</v>
      </c>
      <c r="GG417">
        <v>0.59518473501329594</v>
      </c>
      <c r="GH417">
        <v>0</v>
      </c>
      <c r="GI417">
        <v>0.28119015202803982</v>
      </c>
      <c r="GJ417"/>
      <c r="GK417">
        <v>1.0355317560576798</v>
      </c>
      <c r="GL417">
        <v>0.40705572478708768</v>
      </c>
      <c r="GM417">
        <v>0</v>
      </c>
      <c r="GN417">
        <v>0</v>
      </c>
      <c r="GO417">
        <v>0</v>
      </c>
      <c r="GP417">
        <v>0</v>
      </c>
      <c r="GQ417">
        <v>0.90739586192571098</v>
      </c>
      <c r="GR417">
        <v>0.90739586192571098</v>
      </c>
      <c r="GS417">
        <v>0</v>
      </c>
      <c r="GT417">
        <v>0.38858552359667814</v>
      </c>
      <c r="GU417"/>
      <c r="GV417"/>
      <c r="GW417"/>
      <c r="GX417"/>
      <c r="GY417"/>
      <c r="GZ417"/>
      <c r="HA417"/>
      <c r="HB417"/>
      <c r="HC417"/>
    </row>
    <row r="418" spans="1:211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2.7843749999999998</v>
      </c>
      <c r="AO418">
        <v>0.47255696512992057</v>
      </c>
      <c r="AP418">
        <v>16.417888702573997</v>
      </c>
      <c r="AQ418">
        <v>3.7027750461180045</v>
      </c>
      <c r="AR418">
        <v>0.49943062061406118</v>
      </c>
      <c r="AS418">
        <v>2.3828620370325444</v>
      </c>
      <c r="AT418" t="e">
        <v>#DIV/0!</v>
      </c>
      <c r="AU418" t="e">
        <v>#DIV/0!</v>
      </c>
      <c r="AV418"/>
      <c r="AW418"/>
      <c r="FY418" s="211">
        <v>413</v>
      </c>
      <c r="FZ418">
        <v>1.2805685888539455</v>
      </c>
      <c r="GA418">
        <v>0.86195082931690026</v>
      </c>
      <c r="GB418">
        <v>6.282592274279708E-2</v>
      </c>
      <c r="GC418">
        <v>6.9638549917922385E-2</v>
      </c>
      <c r="GD418">
        <v>2.6724553773673727E-2</v>
      </c>
      <c r="GE418">
        <v>0</v>
      </c>
      <c r="GF418">
        <v>0.33021050058332063</v>
      </c>
      <c r="GG418">
        <v>0.29759236750664797</v>
      </c>
      <c r="GH418">
        <v>0</v>
      </c>
      <c r="GI418">
        <v>0.28457929255996317</v>
      </c>
      <c r="GJ418"/>
      <c r="GK418">
        <v>1.2881373807047538</v>
      </c>
      <c r="GL418">
        <v>0.7403709403449259</v>
      </c>
      <c r="GM418">
        <v>0.10493806523239137</v>
      </c>
      <c r="GN418">
        <v>0.20987613046478273</v>
      </c>
      <c r="GO418">
        <v>0.10493806523239137</v>
      </c>
      <c r="GP418">
        <v>0</v>
      </c>
      <c r="GQ418">
        <v>0.45369793096285549</v>
      </c>
      <c r="GR418">
        <v>0.45369793096285549</v>
      </c>
      <c r="GS418">
        <v>0</v>
      </c>
      <c r="GT418">
        <v>0.39034228842647845</v>
      </c>
      <c r="GU418"/>
      <c r="GV418"/>
      <c r="GW418"/>
      <c r="GX418"/>
      <c r="GY418"/>
      <c r="GZ418"/>
      <c r="HA418"/>
      <c r="HB418"/>
      <c r="HC418"/>
    </row>
    <row r="419" spans="1:211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1.9354166666666668</v>
      </c>
      <c r="AO419">
        <v>0.38394215061510645</v>
      </c>
      <c r="AP419">
        <v>13.02994784602604</v>
      </c>
      <c r="AQ419">
        <v>3.2587231456296957</v>
      </c>
      <c r="AR419">
        <v>0.39624815016329451</v>
      </c>
      <c r="AS419">
        <v>1.97104174310553</v>
      </c>
      <c r="AT419" t="e">
        <v>#DIV/0!</v>
      </c>
      <c r="AU419" t="e">
        <v>#DIV/0!</v>
      </c>
      <c r="AV419"/>
      <c r="AW419"/>
      <c r="FY419" s="211">
        <v>414</v>
      </c>
      <c r="FZ419">
        <v>1.0315838866709441</v>
      </c>
      <c r="GA419">
        <v>0.38735017759921181</v>
      </c>
      <c r="GB419">
        <v>0.30043788257902154</v>
      </c>
      <c r="GC419">
        <v>0.16723575191472168</v>
      </c>
      <c r="GD419">
        <v>0</v>
      </c>
      <c r="GE419">
        <v>0</v>
      </c>
      <c r="GF419">
        <v>0.33021050058332063</v>
      </c>
      <c r="GG419">
        <v>0.29759236750664797</v>
      </c>
      <c r="GH419">
        <v>0</v>
      </c>
      <c r="GI419">
        <v>0.29040498512383206</v>
      </c>
      <c r="GJ419"/>
      <c r="GK419">
        <v>1.0399314637211909</v>
      </c>
      <c r="GL419">
        <v>0.33331521555783822</v>
      </c>
      <c r="GM419">
        <v>0.4976911688564169</v>
      </c>
      <c r="GN419">
        <v>0.4976911688564169</v>
      </c>
      <c r="GO419">
        <v>0</v>
      </c>
      <c r="GP419">
        <v>0</v>
      </c>
      <c r="GQ419">
        <v>0.45369793096285549</v>
      </c>
      <c r="GR419">
        <v>0.45369793096285549</v>
      </c>
      <c r="GS419">
        <v>0</v>
      </c>
      <c r="GT419">
        <v>0.39826411270809275</v>
      </c>
      <c r="GU419"/>
      <c r="GV419"/>
      <c r="GW419"/>
      <c r="GX419"/>
      <c r="GY419"/>
      <c r="GZ419"/>
      <c r="HA419"/>
      <c r="HB419"/>
      <c r="HC419"/>
    </row>
    <row r="420" spans="1:211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2.177083333333333</v>
      </c>
      <c r="AO420">
        <v>0.15104520494230469</v>
      </c>
      <c r="AP420">
        <v>3.343797054846426</v>
      </c>
      <c r="AQ420">
        <v>0.89305764221201844</v>
      </c>
      <c r="AR420">
        <v>0.17312341942370779</v>
      </c>
      <c r="AS420">
        <v>1.277147546512436</v>
      </c>
      <c r="AT420" t="e">
        <v>#DIV/0!</v>
      </c>
      <c r="AU420" t="e">
        <v>#DIV/0!</v>
      </c>
      <c r="AV420"/>
      <c r="AW420"/>
      <c r="FY420" s="211">
        <v>415</v>
      </c>
      <c r="FZ420">
        <v>1.5212477385468572</v>
      </c>
      <c r="GA420">
        <v>0.9492013034353769</v>
      </c>
      <c r="GB420">
        <v>0.23761195983622446</v>
      </c>
      <c r="GC420">
        <v>0.13241647695576048</v>
      </c>
      <c r="GD420">
        <v>0</v>
      </c>
      <c r="GE420">
        <v>0</v>
      </c>
      <c r="GF420">
        <v>0</v>
      </c>
      <c r="GG420">
        <v>0</v>
      </c>
      <c r="GH420">
        <v>0</v>
      </c>
      <c r="GI420">
        <v>0.28331727485507585</v>
      </c>
      <c r="GJ420"/>
      <c r="GK420">
        <v>1.5342592924376577</v>
      </c>
      <c r="GL420">
        <v>0.81411144957417536</v>
      </c>
      <c r="GM420">
        <v>0.39275310362402555</v>
      </c>
      <c r="GN420">
        <v>0.39275310362402555</v>
      </c>
      <c r="GO420">
        <v>0</v>
      </c>
      <c r="GP420">
        <v>0</v>
      </c>
      <c r="GQ420">
        <v>0</v>
      </c>
      <c r="GR420">
        <v>0</v>
      </c>
      <c r="GS420">
        <v>0</v>
      </c>
      <c r="GT420">
        <v>0.38540247921233661</v>
      </c>
      <c r="GU420"/>
      <c r="GV420"/>
      <c r="GW420"/>
      <c r="GX420"/>
      <c r="GY420"/>
      <c r="GZ420"/>
      <c r="HA420"/>
      <c r="HB420"/>
      <c r="HC420"/>
    </row>
    <row r="421" spans="1:211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3.6906249999999998</v>
      </c>
      <c r="AO421">
        <v>0.45454340627094025</v>
      </c>
      <c r="AP421">
        <v>12.957471077388284</v>
      </c>
      <c r="AQ421">
        <v>3.5953558176163707</v>
      </c>
      <c r="AR421">
        <v>0.49775490439389758</v>
      </c>
      <c r="AS421">
        <v>2.9648708008786238</v>
      </c>
      <c r="AT421" t="e">
        <v>#DIV/0!</v>
      </c>
      <c r="AU421" t="e">
        <v>#DIV/0!</v>
      </c>
      <c r="AV421"/>
      <c r="AW421"/>
      <c r="FY421" s="211">
        <v>416</v>
      </c>
      <c r="FZ421">
        <v>0.76809369463206756</v>
      </c>
      <c r="GA421">
        <v>8.725047411847664E-2</v>
      </c>
      <c r="GB421">
        <v>0</v>
      </c>
      <c r="GC421">
        <v>3.4819274958961192E-2</v>
      </c>
      <c r="GD421">
        <v>2.6724553773673727E-2</v>
      </c>
      <c r="GE421">
        <v>0</v>
      </c>
      <c r="GF421">
        <v>0</v>
      </c>
      <c r="GG421">
        <v>0</v>
      </c>
      <c r="GH421">
        <v>0</v>
      </c>
      <c r="GI421">
        <v>0.12917872892355139</v>
      </c>
      <c r="GJ421"/>
      <c r="GK421">
        <v>0.77251492334668548</v>
      </c>
      <c r="GL421">
        <v>7.3740509229249462E-2</v>
      </c>
      <c r="GM421">
        <v>0</v>
      </c>
      <c r="GN421">
        <v>0.10493806523239137</v>
      </c>
      <c r="GO421">
        <v>0.10493806523239137</v>
      </c>
      <c r="GP421">
        <v>0</v>
      </c>
      <c r="GQ421">
        <v>0</v>
      </c>
      <c r="GR421">
        <v>0</v>
      </c>
      <c r="GS421">
        <v>0</v>
      </c>
      <c r="GT421">
        <v>0.17549059771581541</v>
      </c>
      <c r="GU421"/>
      <c r="GV421"/>
      <c r="GW421"/>
      <c r="GX421"/>
      <c r="GY421"/>
      <c r="GZ421"/>
      <c r="HA421"/>
      <c r="HB421"/>
      <c r="HC421"/>
    </row>
    <row r="422" spans="1:211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1.5460882565275302E-4</v>
      </c>
      <c r="H422" s="216">
        <f t="shared" ref="H422:AK422" si="386">H372</f>
        <v>1.3395E-3</v>
      </c>
      <c r="I422" s="216">
        <f t="shared" si="386"/>
        <v>1.1605160587855814E-2</v>
      </c>
      <c r="J422" s="216">
        <f t="shared" si="386"/>
        <v>4.1036983192408429E-2</v>
      </c>
      <c r="K422" s="216">
        <f t="shared" si="386"/>
        <v>0.10054479452775054</v>
      </c>
      <c r="L422" s="216">
        <f t="shared" si="386"/>
        <v>0.20148108524619146</v>
      </c>
      <c r="M422" s="216">
        <f t="shared" si="386"/>
        <v>0.35553622992836076</v>
      </c>
      <c r="N422" s="216">
        <f t="shared" si="386"/>
        <v>0.57467606929839166</v>
      </c>
      <c r="O422" s="216">
        <f t="shared" si="386"/>
        <v>0.87110002744868265</v>
      </c>
      <c r="P422" s="216">
        <f t="shared" si="386"/>
        <v>1.2572108917760445</v>
      </c>
      <c r="Q422" s="216">
        <f t="shared" si="386"/>
        <v>1.7455918997368574</v>
      </c>
      <c r="R422" s="216">
        <f t="shared" si="386"/>
        <v>2.3489887250867154</v>
      </c>
      <c r="S422" s="216">
        <f t="shared" si="386"/>
        <v>3.0802949183422608</v>
      </c>
      <c r="T422" s="216">
        <f t="shared" si="386"/>
        <v>3.9525398786004713</v>
      </c>
      <c r="U422" s="216">
        <f t="shared" si="386"/>
        <v>4.9788787384886826</v>
      </c>
      <c r="V422" s="216">
        <f t="shared" si="386"/>
        <v>6.1725837318672401</v>
      </c>
      <c r="W422" s="216">
        <f t="shared" si="386"/>
        <v>7.5470367350709795</v>
      </c>
      <c r="X422" s="216">
        <f t="shared" si="386"/>
        <v>9.1157227535838086</v>
      </c>
      <c r="Y422" s="216">
        <f t="shared" si="386"/>
        <v>10.892224182054795</v>
      </c>
      <c r="Z422" s="216">
        <f t="shared" si="386"/>
        <v>12.890215705291629</v>
      </c>
      <c r="AA422" s="216">
        <f t="shared" si="386"/>
        <v>15.123459736697646</v>
      </c>
      <c r="AB422" s="216">
        <f t="shared" si="386"/>
        <v>17.605802311965238</v>
      </c>
      <c r="AC422" s="216">
        <f t="shared" si="386"/>
        <v>20.351169371925362</v>
      </c>
      <c r="AD422" s="216">
        <f t="shared" si="386"/>
        <v>23.373563380766857</v>
      </c>
      <c r="AE422" s="216">
        <f t="shared" si="386"/>
        <v>26.68706023539988</v>
      </c>
      <c r="AF422" s="216">
        <f t="shared" si="386"/>
        <v>30.305806429252016</v>
      </c>
      <c r="AG422" s="216">
        <f t="shared" si="386"/>
        <v>34.244016439763037</v>
      </c>
      <c r="AH422" s="216">
        <f t="shared" si="386"/>
        <v>38.515970313644125</v>
      </c>
      <c r="AI422" s="216">
        <f t="shared" si="386"/>
        <v>43.136011427862769</v>
      </c>
      <c r="AJ422" s="216">
        <f t="shared" si="386"/>
        <v>48.118544407499712</v>
      </c>
      <c r="AK422" s="216">
        <f t="shared" si="386"/>
        <v>53.478033184252119</v>
      </c>
      <c r="AL422" s="4"/>
      <c r="AM422" s="43">
        <v>406</v>
      </c>
      <c r="AN422">
        <v>4.104166666666667</v>
      </c>
      <c r="AO422">
        <v>0.21814414106978003</v>
      </c>
      <c r="AP422">
        <v>3.9443104874627526</v>
      </c>
      <c r="AQ422">
        <v>1.6938768007216602</v>
      </c>
      <c r="AR422">
        <v>0.29015457230335706</v>
      </c>
      <c r="AS422">
        <v>2.0677688738085904</v>
      </c>
      <c r="AT422" t="e">
        <v>#DIV/0!</v>
      </c>
      <c r="AU422" t="e">
        <v>#DIV/0!</v>
      </c>
      <c r="AV422"/>
      <c r="AW422"/>
      <c r="FY422" s="211">
        <v>417</v>
      </c>
      <c r="FZ422">
        <v>1.4562273409917847</v>
      </c>
      <c r="GA422">
        <v>1.1620505327976354</v>
      </c>
      <c r="GB422">
        <v>0.15840797322414965</v>
      </c>
      <c r="GC422">
        <v>0.19273547618072395</v>
      </c>
      <c r="GD422">
        <v>8.0173661321021189E-2</v>
      </c>
      <c r="GE422">
        <v>0</v>
      </c>
      <c r="GF422">
        <v>0.33021050058332063</v>
      </c>
      <c r="GG422">
        <v>0.29759236750664797</v>
      </c>
      <c r="GH422">
        <v>0</v>
      </c>
      <c r="GI422">
        <v>0.36474723127517061</v>
      </c>
      <c r="GJ422"/>
      <c r="GK422">
        <v>1.4683635995134527</v>
      </c>
      <c r="GL422">
        <v>0.9999456466735146</v>
      </c>
      <c r="GM422">
        <v>0.26183540241601705</v>
      </c>
      <c r="GN422">
        <v>0.57664959811319116</v>
      </c>
      <c r="GO422">
        <v>0.31481419569717417</v>
      </c>
      <c r="GP422">
        <v>0</v>
      </c>
      <c r="GQ422">
        <v>0.45369793096285549</v>
      </c>
      <c r="GR422">
        <v>0.45369793096285549</v>
      </c>
      <c r="GS422">
        <v>0</v>
      </c>
      <c r="GT422">
        <v>0.49974222571789989</v>
      </c>
      <c r="GU422"/>
      <c r="GV422"/>
      <c r="GW422"/>
      <c r="GX422"/>
      <c r="GY422"/>
      <c r="GZ422"/>
      <c r="HA422"/>
      <c r="HB422"/>
      <c r="HC422"/>
    </row>
    <row r="423" spans="1:211" s="7" customFormat="1">
      <c r="A423" s="4"/>
      <c r="B423" s="48" t="s">
        <v>38</v>
      </c>
      <c r="C423" s="107">
        <f t="shared" ref="C423:C432" si="387">SUM(G423:AK423)</f>
        <v>1.1652328045944125</v>
      </c>
      <c r="D423" s="190">
        <f>$A$405</f>
        <v>13.69</v>
      </c>
      <c r="E423" s="8"/>
      <c r="F423" s="124"/>
      <c r="G423" s="107">
        <f>(($A$453+$A$455*(G$422)+($A$457*$D423))*($E21*G37))</f>
        <v>0</v>
      </c>
      <c r="H423" s="217">
        <f t="shared" ref="H423:AK431" si="388">(($A$453+$A$455*(H$422)+($A$457*$D423))*($E21*H37))</f>
        <v>0</v>
      </c>
      <c r="I423" s="217">
        <f t="shared" si="388"/>
        <v>0.14571417419733884</v>
      </c>
      <c r="J423" s="217">
        <f t="shared" si="388"/>
        <v>0.42874096195683947</v>
      </c>
      <c r="K423" s="217">
        <f t="shared" si="388"/>
        <v>0.26181966064520135</v>
      </c>
      <c r="L423" s="217">
        <f t="shared" si="388"/>
        <v>0</v>
      </c>
      <c r="M423" s="217">
        <f t="shared" si="388"/>
        <v>0.3289580077950327</v>
      </c>
      <c r="N423" s="217">
        <f t="shared" si="388"/>
        <v>0</v>
      </c>
      <c r="O423" s="217">
        <f t="shared" si="388"/>
        <v>0</v>
      </c>
      <c r="P423" s="217">
        <f t="shared" si="388"/>
        <v>0</v>
      </c>
      <c r="Q423" s="217">
        <f t="shared" si="388"/>
        <v>0</v>
      </c>
      <c r="R423" s="217">
        <f t="shared" si="388"/>
        <v>0</v>
      </c>
      <c r="S423" s="217">
        <f t="shared" si="388"/>
        <v>0</v>
      </c>
      <c r="T423" s="217">
        <f t="shared" si="388"/>
        <v>0</v>
      </c>
      <c r="U423" s="217">
        <f t="shared" si="388"/>
        <v>0</v>
      </c>
      <c r="V423" s="217">
        <f t="shared" si="388"/>
        <v>0</v>
      </c>
      <c r="W423" s="217">
        <f t="shared" si="388"/>
        <v>0</v>
      </c>
      <c r="X423" s="217">
        <f t="shared" si="388"/>
        <v>0</v>
      </c>
      <c r="Y423" s="217">
        <f t="shared" si="388"/>
        <v>0</v>
      </c>
      <c r="Z423" s="217">
        <f t="shared" si="388"/>
        <v>0</v>
      </c>
      <c r="AA423" s="217">
        <f t="shared" si="388"/>
        <v>0</v>
      </c>
      <c r="AB423" s="217">
        <f t="shared" si="388"/>
        <v>0</v>
      </c>
      <c r="AC423" s="217">
        <f t="shared" si="388"/>
        <v>0</v>
      </c>
      <c r="AD423" s="217">
        <f t="shared" si="388"/>
        <v>0</v>
      </c>
      <c r="AE423" s="217">
        <f t="shared" si="388"/>
        <v>0</v>
      </c>
      <c r="AF423" s="217">
        <f t="shared" si="388"/>
        <v>0</v>
      </c>
      <c r="AG423" s="217">
        <f t="shared" si="388"/>
        <v>0</v>
      </c>
      <c r="AH423" s="217">
        <f t="shared" si="388"/>
        <v>0</v>
      </c>
      <c r="AI423" s="217">
        <f t="shared" si="388"/>
        <v>0</v>
      </c>
      <c r="AJ423" s="217">
        <f t="shared" si="388"/>
        <v>0</v>
      </c>
      <c r="AK423" s="217">
        <f t="shared" si="388"/>
        <v>0</v>
      </c>
      <c r="AL423" s="4"/>
      <c r="AM423" s="43">
        <v>407</v>
      </c>
      <c r="AN423">
        <v>3.1520833333333327</v>
      </c>
      <c r="AO423">
        <v>0.48332134692220807</v>
      </c>
      <c r="AP423">
        <v>8.9754594463837876</v>
      </c>
      <c r="AQ423">
        <v>4.0108276868462234</v>
      </c>
      <c r="AR423">
        <v>0.49969513488283096</v>
      </c>
      <c r="AS423">
        <v>2.6211697125530109</v>
      </c>
      <c r="AT423" t="e">
        <v>#DIV/0!</v>
      </c>
      <c r="AU423" t="e">
        <v>#DIV/0!</v>
      </c>
      <c r="AV423"/>
      <c r="AW423"/>
      <c r="FY423" s="211">
        <v>418</v>
      </c>
      <c r="FZ423">
        <v>1.2059460617045195</v>
      </c>
      <c r="GA423">
        <v>0.38735017759921181</v>
      </c>
      <c r="GB423">
        <v>0.12565184548559416</v>
      </c>
      <c r="GC423">
        <v>6.9638549917922385E-2</v>
      </c>
      <c r="GD423">
        <v>0</v>
      </c>
      <c r="GE423">
        <v>0</v>
      </c>
      <c r="GF423">
        <v>0</v>
      </c>
      <c r="GG423">
        <v>0</v>
      </c>
      <c r="GH423">
        <v>0</v>
      </c>
      <c r="GI423">
        <v>0.20943144146665663</v>
      </c>
      <c r="GJ423"/>
      <c r="GK423">
        <v>1.2139575130341753</v>
      </c>
      <c r="GL423">
        <v>0.33331521555783822</v>
      </c>
      <c r="GM423">
        <v>0.20987613046478273</v>
      </c>
      <c r="GN423">
        <v>0.20987613046478273</v>
      </c>
      <c r="GO423">
        <v>0</v>
      </c>
      <c r="GP423">
        <v>0</v>
      </c>
      <c r="GQ423">
        <v>0</v>
      </c>
      <c r="GR423">
        <v>0</v>
      </c>
      <c r="GS423">
        <v>0</v>
      </c>
      <c r="GT423">
        <v>0.28476672869979158</v>
      </c>
      <c r="GU423"/>
      <c r="GV423"/>
      <c r="GW423"/>
      <c r="GX423"/>
      <c r="GY423"/>
      <c r="GZ423"/>
      <c r="HA423"/>
      <c r="HB423"/>
      <c r="HC423"/>
    </row>
    <row r="424" spans="1:211" s="7" customFormat="1">
      <c r="A424" s="4"/>
      <c r="B424" s="48" t="s">
        <v>39</v>
      </c>
      <c r="C424" s="107">
        <f t="shared" si="387"/>
        <v>0.56185112583616514</v>
      </c>
      <c r="D424" s="190">
        <f>$A$406</f>
        <v>9.4499999999999993</v>
      </c>
      <c r="E424" s="8"/>
      <c r="F424" s="124"/>
      <c r="G424" s="217">
        <f t="shared" ref="G424:V432" si="389">(($A$453+$A$455*(G$422)+($A$457*$D424))*($E22*G38))</f>
        <v>0</v>
      </c>
      <c r="H424" s="217">
        <f t="shared" si="389"/>
        <v>0</v>
      </c>
      <c r="I424" s="217">
        <f t="shared" si="389"/>
        <v>0</v>
      </c>
      <c r="J424" s="217">
        <f t="shared" si="389"/>
        <v>5.0718472902251059E-2</v>
      </c>
      <c r="K424" s="217">
        <f t="shared" si="389"/>
        <v>0.12378247533470221</v>
      </c>
      <c r="L424" s="217">
        <f t="shared" si="389"/>
        <v>0</v>
      </c>
      <c r="M424" s="217">
        <f t="shared" si="389"/>
        <v>0.38735017759921181</v>
      </c>
      <c r="N424" s="217">
        <f t="shared" si="389"/>
        <v>0</v>
      </c>
      <c r="O424" s="217">
        <f t="shared" si="389"/>
        <v>0</v>
      </c>
      <c r="P424" s="217">
        <f t="shared" si="389"/>
        <v>0</v>
      </c>
      <c r="Q424" s="217">
        <f t="shared" si="389"/>
        <v>0</v>
      </c>
      <c r="R424" s="217">
        <f t="shared" si="389"/>
        <v>0</v>
      </c>
      <c r="S424" s="217">
        <f t="shared" si="389"/>
        <v>0</v>
      </c>
      <c r="T424" s="217">
        <f t="shared" si="389"/>
        <v>0</v>
      </c>
      <c r="U424" s="217">
        <f t="shared" si="389"/>
        <v>0</v>
      </c>
      <c r="V424" s="217">
        <f t="shared" si="389"/>
        <v>0</v>
      </c>
      <c r="W424" s="217">
        <f t="shared" si="388"/>
        <v>0</v>
      </c>
      <c r="X424" s="217">
        <f t="shared" si="388"/>
        <v>0</v>
      </c>
      <c r="Y424" s="217">
        <f t="shared" si="388"/>
        <v>0</v>
      </c>
      <c r="Z424" s="217">
        <f t="shared" si="388"/>
        <v>0</v>
      </c>
      <c r="AA424" s="217">
        <f t="shared" si="388"/>
        <v>0</v>
      </c>
      <c r="AB424" s="217">
        <f t="shared" si="388"/>
        <v>0</v>
      </c>
      <c r="AC424" s="217">
        <f t="shared" si="388"/>
        <v>0</v>
      </c>
      <c r="AD424" s="217">
        <f t="shared" si="388"/>
        <v>0</v>
      </c>
      <c r="AE424" s="217">
        <f t="shared" si="388"/>
        <v>0</v>
      </c>
      <c r="AF424" s="217">
        <f t="shared" si="388"/>
        <v>0</v>
      </c>
      <c r="AG424" s="217">
        <f t="shared" si="388"/>
        <v>0</v>
      </c>
      <c r="AH424" s="217">
        <f t="shared" si="388"/>
        <v>0</v>
      </c>
      <c r="AI424" s="217">
        <f t="shared" si="388"/>
        <v>0</v>
      </c>
      <c r="AJ424" s="217">
        <f t="shared" si="388"/>
        <v>0</v>
      </c>
      <c r="AK424" s="217">
        <f t="shared" si="388"/>
        <v>0</v>
      </c>
      <c r="AL424" s="4"/>
      <c r="AM424" s="43">
        <v>408</v>
      </c>
      <c r="AN424">
        <v>2.3364583333333329</v>
      </c>
      <c r="AO424">
        <v>0.3630545881864945</v>
      </c>
      <c r="AP424">
        <v>11.976493510988432</v>
      </c>
      <c r="AQ424">
        <v>2.7459682882004093</v>
      </c>
      <c r="AR424">
        <v>0.37868350954309754</v>
      </c>
      <c r="AS424">
        <v>2.3267292824821046</v>
      </c>
      <c r="AT424" t="e">
        <v>#DIV/0!</v>
      </c>
      <c r="AU424" t="e">
        <v>#DIV/0!</v>
      </c>
      <c r="AV424"/>
      <c r="AW424"/>
      <c r="FY424" s="211">
        <v>419</v>
      </c>
      <c r="FZ424">
        <v>0.56459134593141092</v>
      </c>
      <c r="GA424">
        <v>8.725047411847664E-2</v>
      </c>
      <c r="GB424">
        <v>0.14202990935487192</v>
      </c>
      <c r="GC424">
        <v>0.11377737556984255</v>
      </c>
      <c r="GD424">
        <v>2.6724553773673727E-2</v>
      </c>
      <c r="GE424">
        <v>0</v>
      </c>
      <c r="GF424">
        <v>0.33021050058332063</v>
      </c>
      <c r="GG424">
        <v>0.29759236750664797</v>
      </c>
      <c r="GH424">
        <v>0</v>
      </c>
      <c r="GI424">
        <v>0.19811143768461009</v>
      </c>
      <c r="GJ424"/>
      <c r="GK424">
        <v>0.56353189081523369</v>
      </c>
      <c r="GL424">
        <v>7.3740509229249462E-2</v>
      </c>
      <c r="GM424">
        <v>0.23585576644039991</v>
      </c>
      <c r="GN424">
        <v>0.34079383167279126</v>
      </c>
      <c r="GO424">
        <v>0.10493806523239137</v>
      </c>
      <c r="GP424">
        <v>0</v>
      </c>
      <c r="GQ424">
        <v>0.45369793096285549</v>
      </c>
      <c r="GR424">
        <v>0.45369793096285549</v>
      </c>
      <c r="GS424">
        <v>0</v>
      </c>
      <c r="GT424">
        <v>0.2716047306901761</v>
      </c>
      <c r="GU424"/>
      <c r="GV424"/>
      <c r="GW424"/>
      <c r="GX424"/>
      <c r="GY424"/>
      <c r="GZ424"/>
      <c r="HA424"/>
      <c r="HB424"/>
      <c r="HC424"/>
    </row>
    <row r="425" spans="1:211" s="7" customFormat="1">
      <c r="A425" s="4"/>
      <c r="B425" s="48" t="s">
        <v>40</v>
      </c>
      <c r="C425" s="107">
        <f t="shared" si="387"/>
        <v>7.9203986612074825E-2</v>
      </c>
      <c r="D425" s="190">
        <f>A$407</f>
        <v>4.03</v>
      </c>
      <c r="E425" s="8"/>
      <c r="F425" s="124"/>
      <c r="G425" s="217">
        <f t="shared" si="389"/>
        <v>0</v>
      </c>
      <c r="H425" s="217">
        <f t="shared" si="388"/>
        <v>0</v>
      </c>
      <c r="I425" s="217">
        <f t="shared" si="388"/>
        <v>0</v>
      </c>
      <c r="J425" s="217">
        <f t="shared" si="388"/>
        <v>0</v>
      </c>
      <c r="K425" s="217">
        <f t="shared" si="388"/>
        <v>7.9203986612074825E-2</v>
      </c>
      <c r="L425" s="217">
        <f t="shared" si="388"/>
        <v>0</v>
      </c>
      <c r="M425" s="217">
        <f t="shared" si="388"/>
        <v>0</v>
      </c>
      <c r="N425" s="217">
        <f t="shared" si="388"/>
        <v>0</v>
      </c>
      <c r="O425" s="217">
        <f t="shared" si="388"/>
        <v>0</v>
      </c>
      <c r="P425" s="217">
        <f t="shared" si="388"/>
        <v>0</v>
      </c>
      <c r="Q425" s="217">
        <f t="shared" si="388"/>
        <v>0</v>
      </c>
      <c r="R425" s="217">
        <f t="shared" si="388"/>
        <v>0</v>
      </c>
      <c r="S425" s="217">
        <f t="shared" si="388"/>
        <v>0</v>
      </c>
      <c r="T425" s="217">
        <f t="shared" si="388"/>
        <v>0</v>
      </c>
      <c r="U425" s="217">
        <f t="shared" si="388"/>
        <v>0</v>
      </c>
      <c r="V425" s="217">
        <f t="shared" si="388"/>
        <v>0</v>
      </c>
      <c r="W425" s="217">
        <f t="shared" si="388"/>
        <v>0</v>
      </c>
      <c r="X425" s="217">
        <f t="shared" si="388"/>
        <v>0</v>
      </c>
      <c r="Y425" s="217">
        <f t="shared" si="388"/>
        <v>0</v>
      </c>
      <c r="Z425" s="217">
        <f t="shared" si="388"/>
        <v>0</v>
      </c>
      <c r="AA425" s="217">
        <f t="shared" si="388"/>
        <v>0</v>
      </c>
      <c r="AB425" s="217">
        <f t="shared" si="388"/>
        <v>0</v>
      </c>
      <c r="AC425" s="217">
        <f t="shared" si="388"/>
        <v>0</v>
      </c>
      <c r="AD425" s="217">
        <f t="shared" si="388"/>
        <v>0</v>
      </c>
      <c r="AE425" s="217">
        <f t="shared" si="388"/>
        <v>0</v>
      </c>
      <c r="AF425" s="217">
        <f t="shared" si="388"/>
        <v>0</v>
      </c>
      <c r="AG425" s="217">
        <f t="shared" si="388"/>
        <v>0</v>
      </c>
      <c r="AH425" s="217">
        <f t="shared" si="388"/>
        <v>0</v>
      </c>
      <c r="AI425" s="217">
        <f t="shared" si="388"/>
        <v>0</v>
      </c>
      <c r="AJ425" s="217">
        <f t="shared" si="388"/>
        <v>0</v>
      </c>
      <c r="AK425" s="217">
        <f t="shared" si="388"/>
        <v>0</v>
      </c>
      <c r="AL425" s="4"/>
      <c r="AM425" s="43">
        <v>409</v>
      </c>
      <c r="AN425">
        <v>2.260416666666667</v>
      </c>
      <c r="AO425">
        <v>0.25315610842993508</v>
      </c>
      <c r="AP425">
        <v>8.9955587600371683</v>
      </c>
      <c r="AQ425">
        <v>1.8864186121076496</v>
      </c>
      <c r="AR425">
        <v>0.29904108560707721</v>
      </c>
      <c r="AS425">
        <v>1.7829217547781959</v>
      </c>
      <c r="AT425" t="e">
        <v>#DIV/0!</v>
      </c>
      <c r="AU425" t="e">
        <v>#DIV/0!</v>
      </c>
      <c r="AV425"/>
      <c r="AW425"/>
      <c r="FY425" s="211">
        <v>420</v>
      </c>
      <c r="FZ425">
        <v>1.4043179171682816</v>
      </c>
      <c r="GA425">
        <v>0.9492013034353769</v>
      </c>
      <c r="GB425">
        <v>0</v>
      </c>
      <c r="GC425">
        <v>3.4819274958961192E-2</v>
      </c>
      <c r="GD425">
        <v>2.6724553773673727E-2</v>
      </c>
      <c r="GE425">
        <v>0</v>
      </c>
      <c r="GF425">
        <v>0.33021050058332063</v>
      </c>
      <c r="GG425">
        <v>0.29759236750664797</v>
      </c>
      <c r="GH425">
        <v>0</v>
      </c>
      <c r="GI425">
        <v>0.2873985685957966</v>
      </c>
      <c r="GJ425"/>
      <c r="GK425">
        <v>1.414129186130114</v>
      </c>
      <c r="GL425">
        <v>0.81411144957417536</v>
      </c>
      <c r="GM425">
        <v>0</v>
      </c>
      <c r="GN425">
        <v>0.10493806523239137</v>
      </c>
      <c r="GO425">
        <v>0.10493806523239137</v>
      </c>
      <c r="GP425">
        <v>0</v>
      </c>
      <c r="GQ425">
        <v>0.45369793096285549</v>
      </c>
      <c r="GR425">
        <v>0.45369793096285549</v>
      </c>
      <c r="GS425">
        <v>0</v>
      </c>
      <c r="GT425">
        <v>0.39455303646507217</v>
      </c>
      <c r="GU425"/>
      <c r="GV425"/>
      <c r="GW425"/>
      <c r="GX425"/>
      <c r="GY425"/>
      <c r="GZ425"/>
      <c r="HA425"/>
      <c r="HB425"/>
      <c r="HC425"/>
    </row>
    <row r="426" spans="1:211" s="7" customFormat="1">
      <c r="A426" s="128" t="s">
        <v>92</v>
      </c>
      <c r="B426" s="48" t="s">
        <v>41</v>
      </c>
      <c r="C426" s="107">
        <f t="shared" si="387"/>
        <v>7.8958100610881349E-2</v>
      </c>
      <c r="D426" s="190">
        <f>A$408</f>
        <v>0.78</v>
      </c>
      <c r="E426" s="8"/>
      <c r="F426" s="124"/>
      <c r="G426" s="217">
        <f t="shared" si="389"/>
        <v>0</v>
      </c>
      <c r="H426" s="217">
        <f t="shared" si="388"/>
        <v>0</v>
      </c>
      <c r="I426" s="217">
        <f t="shared" si="388"/>
        <v>0</v>
      </c>
      <c r="J426" s="217">
        <f t="shared" si="388"/>
        <v>0</v>
      </c>
      <c r="K426" s="217">
        <f t="shared" si="388"/>
        <v>4.4138825651920163E-2</v>
      </c>
      <c r="L426" s="217">
        <f t="shared" si="388"/>
        <v>3.4819274958961192E-2</v>
      </c>
      <c r="M426" s="217">
        <f t="shared" si="388"/>
        <v>0</v>
      </c>
      <c r="N426" s="217">
        <f t="shared" si="388"/>
        <v>0</v>
      </c>
      <c r="O426" s="217">
        <f t="shared" si="388"/>
        <v>0</v>
      </c>
      <c r="P426" s="217">
        <f t="shared" si="388"/>
        <v>0</v>
      </c>
      <c r="Q426" s="217">
        <f t="shared" si="388"/>
        <v>0</v>
      </c>
      <c r="R426" s="217">
        <f t="shared" si="388"/>
        <v>0</v>
      </c>
      <c r="S426" s="217">
        <f t="shared" si="388"/>
        <v>0</v>
      </c>
      <c r="T426" s="217">
        <f t="shared" si="388"/>
        <v>0</v>
      </c>
      <c r="U426" s="217">
        <f t="shared" si="388"/>
        <v>0</v>
      </c>
      <c r="V426" s="217">
        <f t="shared" si="388"/>
        <v>0</v>
      </c>
      <c r="W426" s="217">
        <f t="shared" si="388"/>
        <v>0</v>
      </c>
      <c r="X426" s="217">
        <f t="shared" si="388"/>
        <v>0</v>
      </c>
      <c r="Y426" s="217">
        <f t="shared" si="388"/>
        <v>0</v>
      </c>
      <c r="Z426" s="217">
        <f t="shared" si="388"/>
        <v>0</v>
      </c>
      <c r="AA426" s="217">
        <f t="shared" si="388"/>
        <v>0</v>
      </c>
      <c r="AB426" s="217">
        <f t="shared" si="388"/>
        <v>0</v>
      </c>
      <c r="AC426" s="217">
        <f t="shared" si="388"/>
        <v>0</v>
      </c>
      <c r="AD426" s="217">
        <f t="shared" si="388"/>
        <v>0</v>
      </c>
      <c r="AE426" s="217">
        <f t="shared" si="388"/>
        <v>0</v>
      </c>
      <c r="AF426" s="217">
        <f t="shared" si="388"/>
        <v>0</v>
      </c>
      <c r="AG426" s="217">
        <f t="shared" si="388"/>
        <v>0</v>
      </c>
      <c r="AH426" s="217">
        <f t="shared" si="388"/>
        <v>0</v>
      </c>
      <c r="AI426" s="217">
        <f t="shared" si="388"/>
        <v>0</v>
      </c>
      <c r="AJ426" s="217">
        <f t="shared" si="388"/>
        <v>0</v>
      </c>
      <c r="AK426" s="217">
        <f t="shared" si="388"/>
        <v>0</v>
      </c>
      <c r="AL426" s="4"/>
      <c r="AM426" s="43">
        <v>410</v>
      </c>
      <c r="AN426">
        <v>2.4874999999999994</v>
      </c>
      <c r="AO426">
        <v>0.34002890794622187</v>
      </c>
      <c r="AP426">
        <v>10.76482327684348</v>
      </c>
      <c r="AQ426">
        <v>2.6616198452387687</v>
      </c>
      <c r="AR426">
        <v>0.36212699267731124</v>
      </c>
      <c r="AS426">
        <v>2.1962942437294926</v>
      </c>
      <c r="AT426" t="e">
        <v>#DIV/0!</v>
      </c>
      <c r="AU426" t="e">
        <v>#DIV/0!</v>
      </c>
      <c r="AV426"/>
      <c r="AW426"/>
      <c r="FY426" s="211">
        <v>421</v>
      </c>
      <c r="FZ426">
        <v>0.69409707871989279</v>
      </c>
      <c r="GA426">
        <v>8.725047411847664E-2</v>
      </c>
      <c r="GB426">
        <v>0.12565184548559416</v>
      </c>
      <c r="GC426">
        <v>6.9638549917922385E-2</v>
      </c>
      <c r="GD426">
        <v>0</v>
      </c>
      <c r="GE426">
        <v>0</v>
      </c>
      <c r="GF426">
        <v>0.33021050058332063</v>
      </c>
      <c r="GG426">
        <v>0.29759236750664797</v>
      </c>
      <c r="GH426">
        <v>0</v>
      </c>
      <c r="GI426">
        <v>0.19774393156740633</v>
      </c>
      <c r="GJ426"/>
      <c r="GK426">
        <v>0.69843891092668775</v>
      </c>
      <c r="GL426">
        <v>7.3740509229249462E-2</v>
      </c>
      <c r="GM426">
        <v>0.20987613046478273</v>
      </c>
      <c r="GN426">
        <v>0.20987613046478273</v>
      </c>
      <c r="GO426">
        <v>0</v>
      </c>
      <c r="GP426">
        <v>0</v>
      </c>
      <c r="GQ426">
        <v>0.45369793096285549</v>
      </c>
      <c r="GR426">
        <v>0.45369793096285549</v>
      </c>
      <c r="GS426">
        <v>0</v>
      </c>
      <c r="GT426">
        <v>0.27240259447086518</v>
      </c>
      <c r="GU426"/>
      <c r="GV426"/>
      <c r="GW426"/>
      <c r="GX426"/>
      <c r="GY426"/>
      <c r="GZ426"/>
      <c r="HA426"/>
      <c r="HB426"/>
      <c r="HC426"/>
    </row>
    <row r="427" spans="1:211" s="7" customFormat="1">
      <c r="A427" s="128" t="s">
        <v>93</v>
      </c>
      <c r="B427" s="48" t="s">
        <v>42</v>
      </c>
      <c r="C427" s="107">
        <f t="shared" si="387"/>
        <v>2.6724553773673727E-2</v>
      </c>
      <c r="D427" s="190">
        <f>A$409</f>
        <v>0.14000000000000001</v>
      </c>
      <c r="E427" s="8"/>
      <c r="F427" s="124"/>
      <c r="G427" s="217">
        <f t="shared" si="389"/>
        <v>0</v>
      </c>
      <c r="H427" s="217">
        <f t="shared" si="388"/>
        <v>0</v>
      </c>
      <c r="I427" s="217">
        <f t="shared" si="388"/>
        <v>0</v>
      </c>
      <c r="J427" s="217">
        <f t="shared" si="388"/>
        <v>0</v>
      </c>
      <c r="K427" s="217">
        <f t="shared" si="388"/>
        <v>0</v>
      </c>
      <c r="L427" s="217">
        <f t="shared" si="388"/>
        <v>2.6724553773673727E-2</v>
      </c>
      <c r="M427" s="217">
        <f t="shared" si="388"/>
        <v>0</v>
      </c>
      <c r="N427" s="217">
        <f t="shared" si="388"/>
        <v>0</v>
      </c>
      <c r="O427" s="217">
        <f t="shared" si="388"/>
        <v>0</v>
      </c>
      <c r="P427" s="217">
        <f t="shared" si="388"/>
        <v>0</v>
      </c>
      <c r="Q427" s="217">
        <f t="shared" si="388"/>
        <v>0</v>
      </c>
      <c r="R427" s="217">
        <f t="shared" si="388"/>
        <v>0</v>
      </c>
      <c r="S427" s="217">
        <f t="shared" si="388"/>
        <v>0</v>
      </c>
      <c r="T427" s="217">
        <f t="shared" si="388"/>
        <v>0</v>
      </c>
      <c r="U427" s="217">
        <f t="shared" si="388"/>
        <v>0</v>
      </c>
      <c r="V427" s="217">
        <f t="shared" si="388"/>
        <v>0</v>
      </c>
      <c r="W427" s="217">
        <f t="shared" si="388"/>
        <v>0</v>
      </c>
      <c r="X427" s="217">
        <f t="shared" si="388"/>
        <v>0</v>
      </c>
      <c r="Y427" s="217">
        <f t="shared" si="388"/>
        <v>0</v>
      </c>
      <c r="Z427" s="217">
        <f t="shared" si="388"/>
        <v>0</v>
      </c>
      <c r="AA427" s="217">
        <f t="shared" si="388"/>
        <v>0</v>
      </c>
      <c r="AB427" s="217">
        <f t="shared" si="388"/>
        <v>0</v>
      </c>
      <c r="AC427" s="217">
        <f t="shared" si="388"/>
        <v>0</v>
      </c>
      <c r="AD427" s="217">
        <f t="shared" si="388"/>
        <v>0</v>
      </c>
      <c r="AE427" s="217">
        <f t="shared" si="388"/>
        <v>0</v>
      </c>
      <c r="AF427" s="217">
        <f t="shared" si="388"/>
        <v>0</v>
      </c>
      <c r="AG427" s="217">
        <f t="shared" si="388"/>
        <v>0</v>
      </c>
      <c r="AH427" s="217">
        <f t="shared" si="388"/>
        <v>0</v>
      </c>
      <c r="AI427" s="217">
        <f t="shared" si="388"/>
        <v>0</v>
      </c>
      <c r="AJ427" s="217">
        <f t="shared" si="388"/>
        <v>0</v>
      </c>
      <c r="AK427" s="217">
        <f t="shared" si="388"/>
        <v>0</v>
      </c>
      <c r="AL427" s="4"/>
      <c r="AM427" s="43">
        <v>411</v>
      </c>
      <c r="AN427">
        <v>2.2999999999999998</v>
      </c>
      <c r="AO427">
        <v>0.23426069589826351</v>
      </c>
      <c r="AP427">
        <v>4.6645721406165128</v>
      </c>
      <c r="AQ427">
        <v>1.9436654293503246</v>
      </c>
      <c r="AR427">
        <v>0.28241292462127043</v>
      </c>
      <c r="AS427">
        <v>1.6695970379711262</v>
      </c>
      <c r="AT427" t="e">
        <v>#DIV/0!</v>
      </c>
      <c r="AU427" t="e">
        <v>#DIV/0!</v>
      </c>
      <c r="AV427"/>
      <c r="AW427"/>
      <c r="FY427" s="211">
        <v>422</v>
      </c>
      <c r="FZ427">
        <v>0.83057750159595056</v>
      </c>
      <c r="GA427">
        <v>0.26175142235542992</v>
      </c>
      <c r="GB427">
        <v>0</v>
      </c>
      <c r="GC427">
        <v>3.4819274958961192E-2</v>
      </c>
      <c r="GD427">
        <v>2.6724553773673727E-2</v>
      </c>
      <c r="GE427">
        <v>0</v>
      </c>
      <c r="GF427">
        <v>0.33021050058332063</v>
      </c>
      <c r="GG427">
        <v>0.29759236750664797</v>
      </c>
      <c r="GH427">
        <v>0</v>
      </c>
      <c r="GI427">
        <v>0.20269856322725885</v>
      </c>
      <c r="GJ427"/>
      <c r="GK427">
        <v>0.82876050639449539</v>
      </c>
      <c r="GL427">
        <v>0.22122152768774839</v>
      </c>
      <c r="GM427">
        <v>0</v>
      </c>
      <c r="GN427">
        <v>0.10493806523239137</v>
      </c>
      <c r="GO427">
        <v>0.10493806523239137</v>
      </c>
      <c r="GP427">
        <v>0</v>
      </c>
      <c r="GQ427">
        <v>0.45369793096285549</v>
      </c>
      <c r="GR427">
        <v>0.45369793096285549</v>
      </c>
      <c r="GS427">
        <v>0</v>
      </c>
      <c r="GT427">
        <v>0.27747930051794845</v>
      </c>
      <c r="GU427"/>
      <c r="GV427"/>
      <c r="GW427"/>
      <c r="GX427"/>
      <c r="GY427"/>
      <c r="GZ427"/>
      <c r="HA427"/>
      <c r="HB427"/>
      <c r="HC427"/>
    </row>
    <row r="428" spans="1:211" s="7" customFormat="1">
      <c r="A428" s="138" t="s">
        <v>95</v>
      </c>
      <c r="B428" s="48" t="s">
        <v>118</v>
      </c>
      <c r="C428" s="107">
        <f t="shared" si="387"/>
        <v>0</v>
      </c>
      <c r="D428" s="190">
        <f>A$410</f>
        <v>0.21</v>
      </c>
      <c r="E428" s="8"/>
      <c r="F428" s="124"/>
      <c r="G428" s="217">
        <f t="shared" si="389"/>
        <v>0</v>
      </c>
      <c r="H428" s="217">
        <f t="shared" si="388"/>
        <v>0</v>
      </c>
      <c r="I428" s="217">
        <f t="shared" si="388"/>
        <v>0</v>
      </c>
      <c r="J428" s="217">
        <f t="shared" si="388"/>
        <v>0</v>
      </c>
      <c r="K428" s="217">
        <f t="shared" si="388"/>
        <v>0</v>
      </c>
      <c r="L428" s="217">
        <f t="shared" si="388"/>
        <v>0</v>
      </c>
      <c r="M428" s="217">
        <f t="shared" si="388"/>
        <v>0</v>
      </c>
      <c r="N428" s="217">
        <f t="shared" si="388"/>
        <v>0</v>
      </c>
      <c r="O428" s="217">
        <f t="shared" si="388"/>
        <v>0</v>
      </c>
      <c r="P428" s="217">
        <f t="shared" si="388"/>
        <v>0</v>
      </c>
      <c r="Q428" s="217">
        <f t="shared" si="388"/>
        <v>0</v>
      </c>
      <c r="R428" s="217">
        <f t="shared" si="388"/>
        <v>0</v>
      </c>
      <c r="S428" s="217">
        <f t="shared" si="388"/>
        <v>0</v>
      </c>
      <c r="T428" s="217">
        <f t="shared" si="388"/>
        <v>0</v>
      </c>
      <c r="U428" s="217">
        <f t="shared" si="388"/>
        <v>0</v>
      </c>
      <c r="V428" s="217">
        <f t="shared" si="388"/>
        <v>0</v>
      </c>
      <c r="W428" s="217">
        <f t="shared" si="388"/>
        <v>0</v>
      </c>
      <c r="X428" s="217">
        <f t="shared" si="388"/>
        <v>0</v>
      </c>
      <c r="Y428" s="217">
        <f t="shared" si="388"/>
        <v>0</v>
      </c>
      <c r="Z428" s="217">
        <f t="shared" si="388"/>
        <v>0</v>
      </c>
      <c r="AA428" s="217">
        <f t="shared" si="388"/>
        <v>0</v>
      </c>
      <c r="AB428" s="217">
        <f t="shared" si="388"/>
        <v>0</v>
      </c>
      <c r="AC428" s="217">
        <f t="shared" si="388"/>
        <v>0</v>
      </c>
      <c r="AD428" s="217">
        <f t="shared" si="388"/>
        <v>0</v>
      </c>
      <c r="AE428" s="217">
        <f t="shared" si="388"/>
        <v>0</v>
      </c>
      <c r="AF428" s="217">
        <f t="shared" si="388"/>
        <v>0</v>
      </c>
      <c r="AG428" s="217">
        <f t="shared" si="388"/>
        <v>0</v>
      </c>
      <c r="AH428" s="217">
        <f t="shared" si="388"/>
        <v>0</v>
      </c>
      <c r="AI428" s="217">
        <f t="shared" si="388"/>
        <v>0</v>
      </c>
      <c r="AJ428" s="217">
        <f t="shared" si="388"/>
        <v>0</v>
      </c>
      <c r="AK428" s="217">
        <f t="shared" si="388"/>
        <v>0</v>
      </c>
      <c r="AL428" s="4"/>
      <c r="AM428" s="43">
        <v>412</v>
      </c>
      <c r="AN428">
        <v>3.3520833333333337</v>
      </c>
      <c r="AO428">
        <v>0.36459647282928676</v>
      </c>
      <c r="AP428">
        <v>14.473543095891515</v>
      </c>
      <c r="AQ428">
        <v>3.0443930082392661</v>
      </c>
      <c r="AR428">
        <v>0.38858552359667808</v>
      </c>
      <c r="AS428">
        <v>2.0060033413571423</v>
      </c>
      <c r="AT428" t="e">
        <v>#DIV/0!</v>
      </c>
      <c r="AU428" t="e">
        <v>#DIV/0!</v>
      </c>
      <c r="AV428"/>
      <c r="AW428"/>
      <c r="FY428" s="211">
        <v>423</v>
      </c>
      <c r="FZ428">
        <v>1.1882424450658879</v>
      </c>
      <c r="GA428">
        <v>0.47460065171768845</v>
      </c>
      <c r="GB428">
        <v>0</v>
      </c>
      <c r="GC428">
        <v>3.4819274958961192E-2</v>
      </c>
      <c r="GD428">
        <v>2.6724553773673727E-2</v>
      </c>
      <c r="GE428">
        <v>0</v>
      </c>
      <c r="GF428">
        <v>0.33021050058332063</v>
      </c>
      <c r="GG428">
        <v>0.29759236750664797</v>
      </c>
      <c r="GH428">
        <v>0</v>
      </c>
      <c r="GI428">
        <v>0.25551121990462949</v>
      </c>
      <c r="GJ428"/>
      <c r="GK428">
        <v>1.1932890925931465</v>
      </c>
      <c r="GL428">
        <v>0.40705572478708768</v>
      </c>
      <c r="GM428">
        <v>0</v>
      </c>
      <c r="GN428">
        <v>0.10493806523239137</v>
      </c>
      <c r="GO428">
        <v>0.10493806523239137</v>
      </c>
      <c r="GP428">
        <v>0</v>
      </c>
      <c r="GQ428">
        <v>0.45369793096285549</v>
      </c>
      <c r="GR428">
        <v>0.45369793096285549</v>
      </c>
      <c r="GS428">
        <v>0</v>
      </c>
      <c r="GT428">
        <v>0.35038501775767872</v>
      </c>
      <c r="GU428"/>
      <c r="GV428"/>
      <c r="GW428"/>
      <c r="GX428"/>
      <c r="GY428"/>
      <c r="GZ428"/>
      <c r="HA428"/>
      <c r="HB428"/>
      <c r="HC428"/>
    </row>
    <row r="429" spans="1:211" s="7" customFormat="1">
      <c r="A429" s="138" t="s">
        <v>94</v>
      </c>
      <c r="B429" s="48" t="s">
        <v>119</v>
      </c>
      <c r="C429" s="107">
        <f t="shared" si="387"/>
        <v>0.33021050058332063</v>
      </c>
      <c r="D429" s="190">
        <f>A$411</f>
        <v>1.28</v>
      </c>
      <c r="E429" s="8"/>
      <c r="F429" s="124"/>
      <c r="G429" s="217">
        <f t="shared" si="389"/>
        <v>0</v>
      </c>
      <c r="H429" s="217">
        <f t="shared" si="388"/>
        <v>0</v>
      </c>
      <c r="I429" s="217">
        <f t="shared" si="388"/>
        <v>0</v>
      </c>
      <c r="J429" s="217">
        <f t="shared" si="388"/>
        <v>0</v>
      </c>
      <c r="K429" s="217">
        <f t="shared" si="388"/>
        <v>0</v>
      </c>
      <c r="L429" s="217">
        <f t="shared" si="388"/>
        <v>0</v>
      </c>
      <c r="M429" s="217">
        <f t="shared" si="388"/>
        <v>0</v>
      </c>
      <c r="N429" s="217">
        <f t="shared" si="388"/>
        <v>0</v>
      </c>
      <c r="O429" s="217">
        <f t="shared" si="388"/>
        <v>0.33021050058332063</v>
      </c>
      <c r="P429" s="217">
        <f t="shared" si="388"/>
        <v>0</v>
      </c>
      <c r="Q429" s="217">
        <f t="shared" si="388"/>
        <v>0</v>
      </c>
      <c r="R429" s="217">
        <f t="shared" si="388"/>
        <v>0</v>
      </c>
      <c r="S429" s="217">
        <f t="shared" si="388"/>
        <v>0</v>
      </c>
      <c r="T429" s="217">
        <f t="shared" si="388"/>
        <v>0</v>
      </c>
      <c r="U429" s="217">
        <f t="shared" si="388"/>
        <v>0</v>
      </c>
      <c r="V429" s="217">
        <f t="shared" si="388"/>
        <v>0</v>
      </c>
      <c r="W429" s="217">
        <f t="shared" si="388"/>
        <v>0</v>
      </c>
      <c r="X429" s="217">
        <f t="shared" si="388"/>
        <v>0</v>
      </c>
      <c r="Y429" s="217">
        <f t="shared" si="388"/>
        <v>0</v>
      </c>
      <c r="Z429" s="217">
        <f t="shared" si="388"/>
        <v>0</v>
      </c>
      <c r="AA429" s="217">
        <f t="shared" si="388"/>
        <v>0</v>
      </c>
      <c r="AB429" s="217">
        <f t="shared" si="388"/>
        <v>0</v>
      </c>
      <c r="AC429" s="217">
        <f t="shared" si="388"/>
        <v>0</v>
      </c>
      <c r="AD429" s="217">
        <f t="shared" si="388"/>
        <v>0</v>
      </c>
      <c r="AE429" s="217">
        <f t="shared" si="388"/>
        <v>0</v>
      </c>
      <c r="AF429" s="217">
        <f t="shared" si="388"/>
        <v>0</v>
      </c>
      <c r="AG429" s="217">
        <f t="shared" si="388"/>
        <v>0</v>
      </c>
      <c r="AH429" s="217">
        <f t="shared" si="388"/>
        <v>0</v>
      </c>
      <c r="AI429" s="217">
        <f t="shared" si="388"/>
        <v>0</v>
      </c>
      <c r="AJ429" s="217">
        <f t="shared" si="388"/>
        <v>0</v>
      </c>
      <c r="AK429" s="217">
        <f t="shared" si="388"/>
        <v>0</v>
      </c>
      <c r="AL429" s="4"/>
      <c r="AM429" s="43">
        <v>413</v>
      </c>
      <c r="AN429">
        <v>2.6729166666666662</v>
      </c>
      <c r="AO429">
        <v>0.37459987323314348</v>
      </c>
      <c r="AP429">
        <v>9.9015642526076721</v>
      </c>
      <c r="AQ429">
        <v>3.2140906052551705</v>
      </c>
      <c r="AR429">
        <v>0.39034228842647845</v>
      </c>
      <c r="AS429">
        <v>2.0746728284743616</v>
      </c>
      <c r="AT429" t="e">
        <v>#DIV/0!</v>
      </c>
      <c r="AU429" t="e">
        <v>#DIV/0!</v>
      </c>
      <c r="AV429"/>
      <c r="AW429"/>
      <c r="FY429" s="211">
        <v>424</v>
      </c>
      <c r="FZ429">
        <v>1.3454494975542242</v>
      </c>
      <c r="GA429">
        <v>0.86195082931690026</v>
      </c>
      <c r="GB429">
        <v>0.204855832097669</v>
      </c>
      <c r="GC429">
        <v>0.18341592548776492</v>
      </c>
      <c r="GD429">
        <v>5.3449107547347455E-2</v>
      </c>
      <c r="GE429">
        <v>0</v>
      </c>
      <c r="GF429">
        <v>0.33021050058332063</v>
      </c>
      <c r="GG429">
        <v>0.29759236750664797</v>
      </c>
      <c r="GH429">
        <v>0</v>
      </c>
      <c r="GI429">
        <v>0.34451495253054082</v>
      </c>
      <c r="GJ429"/>
      <c r="GK429">
        <v>1.3530295463158417</v>
      </c>
      <c r="GL429">
        <v>0.7403709403449259</v>
      </c>
      <c r="GM429">
        <v>0.34079383167279126</v>
      </c>
      <c r="GN429">
        <v>0.55066996213757402</v>
      </c>
      <c r="GO429">
        <v>0.20987613046478273</v>
      </c>
      <c r="GP429">
        <v>0</v>
      </c>
      <c r="GQ429">
        <v>0.45369793096285549</v>
      </c>
      <c r="GR429">
        <v>0.45369793096285549</v>
      </c>
      <c r="GS429">
        <v>0</v>
      </c>
      <c r="GT429">
        <v>0.47147948788325428</v>
      </c>
      <c r="GU429"/>
      <c r="GV429"/>
      <c r="GW429"/>
      <c r="GX429"/>
      <c r="GY429"/>
      <c r="GZ429"/>
      <c r="HA429"/>
      <c r="HB429"/>
      <c r="HC429"/>
    </row>
    <row r="430" spans="1:211" s="7" customFormat="1">
      <c r="A430" s="128" t="s">
        <v>18</v>
      </c>
      <c r="B430" s="48" t="s">
        <v>120</v>
      </c>
      <c r="C430" s="107">
        <f t="shared" si="387"/>
        <v>0.29759236750664797</v>
      </c>
      <c r="D430" s="190">
        <f>A$412</f>
        <v>4</v>
      </c>
      <c r="E430" s="8"/>
      <c r="F430" s="124"/>
      <c r="G430" s="217">
        <f t="shared" si="389"/>
        <v>0</v>
      </c>
      <c r="H430" s="217">
        <f t="shared" si="388"/>
        <v>0</v>
      </c>
      <c r="I430" s="217">
        <f t="shared" si="388"/>
        <v>0</v>
      </c>
      <c r="J430" s="217">
        <f t="shared" si="388"/>
        <v>0</v>
      </c>
      <c r="K430" s="217">
        <f t="shared" si="388"/>
        <v>0</v>
      </c>
      <c r="L430" s="217">
        <f t="shared" si="388"/>
        <v>0</v>
      </c>
      <c r="M430" s="217">
        <f t="shared" si="388"/>
        <v>0</v>
      </c>
      <c r="N430" s="217">
        <f t="shared" si="388"/>
        <v>0</v>
      </c>
      <c r="O430" s="217">
        <f t="shared" si="388"/>
        <v>0.29759236750664797</v>
      </c>
      <c r="P430" s="217">
        <f t="shared" si="388"/>
        <v>0</v>
      </c>
      <c r="Q430" s="217">
        <f t="shared" si="388"/>
        <v>0</v>
      </c>
      <c r="R430" s="217">
        <f t="shared" si="388"/>
        <v>0</v>
      </c>
      <c r="S430" s="217">
        <f t="shared" si="388"/>
        <v>0</v>
      </c>
      <c r="T430" s="217">
        <f t="shared" si="388"/>
        <v>0</v>
      </c>
      <c r="U430" s="217">
        <f t="shared" si="388"/>
        <v>0</v>
      </c>
      <c r="V430" s="217">
        <f t="shared" si="388"/>
        <v>0</v>
      </c>
      <c r="W430" s="217">
        <f t="shared" si="388"/>
        <v>0</v>
      </c>
      <c r="X430" s="217">
        <f t="shared" si="388"/>
        <v>0</v>
      </c>
      <c r="Y430" s="217">
        <f t="shared" si="388"/>
        <v>0</v>
      </c>
      <c r="Z430" s="217">
        <f t="shared" si="388"/>
        <v>0</v>
      </c>
      <c r="AA430" s="217">
        <f t="shared" si="388"/>
        <v>0</v>
      </c>
      <c r="AB430" s="217">
        <f t="shared" si="388"/>
        <v>0</v>
      </c>
      <c r="AC430" s="217">
        <f t="shared" si="388"/>
        <v>0</v>
      </c>
      <c r="AD430" s="217">
        <f t="shared" si="388"/>
        <v>0</v>
      </c>
      <c r="AE430" s="217">
        <f t="shared" si="388"/>
        <v>0</v>
      </c>
      <c r="AF430" s="217">
        <f t="shared" si="388"/>
        <v>0</v>
      </c>
      <c r="AG430" s="217">
        <f t="shared" si="388"/>
        <v>0</v>
      </c>
      <c r="AH430" s="217">
        <f t="shared" si="388"/>
        <v>0</v>
      </c>
      <c r="AI430" s="217">
        <f t="shared" si="388"/>
        <v>0</v>
      </c>
      <c r="AJ430" s="217">
        <f t="shared" si="388"/>
        <v>0</v>
      </c>
      <c r="AK430" s="217">
        <f t="shared" si="388"/>
        <v>0</v>
      </c>
      <c r="AL430" s="4"/>
      <c r="AM430" s="43">
        <v>414</v>
      </c>
      <c r="AN430">
        <v>2.3572916666666663</v>
      </c>
      <c r="AO430">
        <v>0.36742889916256666</v>
      </c>
      <c r="AP430">
        <v>13.547290559230312</v>
      </c>
      <c r="AQ430">
        <v>2.8048155519776996</v>
      </c>
      <c r="AR430">
        <v>0.3982641127080927</v>
      </c>
      <c r="AS430">
        <v>2.1192653561331456</v>
      </c>
      <c r="AT430" t="e">
        <v>#DIV/0!</v>
      </c>
      <c r="AU430" t="e">
        <v>#DIV/0!</v>
      </c>
      <c r="AV430"/>
      <c r="AW430"/>
      <c r="FY430" s="211">
        <v>425</v>
      </c>
      <c r="FZ430">
        <v>1.3639817512198529</v>
      </c>
      <c r="GA430">
        <v>0.56185112583616514</v>
      </c>
      <c r="GB430">
        <v>6.282592274279708E-2</v>
      </c>
      <c r="GC430">
        <v>6.9638549917922385E-2</v>
      </c>
      <c r="GD430">
        <v>2.6724553773673727E-2</v>
      </c>
      <c r="GE430">
        <v>0</v>
      </c>
      <c r="GF430">
        <v>0.33021050058332063</v>
      </c>
      <c r="GG430">
        <v>0.29759236750664797</v>
      </c>
      <c r="GH430">
        <v>0</v>
      </c>
      <c r="GI430">
        <v>0.29692217577685531</v>
      </c>
      <c r="GJ430"/>
      <c r="GK430">
        <v>1.3722670100389363</v>
      </c>
      <c r="GL430">
        <v>0.48079623401633714</v>
      </c>
      <c r="GM430">
        <v>0.10493806523239137</v>
      </c>
      <c r="GN430">
        <v>0.20987613046478273</v>
      </c>
      <c r="GO430">
        <v>0.10493806523239137</v>
      </c>
      <c r="GP430">
        <v>0</v>
      </c>
      <c r="GQ430">
        <v>0.45369793096285549</v>
      </c>
      <c r="GR430">
        <v>0.45369793096285549</v>
      </c>
      <c r="GS430">
        <v>0</v>
      </c>
      <c r="GT430">
        <v>0.4071682142933149</v>
      </c>
      <c r="GU430"/>
      <c r="GV430"/>
      <c r="GW430"/>
      <c r="GX430"/>
      <c r="GY430"/>
      <c r="GZ430"/>
      <c r="HA430"/>
      <c r="HB430"/>
      <c r="HC430"/>
    </row>
    <row r="431" spans="1:211" s="7" customFormat="1">
      <c r="A431" s="128" t="s">
        <v>17</v>
      </c>
      <c r="B431" s="48" t="s">
        <v>121</v>
      </c>
      <c r="C431" s="107">
        <f t="shared" si="387"/>
        <v>0</v>
      </c>
      <c r="D431" s="190">
        <f>A$413</f>
        <v>7.33</v>
      </c>
      <c r="E431" s="8"/>
      <c r="F431" s="124"/>
      <c r="G431" s="217">
        <f t="shared" si="389"/>
        <v>0</v>
      </c>
      <c r="H431" s="217">
        <f t="shared" si="388"/>
        <v>0</v>
      </c>
      <c r="I431" s="217">
        <f t="shared" si="388"/>
        <v>0</v>
      </c>
      <c r="J431" s="217">
        <f t="shared" si="388"/>
        <v>0</v>
      </c>
      <c r="K431" s="217">
        <f t="shared" si="388"/>
        <v>0</v>
      </c>
      <c r="L431" s="217">
        <f t="shared" si="388"/>
        <v>0</v>
      </c>
      <c r="M431" s="217">
        <f t="shared" si="388"/>
        <v>0</v>
      </c>
      <c r="N431" s="217">
        <f t="shared" si="388"/>
        <v>0</v>
      </c>
      <c r="O431" s="217">
        <f t="shared" si="388"/>
        <v>0</v>
      </c>
      <c r="P431" s="217">
        <f t="shared" si="388"/>
        <v>0</v>
      </c>
      <c r="Q431" s="217">
        <f t="shared" si="388"/>
        <v>0</v>
      </c>
      <c r="R431" s="217">
        <f t="shared" si="388"/>
        <v>0</v>
      </c>
      <c r="S431" s="217">
        <f t="shared" si="388"/>
        <v>0</v>
      </c>
      <c r="T431" s="217">
        <f t="shared" si="388"/>
        <v>0</v>
      </c>
      <c r="U431" s="217">
        <f t="shared" si="388"/>
        <v>0</v>
      </c>
      <c r="V431" s="217">
        <f t="shared" si="388"/>
        <v>0</v>
      </c>
      <c r="W431" s="217">
        <f t="shared" si="388"/>
        <v>0</v>
      </c>
      <c r="X431" s="217">
        <f t="shared" si="388"/>
        <v>0</v>
      </c>
      <c r="Y431" s="217">
        <f t="shared" si="388"/>
        <v>0</v>
      </c>
      <c r="Z431" s="217">
        <f t="shared" si="388"/>
        <v>0</v>
      </c>
      <c r="AA431" s="217">
        <f t="shared" si="388"/>
        <v>0</v>
      </c>
      <c r="AB431" s="217">
        <f t="shared" si="388"/>
        <v>0</v>
      </c>
      <c r="AC431" s="217">
        <f t="shared" si="388"/>
        <v>0</v>
      </c>
      <c r="AD431" s="217">
        <f t="shared" si="388"/>
        <v>0</v>
      </c>
      <c r="AE431" s="217">
        <f t="shared" si="388"/>
        <v>0</v>
      </c>
      <c r="AF431" s="217">
        <f t="shared" si="388"/>
        <v>0</v>
      </c>
      <c r="AG431" s="217">
        <f t="shared" si="388"/>
        <v>0</v>
      </c>
      <c r="AH431" s="217">
        <f t="shared" si="388"/>
        <v>0</v>
      </c>
      <c r="AI431" s="217">
        <f t="shared" si="388"/>
        <v>0</v>
      </c>
      <c r="AJ431" s="217">
        <f t="shared" si="388"/>
        <v>0</v>
      </c>
      <c r="AK431" s="217">
        <f t="shared" si="388"/>
        <v>0</v>
      </c>
      <c r="AL431" s="4"/>
      <c r="AM431" s="43">
        <v>415</v>
      </c>
      <c r="AN431">
        <v>2.6052083333333331</v>
      </c>
      <c r="AO431">
        <v>0.35192794284722206</v>
      </c>
      <c r="AP431">
        <v>5.6493267361852908</v>
      </c>
      <c r="AQ431">
        <v>3.1237947536292947</v>
      </c>
      <c r="AR431">
        <v>0.38540247921233661</v>
      </c>
      <c r="AS431">
        <v>2.4067776581511295</v>
      </c>
      <c r="AT431" t="e">
        <v>#DIV/0!</v>
      </c>
      <c r="AU431" t="e">
        <v>#DIV/0!</v>
      </c>
      <c r="AV431"/>
      <c r="AW431"/>
      <c r="FY431" s="211">
        <v>426</v>
      </c>
      <c r="FZ431">
        <v>1.0021286935531193</v>
      </c>
      <c r="GA431">
        <v>0.38735017759921181</v>
      </c>
      <c r="GB431">
        <v>0.14202990935487192</v>
      </c>
      <c r="GC431">
        <v>0.14859665052880375</v>
      </c>
      <c r="GD431">
        <v>5.3449107547347455E-2</v>
      </c>
      <c r="GE431">
        <v>0</v>
      </c>
      <c r="GF431">
        <v>0.33021050058332063</v>
      </c>
      <c r="GG431">
        <v>0.29759236750664797</v>
      </c>
      <c r="GH431">
        <v>0</v>
      </c>
      <c r="GI431">
        <v>0.27822330968107412</v>
      </c>
      <c r="GJ431"/>
      <c r="GK431">
        <v>1.007845340715976</v>
      </c>
      <c r="GL431">
        <v>0.33331521555783822</v>
      </c>
      <c r="GM431">
        <v>0.23585576644039991</v>
      </c>
      <c r="GN431">
        <v>0.44573189690518267</v>
      </c>
      <c r="GO431">
        <v>0.20987613046478273</v>
      </c>
      <c r="GP431">
        <v>0</v>
      </c>
      <c r="GQ431">
        <v>0.45369793096285549</v>
      </c>
      <c r="GR431">
        <v>0.45369793096285549</v>
      </c>
      <c r="GS431">
        <v>0</v>
      </c>
      <c r="GT431">
        <v>0.38145503371680278</v>
      </c>
      <c r="GU431"/>
      <c r="GV431"/>
      <c r="GW431"/>
      <c r="GX431"/>
      <c r="GY431"/>
      <c r="GZ431"/>
      <c r="HA431"/>
      <c r="HB431"/>
      <c r="HC431"/>
    </row>
    <row r="432" spans="1:211" s="7" customFormat="1">
      <c r="A432" s="4"/>
      <c r="B432" s="48" t="s">
        <v>122</v>
      </c>
      <c r="C432" s="107">
        <f t="shared" si="387"/>
        <v>0.27158138088662481</v>
      </c>
      <c r="D432" s="190">
        <f>A$414</f>
        <v>10.51</v>
      </c>
      <c r="E432" s="8"/>
      <c r="F432" s="124"/>
      <c r="G432" s="217">
        <f t="shared" si="389"/>
        <v>0</v>
      </c>
      <c r="H432" s="217">
        <f t="shared" ref="H432:AK432" si="390">(($A$453+$A$455*(H$422)+($A$457*$D432))*($E30*H46))</f>
        <v>0</v>
      </c>
      <c r="I432" s="217">
        <f t="shared" si="390"/>
        <v>2.1617925736171547E-2</v>
      </c>
      <c r="J432" s="217">
        <f t="shared" si="390"/>
        <v>6.3588447144773741E-2</v>
      </c>
      <c r="K432" s="217">
        <f t="shared" si="390"/>
        <v>5.8212288360537323E-2</v>
      </c>
      <c r="L432" s="217">
        <f t="shared" si="390"/>
        <v>1.5457407608109288E-2</v>
      </c>
      <c r="M432" s="217">
        <f t="shared" si="390"/>
        <v>4.8631591008273717E-2</v>
      </c>
      <c r="N432" s="217">
        <f t="shared" si="390"/>
        <v>0</v>
      </c>
      <c r="O432" s="217">
        <f t="shared" si="390"/>
        <v>6.407372102875919E-2</v>
      </c>
      <c r="P432" s="217">
        <f t="shared" si="390"/>
        <v>0</v>
      </c>
      <c r="Q432" s="217">
        <f t="shared" si="390"/>
        <v>0</v>
      </c>
      <c r="R432" s="217">
        <f t="shared" si="390"/>
        <v>0</v>
      </c>
      <c r="S432" s="217">
        <f t="shared" si="390"/>
        <v>0</v>
      </c>
      <c r="T432" s="217">
        <f t="shared" si="390"/>
        <v>0</v>
      </c>
      <c r="U432" s="217">
        <f t="shared" si="390"/>
        <v>0</v>
      </c>
      <c r="V432" s="217">
        <f t="shared" si="390"/>
        <v>0</v>
      </c>
      <c r="W432" s="217">
        <f t="shared" si="390"/>
        <v>0</v>
      </c>
      <c r="X432" s="217">
        <f t="shared" si="390"/>
        <v>0</v>
      </c>
      <c r="Y432" s="217">
        <f t="shared" si="390"/>
        <v>0</v>
      </c>
      <c r="Z432" s="217">
        <f t="shared" si="390"/>
        <v>0</v>
      </c>
      <c r="AA432" s="217">
        <f t="shared" si="390"/>
        <v>0</v>
      </c>
      <c r="AB432" s="217">
        <f t="shared" si="390"/>
        <v>0</v>
      </c>
      <c r="AC432" s="217">
        <f t="shared" si="390"/>
        <v>0</v>
      </c>
      <c r="AD432" s="217">
        <f t="shared" si="390"/>
        <v>0</v>
      </c>
      <c r="AE432" s="217">
        <f t="shared" si="390"/>
        <v>0</v>
      </c>
      <c r="AF432" s="217">
        <f t="shared" si="390"/>
        <v>0</v>
      </c>
      <c r="AG432" s="217">
        <f t="shared" si="390"/>
        <v>0</v>
      </c>
      <c r="AH432" s="217">
        <f t="shared" si="390"/>
        <v>0</v>
      </c>
      <c r="AI432" s="217">
        <f t="shared" si="390"/>
        <v>0</v>
      </c>
      <c r="AJ432" s="217">
        <f t="shared" si="390"/>
        <v>0</v>
      </c>
      <c r="AK432" s="217">
        <f t="shared" si="390"/>
        <v>0</v>
      </c>
      <c r="AL432" s="4"/>
      <c r="AM432" s="43">
        <v>416</v>
      </c>
      <c r="AN432">
        <v>1.1562499999999998</v>
      </c>
      <c r="AO432">
        <v>0.12316221607565332</v>
      </c>
      <c r="AP432">
        <v>1.2816558953166293</v>
      </c>
      <c r="AQ432">
        <v>1.0460667264067305</v>
      </c>
      <c r="AR432">
        <v>0.17549059771581541</v>
      </c>
      <c r="AS432">
        <v>1.1108617344848546</v>
      </c>
      <c r="AT432" t="e">
        <v>#DIV/0!</v>
      </c>
      <c r="AU432" t="e">
        <v>#DIV/0!</v>
      </c>
      <c r="AV432"/>
      <c r="AW432"/>
      <c r="FY432" s="211">
        <v>427</v>
      </c>
      <c r="FZ432">
        <v>1.0180640821328248</v>
      </c>
      <c r="GA432">
        <v>0.38735017759921181</v>
      </c>
      <c r="GB432">
        <v>0.15840797322414965</v>
      </c>
      <c r="GC432">
        <v>0.1579162012217627</v>
      </c>
      <c r="GD432">
        <v>5.3449107547347455E-2</v>
      </c>
      <c r="GE432">
        <v>0</v>
      </c>
      <c r="GF432">
        <v>0.66042100116664126</v>
      </c>
      <c r="GG432">
        <v>0.59518473501329594</v>
      </c>
      <c r="GH432">
        <v>0</v>
      </c>
      <c r="GI432">
        <v>0.34860087623593189</v>
      </c>
      <c r="GJ432"/>
      <c r="GK432">
        <v>1.0239462943621298</v>
      </c>
      <c r="GL432">
        <v>0.33331521555783822</v>
      </c>
      <c r="GM432">
        <v>0.26183540241601705</v>
      </c>
      <c r="GN432">
        <v>0.47171153288079981</v>
      </c>
      <c r="GO432">
        <v>0.20987613046478273</v>
      </c>
      <c r="GP432">
        <v>0</v>
      </c>
      <c r="GQ432">
        <v>0.90739586192571098</v>
      </c>
      <c r="GR432">
        <v>0.90739586192571098</v>
      </c>
      <c r="GS432">
        <v>0</v>
      </c>
      <c r="GT432">
        <v>0.4806107378337281</v>
      </c>
      <c r="GU432"/>
      <c r="GV432"/>
      <c r="GW432"/>
      <c r="GX432"/>
      <c r="GY432"/>
      <c r="GZ432"/>
      <c r="HA432"/>
      <c r="HB432"/>
      <c r="HC432"/>
    </row>
    <row r="433" spans="1:211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2.8374999999999999</v>
      </c>
      <c r="AO433">
        <v>0.502874653005696</v>
      </c>
      <c r="AP433">
        <v>12.582976599313101</v>
      </c>
      <c r="AQ433">
        <v>4.0421450838804551</v>
      </c>
      <c r="AR433">
        <v>0.49974222571789989</v>
      </c>
      <c r="AS433">
        <v>2.7116837125248421</v>
      </c>
      <c r="AT433" t="e">
        <v>#DIV/0!</v>
      </c>
      <c r="AU433" t="e">
        <v>#DIV/0!</v>
      </c>
      <c r="AV433"/>
      <c r="AW433"/>
      <c r="FY433" s="211">
        <v>428</v>
      </c>
      <c r="FZ433">
        <v>1.4191167393747</v>
      </c>
      <c r="GA433">
        <v>0.47460065171768845</v>
      </c>
      <c r="GB433">
        <v>0.28405981870974384</v>
      </c>
      <c r="GC433">
        <v>0.1927354761807239</v>
      </c>
      <c r="GD433">
        <v>2.6724553773673727E-2</v>
      </c>
      <c r="GE433">
        <v>0</v>
      </c>
      <c r="GF433">
        <v>0</v>
      </c>
      <c r="GG433">
        <v>0</v>
      </c>
      <c r="GH433">
        <v>0</v>
      </c>
      <c r="GI433">
        <v>0.29513110223176475</v>
      </c>
      <c r="GJ433"/>
      <c r="GK433">
        <v>1.4326616415481912</v>
      </c>
      <c r="GL433">
        <v>0.40705572478708768</v>
      </c>
      <c r="GM433">
        <v>0.47171153288079981</v>
      </c>
      <c r="GN433">
        <v>0.57664959811319116</v>
      </c>
      <c r="GO433">
        <v>0.10493806523239137</v>
      </c>
      <c r="GP433">
        <v>0</v>
      </c>
      <c r="GQ433">
        <v>0</v>
      </c>
      <c r="GR433">
        <v>0</v>
      </c>
      <c r="GS433">
        <v>0</v>
      </c>
      <c r="GT433">
        <v>0.40186224793227654</v>
      </c>
      <c r="GU433"/>
      <c r="GV433"/>
      <c r="GW433"/>
      <c r="GX433"/>
      <c r="GY433"/>
      <c r="GZ433"/>
      <c r="HA433"/>
      <c r="HB433"/>
      <c r="HC433"/>
    </row>
    <row r="434" spans="1:211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2.4979166666666672</v>
      </c>
      <c r="AO434">
        <v>0.22517917182213706</v>
      </c>
      <c r="AP434">
        <v>4.9149393075804371</v>
      </c>
      <c r="AQ434">
        <v>1.9980180761739046</v>
      </c>
      <c r="AR434">
        <v>0.28476672869979158</v>
      </c>
      <c r="AS434">
        <v>1.6180215065526253</v>
      </c>
      <c r="AT434" t="e">
        <v>#DIV/0!</v>
      </c>
      <c r="AU434" t="e">
        <v>#DIV/0!</v>
      </c>
      <c r="AV434"/>
      <c r="AW434"/>
      <c r="FY434" s="211">
        <v>429</v>
      </c>
      <c r="FZ434">
        <v>1.3792882661220891</v>
      </c>
      <c r="GA434">
        <v>0.64910159995464167</v>
      </c>
      <c r="GB434">
        <v>0.14202990935487192</v>
      </c>
      <c r="GC434">
        <v>0.11377737556984255</v>
      </c>
      <c r="GD434">
        <v>2.6724553773673727E-2</v>
      </c>
      <c r="GE434">
        <v>0</v>
      </c>
      <c r="GF434">
        <v>0.33021050058332063</v>
      </c>
      <c r="GG434">
        <v>0.29759236750664797</v>
      </c>
      <c r="GH434">
        <v>0</v>
      </c>
      <c r="GI434">
        <v>0.31869217152047979</v>
      </c>
      <c r="GJ434"/>
      <c r="GK434">
        <v>1.384288847916687</v>
      </c>
      <c r="GL434">
        <v>0.55453674324558655</v>
      </c>
      <c r="GM434">
        <v>0.23585576644039991</v>
      </c>
      <c r="GN434">
        <v>0.34079383167279126</v>
      </c>
      <c r="GO434">
        <v>0.10493806523239137</v>
      </c>
      <c r="GP434">
        <v>0</v>
      </c>
      <c r="GQ434">
        <v>0.45369793096285549</v>
      </c>
      <c r="GR434">
        <v>0.45369793096285549</v>
      </c>
      <c r="GS434">
        <v>0</v>
      </c>
      <c r="GT434">
        <v>0.43575612211046677</v>
      </c>
      <c r="GU434"/>
      <c r="GV434"/>
      <c r="GW434"/>
      <c r="GX434"/>
      <c r="GY434"/>
      <c r="GZ434"/>
      <c r="HA434"/>
      <c r="HB434"/>
      <c r="HC434"/>
    </row>
    <row r="435" spans="1:211" s="7" customFormat="1">
      <c r="A435" s="4"/>
      <c r="B435" s="52" t="s">
        <v>53</v>
      </c>
      <c r="C435" s="53">
        <f>SUM(C423:C434)</f>
        <v>2.811354820403801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2.1093749999999991</v>
      </c>
      <c r="AO435">
        <v>0.2497860656005953</v>
      </c>
      <c r="AP435">
        <v>9.363123641001236</v>
      </c>
      <c r="AQ435">
        <v>1.7602879645228546</v>
      </c>
      <c r="AR435">
        <v>0.2716047306901761</v>
      </c>
      <c r="AS435">
        <v>1.820093246843999</v>
      </c>
      <c r="AT435" t="e">
        <v>#DIV/0!</v>
      </c>
      <c r="AU435" t="e">
        <v>#DIV/0!</v>
      </c>
      <c r="AV435"/>
      <c r="AW435"/>
      <c r="FY435" s="211">
        <v>430</v>
      </c>
      <c r="FZ435">
        <v>2.1928200850896173</v>
      </c>
      <c r="GA435">
        <v>1.5494007103968472</v>
      </c>
      <c r="GB435">
        <v>0.14202990935487192</v>
      </c>
      <c r="GC435">
        <v>0.14859665052880375</v>
      </c>
      <c r="GD435">
        <v>5.3449107547347455E-2</v>
      </c>
      <c r="GE435">
        <v>0</v>
      </c>
      <c r="GF435">
        <v>0</v>
      </c>
      <c r="GG435">
        <v>0</v>
      </c>
      <c r="GH435">
        <v>0</v>
      </c>
      <c r="GI435">
        <v>0.39018771821976617</v>
      </c>
      <c r="GJ435"/>
      <c r="GK435">
        <v>2.2139031597076899</v>
      </c>
      <c r="GL435">
        <v>1.3332608622313529</v>
      </c>
      <c r="GM435">
        <v>0.23585576644039991</v>
      </c>
      <c r="GN435">
        <v>0.44573189690518267</v>
      </c>
      <c r="GO435">
        <v>0.20987613046478273</v>
      </c>
      <c r="GP435">
        <v>0</v>
      </c>
      <c r="GQ435">
        <v>0</v>
      </c>
      <c r="GR435">
        <v>0</v>
      </c>
      <c r="GS435">
        <v>0</v>
      </c>
      <c r="GT435">
        <v>0.53192701132257447</v>
      </c>
      <c r="GU435"/>
      <c r="GV435"/>
      <c r="GW435"/>
      <c r="GX435"/>
      <c r="GY435"/>
      <c r="GZ435"/>
      <c r="HA435"/>
      <c r="HB435"/>
      <c r="HC435"/>
    </row>
    <row r="436" spans="1:211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2.9124999999999992</v>
      </c>
      <c r="AO436">
        <v>0.37400656645598546</v>
      </c>
      <c r="AP436">
        <v>9.8123471450997641</v>
      </c>
      <c r="AQ436">
        <v>3.3302644860220587</v>
      </c>
      <c r="AR436">
        <v>0.39455303646507217</v>
      </c>
      <c r="AS436">
        <v>2.1322421754134586</v>
      </c>
      <c r="AT436" t="e">
        <v>#DIV/0!</v>
      </c>
      <c r="AU436" t="e">
        <v>#DIV/0!</v>
      </c>
      <c r="AV436"/>
      <c r="AW436"/>
      <c r="FY436" s="211">
        <v>431</v>
      </c>
      <c r="FZ436">
        <v>1.6943900051828502</v>
      </c>
      <c r="GA436">
        <v>1.3365514810345887</v>
      </c>
      <c r="GB436">
        <v>6.282592274279708E-2</v>
      </c>
      <c r="GC436">
        <v>6.9638549917922385E-2</v>
      </c>
      <c r="GD436">
        <v>2.6724553773673727E-2</v>
      </c>
      <c r="GE436">
        <v>0</v>
      </c>
      <c r="GF436">
        <v>0.33021050058332063</v>
      </c>
      <c r="GG436">
        <v>0.29759236750664797</v>
      </c>
      <c r="GH436">
        <v>0</v>
      </c>
      <c r="GI436">
        <v>0.34570925088808657</v>
      </c>
      <c r="GJ436"/>
      <c r="GK436">
        <v>1.7090452920870793</v>
      </c>
      <c r="GL436">
        <v>1.1474266651320135</v>
      </c>
      <c r="GM436">
        <v>0.10493806523239137</v>
      </c>
      <c r="GN436">
        <v>0.20987613046478273</v>
      </c>
      <c r="GO436">
        <v>0.10493806523239137</v>
      </c>
      <c r="GP436">
        <v>0</v>
      </c>
      <c r="GQ436">
        <v>0.45369793096285549</v>
      </c>
      <c r="GR436">
        <v>0.45369793096285549</v>
      </c>
      <c r="GS436">
        <v>0</v>
      </c>
      <c r="GT436">
        <v>0.4745238707029435</v>
      </c>
      <c r="GU436"/>
      <c r="GV436"/>
      <c r="GW436"/>
      <c r="GX436"/>
      <c r="GY436"/>
      <c r="GZ436"/>
      <c r="HA436"/>
      <c r="HB436"/>
      <c r="HC436"/>
    </row>
    <row r="437" spans="1:211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1.2604166666666665</v>
      </c>
      <c r="AO437">
        <v>0.23717301374820784</v>
      </c>
      <c r="AP437">
        <v>8.7687707271833801</v>
      </c>
      <c r="AQ437">
        <v>1.8021847478992608</v>
      </c>
      <c r="AR437">
        <v>0.27240259447086518</v>
      </c>
      <c r="AS437">
        <v>1.2749398512253887</v>
      </c>
      <c r="AT437" t="e">
        <v>#DIV/0!</v>
      </c>
      <c r="AU437" t="e">
        <v>#DIV/0!</v>
      </c>
      <c r="AV437"/>
      <c r="AW437"/>
      <c r="FY437" s="211">
        <v>432</v>
      </c>
      <c r="FZ437">
        <v>0.68949734570837728</v>
      </c>
      <c r="GA437">
        <v>8.725047411847664E-2</v>
      </c>
      <c r="GB437">
        <v>7.9203986612074825E-2</v>
      </c>
      <c r="GC437">
        <v>7.8958100610881349E-2</v>
      </c>
      <c r="GD437">
        <v>2.6724553773673727E-2</v>
      </c>
      <c r="GE437">
        <v>0</v>
      </c>
      <c r="GF437">
        <v>0.33021050058332063</v>
      </c>
      <c r="GG437">
        <v>0.29759236750664797</v>
      </c>
      <c r="GH437">
        <v>0</v>
      </c>
      <c r="GI437">
        <v>0.20108379084601705</v>
      </c>
      <c r="GJ437"/>
      <c r="GK437">
        <v>0.69130208518578828</v>
      </c>
      <c r="GL437">
        <v>7.3740509229249462E-2</v>
      </c>
      <c r="GM437">
        <v>0.13091770120800852</v>
      </c>
      <c r="GN437">
        <v>0.23585576644039991</v>
      </c>
      <c r="GO437">
        <v>0.10493806523239137</v>
      </c>
      <c r="GP437">
        <v>0</v>
      </c>
      <c r="GQ437">
        <v>0.45369793096285549</v>
      </c>
      <c r="GR437">
        <v>0.45369793096285549</v>
      </c>
      <c r="GS437">
        <v>0</v>
      </c>
      <c r="GT437">
        <v>0.27617115651780877</v>
      </c>
      <c r="GU437"/>
      <c r="GV437"/>
      <c r="GW437"/>
      <c r="GX437"/>
      <c r="GY437"/>
      <c r="GZ437"/>
      <c r="HA437"/>
      <c r="HB437"/>
      <c r="HC437"/>
    </row>
    <row r="438" spans="1:211" s="7" customFormat="1">
      <c r="A438" s="1">
        <f>SUM(E4:E15)</f>
        <v>100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3.2291666666666656</v>
      </c>
      <c r="AO438">
        <v>0.2444733326990686</v>
      </c>
      <c r="AP438">
        <v>8.1575047540156262</v>
      </c>
      <c r="AQ438">
        <v>1.984374184001243</v>
      </c>
      <c r="AR438">
        <v>0.27747930051794845</v>
      </c>
      <c r="AS438">
        <v>1.7967760566957691</v>
      </c>
      <c r="AT438" t="e">
        <v>#DIV/0!</v>
      </c>
      <c r="AU438" t="e">
        <v>#DIV/0!</v>
      </c>
      <c r="AV438"/>
      <c r="AW438"/>
      <c r="FY438" s="211">
        <v>433</v>
      </c>
      <c r="FZ438">
        <v>0.72368879825229326</v>
      </c>
      <c r="GA438">
        <v>0</v>
      </c>
      <c r="GB438">
        <v>7.9203986612074825E-2</v>
      </c>
      <c r="GC438">
        <v>7.8958100610881349E-2</v>
      </c>
      <c r="GD438">
        <v>2.6724553773673727E-2</v>
      </c>
      <c r="GE438">
        <v>0</v>
      </c>
      <c r="GF438">
        <v>0.99063150174996206</v>
      </c>
      <c r="GG438">
        <v>0.89277710251994391</v>
      </c>
      <c r="GH438">
        <v>0</v>
      </c>
      <c r="GI438">
        <v>0.33423844991519652</v>
      </c>
      <c r="GJ438"/>
      <c r="GK438">
        <v>0.7275533007271977</v>
      </c>
      <c r="GL438">
        <v>0</v>
      </c>
      <c r="GM438">
        <v>0.13091770120800852</v>
      </c>
      <c r="GN438">
        <v>0.23585576644039991</v>
      </c>
      <c r="GO438">
        <v>0.10493806523239137</v>
      </c>
      <c r="GP438">
        <v>0</v>
      </c>
      <c r="GQ438">
        <v>1.3610937928885667</v>
      </c>
      <c r="GR438">
        <v>1.3610937928885667</v>
      </c>
      <c r="GS438">
        <v>0</v>
      </c>
      <c r="GT438">
        <v>0.46490057201123286</v>
      </c>
      <c r="GU438"/>
      <c r="GV438"/>
      <c r="GW438"/>
      <c r="GX438"/>
      <c r="GY438"/>
      <c r="GZ438"/>
      <c r="HA438"/>
      <c r="HB438"/>
      <c r="HC438"/>
    </row>
    <row r="439" spans="1:211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3.2895833333333329</v>
      </c>
      <c r="AO439">
        <v>0.30680018275284071</v>
      </c>
      <c r="AP439">
        <v>9.5686465474496138</v>
      </c>
      <c r="AQ439">
        <v>2.6077010135108094</v>
      </c>
      <c r="AR439">
        <v>0.35038501775767872</v>
      </c>
      <c r="AS439">
        <v>1.911513262493594</v>
      </c>
      <c r="AT439" t="e">
        <v>#DIV/0!</v>
      </c>
      <c r="AU439" t="e">
        <v>#DIV/0!</v>
      </c>
      <c r="AV439"/>
      <c r="AW439"/>
      <c r="FY439" s="211">
        <v>434</v>
      </c>
      <c r="FZ439">
        <v>0.88907196692059687</v>
      </c>
      <c r="GA439">
        <v>0.17450094823695328</v>
      </c>
      <c r="GB439">
        <v>0.15840797322414965</v>
      </c>
      <c r="GC439">
        <v>8.8277651303840327E-2</v>
      </c>
      <c r="GD439">
        <v>0</v>
      </c>
      <c r="GE439">
        <v>0</v>
      </c>
      <c r="GF439">
        <v>0</v>
      </c>
      <c r="GG439">
        <v>0</v>
      </c>
      <c r="GH439">
        <v>0</v>
      </c>
      <c r="GI439">
        <v>0.17055078801261356</v>
      </c>
      <c r="GJ439"/>
      <c r="GK439">
        <v>0.89047917774599394</v>
      </c>
      <c r="GL439">
        <v>0.14748101845849892</v>
      </c>
      <c r="GM439">
        <v>0.26183540241601705</v>
      </c>
      <c r="GN439">
        <v>0.26183540241601705</v>
      </c>
      <c r="GO439">
        <v>0</v>
      </c>
      <c r="GP439">
        <v>0</v>
      </c>
      <c r="GQ439">
        <v>0</v>
      </c>
      <c r="GR439">
        <v>0</v>
      </c>
      <c r="GS439">
        <v>0</v>
      </c>
      <c r="GT439">
        <v>0.23046291603240218</v>
      </c>
      <c r="GU439"/>
      <c r="GV439"/>
      <c r="GW439"/>
      <c r="GX439"/>
      <c r="GY439"/>
      <c r="GZ439"/>
      <c r="HA439"/>
      <c r="HB439"/>
      <c r="HC439"/>
    </row>
    <row r="440" spans="1:211" s="7" customFormat="1">
      <c r="A440" s="1">
        <v>8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3.0635416666666666</v>
      </c>
      <c r="AO440">
        <v>0.45736157607448807</v>
      </c>
      <c r="AP440">
        <v>12.716650233609711</v>
      </c>
      <c r="AQ440">
        <v>3.6214390126244158</v>
      </c>
      <c r="AR440">
        <v>0.47147948788325422</v>
      </c>
      <c r="AS440">
        <v>2.652066057587231</v>
      </c>
      <c r="AT440" t="e">
        <v>#DIV/0!</v>
      </c>
      <c r="AU440" t="e">
        <v>#DIV/0!</v>
      </c>
      <c r="AV440"/>
      <c r="AW440"/>
      <c r="FY440" s="211">
        <v>435</v>
      </c>
      <c r="FZ440">
        <v>1.1986761741274572</v>
      </c>
      <c r="GA440">
        <v>0.56185112583616514</v>
      </c>
      <c r="GB440">
        <v>6.282592274279708E-2</v>
      </c>
      <c r="GC440">
        <v>6.9638549917922385E-2</v>
      </c>
      <c r="GD440">
        <v>2.6724553773673727E-2</v>
      </c>
      <c r="GE440">
        <v>0</v>
      </c>
      <c r="GF440">
        <v>0</v>
      </c>
      <c r="GG440">
        <v>0</v>
      </c>
      <c r="GH440">
        <v>0</v>
      </c>
      <c r="GI440">
        <v>0.2084297981547984</v>
      </c>
      <c r="GJ440"/>
      <c r="GK440">
        <v>1.2041175711394085</v>
      </c>
      <c r="GL440">
        <v>0.48079623401633714</v>
      </c>
      <c r="GM440">
        <v>0.10493806523239137</v>
      </c>
      <c r="GN440">
        <v>0.20987613046478273</v>
      </c>
      <c r="GO440">
        <v>0.10493806523239137</v>
      </c>
      <c r="GP440">
        <v>0</v>
      </c>
      <c r="GQ440">
        <v>0</v>
      </c>
      <c r="GR440">
        <v>0</v>
      </c>
      <c r="GS440">
        <v>0</v>
      </c>
      <c r="GT440">
        <v>0.28279874032083824</v>
      </c>
      <c r="GU440"/>
      <c r="GV440"/>
      <c r="GW440"/>
      <c r="GX440"/>
      <c r="GY440"/>
      <c r="GZ440"/>
      <c r="HA440"/>
      <c r="HB440"/>
      <c r="HC440"/>
    </row>
    <row r="441" spans="1:211" s="7" customFormat="1">
      <c r="A441" s="21" t="s">
        <v>97</v>
      </c>
      <c r="B441" s="48" t="s">
        <v>38</v>
      </c>
      <c r="C441" s="107">
        <f t="shared" ref="C441:C450" si="391">SUM(G441:AK441)</f>
        <v>1.1652328045944125</v>
      </c>
      <c r="D441" s="190">
        <f>$A$405</f>
        <v>13.69</v>
      </c>
      <c r="E441" s="8"/>
      <c r="F441" s="124"/>
      <c r="G441" s="107" t="str">
        <f>IF(G423&lt;=0, "0.000", G423)</f>
        <v>0.000</v>
      </c>
      <c r="H441" s="107" t="str">
        <f t="shared" ref="H441:AK441" si="392">IF(H423&lt;=0, "0.000", H423)</f>
        <v>0.000</v>
      </c>
      <c r="I441" s="107">
        <f t="shared" si="392"/>
        <v>0.14571417419733884</v>
      </c>
      <c r="J441" s="107">
        <f t="shared" si="392"/>
        <v>0.42874096195683947</v>
      </c>
      <c r="K441" s="107">
        <f t="shared" si="392"/>
        <v>0.26181966064520135</v>
      </c>
      <c r="L441" s="107" t="str">
        <f t="shared" si="392"/>
        <v>0.000</v>
      </c>
      <c r="M441" s="107">
        <f t="shared" si="392"/>
        <v>0.3289580077950327</v>
      </c>
      <c r="N441" s="107" t="str">
        <f t="shared" si="392"/>
        <v>0.000</v>
      </c>
      <c r="O441" s="107" t="str">
        <f t="shared" si="392"/>
        <v>0.000</v>
      </c>
      <c r="P441" s="107" t="str">
        <f t="shared" si="392"/>
        <v>0.000</v>
      </c>
      <c r="Q441" s="107" t="str">
        <f t="shared" si="392"/>
        <v>0.000</v>
      </c>
      <c r="R441" s="107" t="str">
        <f t="shared" si="392"/>
        <v>0.000</v>
      </c>
      <c r="S441" s="107" t="str">
        <f t="shared" si="392"/>
        <v>0.000</v>
      </c>
      <c r="T441" s="107" t="str">
        <f t="shared" si="392"/>
        <v>0.000</v>
      </c>
      <c r="U441" s="107" t="str">
        <f t="shared" si="392"/>
        <v>0.000</v>
      </c>
      <c r="V441" s="107" t="str">
        <f t="shared" si="392"/>
        <v>0.000</v>
      </c>
      <c r="W441" s="107" t="str">
        <f t="shared" si="392"/>
        <v>0.000</v>
      </c>
      <c r="X441" s="107" t="str">
        <f t="shared" si="392"/>
        <v>0.000</v>
      </c>
      <c r="Y441" s="107" t="str">
        <f t="shared" si="392"/>
        <v>0.000</v>
      </c>
      <c r="Z441" s="107" t="str">
        <f t="shared" si="392"/>
        <v>0.000</v>
      </c>
      <c r="AA441" s="107" t="str">
        <f t="shared" si="392"/>
        <v>0.000</v>
      </c>
      <c r="AB441" s="107" t="str">
        <f t="shared" si="392"/>
        <v>0.000</v>
      </c>
      <c r="AC441" s="107" t="str">
        <f t="shared" si="392"/>
        <v>0.000</v>
      </c>
      <c r="AD441" s="107" t="str">
        <f t="shared" si="392"/>
        <v>0.000</v>
      </c>
      <c r="AE441" s="107" t="str">
        <f t="shared" si="392"/>
        <v>0.000</v>
      </c>
      <c r="AF441" s="107" t="str">
        <f t="shared" si="392"/>
        <v>0.000</v>
      </c>
      <c r="AG441" s="107" t="str">
        <f t="shared" si="392"/>
        <v>0.000</v>
      </c>
      <c r="AH441" s="107" t="str">
        <f t="shared" si="392"/>
        <v>0.000</v>
      </c>
      <c r="AI441" s="107" t="str">
        <f t="shared" si="392"/>
        <v>0.000</v>
      </c>
      <c r="AJ441" s="107" t="str">
        <f t="shared" si="392"/>
        <v>0.000</v>
      </c>
      <c r="AK441" s="107" t="str">
        <f t="shared" si="392"/>
        <v>0.000</v>
      </c>
      <c r="AL441" s="4"/>
      <c r="AM441" s="43">
        <v>425</v>
      </c>
      <c r="AN441">
        <v>2.3833333333333324</v>
      </c>
      <c r="AO441">
        <v>0.3587379581203865</v>
      </c>
      <c r="AP441">
        <v>8.4693223959411092</v>
      </c>
      <c r="AQ441">
        <v>3.0097469473572351</v>
      </c>
      <c r="AR441">
        <v>0.40716821429331485</v>
      </c>
      <c r="AS441">
        <v>2.1415421780206501</v>
      </c>
      <c r="AT441" t="e">
        <v>#DIV/0!</v>
      </c>
      <c r="AU441" t="e">
        <v>#DIV/0!</v>
      </c>
      <c r="AV441"/>
      <c r="AW441"/>
      <c r="FY441" s="211">
        <v>436</v>
      </c>
      <c r="FZ441">
        <v>0.90138900571025882</v>
      </c>
      <c r="GA441">
        <v>0.38735017759921181</v>
      </c>
      <c r="GB441">
        <v>0.14202990935487192</v>
      </c>
      <c r="GC441">
        <v>0.14859665052880375</v>
      </c>
      <c r="GD441">
        <v>5.3449107547347455E-2</v>
      </c>
      <c r="GE441">
        <v>0</v>
      </c>
      <c r="GF441">
        <v>0</v>
      </c>
      <c r="GG441">
        <v>0</v>
      </c>
      <c r="GH441">
        <v>0</v>
      </c>
      <c r="GI441">
        <v>0.19920684014655599</v>
      </c>
      <c r="GJ441"/>
      <c r="GK441">
        <v>0.90745892764078828</v>
      </c>
      <c r="GL441">
        <v>0.33331521555783822</v>
      </c>
      <c r="GM441">
        <v>0.23585576644039991</v>
      </c>
      <c r="GN441">
        <v>0.44573189690518267</v>
      </c>
      <c r="GO441">
        <v>0.20987613046478273</v>
      </c>
      <c r="GP441">
        <v>0</v>
      </c>
      <c r="GQ441">
        <v>0</v>
      </c>
      <c r="GR441">
        <v>0</v>
      </c>
      <c r="GS441">
        <v>0</v>
      </c>
      <c r="GT441">
        <v>0.27063816490919418</v>
      </c>
      <c r="GU441"/>
      <c r="GV441"/>
      <c r="GW441"/>
      <c r="GX441"/>
      <c r="GY441"/>
      <c r="GZ441"/>
      <c r="HA441"/>
      <c r="HB441"/>
      <c r="HC441"/>
    </row>
    <row r="442" spans="1:211" s="7" customFormat="1">
      <c r="A442" s="1">
        <v>385</v>
      </c>
      <c r="B442" s="48" t="s">
        <v>39</v>
      </c>
      <c r="C442" s="107">
        <f t="shared" si="391"/>
        <v>0.56185112583616514</v>
      </c>
      <c r="D442" s="190">
        <f>$A$406</f>
        <v>9.4499999999999993</v>
      </c>
      <c r="E442" s="8"/>
      <c r="F442" s="124"/>
      <c r="G442" s="173" t="str">
        <f t="shared" ref="G442:G450" si="393">IF(G424&lt;=0, "0.000", G424)</f>
        <v>0.000</v>
      </c>
      <c r="H442" s="173" t="str">
        <f t="shared" ref="H442:V442" si="394">IF(H424&lt;=0, "0.000", H424)</f>
        <v>0.000</v>
      </c>
      <c r="I442" s="173" t="str">
        <f t="shared" si="394"/>
        <v>0.000</v>
      </c>
      <c r="J442" s="173">
        <f t="shared" si="394"/>
        <v>5.0718472902251059E-2</v>
      </c>
      <c r="K442" s="173">
        <f t="shared" si="394"/>
        <v>0.12378247533470221</v>
      </c>
      <c r="L442" s="173" t="str">
        <f t="shared" si="394"/>
        <v>0.000</v>
      </c>
      <c r="M442" s="173">
        <f t="shared" si="394"/>
        <v>0.38735017759921181</v>
      </c>
      <c r="N442" s="173" t="str">
        <f t="shared" si="394"/>
        <v>0.000</v>
      </c>
      <c r="O442" s="173" t="str">
        <f t="shared" si="394"/>
        <v>0.000</v>
      </c>
      <c r="P442" s="173" t="str">
        <f t="shared" si="394"/>
        <v>0.000</v>
      </c>
      <c r="Q442" s="173" t="str">
        <f t="shared" si="394"/>
        <v>0.000</v>
      </c>
      <c r="R442" s="173" t="str">
        <f t="shared" si="394"/>
        <v>0.000</v>
      </c>
      <c r="S442" s="173" t="str">
        <f t="shared" si="394"/>
        <v>0.000</v>
      </c>
      <c r="T442" s="173" t="str">
        <f t="shared" si="394"/>
        <v>0.000</v>
      </c>
      <c r="U442" s="173" t="str">
        <f t="shared" si="394"/>
        <v>0.000</v>
      </c>
      <c r="V442" s="173" t="str">
        <f t="shared" si="394"/>
        <v>0.000</v>
      </c>
      <c r="W442" s="173" t="str">
        <f t="shared" ref="W442:AK442" si="395">IF(W424&lt;=0, "0.000", W424)</f>
        <v>0.000</v>
      </c>
      <c r="X442" s="173" t="str">
        <f t="shared" si="395"/>
        <v>0.000</v>
      </c>
      <c r="Y442" s="173" t="str">
        <f t="shared" si="395"/>
        <v>0.000</v>
      </c>
      <c r="Z442" s="173" t="str">
        <f t="shared" si="395"/>
        <v>0.000</v>
      </c>
      <c r="AA442" s="173" t="str">
        <f t="shared" si="395"/>
        <v>0.000</v>
      </c>
      <c r="AB442" s="173" t="str">
        <f t="shared" si="395"/>
        <v>0.000</v>
      </c>
      <c r="AC442" s="173" t="str">
        <f t="shared" si="395"/>
        <v>0.000</v>
      </c>
      <c r="AD442" s="173" t="str">
        <f t="shared" si="395"/>
        <v>0.000</v>
      </c>
      <c r="AE442" s="173" t="str">
        <f t="shared" si="395"/>
        <v>0.000</v>
      </c>
      <c r="AF442" s="173" t="str">
        <f t="shared" si="395"/>
        <v>0.000</v>
      </c>
      <c r="AG442" s="173" t="str">
        <f t="shared" si="395"/>
        <v>0.000</v>
      </c>
      <c r="AH442" s="173" t="str">
        <f t="shared" si="395"/>
        <v>0.000</v>
      </c>
      <c r="AI442" s="173" t="str">
        <f t="shared" si="395"/>
        <v>0.000</v>
      </c>
      <c r="AJ442" s="173" t="str">
        <f t="shared" si="395"/>
        <v>0.000</v>
      </c>
      <c r="AK442" s="173" t="str">
        <f t="shared" si="395"/>
        <v>0.000</v>
      </c>
      <c r="AL442" s="4"/>
      <c r="AM442" s="43">
        <v>426</v>
      </c>
      <c r="AN442">
        <v>2.5760416666666663</v>
      </c>
      <c r="AO442">
        <v>0.35214752457266929</v>
      </c>
      <c r="AP442">
        <v>11.159829827445874</v>
      </c>
      <c r="AQ442">
        <v>2.6395807163543972</v>
      </c>
      <c r="AR442">
        <v>0.38145503371680284</v>
      </c>
      <c r="AS442">
        <v>2.0418659953846809</v>
      </c>
      <c r="AT442" t="e">
        <v>#DIV/0!</v>
      </c>
      <c r="AU442" t="e">
        <v>#DIV/0!</v>
      </c>
      <c r="AV442"/>
      <c r="AW442"/>
      <c r="FY442" s="211">
        <v>437</v>
      </c>
      <c r="FZ442">
        <v>0.96532602128232459</v>
      </c>
      <c r="GA442">
        <v>0.38735017759921181</v>
      </c>
      <c r="GB442">
        <v>7.9203986612074825E-2</v>
      </c>
      <c r="GC442">
        <v>4.4138825651920163E-2</v>
      </c>
      <c r="GD442">
        <v>0</v>
      </c>
      <c r="GE442">
        <v>0</v>
      </c>
      <c r="GF442">
        <v>0</v>
      </c>
      <c r="GG442">
        <v>0</v>
      </c>
      <c r="GH442">
        <v>0</v>
      </c>
      <c r="GI442">
        <v>0.1623192680191835</v>
      </c>
      <c r="GJ442"/>
      <c r="GK442">
        <v>0.97114283769672527</v>
      </c>
      <c r="GL442">
        <v>0.33331521555783822</v>
      </c>
      <c r="GM442">
        <v>0.13091770120800852</v>
      </c>
      <c r="GN442">
        <v>0.13091770120800852</v>
      </c>
      <c r="GO442">
        <v>0</v>
      </c>
      <c r="GP442">
        <v>0</v>
      </c>
      <c r="GQ442">
        <v>0</v>
      </c>
      <c r="GR442">
        <v>0</v>
      </c>
      <c r="GS442">
        <v>0</v>
      </c>
      <c r="GT442">
        <v>0.22041210778094678</v>
      </c>
      <c r="GU442"/>
      <c r="GV442"/>
      <c r="GW442"/>
      <c r="GX442"/>
      <c r="GY442"/>
      <c r="GZ442"/>
      <c r="HA442"/>
      <c r="HB442"/>
      <c r="HC442"/>
    </row>
    <row r="443" spans="1:211" s="7" customFormat="1">
      <c r="A443" s="103" t="s">
        <v>98</v>
      </c>
      <c r="B443" s="48" t="s">
        <v>40</v>
      </c>
      <c r="C443" s="107">
        <f t="shared" si="391"/>
        <v>7.9203986612074825E-2</v>
      </c>
      <c r="D443" s="190">
        <f>A$407</f>
        <v>4.03</v>
      </c>
      <c r="E443" s="8"/>
      <c r="F443" s="124"/>
      <c r="G443" s="173" t="str">
        <f t="shared" si="393"/>
        <v>0.000</v>
      </c>
      <c r="H443" s="173" t="str">
        <f t="shared" ref="H443:V443" si="396">IF(H425&lt;=0, "0.000", H425)</f>
        <v>0.000</v>
      </c>
      <c r="I443" s="173" t="str">
        <f t="shared" si="396"/>
        <v>0.000</v>
      </c>
      <c r="J443" s="173" t="str">
        <f t="shared" si="396"/>
        <v>0.000</v>
      </c>
      <c r="K443" s="173">
        <f t="shared" si="396"/>
        <v>7.9203986612074825E-2</v>
      </c>
      <c r="L443" s="173" t="str">
        <f t="shared" si="396"/>
        <v>0.000</v>
      </c>
      <c r="M443" s="173" t="str">
        <f t="shared" si="396"/>
        <v>0.000</v>
      </c>
      <c r="N443" s="173" t="str">
        <f t="shared" si="396"/>
        <v>0.000</v>
      </c>
      <c r="O443" s="173" t="str">
        <f t="shared" si="396"/>
        <v>0.000</v>
      </c>
      <c r="P443" s="173" t="str">
        <f t="shared" si="396"/>
        <v>0.000</v>
      </c>
      <c r="Q443" s="173" t="str">
        <f t="shared" si="396"/>
        <v>0.000</v>
      </c>
      <c r="R443" s="173" t="str">
        <f t="shared" si="396"/>
        <v>0.000</v>
      </c>
      <c r="S443" s="173" t="str">
        <f t="shared" si="396"/>
        <v>0.000</v>
      </c>
      <c r="T443" s="173" t="str">
        <f t="shared" si="396"/>
        <v>0.000</v>
      </c>
      <c r="U443" s="173" t="str">
        <f t="shared" si="396"/>
        <v>0.000</v>
      </c>
      <c r="V443" s="173" t="str">
        <f t="shared" si="396"/>
        <v>0.000</v>
      </c>
      <c r="W443" s="173" t="str">
        <f t="shared" ref="W443:AK443" si="397">IF(W425&lt;=0, "0.000", W425)</f>
        <v>0.000</v>
      </c>
      <c r="X443" s="173" t="str">
        <f t="shared" si="397"/>
        <v>0.000</v>
      </c>
      <c r="Y443" s="173" t="str">
        <f t="shared" si="397"/>
        <v>0.000</v>
      </c>
      <c r="Z443" s="173" t="str">
        <f t="shared" si="397"/>
        <v>0.000</v>
      </c>
      <c r="AA443" s="173" t="str">
        <f t="shared" si="397"/>
        <v>0.000</v>
      </c>
      <c r="AB443" s="173" t="str">
        <f t="shared" si="397"/>
        <v>0.000</v>
      </c>
      <c r="AC443" s="173" t="str">
        <f t="shared" si="397"/>
        <v>0.000</v>
      </c>
      <c r="AD443" s="173" t="str">
        <f t="shared" si="397"/>
        <v>0.000</v>
      </c>
      <c r="AE443" s="173" t="str">
        <f t="shared" si="397"/>
        <v>0.000</v>
      </c>
      <c r="AF443" s="173" t="str">
        <f t="shared" si="397"/>
        <v>0.000</v>
      </c>
      <c r="AG443" s="173" t="str">
        <f t="shared" si="397"/>
        <v>0.000</v>
      </c>
      <c r="AH443" s="173" t="str">
        <f t="shared" si="397"/>
        <v>0.000</v>
      </c>
      <c r="AI443" s="173" t="str">
        <f t="shared" si="397"/>
        <v>0.000</v>
      </c>
      <c r="AJ443" s="173" t="str">
        <f t="shared" si="397"/>
        <v>0.000</v>
      </c>
      <c r="AK443" s="173" t="str">
        <f t="shared" si="397"/>
        <v>0.000</v>
      </c>
      <c r="AL443" s="4"/>
      <c r="AM443" s="43">
        <v>427</v>
      </c>
      <c r="AN443">
        <v>2.5499999999999998</v>
      </c>
      <c r="AO443">
        <v>0.45960870373667173</v>
      </c>
      <c r="AP443">
        <v>17.524317981561527</v>
      </c>
      <c r="AQ443">
        <v>3.3793941541411661</v>
      </c>
      <c r="AR443">
        <v>0.4806107378337281</v>
      </c>
      <c r="AS443">
        <v>2.4845607385791264</v>
      </c>
      <c r="AT443" t="e">
        <v>#DIV/0!</v>
      </c>
      <c r="AU443" t="e">
        <v>#DIV/0!</v>
      </c>
      <c r="AV443"/>
      <c r="AW443"/>
      <c r="FY443" s="211">
        <v>438</v>
      </c>
      <c r="FZ443">
        <v>1.0755555450585415</v>
      </c>
      <c r="GA443">
        <v>0.47460065171768845</v>
      </c>
      <c r="GB443">
        <v>6.282592274279708E-2</v>
      </c>
      <c r="GC443">
        <v>6.9638549917922385E-2</v>
      </c>
      <c r="GD443">
        <v>2.6724553773673727E-2</v>
      </c>
      <c r="GE443">
        <v>0</v>
      </c>
      <c r="GF443">
        <v>0</v>
      </c>
      <c r="GG443">
        <v>0</v>
      </c>
      <c r="GH443">
        <v>0</v>
      </c>
      <c r="GI443">
        <v>0.19017552935457621</v>
      </c>
      <c r="GJ443"/>
      <c r="GK443">
        <v>1.0811494737630243</v>
      </c>
      <c r="GL443">
        <v>0.40705572478708768</v>
      </c>
      <c r="GM443">
        <v>0.10493806523239137</v>
      </c>
      <c r="GN443">
        <v>0.20987613046478273</v>
      </c>
      <c r="GO443">
        <v>0.10493806523239137</v>
      </c>
      <c r="GP443">
        <v>0</v>
      </c>
      <c r="GQ443">
        <v>0</v>
      </c>
      <c r="GR443">
        <v>0</v>
      </c>
      <c r="GS443">
        <v>0</v>
      </c>
      <c r="GT443">
        <v>0.25820512084556135</v>
      </c>
      <c r="GU443"/>
      <c r="GV443"/>
      <c r="GW443"/>
      <c r="GX443"/>
      <c r="GY443"/>
      <c r="GZ443"/>
      <c r="HA443"/>
      <c r="HB443"/>
      <c r="HC443"/>
    </row>
    <row r="444" spans="1:211" s="7" customFormat="1">
      <c r="A444" s="1">
        <v>345</v>
      </c>
      <c r="B444" s="48" t="s">
        <v>41</v>
      </c>
      <c r="C444" s="107">
        <f t="shared" si="391"/>
        <v>7.8958100610881349E-2</v>
      </c>
      <c r="D444" s="190">
        <f>A$408</f>
        <v>0.78</v>
      </c>
      <c r="E444" s="8"/>
      <c r="F444" s="124"/>
      <c r="G444" s="173" t="str">
        <f t="shared" si="393"/>
        <v>0.000</v>
      </c>
      <c r="H444" s="173" t="str">
        <f t="shared" ref="H444:V444" si="398">IF(H426&lt;=0, "0.000", H426)</f>
        <v>0.000</v>
      </c>
      <c r="I444" s="173" t="str">
        <f t="shared" si="398"/>
        <v>0.000</v>
      </c>
      <c r="J444" s="173" t="str">
        <f t="shared" si="398"/>
        <v>0.000</v>
      </c>
      <c r="K444" s="173">
        <f t="shared" si="398"/>
        <v>4.4138825651920163E-2</v>
      </c>
      <c r="L444" s="173">
        <f t="shared" si="398"/>
        <v>3.4819274958961192E-2</v>
      </c>
      <c r="M444" s="173" t="str">
        <f t="shared" si="398"/>
        <v>0.000</v>
      </c>
      <c r="N444" s="173" t="str">
        <f t="shared" si="398"/>
        <v>0.000</v>
      </c>
      <c r="O444" s="173" t="str">
        <f t="shared" si="398"/>
        <v>0.000</v>
      </c>
      <c r="P444" s="173" t="str">
        <f t="shared" si="398"/>
        <v>0.000</v>
      </c>
      <c r="Q444" s="173" t="str">
        <f t="shared" si="398"/>
        <v>0.000</v>
      </c>
      <c r="R444" s="173" t="str">
        <f t="shared" si="398"/>
        <v>0.000</v>
      </c>
      <c r="S444" s="173" t="str">
        <f t="shared" si="398"/>
        <v>0.000</v>
      </c>
      <c r="T444" s="173" t="str">
        <f t="shared" si="398"/>
        <v>0.000</v>
      </c>
      <c r="U444" s="173" t="str">
        <f t="shared" si="398"/>
        <v>0.000</v>
      </c>
      <c r="V444" s="173" t="str">
        <f t="shared" si="398"/>
        <v>0.000</v>
      </c>
      <c r="W444" s="173" t="str">
        <f t="shared" ref="W444:AK444" si="399">IF(W426&lt;=0, "0.000", W426)</f>
        <v>0.000</v>
      </c>
      <c r="X444" s="173" t="str">
        <f t="shared" si="399"/>
        <v>0.000</v>
      </c>
      <c r="Y444" s="173" t="str">
        <f t="shared" si="399"/>
        <v>0.000</v>
      </c>
      <c r="Z444" s="173" t="str">
        <f t="shared" si="399"/>
        <v>0.000</v>
      </c>
      <c r="AA444" s="173" t="str">
        <f t="shared" si="399"/>
        <v>0.000</v>
      </c>
      <c r="AB444" s="173" t="str">
        <f t="shared" si="399"/>
        <v>0.000</v>
      </c>
      <c r="AC444" s="173" t="str">
        <f t="shared" si="399"/>
        <v>0.000</v>
      </c>
      <c r="AD444" s="173" t="str">
        <f t="shared" si="399"/>
        <v>0.000</v>
      </c>
      <c r="AE444" s="173" t="str">
        <f t="shared" si="399"/>
        <v>0.000</v>
      </c>
      <c r="AF444" s="173" t="str">
        <f t="shared" si="399"/>
        <v>0.000</v>
      </c>
      <c r="AG444" s="173" t="str">
        <f t="shared" si="399"/>
        <v>0.000</v>
      </c>
      <c r="AH444" s="173" t="str">
        <f t="shared" si="399"/>
        <v>0.000</v>
      </c>
      <c r="AI444" s="173" t="str">
        <f t="shared" si="399"/>
        <v>0.000</v>
      </c>
      <c r="AJ444" s="173" t="str">
        <f t="shared" si="399"/>
        <v>0.000</v>
      </c>
      <c r="AK444" s="173" t="str">
        <f t="shared" si="399"/>
        <v>0.000</v>
      </c>
      <c r="AL444" s="4"/>
      <c r="AM444" s="43">
        <v>428</v>
      </c>
      <c r="AN444">
        <v>2.4770833333333333</v>
      </c>
      <c r="AO444">
        <v>0.33948788104939376</v>
      </c>
      <c r="AP444">
        <v>6.7121174108227768</v>
      </c>
      <c r="AQ444">
        <v>2.6923683419882947</v>
      </c>
      <c r="AR444">
        <v>0.40186224793227654</v>
      </c>
      <c r="AS444">
        <v>2.0583091107294429</v>
      </c>
      <c r="AT444" t="e">
        <v>#DIV/0!</v>
      </c>
      <c r="AU444" t="e">
        <v>#DIV/0!</v>
      </c>
      <c r="AV444"/>
      <c r="AW444"/>
      <c r="FY444" s="211">
        <v>439</v>
      </c>
      <c r="FZ444">
        <v>1.6577096791177244</v>
      </c>
      <c r="GA444">
        <v>0.9492013034353769</v>
      </c>
      <c r="GB444">
        <v>0.26768175484046608</v>
      </c>
      <c r="GC444">
        <v>0.18341592548776492</v>
      </c>
      <c r="GD444">
        <v>2.6724553773673727E-2</v>
      </c>
      <c r="GE444">
        <v>0</v>
      </c>
      <c r="GF444">
        <v>0</v>
      </c>
      <c r="GG444">
        <v>0</v>
      </c>
      <c r="GH444">
        <v>0</v>
      </c>
      <c r="GI444">
        <v>0.32649537206490908</v>
      </c>
      <c r="GJ444"/>
      <c r="GK444">
        <v>1.6731116861816502</v>
      </c>
      <c r="GL444">
        <v>0.81411144957417536</v>
      </c>
      <c r="GM444">
        <v>0.44573189690518267</v>
      </c>
      <c r="GN444">
        <v>0.55066996213757402</v>
      </c>
      <c r="GO444">
        <v>0.10493806523239137</v>
      </c>
      <c r="GP444">
        <v>0</v>
      </c>
      <c r="GQ444">
        <v>0</v>
      </c>
      <c r="GR444">
        <v>0</v>
      </c>
      <c r="GS444">
        <v>0</v>
      </c>
      <c r="GT444">
        <v>0.44475632966384482</v>
      </c>
      <c r="GU444"/>
      <c r="GV444"/>
      <c r="GW444"/>
      <c r="GX444"/>
      <c r="GY444"/>
      <c r="GZ444"/>
      <c r="HA444"/>
      <c r="HB444"/>
      <c r="HC444"/>
    </row>
    <row r="445" spans="1:211" s="7" customFormat="1">
      <c r="A445" s="4"/>
      <c r="B445" s="48" t="s">
        <v>42</v>
      </c>
      <c r="C445" s="107">
        <f t="shared" si="391"/>
        <v>2.6724553773673727E-2</v>
      </c>
      <c r="D445" s="190">
        <f>A$409</f>
        <v>0.14000000000000001</v>
      </c>
      <c r="E445" s="8"/>
      <c r="F445" s="124"/>
      <c r="G445" s="173" t="str">
        <f t="shared" si="393"/>
        <v>0.000</v>
      </c>
      <c r="H445" s="173" t="str">
        <f t="shared" ref="H445:V445" si="400">IF(H427&lt;=0, "0.000", H427)</f>
        <v>0.000</v>
      </c>
      <c r="I445" s="173" t="str">
        <f t="shared" si="400"/>
        <v>0.000</v>
      </c>
      <c r="J445" s="173" t="str">
        <f t="shared" si="400"/>
        <v>0.000</v>
      </c>
      <c r="K445" s="173" t="str">
        <f t="shared" si="400"/>
        <v>0.000</v>
      </c>
      <c r="L445" s="173">
        <f t="shared" si="400"/>
        <v>2.6724553773673727E-2</v>
      </c>
      <c r="M445" s="173" t="str">
        <f t="shared" si="400"/>
        <v>0.000</v>
      </c>
      <c r="N445" s="173" t="str">
        <f t="shared" si="400"/>
        <v>0.000</v>
      </c>
      <c r="O445" s="173" t="str">
        <f t="shared" si="400"/>
        <v>0.000</v>
      </c>
      <c r="P445" s="173" t="str">
        <f t="shared" si="400"/>
        <v>0.000</v>
      </c>
      <c r="Q445" s="173" t="str">
        <f t="shared" si="400"/>
        <v>0.000</v>
      </c>
      <c r="R445" s="173" t="str">
        <f t="shared" si="400"/>
        <v>0.000</v>
      </c>
      <c r="S445" s="173" t="str">
        <f t="shared" si="400"/>
        <v>0.000</v>
      </c>
      <c r="T445" s="173" t="str">
        <f t="shared" si="400"/>
        <v>0.000</v>
      </c>
      <c r="U445" s="173" t="str">
        <f t="shared" si="400"/>
        <v>0.000</v>
      </c>
      <c r="V445" s="173" t="str">
        <f t="shared" si="400"/>
        <v>0.000</v>
      </c>
      <c r="W445" s="173" t="str">
        <f t="shared" ref="W445:AK445" si="401">IF(W427&lt;=0, "0.000", W427)</f>
        <v>0.000</v>
      </c>
      <c r="X445" s="173" t="str">
        <f t="shared" si="401"/>
        <v>0.000</v>
      </c>
      <c r="Y445" s="173" t="str">
        <f t="shared" si="401"/>
        <v>0.000</v>
      </c>
      <c r="Z445" s="173" t="str">
        <f t="shared" si="401"/>
        <v>0.000</v>
      </c>
      <c r="AA445" s="173" t="str">
        <f t="shared" si="401"/>
        <v>0.000</v>
      </c>
      <c r="AB445" s="173" t="str">
        <f t="shared" si="401"/>
        <v>0.000</v>
      </c>
      <c r="AC445" s="173" t="str">
        <f t="shared" si="401"/>
        <v>0.000</v>
      </c>
      <c r="AD445" s="173" t="str">
        <f t="shared" si="401"/>
        <v>0.000</v>
      </c>
      <c r="AE445" s="173" t="str">
        <f t="shared" si="401"/>
        <v>0.000</v>
      </c>
      <c r="AF445" s="173" t="str">
        <f t="shared" si="401"/>
        <v>0.000</v>
      </c>
      <c r="AG445" s="173" t="str">
        <f t="shared" si="401"/>
        <v>0.000</v>
      </c>
      <c r="AH445" s="173" t="str">
        <f t="shared" si="401"/>
        <v>0.000</v>
      </c>
      <c r="AI445" s="173" t="str">
        <f t="shared" si="401"/>
        <v>0.000</v>
      </c>
      <c r="AJ445" s="173" t="str">
        <f t="shared" si="401"/>
        <v>0.000</v>
      </c>
      <c r="AK445" s="173" t="str">
        <f t="shared" si="401"/>
        <v>0.000</v>
      </c>
      <c r="AL445" s="4"/>
      <c r="AM445" s="43">
        <v>429</v>
      </c>
      <c r="AN445">
        <v>3.9614583333333337</v>
      </c>
      <c r="AO445">
        <v>0.39635652385440329</v>
      </c>
      <c r="AP445">
        <v>10.80261711419435</v>
      </c>
      <c r="AQ445">
        <v>3.2574167443855675</v>
      </c>
      <c r="AR445">
        <v>0.43575612211046677</v>
      </c>
      <c r="AS445">
        <v>2.6110712937645997</v>
      </c>
      <c r="AT445" t="e">
        <v>#DIV/0!</v>
      </c>
      <c r="AU445" t="e">
        <v>#DIV/0!</v>
      </c>
      <c r="AV445"/>
      <c r="AW445"/>
      <c r="FY445" s="211">
        <v>440</v>
      </c>
      <c r="FZ445">
        <v>1.1827998948184684</v>
      </c>
      <c r="GA445">
        <v>0.56185112583616514</v>
      </c>
      <c r="GB445">
        <v>6.282592274279708E-2</v>
      </c>
      <c r="GC445">
        <v>0.10445782487688358</v>
      </c>
      <c r="GD445">
        <v>5.3449107547347455E-2</v>
      </c>
      <c r="GE445">
        <v>0</v>
      </c>
      <c r="GF445">
        <v>0.33021050058332063</v>
      </c>
      <c r="GG445">
        <v>0.29759236750664797</v>
      </c>
      <c r="GH445">
        <v>0</v>
      </c>
      <c r="GI445">
        <v>0.28551654560575762</v>
      </c>
      <c r="GJ445"/>
      <c r="GK445">
        <v>1.1913238538887081</v>
      </c>
      <c r="GL445">
        <v>0.48079623401633714</v>
      </c>
      <c r="GM445">
        <v>0.10493806523239137</v>
      </c>
      <c r="GN445">
        <v>0.31481419569717412</v>
      </c>
      <c r="GO445">
        <v>0.20987613046478273</v>
      </c>
      <c r="GP445">
        <v>0</v>
      </c>
      <c r="GQ445">
        <v>0.45369793096285549</v>
      </c>
      <c r="GR445">
        <v>0.45369793096285549</v>
      </c>
      <c r="GS445">
        <v>0</v>
      </c>
      <c r="GT445">
        <v>0.39196719610974756</v>
      </c>
      <c r="GU445"/>
      <c r="GV445"/>
      <c r="GW445"/>
      <c r="GX445"/>
      <c r="GY445"/>
      <c r="GZ445"/>
      <c r="HA445"/>
      <c r="HB445"/>
      <c r="HC445"/>
    </row>
    <row r="446" spans="1:211" s="7" customFormat="1">
      <c r="A446" s="4"/>
      <c r="B446" s="48" t="s">
        <v>118</v>
      </c>
      <c r="C446" s="107">
        <f t="shared" si="391"/>
        <v>0</v>
      </c>
      <c r="D446" s="190">
        <f>A$410</f>
        <v>0.21</v>
      </c>
      <c r="E446" s="8"/>
      <c r="F446" s="124"/>
      <c r="G446" s="173" t="str">
        <f t="shared" si="393"/>
        <v>0.000</v>
      </c>
      <c r="H446" s="173" t="str">
        <f t="shared" ref="H446:V446" si="402">IF(H428&lt;=0, "0.000", H428)</f>
        <v>0.000</v>
      </c>
      <c r="I446" s="173" t="str">
        <f t="shared" si="402"/>
        <v>0.000</v>
      </c>
      <c r="J446" s="173" t="str">
        <f t="shared" si="402"/>
        <v>0.000</v>
      </c>
      <c r="K446" s="173" t="str">
        <f t="shared" si="402"/>
        <v>0.000</v>
      </c>
      <c r="L446" s="173" t="str">
        <f t="shared" si="402"/>
        <v>0.000</v>
      </c>
      <c r="M446" s="173" t="str">
        <f t="shared" si="402"/>
        <v>0.000</v>
      </c>
      <c r="N446" s="173" t="str">
        <f t="shared" si="402"/>
        <v>0.000</v>
      </c>
      <c r="O446" s="173" t="str">
        <f t="shared" si="402"/>
        <v>0.000</v>
      </c>
      <c r="P446" s="173" t="str">
        <f t="shared" si="402"/>
        <v>0.000</v>
      </c>
      <c r="Q446" s="173" t="str">
        <f t="shared" si="402"/>
        <v>0.000</v>
      </c>
      <c r="R446" s="173" t="str">
        <f t="shared" si="402"/>
        <v>0.000</v>
      </c>
      <c r="S446" s="173" t="str">
        <f t="shared" si="402"/>
        <v>0.000</v>
      </c>
      <c r="T446" s="173" t="str">
        <f t="shared" si="402"/>
        <v>0.000</v>
      </c>
      <c r="U446" s="173" t="str">
        <f t="shared" si="402"/>
        <v>0.000</v>
      </c>
      <c r="V446" s="173" t="str">
        <f t="shared" si="402"/>
        <v>0.000</v>
      </c>
      <c r="W446" s="173" t="str">
        <f t="shared" ref="W446:AK446" si="403">IF(W428&lt;=0, "0.000", W428)</f>
        <v>0.000</v>
      </c>
      <c r="X446" s="173" t="str">
        <f t="shared" si="403"/>
        <v>0.000</v>
      </c>
      <c r="Y446" s="173" t="str">
        <f t="shared" si="403"/>
        <v>0.000</v>
      </c>
      <c r="Z446" s="173" t="str">
        <f t="shared" si="403"/>
        <v>0.000</v>
      </c>
      <c r="AA446" s="173" t="str">
        <f t="shared" si="403"/>
        <v>0.000</v>
      </c>
      <c r="AB446" s="173" t="str">
        <f t="shared" si="403"/>
        <v>0.000</v>
      </c>
      <c r="AC446" s="173" t="str">
        <f t="shared" si="403"/>
        <v>0.000</v>
      </c>
      <c r="AD446" s="173" t="str">
        <f t="shared" si="403"/>
        <v>0.000</v>
      </c>
      <c r="AE446" s="173" t="str">
        <f t="shared" si="403"/>
        <v>0.000</v>
      </c>
      <c r="AF446" s="173" t="str">
        <f t="shared" si="403"/>
        <v>0.000</v>
      </c>
      <c r="AG446" s="173" t="str">
        <f t="shared" si="403"/>
        <v>0.000</v>
      </c>
      <c r="AH446" s="173" t="str">
        <f t="shared" si="403"/>
        <v>0.000</v>
      </c>
      <c r="AI446" s="173" t="str">
        <f t="shared" si="403"/>
        <v>0.000</v>
      </c>
      <c r="AJ446" s="173" t="str">
        <f t="shared" si="403"/>
        <v>0.000</v>
      </c>
      <c r="AK446" s="173" t="str">
        <f t="shared" si="403"/>
        <v>0.000</v>
      </c>
      <c r="AL446" s="4"/>
      <c r="AM446" s="43">
        <v>430</v>
      </c>
      <c r="AN446">
        <v>3.5177083333333337</v>
      </c>
      <c r="AO446">
        <v>0.49705548270719824</v>
      </c>
      <c r="AP446">
        <v>7.2622498604028083</v>
      </c>
      <c r="AQ446">
        <v>4.4764841811372547</v>
      </c>
      <c r="AR446">
        <v>0.53192701132257447</v>
      </c>
      <c r="AS446">
        <v>2.7172001825939422</v>
      </c>
      <c r="AT446" t="e">
        <v>#DIV/0!</v>
      </c>
      <c r="AU446" t="e">
        <v>#DIV/0!</v>
      </c>
      <c r="AV446"/>
      <c r="AW446"/>
      <c r="FY446" s="211">
        <v>441</v>
      </c>
      <c r="FZ446">
        <v>0.90866319538360518</v>
      </c>
      <c r="GA446">
        <v>0.17450094823695328</v>
      </c>
      <c r="GB446">
        <v>7.9203986612074825E-2</v>
      </c>
      <c r="GC446">
        <v>4.4138825651920163E-2</v>
      </c>
      <c r="GD446">
        <v>0</v>
      </c>
      <c r="GE446">
        <v>0</v>
      </c>
      <c r="GF446">
        <v>0.33021050058332063</v>
      </c>
      <c r="GG446">
        <v>0.29759236750664797</v>
      </c>
      <c r="GH446">
        <v>0</v>
      </c>
      <c r="GI446">
        <v>0.21805230123145694</v>
      </c>
      <c r="GJ446"/>
      <c r="GK446">
        <v>0.91250870157789665</v>
      </c>
      <c r="GL446">
        <v>0.14748101845849892</v>
      </c>
      <c r="GM446">
        <v>0.13091770120800852</v>
      </c>
      <c r="GN446">
        <v>0.13091770120800852</v>
      </c>
      <c r="GO446">
        <v>0</v>
      </c>
      <c r="GP446">
        <v>0</v>
      </c>
      <c r="GQ446">
        <v>0.45369793096285549</v>
      </c>
      <c r="GR446">
        <v>0.45369793096285549</v>
      </c>
      <c r="GS446">
        <v>0</v>
      </c>
      <c r="GT446">
        <v>0.29942486674975216</v>
      </c>
      <c r="GU446"/>
      <c r="GV446"/>
      <c r="GW446"/>
      <c r="GX446"/>
      <c r="GY446"/>
      <c r="GZ446"/>
      <c r="HA446"/>
      <c r="HB446"/>
      <c r="HC446"/>
    </row>
    <row r="447" spans="1:211" s="7" customFormat="1">
      <c r="A447" s="4"/>
      <c r="B447" s="48" t="s">
        <v>119</v>
      </c>
      <c r="C447" s="107">
        <f t="shared" si="391"/>
        <v>0.33021050058332063</v>
      </c>
      <c r="D447" s="190">
        <f>A$411</f>
        <v>1.28</v>
      </c>
      <c r="E447" s="8"/>
      <c r="F447" s="124"/>
      <c r="G447" s="173" t="str">
        <f t="shared" si="393"/>
        <v>0.000</v>
      </c>
      <c r="H447" s="173" t="str">
        <f t="shared" ref="H447:V447" si="404">IF(H429&lt;=0, "0.000", H429)</f>
        <v>0.000</v>
      </c>
      <c r="I447" s="173" t="str">
        <f t="shared" si="404"/>
        <v>0.000</v>
      </c>
      <c r="J447" s="173" t="str">
        <f t="shared" si="404"/>
        <v>0.000</v>
      </c>
      <c r="K447" s="173" t="str">
        <f t="shared" si="404"/>
        <v>0.000</v>
      </c>
      <c r="L447" s="173" t="str">
        <f t="shared" si="404"/>
        <v>0.000</v>
      </c>
      <c r="M447" s="173" t="str">
        <f t="shared" si="404"/>
        <v>0.000</v>
      </c>
      <c r="N447" s="173" t="str">
        <f t="shared" si="404"/>
        <v>0.000</v>
      </c>
      <c r="O447" s="173">
        <f t="shared" si="404"/>
        <v>0.33021050058332063</v>
      </c>
      <c r="P447" s="173" t="str">
        <f t="shared" si="404"/>
        <v>0.000</v>
      </c>
      <c r="Q447" s="173" t="str">
        <f t="shared" si="404"/>
        <v>0.000</v>
      </c>
      <c r="R447" s="173" t="str">
        <f t="shared" si="404"/>
        <v>0.000</v>
      </c>
      <c r="S447" s="173" t="str">
        <f t="shared" si="404"/>
        <v>0.000</v>
      </c>
      <c r="T447" s="173" t="str">
        <f t="shared" si="404"/>
        <v>0.000</v>
      </c>
      <c r="U447" s="173" t="str">
        <f t="shared" si="404"/>
        <v>0.000</v>
      </c>
      <c r="V447" s="173" t="str">
        <f t="shared" si="404"/>
        <v>0.000</v>
      </c>
      <c r="W447" s="173" t="str">
        <f t="shared" ref="W447:AK447" si="405">IF(W429&lt;=0, "0.000", W429)</f>
        <v>0.000</v>
      </c>
      <c r="X447" s="173" t="str">
        <f t="shared" si="405"/>
        <v>0.000</v>
      </c>
      <c r="Y447" s="173" t="str">
        <f t="shared" si="405"/>
        <v>0.000</v>
      </c>
      <c r="Z447" s="173" t="str">
        <f t="shared" si="405"/>
        <v>0.000</v>
      </c>
      <c r="AA447" s="173" t="str">
        <f t="shared" si="405"/>
        <v>0.000</v>
      </c>
      <c r="AB447" s="173" t="str">
        <f t="shared" si="405"/>
        <v>0.000</v>
      </c>
      <c r="AC447" s="173" t="str">
        <f t="shared" si="405"/>
        <v>0.000</v>
      </c>
      <c r="AD447" s="173" t="str">
        <f t="shared" si="405"/>
        <v>0.000</v>
      </c>
      <c r="AE447" s="173" t="str">
        <f t="shared" si="405"/>
        <v>0.000</v>
      </c>
      <c r="AF447" s="173" t="str">
        <f t="shared" si="405"/>
        <v>0.000</v>
      </c>
      <c r="AG447" s="173" t="str">
        <f t="shared" si="405"/>
        <v>0.000</v>
      </c>
      <c r="AH447" s="173" t="str">
        <f t="shared" si="405"/>
        <v>0.000</v>
      </c>
      <c r="AI447" s="173" t="str">
        <f t="shared" si="405"/>
        <v>0.000</v>
      </c>
      <c r="AJ447" s="173" t="str">
        <f t="shared" si="405"/>
        <v>0.000</v>
      </c>
      <c r="AK447" s="173" t="str">
        <f t="shared" si="405"/>
        <v>0.000</v>
      </c>
      <c r="AL447" s="4"/>
      <c r="AM447" s="43">
        <v>431</v>
      </c>
      <c r="AN447">
        <v>2.6708333333333329</v>
      </c>
      <c r="AO447">
        <v>0.4658143950777312</v>
      </c>
      <c r="AP447">
        <v>9.9985168900452202</v>
      </c>
      <c r="AQ447">
        <v>4.1636426316298873</v>
      </c>
      <c r="AR447">
        <v>0.4745238707029435</v>
      </c>
      <c r="AS447">
        <v>2.2804313620815888</v>
      </c>
      <c r="AT447" t="e">
        <v>#DIV/0!</v>
      </c>
      <c r="AU447" t="e">
        <v>#DIV/0!</v>
      </c>
      <c r="AV447"/>
      <c r="AW447"/>
      <c r="FY447" s="211">
        <v>442</v>
      </c>
      <c r="FZ447">
        <v>0.99448467725459677</v>
      </c>
      <c r="GA447">
        <v>0.47460065171768845</v>
      </c>
      <c r="GB447">
        <v>0.15840797322414965</v>
      </c>
      <c r="GC447">
        <v>0.12309692626280153</v>
      </c>
      <c r="GD447">
        <v>2.6724553773673727E-2</v>
      </c>
      <c r="GE447">
        <v>0</v>
      </c>
      <c r="GF447">
        <v>1.3208420023332825</v>
      </c>
      <c r="GG447">
        <v>1.1903694700265919</v>
      </c>
      <c r="GH447">
        <v>0</v>
      </c>
      <c r="GI447">
        <v>0.45787849398469338</v>
      </c>
      <c r="GJ447"/>
      <c r="GK447">
        <v>0.99756902263900793</v>
      </c>
      <c r="GL447">
        <v>0.40705572478708768</v>
      </c>
      <c r="GM447">
        <v>0.26183540241601705</v>
      </c>
      <c r="GN447">
        <v>0.3667734676484084</v>
      </c>
      <c r="GO447">
        <v>0.10493806523239137</v>
      </c>
      <c r="GP447">
        <v>0</v>
      </c>
      <c r="GQ447">
        <v>1.814791723851422</v>
      </c>
      <c r="GR447">
        <v>1.814791723851422</v>
      </c>
      <c r="GS447">
        <v>0</v>
      </c>
      <c r="GT447">
        <v>0.63582684282776758</v>
      </c>
      <c r="GU447"/>
      <c r="GV447"/>
      <c r="GW447"/>
      <c r="GX447"/>
      <c r="GY447"/>
      <c r="GZ447"/>
      <c r="HA447"/>
      <c r="HB447"/>
      <c r="HC447"/>
    </row>
    <row r="448" spans="1:211" s="7" customFormat="1">
      <c r="A448" s="4"/>
      <c r="B448" s="48" t="s">
        <v>120</v>
      </c>
      <c r="C448" s="107">
        <f t="shared" si="391"/>
        <v>0.29759236750664797</v>
      </c>
      <c r="D448" s="190">
        <f>A$412</f>
        <v>4</v>
      </c>
      <c r="E448" s="8"/>
      <c r="F448" s="124"/>
      <c r="G448" s="173" t="str">
        <f t="shared" si="393"/>
        <v>0.000</v>
      </c>
      <c r="H448" s="173" t="str">
        <f t="shared" ref="H448:V448" si="406">IF(H430&lt;=0, "0.000", H430)</f>
        <v>0.000</v>
      </c>
      <c r="I448" s="173" t="str">
        <f t="shared" si="406"/>
        <v>0.000</v>
      </c>
      <c r="J448" s="173" t="str">
        <f t="shared" si="406"/>
        <v>0.000</v>
      </c>
      <c r="K448" s="173" t="str">
        <f t="shared" si="406"/>
        <v>0.000</v>
      </c>
      <c r="L448" s="173" t="str">
        <f t="shared" si="406"/>
        <v>0.000</v>
      </c>
      <c r="M448" s="173" t="str">
        <f t="shared" si="406"/>
        <v>0.000</v>
      </c>
      <c r="N448" s="173" t="str">
        <f t="shared" si="406"/>
        <v>0.000</v>
      </c>
      <c r="O448" s="173">
        <f t="shared" si="406"/>
        <v>0.29759236750664797</v>
      </c>
      <c r="P448" s="173" t="str">
        <f t="shared" si="406"/>
        <v>0.000</v>
      </c>
      <c r="Q448" s="173" t="str">
        <f t="shared" si="406"/>
        <v>0.000</v>
      </c>
      <c r="R448" s="173" t="str">
        <f t="shared" si="406"/>
        <v>0.000</v>
      </c>
      <c r="S448" s="173" t="str">
        <f t="shared" si="406"/>
        <v>0.000</v>
      </c>
      <c r="T448" s="173" t="str">
        <f t="shared" si="406"/>
        <v>0.000</v>
      </c>
      <c r="U448" s="173" t="str">
        <f t="shared" si="406"/>
        <v>0.000</v>
      </c>
      <c r="V448" s="173" t="str">
        <f t="shared" si="406"/>
        <v>0.000</v>
      </c>
      <c r="W448" s="173" t="str">
        <f t="shared" ref="W448:AK448" si="407">IF(W430&lt;=0, "0.000", W430)</f>
        <v>0.000</v>
      </c>
      <c r="X448" s="173" t="str">
        <f t="shared" si="407"/>
        <v>0.000</v>
      </c>
      <c r="Y448" s="173" t="str">
        <f t="shared" si="407"/>
        <v>0.000</v>
      </c>
      <c r="Z448" s="173" t="str">
        <f t="shared" si="407"/>
        <v>0.000</v>
      </c>
      <c r="AA448" s="173" t="str">
        <f t="shared" si="407"/>
        <v>0.000</v>
      </c>
      <c r="AB448" s="173" t="str">
        <f t="shared" si="407"/>
        <v>0.000</v>
      </c>
      <c r="AC448" s="173" t="str">
        <f t="shared" si="407"/>
        <v>0.000</v>
      </c>
      <c r="AD448" s="173" t="str">
        <f t="shared" si="407"/>
        <v>0.000</v>
      </c>
      <c r="AE448" s="173" t="str">
        <f t="shared" si="407"/>
        <v>0.000</v>
      </c>
      <c r="AF448" s="173" t="str">
        <f t="shared" si="407"/>
        <v>0.000</v>
      </c>
      <c r="AG448" s="173" t="str">
        <f t="shared" si="407"/>
        <v>0.000</v>
      </c>
      <c r="AH448" s="173" t="str">
        <f t="shared" si="407"/>
        <v>0.000</v>
      </c>
      <c r="AI448" s="173" t="str">
        <f t="shared" si="407"/>
        <v>0.000</v>
      </c>
      <c r="AJ448" s="173" t="str">
        <f t="shared" si="407"/>
        <v>0.000</v>
      </c>
      <c r="AK448" s="173" t="str">
        <f t="shared" si="407"/>
        <v>0.000</v>
      </c>
      <c r="AL448" s="4"/>
      <c r="AM448" s="43">
        <v>432</v>
      </c>
      <c r="AN448">
        <v>1.9322916666666665</v>
      </c>
      <c r="AO448">
        <v>0.24203211457393575</v>
      </c>
      <c r="AP448">
        <v>7.9645066794132147</v>
      </c>
      <c r="AQ448">
        <v>1.7905211197594697</v>
      </c>
      <c r="AR448">
        <v>0.27617115651780871</v>
      </c>
      <c r="AS448">
        <v>1.4403733582528733</v>
      </c>
      <c r="AT448" t="e">
        <v>#DIV/0!</v>
      </c>
      <c r="AU448" t="e">
        <v>#DIV/0!</v>
      </c>
      <c r="AV448"/>
      <c r="AW448"/>
      <c r="FY448" s="211">
        <v>443</v>
      </c>
      <c r="FZ448">
        <v>1.7883519782794934</v>
      </c>
      <c r="GA448">
        <v>1.1620505327976354</v>
      </c>
      <c r="GB448">
        <v>0.22123389596694673</v>
      </c>
      <c r="GC448">
        <v>0.1927354761807239</v>
      </c>
      <c r="GD448">
        <v>5.3449107547347455E-2</v>
      </c>
      <c r="GE448">
        <v>0</v>
      </c>
      <c r="GF448">
        <v>0.66042100116664126</v>
      </c>
      <c r="GG448">
        <v>0.59518473501329594</v>
      </c>
      <c r="GH448">
        <v>0</v>
      </c>
      <c r="GI448">
        <v>0.47790000244335079</v>
      </c>
      <c r="GJ448"/>
      <c r="GK448">
        <v>1.8055872045211809</v>
      </c>
      <c r="GL448">
        <v>0.9999456466735146</v>
      </c>
      <c r="GM448">
        <v>0.3667734676484084</v>
      </c>
      <c r="GN448">
        <v>0.57664959811319116</v>
      </c>
      <c r="GO448">
        <v>0.20987613046478273</v>
      </c>
      <c r="GP448">
        <v>0</v>
      </c>
      <c r="GQ448">
        <v>0.90739586192571098</v>
      </c>
      <c r="GR448">
        <v>0.90739586192571098</v>
      </c>
      <c r="GS448">
        <v>0</v>
      </c>
      <c r="GT448">
        <v>0.65792653291201664</v>
      </c>
      <c r="GU448"/>
      <c r="GV448"/>
      <c r="GW448"/>
      <c r="GX448"/>
      <c r="GY448"/>
      <c r="GZ448"/>
      <c r="HA448"/>
      <c r="HB448"/>
      <c r="HC448"/>
    </row>
    <row r="449" spans="1:211" s="7" customFormat="1">
      <c r="A449" s="4"/>
      <c r="B449" s="48" t="s">
        <v>121</v>
      </c>
      <c r="C449" s="107">
        <f t="shared" si="391"/>
        <v>0</v>
      </c>
      <c r="D449" s="190">
        <f>A$413</f>
        <v>7.33</v>
      </c>
      <c r="E449" s="8"/>
      <c r="F449" s="124"/>
      <c r="G449" s="173" t="str">
        <f t="shared" si="393"/>
        <v>0.000</v>
      </c>
      <c r="H449" s="173" t="str">
        <f t="shared" ref="H449:V449" si="408">IF(H431&lt;=0, "0.000", H431)</f>
        <v>0.000</v>
      </c>
      <c r="I449" s="173" t="str">
        <f t="shared" si="408"/>
        <v>0.000</v>
      </c>
      <c r="J449" s="173" t="str">
        <f t="shared" si="408"/>
        <v>0.000</v>
      </c>
      <c r="K449" s="173" t="str">
        <f t="shared" si="408"/>
        <v>0.000</v>
      </c>
      <c r="L449" s="173" t="str">
        <f t="shared" si="408"/>
        <v>0.000</v>
      </c>
      <c r="M449" s="173" t="str">
        <f t="shared" si="408"/>
        <v>0.000</v>
      </c>
      <c r="N449" s="173" t="str">
        <f t="shared" si="408"/>
        <v>0.000</v>
      </c>
      <c r="O449" s="173" t="str">
        <f t="shared" si="408"/>
        <v>0.000</v>
      </c>
      <c r="P449" s="173" t="str">
        <f t="shared" si="408"/>
        <v>0.000</v>
      </c>
      <c r="Q449" s="173" t="str">
        <f t="shared" si="408"/>
        <v>0.000</v>
      </c>
      <c r="R449" s="173" t="str">
        <f t="shared" si="408"/>
        <v>0.000</v>
      </c>
      <c r="S449" s="173" t="str">
        <f t="shared" si="408"/>
        <v>0.000</v>
      </c>
      <c r="T449" s="173" t="str">
        <f t="shared" si="408"/>
        <v>0.000</v>
      </c>
      <c r="U449" s="173" t="str">
        <f t="shared" si="408"/>
        <v>0.000</v>
      </c>
      <c r="V449" s="173" t="str">
        <f t="shared" si="408"/>
        <v>0.000</v>
      </c>
      <c r="W449" s="173" t="str">
        <f t="shared" ref="W449:AK449" si="409">IF(W431&lt;=0, "0.000", W431)</f>
        <v>0.000</v>
      </c>
      <c r="X449" s="173" t="str">
        <f t="shared" si="409"/>
        <v>0.000</v>
      </c>
      <c r="Y449" s="173" t="str">
        <f t="shared" si="409"/>
        <v>0.000</v>
      </c>
      <c r="Z449" s="173" t="str">
        <f t="shared" si="409"/>
        <v>0.000</v>
      </c>
      <c r="AA449" s="173" t="str">
        <f t="shared" si="409"/>
        <v>0.000</v>
      </c>
      <c r="AB449" s="173" t="str">
        <f t="shared" si="409"/>
        <v>0.000</v>
      </c>
      <c r="AC449" s="173" t="str">
        <f t="shared" si="409"/>
        <v>0.000</v>
      </c>
      <c r="AD449" s="173" t="str">
        <f t="shared" si="409"/>
        <v>0.000</v>
      </c>
      <c r="AE449" s="173" t="str">
        <f t="shared" si="409"/>
        <v>0.000</v>
      </c>
      <c r="AF449" s="173" t="str">
        <f t="shared" si="409"/>
        <v>0.000</v>
      </c>
      <c r="AG449" s="173" t="str">
        <f t="shared" si="409"/>
        <v>0.000</v>
      </c>
      <c r="AH449" s="173" t="str">
        <f t="shared" si="409"/>
        <v>0.000</v>
      </c>
      <c r="AI449" s="173" t="str">
        <f t="shared" si="409"/>
        <v>0.000</v>
      </c>
      <c r="AJ449" s="173" t="str">
        <f t="shared" si="409"/>
        <v>0.000</v>
      </c>
      <c r="AK449" s="173" t="str">
        <f t="shared" si="409"/>
        <v>0.000</v>
      </c>
      <c r="AL449" s="4"/>
      <c r="AM449" s="43">
        <v>433</v>
      </c>
      <c r="AN449">
        <v>2.182291666666667</v>
      </c>
      <c r="AO449">
        <v>0.43863529913963639</v>
      </c>
      <c r="AP449">
        <v>20.288275337073578</v>
      </c>
      <c r="AQ449">
        <v>3.1262224934340259</v>
      </c>
      <c r="AR449">
        <v>0.46490057201123286</v>
      </c>
      <c r="AS449">
        <v>2.1372276100162368</v>
      </c>
      <c r="AT449" t="e">
        <v>#DIV/0!</v>
      </c>
      <c r="AU449" t="e">
        <v>#DIV/0!</v>
      </c>
      <c r="AV449"/>
      <c r="AW449"/>
      <c r="FY449" s="211">
        <v>444</v>
      </c>
      <c r="FZ449">
        <v>0.82868988977157398</v>
      </c>
      <c r="GA449">
        <v>0.17450094823695328</v>
      </c>
      <c r="GB449">
        <v>6.282592274279708E-2</v>
      </c>
      <c r="GC449">
        <v>0.13927709983584477</v>
      </c>
      <c r="GD449">
        <v>8.0173661321021189E-2</v>
      </c>
      <c r="GE449">
        <v>0</v>
      </c>
      <c r="GF449">
        <v>0.66042100116664126</v>
      </c>
      <c r="GG449">
        <v>0.59518473501329594</v>
      </c>
      <c r="GH449">
        <v>0</v>
      </c>
      <c r="GI449">
        <v>0.31284915375275962</v>
      </c>
      <c r="GJ449"/>
      <c r="GK449">
        <v>0.82739940300362136</v>
      </c>
      <c r="GL449">
        <v>0.14748101845849892</v>
      </c>
      <c r="GM449">
        <v>0.10493806523239137</v>
      </c>
      <c r="GN449">
        <v>0.41975226092956547</v>
      </c>
      <c r="GO449">
        <v>0.31481419569717417</v>
      </c>
      <c r="GP449">
        <v>0</v>
      </c>
      <c r="GQ449">
        <v>0.90739586192571098</v>
      </c>
      <c r="GR449">
        <v>0.90739586192571098</v>
      </c>
      <c r="GS449">
        <v>0</v>
      </c>
      <c r="GT449">
        <v>0.43090950517177956</v>
      </c>
      <c r="GU449"/>
      <c r="GV449"/>
      <c r="GW449"/>
      <c r="GX449"/>
      <c r="GY449"/>
      <c r="GZ449"/>
      <c r="HA449"/>
      <c r="HB449"/>
      <c r="HC449"/>
    </row>
    <row r="450" spans="1:211" s="7" customFormat="1">
      <c r="A450" s="13" t="s">
        <v>12</v>
      </c>
      <c r="B450" s="48" t="s">
        <v>122</v>
      </c>
      <c r="C450" s="107">
        <f t="shared" si="391"/>
        <v>0.27158138088662481</v>
      </c>
      <c r="D450" s="190">
        <f>A$414</f>
        <v>10.51</v>
      </c>
      <c r="E450" s="8"/>
      <c r="F450" s="124"/>
      <c r="G450" s="173" t="str">
        <f t="shared" si="393"/>
        <v>0.000</v>
      </c>
      <c r="H450" s="173" t="str">
        <f t="shared" ref="H450:V450" si="410">IF(H432&lt;=0, "0.000", H432)</f>
        <v>0.000</v>
      </c>
      <c r="I450" s="173">
        <f t="shared" si="410"/>
        <v>2.1617925736171547E-2</v>
      </c>
      <c r="J450" s="173">
        <f t="shared" si="410"/>
        <v>6.3588447144773741E-2</v>
      </c>
      <c r="K450" s="173">
        <f t="shared" si="410"/>
        <v>5.8212288360537323E-2</v>
      </c>
      <c r="L450" s="173">
        <f t="shared" si="410"/>
        <v>1.5457407608109288E-2</v>
      </c>
      <c r="M450" s="173">
        <f t="shared" si="410"/>
        <v>4.8631591008273717E-2</v>
      </c>
      <c r="N450" s="173" t="str">
        <f t="shared" si="410"/>
        <v>0.000</v>
      </c>
      <c r="O450" s="173">
        <f t="shared" si="410"/>
        <v>6.407372102875919E-2</v>
      </c>
      <c r="P450" s="173" t="str">
        <f t="shared" si="410"/>
        <v>0.000</v>
      </c>
      <c r="Q450" s="173" t="str">
        <f t="shared" si="410"/>
        <v>0.000</v>
      </c>
      <c r="R450" s="173" t="str">
        <f t="shared" si="410"/>
        <v>0.000</v>
      </c>
      <c r="S450" s="173" t="str">
        <f t="shared" si="410"/>
        <v>0.000</v>
      </c>
      <c r="T450" s="173" t="str">
        <f t="shared" si="410"/>
        <v>0.000</v>
      </c>
      <c r="U450" s="173" t="str">
        <f t="shared" si="410"/>
        <v>0.000</v>
      </c>
      <c r="V450" s="173" t="str">
        <f t="shared" si="410"/>
        <v>0.000</v>
      </c>
      <c r="W450" s="173" t="str">
        <f t="shared" ref="W450:AK450" si="411">IF(W432&lt;=0, "0.000", W432)</f>
        <v>0.000</v>
      </c>
      <c r="X450" s="173" t="str">
        <f t="shared" si="411"/>
        <v>0.000</v>
      </c>
      <c r="Y450" s="173" t="str">
        <f t="shared" si="411"/>
        <v>0.000</v>
      </c>
      <c r="Z450" s="173" t="str">
        <f t="shared" si="411"/>
        <v>0.000</v>
      </c>
      <c r="AA450" s="173" t="str">
        <f t="shared" si="411"/>
        <v>0.000</v>
      </c>
      <c r="AB450" s="173" t="str">
        <f t="shared" si="411"/>
        <v>0.000</v>
      </c>
      <c r="AC450" s="173" t="str">
        <f t="shared" si="411"/>
        <v>0.000</v>
      </c>
      <c r="AD450" s="173" t="str">
        <f t="shared" si="411"/>
        <v>0.000</v>
      </c>
      <c r="AE450" s="173" t="str">
        <f t="shared" si="411"/>
        <v>0.000</v>
      </c>
      <c r="AF450" s="173" t="str">
        <f t="shared" si="411"/>
        <v>0.000</v>
      </c>
      <c r="AG450" s="173" t="str">
        <f t="shared" si="411"/>
        <v>0.000</v>
      </c>
      <c r="AH450" s="173" t="str">
        <f t="shared" si="411"/>
        <v>0.000</v>
      </c>
      <c r="AI450" s="173" t="str">
        <f t="shared" si="411"/>
        <v>0.000</v>
      </c>
      <c r="AJ450" s="173" t="str">
        <f t="shared" si="411"/>
        <v>0.000</v>
      </c>
      <c r="AK450" s="173" t="str">
        <f t="shared" si="411"/>
        <v>0.000</v>
      </c>
      <c r="AL450" s="4"/>
      <c r="AM450" s="43">
        <v>434</v>
      </c>
      <c r="AN450">
        <v>2.4062500000000004</v>
      </c>
      <c r="AO450">
        <v>0.1792093917068929</v>
      </c>
      <c r="AP450">
        <v>3.0940571787897939</v>
      </c>
      <c r="AQ450">
        <v>1.4808093276981538</v>
      </c>
      <c r="AR450">
        <v>0.23046291603240218</v>
      </c>
      <c r="AS450">
        <v>1.7344130695869764</v>
      </c>
      <c r="AT450" t="e">
        <v>#DIV/0!</v>
      </c>
      <c r="AU450" t="e">
        <v>#DIV/0!</v>
      </c>
      <c r="AV450"/>
      <c r="AW450"/>
      <c r="FY450" s="211">
        <v>445</v>
      </c>
      <c r="FZ450">
        <v>1.329003453838483</v>
      </c>
      <c r="GA450">
        <v>0.9492013034353769</v>
      </c>
      <c r="GB450">
        <v>6.282592274279708E-2</v>
      </c>
      <c r="GC450">
        <v>3.4819274958961192E-2</v>
      </c>
      <c r="GD450">
        <v>0</v>
      </c>
      <c r="GE450">
        <v>0</v>
      </c>
      <c r="GF450">
        <v>0.33021050058332063</v>
      </c>
      <c r="GG450">
        <v>0.29759236750664797</v>
      </c>
      <c r="GH450">
        <v>0</v>
      </c>
      <c r="GI450">
        <v>0.27621577083766069</v>
      </c>
      <c r="GJ450"/>
      <c r="GK450">
        <v>1.3394639496921916</v>
      </c>
      <c r="GL450">
        <v>0.81411144957417536</v>
      </c>
      <c r="GM450">
        <v>0.10493806523239137</v>
      </c>
      <c r="GN450">
        <v>0.10493806523239137</v>
      </c>
      <c r="GO450">
        <v>0</v>
      </c>
      <c r="GP450">
        <v>0</v>
      </c>
      <c r="GQ450">
        <v>0.45369793096285549</v>
      </c>
      <c r="GR450">
        <v>0.45369793096285549</v>
      </c>
      <c r="GS450">
        <v>0</v>
      </c>
      <c r="GT450">
        <v>0.37961998917748768</v>
      </c>
      <c r="GU450"/>
      <c r="GV450"/>
      <c r="GW450"/>
      <c r="GX450"/>
      <c r="GY450"/>
      <c r="GZ450"/>
      <c r="HA450"/>
      <c r="HB450"/>
      <c r="HC450"/>
    </row>
    <row r="451" spans="1:211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2.7062499999999998</v>
      </c>
      <c r="AO451">
        <v>0.23874648064061493</v>
      </c>
      <c r="AP451">
        <v>2.7278346808211591</v>
      </c>
      <c r="AQ451">
        <v>2.1281461245528139</v>
      </c>
      <c r="AR451">
        <v>0.28279874032083824</v>
      </c>
      <c r="AS451">
        <v>1.7814567722727706</v>
      </c>
      <c r="AT451" t="e">
        <v>#DIV/0!</v>
      </c>
      <c r="AU451" t="e">
        <v>#DIV/0!</v>
      </c>
      <c r="AV451"/>
      <c r="AW451"/>
      <c r="FY451" s="211">
        <v>446</v>
      </c>
      <c r="FZ451">
        <v>1.0446286610273434</v>
      </c>
      <c r="GA451">
        <v>0.38735017759921181</v>
      </c>
      <c r="GB451">
        <v>0.12565184548559416</v>
      </c>
      <c r="GC451">
        <v>6.9638549917922385E-2</v>
      </c>
      <c r="GD451">
        <v>0</v>
      </c>
      <c r="GE451">
        <v>0</v>
      </c>
      <c r="GF451">
        <v>0.33021050058332063</v>
      </c>
      <c r="GG451">
        <v>0.29759236750664797</v>
      </c>
      <c r="GH451">
        <v>0</v>
      </c>
      <c r="GI451">
        <v>0.24966703429250242</v>
      </c>
      <c r="GJ451"/>
      <c r="GK451">
        <v>1.0501558220258669</v>
      </c>
      <c r="GL451">
        <v>0.33331521555783822</v>
      </c>
      <c r="GM451">
        <v>0.20987613046478273</v>
      </c>
      <c r="GN451">
        <v>0.20987613046478273</v>
      </c>
      <c r="GO451">
        <v>0</v>
      </c>
      <c r="GP451">
        <v>0</v>
      </c>
      <c r="GQ451">
        <v>0.45369793096285549</v>
      </c>
      <c r="GR451">
        <v>0.45369793096285549</v>
      </c>
      <c r="GS451">
        <v>0</v>
      </c>
      <c r="GT451">
        <v>0.342745976690701</v>
      </c>
      <c r="GU451"/>
      <c r="GV451"/>
      <c r="GW451"/>
      <c r="GX451"/>
      <c r="GY451"/>
      <c r="GZ451"/>
      <c r="HA451"/>
      <c r="HB451"/>
      <c r="HC451"/>
    </row>
    <row r="452" spans="1:211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1.8989583333333333</v>
      </c>
      <c r="AO452">
        <v>0.24028761019181863</v>
      </c>
      <c r="AP452">
        <v>4.5177340259385534</v>
      </c>
      <c r="AQ452">
        <v>1.8320216908870499</v>
      </c>
      <c r="AR452">
        <v>0.27063816490919418</v>
      </c>
      <c r="AS452">
        <v>1.5860376655008424</v>
      </c>
      <c r="AT452" t="e">
        <v>#DIV/0!</v>
      </c>
      <c r="AU452" t="e">
        <v>#DIV/0!</v>
      </c>
      <c r="AV452"/>
      <c r="AW452"/>
      <c r="FY452" s="211">
        <v>447</v>
      </c>
      <c r="FZ452">
        <v>0.68853630993103943</v>
      </c>
      <c r="GA452">
        <v>0.17450094823695328</v>
      </c>
      <c r="GB452">
        <v>0.15840797322414965</v>
      </c>
      <c r="GC452">
        <v>0.12309692626280153</v>
      </c>
      <c r="GD452">
        <v>2.6724553773673727E-2</v>
      </c>
      <c r="GE452">
        <v>0</v>
      </c>
      <c r="GF452">
        <v>0.33021050058332063</v>
      </c>
      <c r="GG452">
        <v>0.29759236750664797</v>
      </c>
      <c r="GH452">
        <v>0</v>
      </c>
      <c r="GI452">
        <v>0.22035967502832585</v>
      </c>
      <c r="GJ452"/>
      <c r="GK452">
        <v>0.68985919943134211</v>
      </c>
      <c r="GL452">
        <v>0.14748101845849892</v>
      </c>
      <c r="GM452">
        <v>0.26183540241601705</v>
      </c>
      <c r="GN452">
        <v>0.3667734676484084</v>
      </c>
      <c r="GO452">
        <v>0.10493806523239137</v>
      </c>
      <c r="GP452">
        <v>0</v>
      </c>
      <c r="GQ452">
        <v>0.45369793096285549</v>
      </c>
      <c r="GR452">
        <v>0.45369793096285549</v>
      </c>
      <c r="GS452">
        <v>0</v>
      </c>
      <c r="GT452">
        <v>0.3020661196085212</v>
      </c>
      <c r="GU452"/>
      <c r="GV452"/>
      <c r="GW452"/>
      <c r="GX452"/>
      <c r="GY452"/>
      <c r="GZ452"/>
      <c r="HA452"/>
      <c r="HB452"/>
      <c r="HC452"/>
    </row>
    <row r="453" spans="1:211" s="7" customFormat="1">
      <c r="A453" s="214">
        <v>1.0721E-2</v>
      </c>
      <c r="B453" s="52" t="s">
        <v>53</v>
      </c>
      <c r="C453" s="53">
        <f>SUM(C441:C452)</f>
        <v>2.811354820403801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2.0552083333333333</v>
      </c>
      <c r="AO453">
        <v>0.17867055634515272</v>
      </c>
      <c r="AP453">
        <v>3.4328687038214496</v>
      </c>
      <c r="AQ453">
        <v>1.638338279164715</v>
      </c>
      <c r="AR453">
        <v>0.22041210778094678</v>
      </c>
      <c r="AS453">
        <v>1.3345942115799359</v>
      </c>
      <c r="AT453" t="e">
        <v>#DIV/0!</v>
      </c>
      <c r="AU453" t="e">
        <v>#DIV/0!</v>
      </c>
      <c r="AV453"/>
      <c r="AW453"/>
      <c r="FY453" s="211">
        <v>448</v>
      </c>
      <c r="FZ453">
        <v>0.86016509346411607</v>
      </c>
      <c r="GA453">
        <v>0.38735017759921181</v>
      </c>
      <c r="GB453">
        <v>0.15840797322414965</v>
      </c>
      <c r="GC453">
        <v>0.12309692626280153</v>
      </c>
      <c r="GD453">
        <v>2.6724553773673727E-2</v>
      </c>
      <c r="GE453">
        <v>0</v>
      </c>
      <c r="GF453">
        <v>0.33021050058332063</v>
      </c>
      <c r="GG453">
        <v>0.29759236750664797</v>
      </c>
      <c r="GH453">
        <v>0</v>
      </c>
      <c r="GI453">
        <v>0.24573366622407053</v>
      </c>
      <c r="GJ453"/>
      <c r="GK453">
        <v>0.86372047187209122</v>
      </c>
      <c r="GL453">
        <v>0.33331521555783822</v>
      </c>
      <c r="GM453">
        <v>0.26183540241601705</v>
      </c>
      <c r="GN453">
        <v>0.3667734676484084</v>
      </c>
      <c r="GO453">
        <v>0.10493806523239137</v>
      </c>
      <c r="GP453">
        <v>0</v>
      </c>
      <c r="GQ453">
        <v>0.45369793096285549</v>
      </c>
      <c r="GR453">
        <v>0.45369793096285549</v>
      </c>
      <c r="GS453">
        <v>0</v>
      </c>
      <c r="GT453">
        <v>0.336838374096671</v>
      </c>
      <c r="GU453"/>
      <c r="GV453"/>
      <c r="GW453"/>
      <c r="GX453"/>
      <c r="GY453"/>
      <c r="GZ453"/>
      <c r="HA453"/>
      <c r="HB453"/>
      <c r="HC453"/>
    </row>
    <row r="454" spans="1:211" s="7" customFormat="1">
      <c r="A454" s="215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2.6020833333333329</v>
      </c>
      <c r="AO454">
        <v>0.21661625803252388</v>
      </c>
      <c r="AP454">
        <v>3.0056212061799839</v>
      </c>
      <c r="AQ454">
        <v>1.8995207525651991</v>
      </c>
      <c r="AR454">
        <v>0.25820512084556141</v>
      </c>
      <c r="AS454">
        <v>1.5445005586956249</v>
      </c>
      <c r="AT454" t="e">
        <v>#DIV/0!</v>
      </c>
      <c r="AU454" t="e">
        <v>#DIV/0!</v>
      </c>
      <c r="AV454"/>
      <c r="AW454"/>
      <c r="FY454" s="211">
        <v>449</v>
      </c>
      <c r="FZ454">
        <v>1.2392152402976804</v>
      </c>
      <c r="GA454">
        <v>0.26175142235542992</v>
      </c>
      <c r="GB454">
        <v>0</v>
      </c>
      <c r="GC454">
        <v>6.9638549917922385E-2</v>
      </c>
      <c r="GD454">
        <v>5.3449107547347455E-2</v>
      </c>
      <c r="GE454">
        <v>0</v>
      </c>
      <c r="GF454">
        <v>0</v>
      </c>
      <c r="GG454">
        <v>0</v>
      </c>
      <c r="GH454">
        <v>0</v>
      </c>
      <c r="GI454">
        <v>0.21441383665721314</v>
      </c>
      <c r="GJ454"/>
      <c r="GK454">
        <v>1.2455003429814986</v>
      </c>
      <c r="GL454">
        <v>0.22122152768774839</v>
      </c>
      <c r="GM454">
        <v>0</v>
      </c>
      <c r="GN454">
        <v>0.20987613046478273</v>
      </c>
      <c r="GO454">
        <v>0.20987613046478273</v>
      </c>
      <c r="GP454">
        <v>0</v>
      </c>
      <c r="GQ454">
        <v>0</v>
      </c>
      <c r="GR454">
        <v>0</v>
      </c>
      <c r="GS454">
        <v>0</v>
      </c>
      <c r="GT454">
        <v>0.2910752946892563</v>
      </c>
      <c r="GU454"/>
      <c r="GV454"/>
      <c r="GW454"/>
      <c r="GX454"/>
      <c r="GY454"/>
      <c r="GZ454"/>
      <c r="HA454"/>
      <c r="HB454"/>
      <c r="HC454"/>
    </row>
    <row r="455" spans="1:211" s="7" customFormat="1" ht="15.75">
      <c r="A455" s="214">
        <v>-1.89E-3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21"/>
      <c r="P455" s="221"/>
      <c r="Q455" s="221"/>
      <c r="R455" s="221"/>
      <c r="S455" s="200"/>
      <c r="T455" s="200"/>
      <c r="U455" s="200"/>
      <c r="V455" s="200"/>
      <c r="W455" s="201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2.5531249999999996</v>
      </c>
      <c r="AO455">
        <v>0.40333193896948183</v>
      </c>
      <c r="AP455">
        <v>6.5187934432491828</v>
      </c>
      <c r="AQ455">
        <v>3.411228588719915</v>
      </c>
      <c r="AR455">
        <v>0.44475632966384487</v>
      </c>
      <c r="AS455">
        <v>2.2621778861033071</v>
      </c>
      <c r="AT455" t="e">
        <v>#DIV/0!</v>
      </c>
      <c r="AU455" t="e">
        <v>#DIV/0!</v>
      </c>
      <c r="AV455"/>
      <c r="AW455"/>
      <c r="FY455" s="211">
        <v>450</v>
      </c>
      <c r="FZ455">
        <v>2.053883625638496</v>
      </c>
      <c r="GA455">
        <v>1.5494007103968472</v>
      </c>
      <c r="GB455">
        <v>0.14202990935487192</v>
      </c>
      <c r="GC455">
        <v>7.8958100610881349E-2</v>
      </c>
      <c r="GD455">
        <v>0</v>
      </c>
      <c r="GE455">
        <v>0</v>
      </c>
      <c r="GF455">
        <v>0.66042100116664126</v>
      </c>
      <c r="GG455">
        <v>0.59518473501329594</v>
      </c>
      <c r="GH455">
        <v>0</v>
      </c>
      <c r="GI455">
        <v>0.46689373715261584</v>
      </c>
      <c r="GJ455"/>
      <c r="GK455">
        <v>2.072683153000578</v>
      </c>
      <c r="GL455">
        <v>1.3332608622313529</v>
      </c>
      <c r="GM455">
        <v>0.23585576644039991</v>
      </c>
      <c r="GN455">
        <v>0.23585576644039991</v>
      </c>
      <c r="GO455">
        <v>0</v>
      </c>
      <c r="GP455">
        <v>0</v>
      </c>
      <c r="GQ455">
        <v>0.90739586192571098</v>
      </c>
      <c r="GR455">
        <v>0.90739586192571098</v>
      </c>
      <c r="GS455">
        <v>0</v>
      </c>
      <c r="GT455">
        <v>0.64318695627333777</v>
      </c>
      <c r="GU455"/>
      <c r="GV455"/>
      <c r="GW455"/>
      <c r="GX455"/>
      <c r="GY455"/>
      <c r="GZ455"/>
      <c r="HA455"/>
      <c r="HB455"/>
      <c r="HC455"/>
    </row>
    <row r="456" spans="1:211" s="7" customFormat="1">
      <c r="A456" s="215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2" t="s">
        <v>136</v>
      </c>
      <c r="L456" s="205"/>
      <c r="M456" s="205"/>
      <c r="N456" s="205"/>
      <c r="O456" s="205"/>
      <c r="P456" s="205"/>
      <c r="Q456" s="205"/>
      <c r="R456" s="205"/>
      <c r="S456" s="205"/>
      <c r="T456" s="205"/>
      <c r="U456" s="205"/>
      <c r="V456" s="205"/>
      <c r="W456" s="205"/>
      <c r="X456" s="205"/>
      <c r="Y456" s="205"/>
      <c r="Z456" s="205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2.0604166666666659</v>
      </c>
      <c r="AO456">
        <v>0.36011115373348523</v>
      </c>
      <c r="AP456">
        <v>8.1538130334881878</v>
      </c>
      <c r="AQ456">
        <v>2.8787032895173881</v>
      </c>
      <c r="AR456">
        <v>0.39196719610974751</v>
      </c>
      <c r="AS456">
        <v>2.0097194784123342</v>
      </c>
      <c r="AT456" t="e">
        <v>#DIV/0!</v>
      </c>
      <c r="AU456" t="e">
        <v>#DIV/0!</v>
      </c>
      <c r="AV456"/>
      <c r="AW456"/>
      <c r="FY456" s="211">
        <v>451</v>
      </c>
      <c r="FZ456">
        <v>1.4728128735623198</v>
      </c>
      <c r="GA456">
        <v>0.86195082931690026</v>
      </c>
      <c r="GB456">
        <v>0.28405981870974384</v>
      </c>
      <c r="GC456">
        <v>0.1579162012217627</v>
      </c>
      <c r="GD456">
        <v>0</v>
      </c>
      <c r="GE456">
        <v>0</v>
      </c>
      <c r="GF456">
        <v>0.33021050058332063</v>
      </c>
      <c r="GG456">
        <v>0.29759236750664797</v>
      </c>
      <c r="GH456">
        <v>0</v>
      </c>
      <c r="GI456">
        <v>0.35180782909406771</v>
      </c>
      <c r="GJ456"/>
      <c r="GK456">
        <v>1.4829327234502196</v>
      </c>
      <c r="GL456">
        <v>0.7403709403449259</v>
      </c>
      <c r="GM456">
        <v>0.47171153288079981</v>
      </c>
      <c r="GN456">
        <v>0.47171153288079981</v>
      </c>
      <c r="GO456">
        <v>0</v>
      </c>
      <c r="GP456">
        <v>0</v>
      </c>
      <c r="GQ456">
        <v>0.45369793096285549</v>
      </c>
      <c r="GR456">
        <v>0.45369793096285549</v>
      </c>
      <c r="GS456">
        <v>0</v>
      </c>
      <c r="GT456">
        <v>0.48166843745877502</v>
      </c>
      <c r="GU456"/>
      <c r="GV456"/>
      <c r="GW456"/>
      <c r="GX456"/>
      <c r="GY456"/>
      <c r="GZ456"/>
      <c r="HA456"/>
      <c r="HB456"/>
      <c r="HC456"/>
    </row>
    <row r="457" spans="1:211" s="7" customFormat="1">
      <c r="A457" s="214">
        <v>1.936E-3</v>
      </c>
      <c r="B457" s="4"/>
      <c r="C457" s="100">
        <v>0.5</v>
      </c>
      <c r="D457" s="101">
        <f>SUM($E$228:$E$347)/$A$438</f>
        <v>0</v>
      </c>
      <c r="E457" s="97">
        <f>+G36</f>
        <v>1.5460882565275302E-4</v>
      </c>
      <c r="F457" s="102">
        <f>+D457-D459</f>
        <v>0</v>
      </c>
      <c r="G457" s="101">
        <f>+D457*E457</f>
        <v>0</v>
      </c>
      <c r="H457" s="101"/>
      <c r="I457" s="101"/>
      <c r="J457" s="101"/>
      <c r="K457" s="101"/>
      <c r="L457" s="205"/>
      <c r="M457" s="205"/>
      <c r="N457" s="205"/>
      <c r="O457" s="205"/>
      <c r="P457" s="205"/>
      <c r="Q457" s="205"/>
      <c r="R457" s="205"/>
      <c r="S457" s="205"/>
      <c r="T457" s="205"/>
      <c r="U457" s="205"/>
      <c r="V457" s="205"/>
      <c r="W457" s="205"/>
      <c r="X457" s="205"/>
      <c r="Y457" s="205"/>
      <c r="Z457" s="205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2.046875</v>
      </c>
      <c r="AO457">
        <v>0.25286458511278759</v>
      </c>
      <c r="AP457">
        <v>7.7134159692770314</v>
      </c>
      <c r="AQ457">
        <v>2.0523621252059789</v>
      </c>
      <c r="AR457">
        <v>0.29942486674975216</v>
      </c>
      <c r="AS457">
        <v>1.739966068505614</v>
      </c>
      <c r="AT457" t="e">
        <v>#DIV/0!</v>
      </c>
      <c r="AU457" t="e">
        <v>#DIV/0!</v>
      </c>
      <c r="AV457"/>
      <c r="AW457"/>
      <c r="FY457" s="211">
        <v>452</v>
      </c>
      <c r="FZ457">
        <v>1.191206348768818</v>
      </c>
      <c r="GA457">
        <v>0.86195082931690026</v>
      </c>
      <c r="GB457">
        <v>0</v>
      </c>
      <c r="GC457">
        <v>3.4819274958961192E-2</v>
      </c>
      <c r="GD457">
        <v>2.6724553773673727E-2</v>
      </c>
      <c r="GE457">
        <v>0</v>
      </c>
      <c r="GF457">
        <v>0.33021050058332063</v>
      </c>
      <c r="GG457">
        <v>0.29759236750664797</v>
      </c>
      <c r="GH457">
        <v>0</v>
      </c>
      <c r="GI457">
        <v>0.25587728350727545</v>
      </c>
      <c r="GJ457"/>
      <c r="GK457">
        <v>1.1987322940115517</v>
      </c>
      <c r="GL457">
        <v>0.7403709403449259</v>
      </c>
      <c r="GM457">
        <v>0</v>
      </c>
      <c r="GN457">
        <v>0.10493806523239137</v>
      </c>
      <c r="GO457">
        <v>0.10493806523239137</v>
      </c>
      <c r="GP457">
        <v>0</v>
      </c>
      <c r="GQ457">
        <v>0.45369793096285549</v>
      </c>
      <c r="GR457">
        <v>0.45369793096285549</v>
      </c>
      <c r="GS457">
        <v>0</v>
      </c>
      <c r="GT457">
        <v>0.35147365804135972</v>
      </c>
      <c r="GU457"/>
      <c r="GV457"/>
      <c r="GW457"/>
      <c r="GX457"/>
      <c r="GY457"/>
      <c r="GZ457"/>
      <c r="HA457"/>
      <c r="HB457"/>
      <c r="HC457"/>
    </row>
    <row r="458" spans="1:211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4.5508078619280629E-4</v>
      </c>
      <c r="I458" s="101">
        <f>+H458*F457</f>
        <v>0</v>
      </c>
      <c r="J458" s="101">
        <f>+I458*$A$440</f>
        <v>0</v>
      </c>
      <c r="K458" s="61">
        <f>IF(J458&lt;0,0,J458)</f>
        <v>0</v>
      </c>
      <c r="L458" s="205"/>
      <c r="M458" s="205"/>
      <c r="N458" s="205"/>
      <c r="O458" s="205"/>
      <c r="P458" s="205"/>
      <c r="Q458" s="205"/>
      <c r="R458" s="205"/>
      <c r="S458" s="205"/>
      <c r="T458" s="205"/>
      <c r="U458" s="205"/>
      <c r="V458" s="205"/>
      <c r="W458" s="205"/>
      <c r="X458" s="205"/>
      <c r="Y458" s="205"/>
      <c r="Z458" s="205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3.3937499999999998</v>
      </c>
      <c r="AO458">
        <v>0.64035819732535237</v>
      </c>
      <c r="AP458">
        <v>29.74890783787648</v>
      </c>
      <c r="AQ458">
        <v>4.7464047485774783</v>
      </c>
      <c r="AR458">
        <v>0.63582684282776758</v>
      </c>
      <c r="AS458">
        <v>3.0738099082789172</v>
      </c>
      <c r="AT458" t="e">
        <v>#DIV/0!</v>
      </c>
      <c r="AU458" t="e">
        <v>#DIV/0!</v>
      </c>
      <c r="AV458"/>
      <c r="AW458"/>
      <c r="FY458" s="211">
        <v>453</v>
      </c>
      <c r="FZ458">
        <v>1.1855304983107979</v>
      </c>
      <c r="GA458">
        <v>0.56185112583616514</v>
      </c>
      <c r="GB458">
        <v>0.14202990935487192</v>
      </c>
      <c r="GC458">
        <v>7.8958100610881349E-2</v>
      </c>
      <c r="GD458">
        <v>0</v>
      </c>
      <c r="GE458">
        <v>0</v>
      </c>
      <c r="GF458">
        <v>0.33021050058332063</v>
      </c>
      <c r="GG458">
        <v>0.29759236750664797</v>
      </c>
      <c r="GH458">
        <v>0</v>
      </c>
      <c r="GI458">
        <v>0.2745726826657986</v>
      </c>
      <c r="GJ458"/>
      <c r="GK458">
        <v>1.1885687779625485</v>
      </c>
      <c r="GL458">
        <v>0.48079623401633714</v>
      </c>
      <c r="GM458">
        <v>0.23585576644039991</v>
      </c>
      <c r="GN458">
        <v>0.23585576644039991</v>
      </c>
      <c r="GO458">
        <v>0</v>
      </c>
      <c r="GP458">
        <v>0</v>
      </c>
      <c r="GQ458">
        <v>0.45369793096285549</v>
      </c>
      <c r="GR458">
        <v>0.45369793096285549</v>
      </c>
      <c r="GS458">
        <v>0</v>
      </c>
      <c r="GT458">
        <v>0.37562449507316081</v>
      </c>
      <c r="GU458"/>
      <c r="GV458"/>
      <c r="GW458"/>
      <c r="GX458"/>
      <c r="GY458"/>
      <c r="GZ458"/>
      <c r="HA458"/>
      <c r="HB458"/>
      <c r="HC458"/>
    </row>
    <row r="459" spans="1:211" s="7" customFormat="1">
      <c r="A459" s="4"/>
      <c r="B459" s="4"/>
      <c r="C459" s="63">
        <v>1</v>
      </c>
      <c r="D459" s="101">
        <f>SUM($F$228:$F$347)/$A$438</f>
        <v>0</v>
      </c>
      <c r="E459" s="97">
        <f>+H36</f>
        <v>1.3395E-3</v>
      </c>
      <c r="F459" s="102">
        <f>+D459-D461</f>
        <v>-2.4999999999999996</v>
      </c>
      <c r="G459" s="101">
        <f>+D459*E459</f>
        <v>0</v>
      </c>
      <c r="H459" s="101"/>
      <c r="I459" s="101"/>
      <c r="J459" s="101"/>
      <c r="K459" s="101"/>
      <c r="L459" s="205"/>
      <c r="M459" s="205"/>
      <c r="N459" s="205"/>
      <c r="O459" s="205"/>
      <c r="P459" s="205"/>
      <c r="Q459" s="205"/>
      <c r="R459" s="205"/>
      <c r="S459" s="205"/>
      <c r="T459" s="205"/>
      <c r="U459" s="205"/>
      <c r="V459" s="205"/>
      <c r="W459" s="205"/>
      <c r="X459" s="205"/>
      <c r="Y459" s="205"/>
      <c r="Z459" s="205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2.8895833333333338</v>
      </c>
      <c r="AO459">
        <v>0.64315503041845157</v>
      </c>
      <c r="AP459">
        <v>19.567898232834224</v>
      </c>
      <c r="AQ459">
        <v>5.1513267293954348</v>
      </c>
      <c r="AR459">
        <v>0.65792653291201664</v>
      </c>
      <c r="AS459">
        <v>3.172469416166789</v>
      </c>
      <c r="AT459" t="e">
        <v>#DIV/0!</v>
      </c>
      <c r="AU459" t="e">
        <v>#DIV/0!</v>
      </c>
      <c r="AV459"/>
      <c r="AW459"/>
      <c r="FY459" s="211">
        <v>454</v>
      </c>
      <c r="FZ459">
        <v>0.87773631135240682</v>
      </c>
      <c r="GA459">
        <v>8.725047411847664E-2</v>
      </c>
      <c r="GB459">
        <v>0.12565184548559416</v>
      </c>
      <c r="GC459">
        <v>0.13927709983584477</v>
      </c>
      <c r="GD459">
        <v>5.3449107547347455E-2</v>
      </c>
      <c r="GE459">
        <v>0</v>
      </c>
      <c r="GF459">
        <v>0.33021050058332063</v>
      </c>
      <c r="GG459">
        <v>0.29759236750664797</v>
      </c>
      <c r="GH459">
        <v>0</v>
      </c>
      <c r="GI459">
        <v>0.25589561945288203</v>
      </c>
      <c r="GJ459"/>
      <c r="GK459">
        <v>0.88151504984073936</v>
      </c>
      <c r="GL459">
        <v>7.3740509229249462E-2</v>
      </c>
      <c r="GM459">
        <v>0.20987613046478273</v>
      </c>
      <c r="GN459">
        <v>0.41975226092956547</v>
      </c>
      <c r="GO459">
        <v>0.20987613046478273</v>
      </c>
      <c r="GP459">
        <v>0</v>
      </c>
      <c r="GQ459">
        <v>0.45369793096285549</v>
      </c>
      <c r="GR459">
        <v>0.45369793096285549</v>
      </c>
      <c r="GS459">
        <v>0</v>
      </c>
      <c r="GT459">
        <v>0.35099304834663209</v>
      </c>
      <c r="GU459"/>
      <c r="GV459"/>
      <c r="GW459"/>
      <c r="GX459"/>
      <c r="GY459"/>
      <c r="GZ459"/>
      <c r="HA459"/>
      <c r="HB459"/>
      <c r="HC459"/>
    </row>
    <row r="460" spans="1:211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3.9427290811610257E-3</v>
      </c>
      <c r="I460" s="101">
        <f>+H460*F459</f>
        <v>-9.856822702902562E-3</v>
      </c>
      <c r="J460" s="101">
        <f>+I460*$A$440</f>
        <v>-7.8854581623220496E-2</v>
      </c>
      <c r="K460" s="61">
        <f>IF(AND(J460&lt;0, J458&lt;0), 0, J460)</f>
        <v>-7.8854581623220496E-2</v>
      </c>
      <c r="L460" s="205"/>
      <c r="M460" s="205"/>
      <c r="N460" s="205"/>
      <c r="O460" s="205"/>
      <c r="P460" s="205"/>
      <c r="Q460" s="205"/>
      <c r="R460" s="205"/>
      <c r="S460" s="205"/>
      <c r="T460" s="205"/>
      <c r="U460" s="205"/>
      <c r="V460" s="205"/>
      <c r="W460" s="205"/>
      <c r="X460" s="205"/>
      <c r="Y460" s="205"/>
      <c r="Z460" s="205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3.083333333333333</v>
      </c>
      <c r="AO460">
        <v>0.40600861723444526</v>
      </c>
      <c r="AP460">
        <v>14.122341197476995</v>
      </c>
      <c r="AQ460">
        <v>2.8539224118408875</v>
      </c>
      <c r="AR460">
        <v>0.43090950517177956</v>
      </c>
      <c r="AS460">
        <v>2.3610567525848838</v>
      </c>
      <c r="AT460" t="e">
        <v>#DIV/0!</v>
      </c>
      <c r="AU460" t="e">
        <v>#DIV/0!</v>
      </c>
      <c r="AV460"/>
      <c r="AW460"/>
      <c r="FY460" s="211">
        <v>455</v>
      </c>
      <c r="FZ460">
        <v>1.0269250443887117</v>
      </c>
      <c r="GA460">
        <v>0.47460065171768845</v>
      </c>
      <c r="GB460">
        <v>0.12565184548559416</v>
      </c>
      <c r="GC460">
        <v>6.9638549917922385E-2</v>
      </c>
      <c r="GD460">
        <v>0</v>
      </c>
      <c r="GE460">
        <v>0</v>
      </c>
      <c r="GF460">
        <v>0.66042100116664126</v>
      </c>
      <c r="GG460">
        <v>0.59518473501329594</v>
      </c>
      <c r="GH460">
        <v>0</v>
      </c>
      <c r="GI460">
        <v>0.31120422033858464</v>
      </c>
      <c r="GJ460"/>
      <c r="GK460">
        <v>1.0294874015848381</v>
      </c>
      <c r="GL460">
        <v>0.40705572478708768</v>
      </c>
      <c r="GM460">
        <v>0.20987613046478273</v>
      </c>
      <c r="GN460">
        <v>0.20987613046478273</v>
      </c>
      <c r="GO460">
        <v>0</v>
      </c>
      <c r="GP460">
        <v>0</v>
      </c>
      <c r="GQ460">
        <v>0.90739586192571098</v>
      </c>
      <c r="GR460">
        <v>0.90739586192571098</v>
      </c>
      <c r="GS460">
        <v>0</v>
      </c>
      <c r="GT460">
        <v>0.42935187879506637</v>
      </c>
      <c r="GU460"/>
      <c r="GV460"/>
      <c r="GW460"/>
      <c r="GX460"/>
      <c r="GY460"/>
      <c r="GZ460"/>
      <c r="HA460"/>
      <c r="HB460"/>
      <c r="HC460"/>
    </row>
    <row r="461" spans="1:211" s="7" customFormat="1">
      <c r="A461" s="4"/>
      <c r="B461" s="4"/>
      <c r="C461" s="63">
        <v>2</v>
      </c>
      <c r="D461" s="101">
        <f>SUM($G$228:$G$347)/$A$438</f>
        <v>2.4999999999999996</v>
      </c>
      <c r="E461" s="97">
        <f>+I36</f>
        <v>1.1605160587855814E-2</v>
      </c>
      <c r="F461" s="102">
        <f>+D461-D463</f>
        <v>0.41666666666666652</v>
      </c>
      <c r="G461" s="101">
        <f>+D461*E461</f>
        <v>2.9012901469639529E-2</v>
      </c>
      <c r="H461" s="101"/>
      <c r="I461" s="101"/>
      <c r="J461" s="101"/>
      <c r="K461" s="101"/>
      <c r="L461" s="205"/>
      <c r="M461" s="205"/>
      <c r="N461" s="205"/>
      <c r="O461" s="205"/>
      <c r="P461" s="205"/>
      <c r="Q461" s="205"/>
      <c r="R461" s="205"/>
      <c r="S461" s="205"/>
      <c r="T461" s="205"/>
      <c r="U461" s="205"/>
      <c r="V461" s="205"/>
      <c r="W461" s="205"/>
      <c r="X461" s="205"/>
      <c r="Y461" s="205"/>
      <c r="Z461" s="205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1.9749999999999992</v>
      </c>
      <c r="AO461">
        <v>0.36504673808343485</v>
      </c>
      <c r="AP461">
        <v>8.892127979932436</v>
      </c>
      <c r="AQ461">
        <v>3.279868593903247</v>
      </c>
      <c r="AR461">
        <v>0.37961998917748768</v>
      </c>
      <c r="AS461">
        <v>2.047665091456099</v>
      </c>
      <c r="AT461" t="e">
        <v>#DIV/0!</v>
      </c>
      <c r="AU461" t="e">
        <v>#DIV/0!</v>
      </c>
      <c r="AV461"/>
      <c r="AW461"/>
      <c r="FY461" s="211">
        <v>456</v>
      </c>
      <c r="FZ461">
        <v>0.6650160143235283</v>
      </c>
      <c r="GA461">
        <v>8.725047411847664E-2</v>
      </c>
      <c r="GB461">
        <v>0.22123389596694673</v>
      </c>
      <c r="GC461">
        <v>0.1579162012217627</v>
      </c>
      <c r="GD461">
        <v>2.6724553773673727E-2</v>
      </c>
      <c r="GE461">
        <v>0</v>
      </c>
      <c r="GF461">
        <v>0</v>
      </c>
      <c r="GG461">
        <v>0</v>
      </c>
      <c r="GH461">
        <v>0</v>
      </c>
      <c r="GI461">
        <v>0.16824372073514776</v>
      </c>
      <c r="GJ461"/>
      <c r="GK461">
        <v>0.66678916410367362</v>
      </c>
      <c r="GL461">
        <v>7.3740509229249462E-2</v>
      </c>
      <c r="GM461">
        <v>0.3667734676484084</v>
      </c>
      <c r="GN461">
        <v>0.47171153288079981</v>
      </c>
      <c r="GO461">
        <v>0.10493806523239137</v>
      </c>
      <c r="GP461">
        <v>0</v>
      </c>
      <c r="GQ461">
        <v>0</v>
      </c>
      <c r="GR461">
        <v>0</v>
      </c>
      <c r="GS461">
        <v>0</v>
      </c>
      <c r="GT461">
        <v>0.22770013939689468</v>
      </c>
      <c r="GU461"/>
      <c r="GV461"/>
      <c r="GW461"/>
      <c r="GX461"/>
      <c r="GY461"/>
      <c r="GZ461"/>
      <c r="HA461"/>
      <c r="HB461"/>
      <c r="HC461"/>
    </row>
    <row r="462" spans="1:211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2.1822941597984442E-2</v>
      </c>
      <c r="I462" s="101">
        <f>+H462*F461</f>
        <v>9.0928923324935136E-3</v>
      </c>
      <c r="J462" s="101">
        <f>+I462*$A$440</f>
        <v>7.2743138659948109E-2</v>
      </c>
      <c r="K462" s="61">
        <f>IF(AND(J462&lt;0, J460&lt;0), 0, J462)</f>
        <v>7.2743138659948109E-2</v>
      </c>
      <c r="L462" s="205"/>
      <c r="M462" s="205"/>
      <c r="N462" s="205"/>
      <c r="O462" s="205"/>
      <c r="P462" s="205"/>
      <c r="Q462" s="205"/>
      <c r="R462" s="205"/>
      <c r="S462" s="205"/>
      <c r="T462" s="205"/>
      <c r="U462" s="205"/>
      <c r="V462" s="205"/>
      <c r="W462" s="205"/>
      <c r="X462" s="205"/>
      <c r="Y462" s="205"/>
      <c r="Z462" s="205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2.6124999999999998</v>
      </c>
      <c r="AO462">
        <v>0.30533651371296827</v>
      </c>
      <c r="AP462">
        <v>11.01920847042067</v>
      </c>
      <c r="AQ462">
        <v>2.5047391364125429</v>
      </c>
      <c r="AR462">
        <v>0.342745976690701</v>
      </c>
      <c r="AS462">
        <v>1.7720834108548791</v>
      </c>
      <c r="AT462" t="e">
        <v>#DIV/0!</v>
      </c>
      <c r="AU462" t="e">
        <v>#DIV/0!</v>
      </c>
      <c r="AV462"/>
      <c r="AW462"/>
      <c r="FY462" s="211">
        <v>457</v>
      </c>
      <c r="FZ462">
        <v>1.0664612825920543</v>
      </c>
      <c r="GA462">
        <v>0.17450094823695328</v>
      </c>
      <c r="GB462">
        <v>0</v>
      </c>
      <c r="GC462">
        <v>6.9638549917922385E-2</v>
      </c>
      <c r="GD462">
        <v>5.3449107547347455E-2</v>
      </c>
      <c r="GE462">
        <v>0</v>
      </c>
      <c r="GF462">
        <v>0.33021050058332063</v>
      </c>
      <c r="GG462">
        <v>0.29759236750664797</v>
      </c>
      <c r="GH462">
        <v>0</v>
      </c>
      <c r="GI462">
        <v>0.25303850659375893</v>
      </c>
      <c r="GJ462"/>
      <c r="GK462">
        <v>1.067410089195751</v>
      </c>
      <c r="GL462">
        <v>0.14748101845849892</v>
      </c>
      <c r="GM462">
        <v>0</v>
      </c>
      <c r="GN462">
        <v>0.20987613046478273</v>
      </c>
      <c r="GO462">
        <v>0.20987613046478273</v>
      </c>
      <c r="GP462">
        <v>0</v>
      </c>
      <c r="GQ462">
        <v>0.45369793096285549</v>
      </c>
      <c r="GR462">
        <v>0.45369793096285549</v>
      </c>
      <c r="GS462">
        <v>0</v>
      </c>
      <c r="GT462">
        <v>0.34619683012467789</v>
      </c>
      <c r="GU462"/>
      <c r="GV462"/>
      <c r="GW462"/>
      <c r="GX462"/>
      <c r="GY462"/>
      <c r="GZ462"/>
      <c r="HA462"/>
      <c r="HB462"/>
      <c r="HC462"/>
    </row>
    <row r="463" spans="1:211" s="7" customFormat="1">
      <c r="A463" s="4"/>
      <c r="B463" s="4"/>
      <c r="C463" s="63">
        <v>3</v>
      </c>
      <c r="D463" s="101">
        <f>SUM($H$228:$H$347)/$A$438</f>
        <v>2.083333333333333</v>
      </c>
      <c r="E463" s="97">
        <f>+J36</f>
        <v>4.1036983192408429E-2</v>
      </c>
      <c r="F463" s="102">
        <f>+D463-D465</f>
        <v>1.302083333333333</v>
      </c>
      <c r="G463" s="101">
        <f>+D463*E463</f>
        <v>8.5493714984184219E-2</v>
      </c>
      <c r="H463" s="101"/>
      <c r="I463" s="101"/>
      <c r="J463" s="101"/>
      <c r="K463" s="101"/>
      <c r="L463" s="205"/>
      <c r="M463" s="205"/>
      <c r="N463" s="205"/>
      <c r="O463" s="205"/>
      <c r="P463" s="205"/>
      <c r="Q463" s="205"/>
      <c r="R463" s="205"/>
      <c r="S463" s="205"/>
      <c r="T463" s="205"/>
      <c r="U463" s="205"/>
      <c r="V463" s="205"/>
      <c r="W463" s="205"/>
      <c r="X463" s="205"/>
      <c r="Y463" s="205"/>
      <c r="Z463" s="205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2.6354166666666665</v>
      </c>
      <c r="AO463">
        <v>0.27803491347208897</v>
      </c>
      <c r="AP463">
        <v>9.7539716977401447</v>
      </c>
      <c r="AQ463">
        <v>2.0194292545469121</v>
      </c>
      <c r="AR463">
        <v>0.3020661196085212</v>
      </c>
      <c r="AS463">
        <v>1.6767063857443085</v>
      </c>
      <c r="AT463" t="e">
        <v>#DIV/0!</v>
      </c>
      <c r="AU463" t="e">
        <v>#DIV/0!</v>
      </c>
      <c r="AV463"/>
      <c r="AW463"/>
      <c r="FY463" s="211">
        <v>458</v>
      </c>
      <c r="FZ463">
        <v>0.87616371897877332</v>
      </c>
      <c r="GA463">
        <v>8.725047411847664E-2</v>
      </c>
      <c r="GB463">
        <v>0.15840797322414965</v>
      </c>
      <c r="GC463">
        <v>8.8277651303840327E-2</v>
      </c>
      <c r="GD463">
        <v>0</v>
      </c>
      <c r="GE463">
        <v>0</v>
      </c>
      <c r="GF463">
        <v>0.33021050058332063</v>
      </c>
      <c r="GG463">
        <v>0.29759236750664797</v>
      </c>
      <c r="GH463">
        <v>0</v>
      </c>
      <c r="GI463">
        <v>0.23271966847985801</v>
      </c>
      <c r="GJ463"/>
      <c r="GK463">
        <v>0.87728308623661277</v>
      </c>
      <c r="GL463">
        <v>7.3740509229249462E-2</v>
      </c>
      <c r="GM463">
        <v>0.26183540241601705</v>
      </c>
      <c r="GN463">
        <v>0.26183540241601705</v>
      </c>
      <c r="GO463">
        <v>0</v>
      </c>
      <c r="GP463">
        <v>0</v>
      </c>
      <c r="GQ463">
        <v>0.45369793096285549</v>
      </c>
      <c r="GR463">
        <v>0.45369793096285549</v>
      </c>
      <c r="GS463">
        <v>0</v>
      </c>
      <c r="GT463">
        <v>0.31856328392309707</v>
      </c>
      <c r="GU463"/>
      <c r="GV463"/>
      <c r="GW463"/>
      <c r="GX463"/>
      <c r="GY463"/>
      <c r="GZ463"/>
      <c r="HA463"/>
      <c r="HB463"/>
      <c r="HC463"/>
    </row>
    <row r="464" spans="1:211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6.4234375867750576E-2</v>
      </c>
      <c r="I464" s="101">
        <f>+H464*F463</f>
        <v>8.3638510244466877E-2</v>
      </c>
      <c r="J464" s="101">
        <f>+I464*$A$440</f>
        <v>0.66910808195573501</v>
      </c>
      <c r="K464" s="61">
        <f>IF(AND(J464&lt;0, J462&lt;0), 0, J464)</f>
        <v>0.66910808195573501</v>
      </c>
      <c r="L464" s="205"/>
      <c r="M464" s="205"/>
      <c r="N464" s="205"/>
      <c r="O464" s="205"/>
      <c r="P464" s="205"/>
      <c r="Q464" s="205"/>
      <c r="R464" s="205"/>
      <c r="S464" s="205"/>
      <c r="T464" s="205"/>
      <c r="U464" s="205"/>
      <c r="V464" s="205"/>
      <c r="W464" s="205"/>
      <c r="X464" s="205"/>
      <c r="Y464" s="205"/>
      <c r="Z464" s="205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2.1958333333333329</v>
      </c>
      <c r="AO464">
        <v>0.31748168587491288</v>
      </c>
      <c r="AP464">
        <v>11.11055952480352</v>
      </c>
      <c r="AQ464">
        <v>2.4292812586379919</v>
      </c>
      <c r="AR464">
        <v>0.336838374096671</v>
      </c>
      <c r="AS464">
        <v>1.9116497829716659</v>
      </c>
      <c r="AT464" t="e">
        <v>#DIV/0!</v>
      </c>
      <c r="AU464" t="e">
        <v>#DIV/0!</v>
      </c>
      <c r="AV464"/>
      <c r="AW464"/>
      <c r="FY464" s="211">
        <v>459</v>
      </c>
      <c r="FZ464">
        <v>1.6322253453339459</v>
      </c>
      <c r="GA464">
        <v>0.77470035519842362</v>
      </c>
      <c r="GB464">
        <v>0.26768175484046608</v>
      </c>
      <c r="GC464">
        <v>0.21823520044672617</v>
      </c>
      <c r="GD464">
        <v>5.3449107547347455E-2</v>
      </c>
      <c r="GE464">
        <v>0</v>
      </c>
      <c r="GF464">
        <v>0.66042100116664126</v>
      </c>
      <c r="GG464">
        <v>0.59518473501329594</v>
      </c>
      <c r="GH464">
        <v>0</v>
      </c>
      <c r="GI464">
        <v>0.4664274951547942</v>
      </c>
      <c r="GJ464"/>
      <c r="GK464">
        <v>1.6440832731489314</v>
      </c>
      <c r="GL464">
        <v>0.66663043111567644</v>
      </c>
      <c r="GM464">
        <v>0.44573189690518267</v>
      </c>
      <c r="GN464">
        <v>0.65560802736996537</v>
      </c>
      <c r="GO464">
        <v>0.20987613046478273</v>
      </c>
      <c r="GP464">
        <v>0</v>
      </c>
      <c r="GQ464">
        <v>0.90739586192571098</v>
      </c>
      <c r="GR464">
        <v>0.90739586192571098</v>
      </c>
      <c r="GS464">
        <v>0</v>
      </c>
      <c r="GT464">
        <v>0.64141743248892158</v>
      </c>
      <c r="GU464"/>
      <c r="GV464"/>
      <c r="GW464"/>
      <c r="GX464"/>
      <c r="GY464"/>
      <c r="GZ464"/>
      <c r="HA464"/>
      <c r="HB464"/>
      <c r="HC464"/>
    </row>
    <row r="465" spans="1:211" s="7" customFormat="1">
      <c r="A465" s="4"/>
      <c r="B465" s="4"/>
      <c r="C465" s="63">
        <v>4</v>
      </c>
      <c r="D465" s="101">
        <f>SUM($I$228:$I$347)/$A$438</f>
        <v>0.78125</v>
      </c>
      <c r="E465" s="97">
        <f>+K36</f>
        <v>0.10054479452775054</v>
      </c>
      <c r="F465" s="102">
        <f>+D465-D467</f>
        <v>0.67708333333333337</v>
      </c>
      <c r="G465" s="101">
        <f>+D465*E465</f>
        <v>7.8550620724805106E-2</v>
      </c>
      <c r="H465" s="101"/>
      <c r="I465" s="101"/>
      <c r="J465" s="101"/>
      <c r="K465" s="101"/>
      <c r="L465" s="205"/>
      <c r="M465" s="205"/>
      <c r="N465" s="205"/>
      <c r="O465" s="205"/>
      <c r="P465" s="205"/>
      <c r="Q465" s="205"/>
      <c r="R465" s="205"/>
      <c r="S465" s="205"/>
      <c r="T465" s="205"/>
      <c r="U465" s="205"/>
      <c r="V465" s="205"/>
      <c r="W465" s="205"/>
      <c r="X465" s="205"/>
      <c r="Y465" s="205"/>
      <c r="Z465" s="205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2.291666666666667</v>
      </c>
      <c r="AO465">
        <v>0.21775494262880687</v>
      </c>
      <c r="AP465">
        <v>2.5633117906332585</v>
      </c>
      <c r="AQ465">
        <v>1.8384681567755932</v>
      </c>
      <c r="AR465">
        <v>0.29107529468925619</v>
      </c>
      <c r="AS465">
        <v>1.7837009236533716</v>
      </c>
      <c r="AT465" t="e">
        <v>#DIV/0!</v>
      </c>
      <c r="AU465" t="e">
        <v>#DIV/0!</v>
      </c>
      <c r="AV465"/>
      <c r="AW465"/>
      <c r="FY465" s="211">
        <v>460</v>
      </c>
      <c r="FZ465">
        <v>0.97102761858203746</v>
      </c>
      <c r="GA465">
        <v>8.725047411847664E-2</v>
      </c>
      <c r="GB465">
        <v>0.14202990935487192</v>
      </c>
      <c r="GC465">
        <v>0.14859665052880375</v>
      </c>
      <c r="GD465">
        <v>5.3449107547347455E-2</v>
      </c>
      <c r="GE465">
        <v>0</v>
      </c>
      <c r="GF465">
        <v>0</v>
      </c>
      <c r="GG465">
        <v>0</v>
      </c>
      <c r="GH465">
        <v>0</v>
      </c>
      <c r="GI465">
        <v>0.20968094094303596</v>
      </c>
      <c r="GJ465"/>
      <c r="GK465">
        <v>0.97196064802970739</v>
      </c>
      <c r="GL465">
        <v>7.3740509229249462E-2</v>
      </c>
      <c r="GM465">
        <v>0.23585576644039991</v>
      </c>
      <c r="GN465">
        <v>0.44573189690518267</v>
      </c>
      <c r="GO465">
        <v>0.20987613046478273</v>
      </c>
      <c r="GP465">
        <v>0</v>
      </c>
      <c r="GQ465">
        <v>0</v>
      </c>
      <c r="GR465">
        <v>0</v>
      </c>
      <c r="GS465">
        <v>0</v>
      </c>
      <c r="GT465">
        <v>0.28353850898697802</v>
      </c>
      <c r="GU465"/>
      <c r="GV465"/>
      <c r="GW465"/>
      <c r="GX465"/>
      <c r="GY465"/>
      <c r="GZ465"/>
      <c r="HA465"/>
      <c r="HB465"/>
      <c r="HC465"/>
    </row>
    <row r="466" spans="1:211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0.14233015954922032</v>
      </c>
      <c r="I466" s="101">
        <f>+H466*F465</f>
        <v>9.6369378861451263E-2</v>
      </c>
      <c r="J466" s="101">
        <f>+I466*$A$440</f>
        <v>0.7709550308916101</v>
      </c>
      <c r="K466" s="61">
        <f>IF(AND(J466&lt;0, J464&lt;0), 0, J466)</f>
        <v>0.7709550308916101</v>
      </c>
      <c r="L466" s="205"/>
      <c r="M466" s="205"/>
      <c r="N466" s="205"/>
      <c r="O466" s="205"/>
      <c r="P466" s="205"/>
      <c r="Q466" s="205"/>
      <c r="R466" s="205"/>
      <c r="S466" s="205"/>
      <c r="T466" s="205"/>
      <c r="U466" s="205"/>
      <c r="V466" s="205"/>
      <c r="W466" s="205"/>
      <c r="X466" s="205"/>
      <c r="Y466" s="205"/>
      <c r="Z466" s="205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2.9552083333333337</v>
      </c>
      <c r="AO466">
        <v>0.633563422823749</v>
      </c>
      <c r="AP466">
        <v>18.904396601152541</v>
      </c>
      <c r="AQ466">
        <v>5.5467718193336495</v>
      </c>
      <c r="AR466">
        <v>0.64318695627333777</v>
      </c>
      <c r="AS466">
        <v>2.958689833146066</v>
      </c>
      <c r="AT466" t="e">
        <v>#DIV/0!</v>
      </c>
      <c r="AU466" t="e">
        <v>#DIV/0!</v>
      </c>
      <c r="AV466"/>
      <c r="AW466"/>
      <c r="FY466" s="211">
        <v>461</v>
      </c>
      <c r="FZ466">
        <v>0.99605726962823038</v>
      </c>
      <c r="GA466">
        <v>0.38735017759921181</v>
      </c>
      <c r="GB466">
        <v>0.22123389596694673</v>
      </c>
      <c r="GC466">
        <v>0.1579162012217627</v>
      </c>
      <c r="GD466">
        <v>2.6724553773673727E-2</v>
      </c>
      <c r="GE466">
        <v>0</v>
      </c>
      <c r="GF466">
        <v>0</v>
      </c>
      <c r="GG466">
        <v>0</v>
      </c>
      <c r="GH466">
        <v>0</v>
      </c>
      <c r="GI466">
        <v>0.21719553025871097</v>
      </c>
      <c r="GJ466"/>
      <c r="GK466">
        <v>1.0018009862431343</v>
      </c>
      <c r="GL466">
        <v>0.33331521555783822</v>
      </c>
      <c r="GM466">
        <v>0.3667734676484084</v>
      </c>
      <c r="GN466">
        <v>0.47171153288079981</v>
      </c>
      <c r="GO466">
        <v>0.10493806523239137</v>
      </c>
      <c r="GP466">
        <v>0</v>
      </c>
      <c r="GQ466">
        <v>0</v>
      </c>
      <c r="GR466">
        <v>0</v>
      </c>
      <c r="GS466">
        <v>0</v>
      </c>
      <c r="GT466">
        <v>0.29470250382478685</v>
      </c>
      <c r="GU466"/>
      <c r="GV466"/>
      <c r="GW466"/>
      <c r="GX466"/>
      <c r="GY466"/>
      <c r="GZ466"/>
      <c r="HA466"/>
      <c r="HB466"/>
      <c r="HC466"/>
    </row>
    <row r="467" spans="1:211" s="7" customFormat="1">
      <c r="A467" s="4"/>
      <c r="B467" s="4"/>
      <c r="C467" s="63">
        <v>5</v>
      </c>
      <c r="D467" s="101">
        <f>SUM($J$228:$J$347)/$A$438</f>
        <v>0.10416666666666666</v>
      </c>
      <c r="E467" s="97">
        <f>L36</f>
        <v>0.20148108524619146</v>
      </c>
      <c r="F467" s="102">
        <f>+D467-D469</f>
        <v>-8.3333333333333343E-2</v>
      </c>
      <c r="G467" s="101">
        <f>+D467*E467</f>
        <v>2.0987613046478275E-2</v>
      </c>
      <c r="H467" s="101"/>
      <c r="I467" s="101"/>
      <c r="J467" s="101"/>
      <c r="K467" s="101"/>
      <c r="L467" s="205"/>
      <c r="M467" s="205"/>
      <c r="N467" s="205"/>
      <c r="O467" s="205"/>
      <c r="P467" s="205"/>
      <c r="Q467" s="205"/>
      <c r="R467" s="205"/>
      <c r="S467" s="205"/>
      <c r="T467" s="205"/>
      <c r="U467" s="205"/>
      <c r="V467" s="205"/>
      <c r="W467" s="205"/>
      <c r="X467" s="205"/>
      <c r="Y467" s="205"/>
      <c r="Z467" s="205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3.2458333333333327</v>
      </c>
      <c r="AO467">
        <v>0.45557910289412307</v>
      </c>
      <c r="AP467">
        <v>14.086133126787978</v>
      </c>
      <c r="AQ467">
        <v>3.7563504199947628</v>
      </c>
      <c r="AR467">
        <v>0.48166843745877502</v>
      </c>
      <c r="AS467">
        <v>2.557494352953138</v>
      </c>
      <c r="AT467" t="e">
        <v>#DIV/0!</v>
      </c>
      <c r="AU467" t="e">
        <v>#DIV/0!</v>
      </c>
      <c r="AV467"/>
      <c r="AW467"/>
      <c r="FY467" s="211">
        <v>462</v>
      </c>
      <c r="FZ467">
        <v>0.86244397665907768</v>
      </c>
      <c r="GA467">
        <v>0.38735017759921181</v>
      </c>
      <c r="GB467">
        <v>0.204855832097669</v>
      </c>
      <c r="GC467">
        <v>0.18341592548776492</v>
      </c>
      <c r="GD467">
        <v>5.3449107547347455E-2</v>
      </c>
      <c r="GE467">
        <v>0</v>
      </c>
      <c r="GF467">
        <v>0.33021050058332063</v>
      </c>
      <c r="GG467">
        <v>0.29759236750664797</v>
      </c>
      <c r="GH467">
        <v>0</v>
      </c>
      <c r="GI467">
        <v>0.27304687663121197</v>
      </c>
      <c r="GJ467"/>
      <c r="GK467">
        <v>0.86575258164446178</v>
      </c>
      <c r="GL467">
        <v>0.33331521555783822</v>
      </c>
      <c r="GM467">
        <v>0.34079383167279126</v>
      </c>
      <c r="GN467">
        <v>0.55066996213757402</v>
      </c>
      <c r="GO467">
        <v>0.20987613046478273</v>
      </c>
      <c r="GP467">
        <v>0</v>
      </c>
      <c r="GQ467">
        <v>0.45369793096285549</v>
      </c>
      <c r="GR467">
        <v>0.45369793096285549</v>
      </c>
      <c r="GS467">
        <v>0</v>
      </c>
      <c r="GT467">
        <v>0.37402409494897826</v>
      </c>
      <c r="GU467"/>
      <c r="GV467"/>
      <c r="GW467"/>
      <c r="GX467"/>
      <c r="GY467"/>
      <c r="GZ467"/>
      <c r="HA467"/>
      <c r="HB467"/>
      <c r="HC467"/>
    </row>
    <row r="468" spans="1:211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0.26764496156345924</v>
      </c>
      <c r="I468" s="101">
        <f>+H468*F467</f>
        <v>-2.2303746796954939E-2</v>
      </c>
      <c r="J468" s="101">
        <f>+I468*$A$440</f>
        <v>-0.17842997437563951</v>
      </c>
      <c r="K468" s="61">
        <f>IF(AND(J468&lt;0, J466&lt;0), 0, J468)</f>
        <v>-0.17842997437563951</v>
      </c>
      <c r="L468" s="205"/>
      <c r="M468" s="205"/>
      <c r="N468" s="205"/>
      <c r="O468" s="205"/>
      <c r="P468" s="205"/>
      <c r="Q468" s="205"/>
      <c r="R468" s="205"/>
      <c r="S468" s="205"/>
      <c r="T468" s="205"/>
      <c r="U468" s="205"/>
      <c r="V468" s="205"/>
      <c r="W468" s="205"/>
      <c r="X468" s="205"/>
      <c r="Y468" s="205"/>
      <c r="Z468" s="205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2.4333333333333327</v>
      </c>
      <c r="AO468">
        <v>0.34078488847883304</v>
      </c>
      <c r="AP468">
        <v>9.8553335928457351</v>
      </c>
      <c r="AQ468">
        <v>2.9983811584155973</v>
      </c>
      <c r="AR468">
        <v>0.35147365804135972</v>
      </c>
      <c r="AS468">
        <v>1.8976959445727875</v>
      </c>
      <c r="AT468" t="e">
        <v>#DIV/0!</v>
      </c>
      <c r="AU468" t="e">
        <v>#DIV/0!</v>
      </c>
      <c r="AV468"/>
      <c r="AW468"/>
      <c r="FY468" s="211">
        <v>463</v>
      </c>
      <c r="FZ468">
        <v>0.57148710478701314</v>
      </c>
      <c r="GA468">
        <v>0</v>
      </c>
      <c r="GB468">
        <v>0.15840797322414965</v>
      </c>
      <c r="GC468">
        <v>0.12309692626280153</v>
      </c>
      <c r="GD468">
        <v>2.6724553773673727E-2</v>
      </c>
      <c r="GE468">
        <v>0</v>
      </c>
      <c r="GF468">
        <v>0.66042100116664126</v>
      </c>
      <c r="GG468">
        <v>0.59518473501329594</v>
      </c>
      <c r="GH468">
        <v>0</v>
      </c>
      <c r="GI468">
        <v>0.26707987416253665</v>
      </c>
      <c r="GJ468"/>
      <c r="GK468">
        <v>0.57293545652779931</v>
      </c>
      <c r="GL468">
        <v>0</v>
      </c>
      <c r="GM468">
        <v>0.26183540241601705</v>
      </c>
      <c r="GN468">
        <v>0.3667734676484084</v>
      </c>
      <c r="GO468">
        <v>0.10493806523239137</v>
      </c>
      <c r="GP468">
        <v>0</v>
      </c>
      <c r="GQ468">
        <v>0.90739586192571098</v>
      </c>
      <c r="GR468">
        <v>0.90739586192571098</v>
      </c>
      <c r="GS468">
        <v>0</v>
      </c>
      <c r="GT468">
        <v>0.36942095722038376</v>
      </c>
      <c r="GU468"/>
      <c r="GV468"/>
      <c r="GW468"/>
      <c r="GX468"/>
      <c r="GY468"/>
      <c r="GZ468"/>
      <c r="HA468"/>
      <c r="HB468"/>
      <c r="HC468"/>
    </row>
    <row r="469" spans="1:211" s="7" customFormat="1">
      <c r="A469" s="4"/>
      <c r="B469" s="4"/>
      <c r="C469" s="63">
        <v>6</v>
      </c>
      <c r="D469" s="101">
        <f>SUM($K$228:$K$347)/$A$438</f>
        <v>0.1875</v>
      </c>
      <c r="E469" s="97">
        <f>M36</f>
        <v>0.35553622992836076</v>
      </c>
      <c r="F469" s="102">
        <f>+D469-D471</f>
        <v>0.1875</v>
      </c>
      <c r="G469" s="101">
        <f>+D469*E469</f>
        <v>6.6663043111567649E-2</v>
      </c>
      <c r="H469" s="101"/>
      <c r="I469" s="101"/>
      <c r="J469" s="101"/>
      <c r="K469" s="101"/>
      <c r="L469" s="205"/>
      <c r="M469" s="205"/>
      <c r="N469" s="205"/>
      <c r="O469" s="205"/>
      <c r="P469" s="205"/>
      <c r="Q469" s="205"/>
      <c r="R469" s="205"/>
      <c r="S469" s="205"/>
      <c r="T469" s="205"/>
      <c r="U469" s="205"/>
      <c r="V469" s="205"/>
      <c r="W469" s="205"/>
      <c r="X469" s="205"/>
      <c r="Y469" s="205"/>
      <c r="Z469" s="205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2.9302083333333329</v>
      </c>
      <c r="AO469">
        <v>0.34240969018585565</v>
      </c>
      <c r="AP469">
        <v>10.393232538027094</v>
      </c>
      <c r="AQ469">
        <v>2.8707451848684835</v>
      </c>
      <c r="AR469">
        <v>0.37562449507316081</v>
      </c>
      <c r="AS469">
        <v>2.2575355030133868</v>
      </c>
      <c r="AT469" t="e">
        <v>#DIV/0!</v>
      </c>
      <c r="AU469" t="e">
        <v>#DIV/0!</v>
      </c>
      <c r="AV469"/>
      <c r="AW469"/>
      <c r="FY469" s="211">
        <v>464</v>
      </c>
      <c r="FZ469">
        <v>0.63098573773460598</v>
      </c>
      <c r="GA469">
        <v>0</v>
      </c>
      <c r="GB469">
        <v>7.9203986612074825E-2</v>
      </c>
      <c r="GC469">
        <v>4.4138825651920163E-2</v>
      </c>
      <c r="GD469">
        <v>0</v>
      </c>
      <c r="GE469">
        <v>0</v>
      </c>
      <c r="GF469">
        <v>0.33021050058332063</v>
      </c>
      <c r="GG469">
        <v>0.29759236750664797</v>
      </c>
      <c r="GH469">
        <v>0</v>
      </c>
      <c r="GI469">
        <v>0.17705510805539704</v>
      </c>
      <c r="GJ469"/>
      <c r="GK469">
        <v>0.62934878363499402</v>
      </c>
      <c r="GL469">
        <v>0</v>
      </c>
      <c r="GM469">
        <v>0.13091770120800852</v>
      </c>
      <c r="GN469">
        <v>0.13091770120800852</v>
      </c>
      <c r="GO469">
        <v>0</v>
      </c>
      <c r="GP469">
        <v>0</v>
      </c>
      <c r="GQ469">
        <v>0.45369793096285549</v>
      </c>
      <c r="GR469">
        <v>0.45369793096285549</v>
      </c>
      <c r="GS469">
        <v>0</v>
      </c>
      <c r="GT469">
        <v>0.24279288316117165</v>
      </c>
      <c r="GU469"/>
      <c r="GV469"/>
      <c r="GW469"/>
      <c r="GX469"/>
      <c r="GY469"/>
      <c r="GZ469"/>
      <c r="HA469"/>
      <c r="HB469"/>
      <c r="HC469"/>
    </row>
    <row r="470" spans="1:211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0.45201566688379241</v>
      </c>
      <c r="I470" s="101">
        <f>+H470*F469</f>
        <v>8.4752937540711074E-2</v>
      </c>
      <c r="J470" s="101">
        <f>+I470*$A$440</f>
        <v>0.67802350032568859</v>
      </c>
      <c r="K470" s="61">
        <f>IF(AND(J470&lt;0, J468&lt;0), 0, J470)</f>
        <v>0.67802350032568859</v>
      </c>
      <c r="L470" s="205"/>
      <c r="M470" s="205"/>
      <c r="N470" s="205"/>
      <c r="O470" s="205"/>
      <c r="P470" s="205"/>
      <c r="Q470" s="205"/>
      <c r="R470" s="205"/>
      <c r="S470" s="205"/>
      <c r="T470" s="205"/>
      <c r="U470" s="205"/>
      <c r="V470" s="205"/>
      <c r="W470" s="205"/>
      <c r="X470" s="205"/>
      <c r="Y470" s="205"/>
      <c r="Z470" s="205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2.114583333333333</v>
      </c>
      <c r="AO470">
        <v>0.30531489912014631</v>
      </c>
      <c r="AP470">
        <v>8.7687707271833801</v>
      </c>
      <c r="AQ470">
        <v>2.1670633258825207</v>
      </c>
      <c r="AR470">
        <v>0.35099304834663209</v>
      </c>
      <c r="AS470">
        <v>2.1091768644542244</v>
      </c>
      <c r="AT470" t="e">
        <v>#DIV/0!</v>
      </c>
      <c r="AU470" t="e">
        <v>#DIV/0!</v>
      </c>
      <c r="AV470"/>
      <c r="AW470"/>
      <c r="FY470" s="211">
        <v>465</v>
      </c>
      <c r="FZ470">
        <v>1.2411761416016809</v>
      </c>
      <c r="GA470">
        <v>0.47460065171768845</v>
      </c>
      <c r="GB470">
        <v>6.282592274279708E-2</v>
      </c>
      <c r="GC470">
        <v>0.10445782487688358</v>
      </c>
      <c r="GD470">
        <v>5.3449107547347455E-2</v>
      </c>
      <c r="GE470">
        <v>0</v>
      </c>
      <c r="GF470">
        <v>0.33021050058332063</v>
      </c>
      <c r="GG470">
        <v>0.29759236750664797</v>
      </c>
      <c r="GH470">
        <v>0</v>
      </c>
      <c r="GI470">
        <v>0.2942661551313836</v>
      </c>
      <c r="GJ470"/>
      <c r="GK470">
        <v>1.2464280524492994</v>
      </c>
      <c r="GL470">
        <v>0.40705572478708768</v>
      </c>
      <c r="GM470">
        <v>0.10493806523239137</v>
      </c>
      <c r="GN470">
        <v>0.31481419569717412</v>
      </c>
      <c r="GO470">
        <v>0.20987613046478273</v>
      </c>
      <c r="GP470">
        <v>0</v>
      </c>
      <c r="GQ470">
        <v>0.45369793096285549</v>
      </c>
      <c r="GR470">
        <v>0.45369793096285549</v>
      </c>
      <c r="GS470">
        <v>0</v>
      </c>
      <c r="GT470">
        <v>0.40298803582186582</v>
      </c>
      <c r="GU470"/>
      <c r="GV470"/>
      <c r="GW470"/>
      <c r="GX470"/>
      <c r="GY470"/>
      <c r="GZ470"/>
      <c r="HA470"/>
      <c r="HB470"/>
      <c r="HC470"/>
    </row>
    <row r="471" spans="1:211" s="7" customFormat="1">
      <c r="A471" s="4"/>
      <c r="B471" s="4"/>
      <c r="C471" s="63">
        <v>7</v>
      </c>
      <c r="D471" s="101">
        <f>SUM($L$228:$L$347)/$A$438</f>
        <v>0</v>
      </c>
      <c r="E471" s="97">
        <f>+N36</f>
        <v>0.57467606929839166</v>
      </c>
      <c r="F471" s="102">
        <f>+D471-D473</f>
        <v>-0.10416666666666666</v>
      </c>
      <c r="G471" s="101">
        <f>+D471*E471</f>
        <v>0</v>
      </c>
      <c r="H471" s="101"/>
      <c r="I471" s="101"/>
      <c r="J471" s="101"/>
      <c r="K471" s="101"/>
      <c r="L471" s="205"/>
      <c r="M471" s="205"/>
      <c r="N471" s="205"/>
      <c r="O471" s="205"/>
      <c r="P471" s="205"/>
      <c r="Q471" s="205"/>
      <c r="R471" s="205"/>
      <c r="S471" s="205"/>
      <c r="T471" s="205"/>
      <c r="U471" s="205"/>
      <c r="V471" s="205"/>
      <c r="W471" s="205"/>
      <c r="X471" s="205"/>
      <c r="Y471" s="205"/>
      <c r="Z471" s="205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3.5187500000000007</v>
      </c>
      <c r="AO471">
        <v>0.41004389899479793</v>
      </c>
      <c r="AP471">
        <v>17.010540072586451</v>
      </c>
      <c r="AQ471">
        <v>3.2636260480284385</v>
      </c>
      <c r="AR471">
        <v>0.42935187879506637</v>
      </c>
      <c r="AS471">
        <v>2.2674859779223344</v>
      </c>
      <c r="AT471" t="e">
        <v>#DIV/0!</v>
      </c>
      <c r="AU471" t="e">
        <v>#DIV/0!</v>
      </c>
      <c r="AV471"/>
      <c r="AW471"/>
      <c r="FY471" s="211">
        <v>466</v>
      </c>
      <c r="FZ471">
        <v>1.4511025982032779</v>
      </c>
      <c r="GA471">
        <v>0.86195082931690026</v>
      </c>
      <c r="GB471">
        <v>6.282592274279708E-2</v>
      </c>
      <c r="GC471">
        <v>0.13927709983584477</v>
      </c>
      <c r="GD471">
        <v>8.0173661321021189E-2</v>
      </c>
      <c r="GE471">
        <v>0</v>
      </c>
      <c r="GF471">
        <v>0</v>
      </c>
      <c r="GG471">
        <v>0</v>
      </c>
      <c r="GH471">
        <v>0</v>
      </c>
      <c r="GI471">
        <v>0.27646828741789997</v>
      </c>
      <c r="GJ471"/>
      <c r="GK471">
        <v>1.4664473533941569</v>
      </c>
      <c r="GL471">
        <v>0.7403709403449259</v>
      </c>
      <c r="GM471">
        <v>0.10493806523239137</v>
      </c>
      <c r="GN471">
        <v>0.41975226092956547</v>
      </c>
      <c r="GO471">
        <v>0.31481419569717417</v>
      </c>
      <c r="GP471">
        <v>0</v>
      </c>
      <c r="GQ471">
        <v>0</v>
      </c>
      <c r="GR471">
        <v>0</v>
      </c>
      <c r="GS471">
        <v>0</v>
      </c>
      <c r="GT471">
        <v>0.3772399228647445</v>
      </c>
      <c r="GU471"/>
      <c r="GV471"/>
      <c r="GW471"/>
      <c r="GX471"/>
      <c r="GY471"/>
      <c r="GZ471"/>
      <c r="HA471"/>
      <c r="HB471"/>
      <c r="HC471"/>
    </row>
    <row r="472" spans="1:211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0.70753115814070688</v>
      </c>
      <c r="I472" s="101">
        <f>+H472*F471</f>
        <v>-7.3701162306323634E-2</v>
      </c>
      <c r="J472" s="101">
        <f>+I472*$A$440</f>
        <v>-0.58960929845058907</v>
      </c>
      <c r="K472" s="61">
        <f>IF(AND(J472&lt;0, J470&lt;0), 0, J472)</f>
        <v>-0.58960929845058907</v>
      </c>
      <c r="L472" s="205"/>
      <c r="M472" s="205"/>
      <c r="N472" s="205"/>
      <c r="O472" s="205"/>
      <c r="P472" s="205"/>
      <c r="Q472" s="205"/>
      <c r="R472" s="205"/>
      <c r="S472" s="205"/>
      <c r="T472" s="205"/>
      <c r="U472" s="205"/>
      <c r="V472" s="205"/>
      <c r="W472" s="205"/>
      <c r="X472" s="205"/>
      <c r="Y472" s="205"/>
      <c r="Z472" s="205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1.9687499999999996</v>
      </c>
      <c r="AO472">
        <v>0.19116528784914175</v>
      </c>
      <c r="AP472">
        <v>4.5362766938383734</v>
      </c>
      <c r="AQ472">
        <v>1.3263848601395358</v>
      </c>
      <c r="AR472">
        <v>0.22770013939689474</v>
      </c>
      <c r="AS472">
        <v>1.5551255976129243</v>
      </c>
      <c r="AT472" t="e">
        <v>#DIV/0!</v>
      </c>
      <c r="AU472" t="e">
        <v>#DIV/0!</v>
      </c>
      <c r="AV472"/>
      <c r="AW472"/>
      <c r="FY472" s="211">
        <v>467</v>
      </c>
      <c r="FZ472">
        <v>0.97083198289674488</v>
      </c>
      <c r="GA472">
        <v>0.26175142235542992</v>
      </c>
      <c r="GB472">
        <v>0.14202990935487192</v>
      </c>
      <c r="GC472">
        <v>0.11377737556984255</v>
      </c>
      <c r="GD472">
        <v>2.6724553773673727E-2</v>
      </c>
      <c r="GE472">
        <v>0</v>
      </c>
      <c r="GF472">
        <v>0.66042100116664126</v>
      </c>
      <c r="GG472">
        <v>0.59518473501329594</v>
      </c>
      <c r="GH472">
        <v>0</v>
      </c>
      <c r="GI472">
        <v>0.3223461102047418</v>
      </c>
      <c r="GJ472"/>
      <c r="GK472">
        <v>0.97162514483895879</v>
      </c>
      <c r="GL472">
        <v>0.22122152768774839</v>
      </c>
      <c r="GM472">
        <v>0.23585576644039991</v>
      </c>
      <c r="GN472">
        <v>0.34079383167279126</v>
      </c>
      <c r="GO472">
        <v>0.10493806523239137</v>
      </c>
      <c r="GP472">
        <v>0</v>
      </c>
      <c r="GQ472">
        <v>0.90739586192571098</v>
      </c>
      <c r="GR472">
        <v>0.90739586192571098</v>
      </c>
      <c r="GS472">
        <v>0</v>
      </c>
      <c r="GT472">
        <v>0.44396296768749222</v>
      </c>
      <c r="GU472"/>
      <c r="GV472"/>
      <c r="GW472"/>
      <c r="GX472"/>
      <c r="GY472"/>
      <c r="GZ472"/>
      <c r="HA472"/>
      <c r="HB472"/>
      <c r="HC472"/>
    </row>
    <row r="473" spans="1:211" s="7" customFormat="1">
      <c r="A473" s="4"/>
      <c r="B473" s="16"/>
      <c r="C473" s="63">
        <v>8</v>
      </c>
      <c r="D473" s="101">
        <f>SUM($M$228:$M$347)/$A$438</f>
        <v>0.10416666666666666</v>
      </c>
      <c r="E473" s="97">
        <f>O36</f>
        <v>0.87110002744868265</v>
      </c>
      <c r="F473" s="102">
        <f>+D473-D475</f>
        <v>0.10416666666666666</v>
      </c>
      <c r="G473" s="101">
        <f>+D473*E473</f>
        <v>9.0739586192571095E-2</v>
      </c>
      <c r="H473" s="101"/>
      <c r="I473" s="101"/>
      <c r="J473" s="101"/>
      <c r="K473" s="101"/>
      <c r="L473" s="205"/>
      <c r="M473" s="205"/>
      <c r="N473" s="205"/>
      <c r="O473" s="205"/>
      <c r="P473" s="205"/>
      <c r="Q473" s="205"/>
      <c r="R473" s="205"/>
      <c r="S473" s="205"/>
      <c r="T473" s="205"/>
      <c r="U473" s="205"/>
      <c r="V473" s="205"/>
      <c r="W473" s="205"/>
      <c r="X473" s="205"/>
      <c r="Y473" s="205"/>
      <c r="Z473" s="205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3.052083333333333</v>
      </c>
      <c r="AO473">
        <v>0.28882360606342039</v>
      </c>
      <c r="AP473">
        <v>9.1601126051131594</v>
      </c>
      <c r="AQ473">
        <v>2.2448912629780051</v>
      </c>
      <c r="AR473">
        <v>0.34619683012467789</v>
      </c>
      <c r="AS473">
        <v>2.2166325053158702</v>
      </c>
      <c r="AT473" t="e">
        <v>#DIV/0!</v>
      </c>
      <c r="AU473" t="e">
        <v>#DIV/0!</v>
      </c>
      <c r="AV473"/>
      <c r="AW473"/>
      <c r="FY473" s="211">
        <v>468</v>
      </c>
      <c r="FZ473">
        <v>1.1025533619452368</v>
      </c>
      <c r="GA473">
        <v>0.47460065171768845</v>
      </c>
      <c r="GB473">
        <v>0.26768175484046608</v>
      </c>
      <c r="GC473">
        <v>0.21823520044672617</v>
      </c>
      <c r="GD473">
        <v>5.3449107547347455E-2</v>
      </c>
      <c r="GE473">
        <v>0</v>
      </c>
      <c r="GF473">
        <v>0</v>
      </c>
      <c r="GG473">
        <v>0</v>
      </c>
      <c r="GH473">
        <v>0</v>
      </c>
      <c r="GI473">
        <v>0.2598663118276513</v>
      </c>
      <c r="GJ473"/>
      <c r="GK473">
        <v>1.111102614004416</v>
      </c>
      <c r="GL473">
        <v>0.40705572478708768</v>
      </c>
      <c r="GM473">
        <v>0.44573189690518267</v>
      </c>
      <c r="GN473">
        <v>0.65560802736996537</v>
      </c>
      <c r="GO473">
        <v>0.20987613046478273</v>
      </c>
      <c r="GP473">
        <v>0</v>
      </c>
      <c r="GQ473">
        <v>0</v>
      </c>
      <c r="GR473">
        <v>0</v>
      </c>
      <c r="GS473">
        <v>0</v>
      </c>
      <c r="GT473">
        <v>0.35334212827487621</v>
      </c>
      <c r="GU473"/>
      <c r="GV473"/>
      <c r="GW473"/>
      <c r="GX473"/>
      <c r="GY473"/>
      <c r="GZ473"/>
      <c r="HA473"/>
      <c r="HB473"/>
      <c r="HC473"/>
    </row>
    <row r="474" spans="1:211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1.0464972251921623</v>
      </c>
      <c r="I474" s="101">
        <f>+H474*F473</f>
        <v>0.10901012762418356</v>
      </c>
      <c r="J474" s="101">
        <f>+I474*$A$440</f>
        <v>0.87208102099346851</v>
      </c>
      <c r="K474" s="61">
        <f>IF(AND(J474&lt;0, J472&lt;0), 0, J474)</f>
        <v>0.87208102099346851</v>
      </c>
      <c r="L474" s="205"/>
      <c r="M474" s="205"/>
      <c r="N474" s="205"/>
      <c r="O474" s="205"/>
      <c r="P474" s="205"/>
      <c r="Q474" s="205"/>
      <c r="R474" s="205"/>
      <c r="S474" s="205"/>
      <c r="T474" s="205"/>
      <c r="U474" s="205"/>
      <c r="V474" s="205"/>
      <c r="W474" s="205"/>
      <c r="X474" s="205"/>
      <c r="Y474" s="205"/>
      <c r="Z474" s="205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2.6041666666666665</v>
      </c>
      <c r="AO474">
        <v>0.27006535461467041</v>
      </c>
      <c r="AP474">
        <v>9.4092974004577101</v>
      </c>
      <c r="AQ474">
        <v>2.0706223541950668</v>
      </c>
      <c r="AR474">
        <v>0.31856328392309707</v>
      </c>
      <c r="AS474">
        <v>2.007432611392244</v>
      </c>
      <c r="AT474" t="e">
        <v>#DIV/0!</v>
      </c>
      <c r="AU474" t="e">
        <v>#DIV/0!</v>
      </c>
      <c r="AV474"/>
      <c r="AW474"/>
      <c r="FY474" s="211">
        <v>469</v>
      </c>
      <c r="FZ474">
        <v>1.018518590438362</v>
      </c>
      <c r="GA474">
        <v>0.26175142235542992</v>
      </c>
      <c r="GB474">
        <v>0.14202990935487192</v>
      </c>
      <c r="GC474">
        <v>7.8958100610881349E-2</v>
      </c>
      <c r="GD474">
        <v>0</v>
      </c>
      <c r="GE474">
        <v>0</v>
      </c>
      <c r="GF474">
        <v>0</v>
      </c>
      <c r="GG474">
        <v>0</v>
      </c>
      <c r="GH474">
        <v>0</v>
      </c>
      <c r="GI474">
        <v>0.18572791367539959</v>
      </c>
      <c r="GJ474"/>
      <c r="GK474">
        <v>1.0220789614619945</v>
      </c>
      <c r="GL474">
        <v>0.22122152768774839</v>
      </c>
      <c r="GM474">
        <v>0.23585576644039991</v>
      </c>
      <c r="GN474">
        <v>0.23585576644039991</v>
      </c>
      <c r="GO474">
        <v>0</v>
      </c>
      <c r="GP474">
        <v>0</v>
      </c>
      <c r="GQ474">
        <v>0</v>
      </c>
      <c r="GR474">
        <v>0</v>
      </c>
      <c r="GS474">
        <v>0</v>
      </c>
      <c r="GT474">
        <v>0.25158694558047889</v>
      </c>
      <c r="GU474"/>
      <c r="GV474"/>
      <c r="GW474"/>
      <c r="GX474"/>
      <c r="GY474"/>
      <c r="GZ474"/>
      <c r="HA474"/>
      <c r="HB474"/>
      <c r="HC474"/>
    </row>
    <row r="475" spans="1:211" s="7" customFormat="1">
      <c r="A475" s="4"/>
      <c r="B475" s="16"/>
      <c r="C475" s="63">
        <v>9</v>
      </c>
      <c r="D475" s="101">
        <f>SUM($N$228:$N$347)/$A$438</f>
        <v>0</v>
      </c>
      <c r="E475" s="97">
        <f>P36</f>
        <v>1.2572108917760445</v>
      </c>
      <c r="F475" s="102">
        <f>+D475-D477</f>
        <v>0</v>
      </c>
      <c r="G475" s="101">
        <f>+D475*E475</f>
        <v>0</v>
      </c>
      <c r="H475" s="101"/>
      <c r="I475" s="101"/>
      <c r="J475" s="101"/>
      <c r="K475" s="101"/>
      <c r="L475" s="205"/>
      <c r="M475" s="205"/>
      <c r="N475" s="205"/>
      <c r="O475" s="205"/>
      <c r="P475" s="205"/>
      <c r="Q475" s="205"/>
      <c r="R475" s="205"/>
      <c r="S475" s="205"/>
      <c r="T475" s="205"/>
      <c r="U475" s="205"/>
      <c r="V475" s="205"/>
      <c r="W475" s="205"/>
      <c r="X475" s="205"/>
      <c r="Y475" s="205"/>
      <c r="Z475" s="205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4.2510416666666657</v>
      </c>
      <c r="AO475">
        <v>0.60781389153448817</v>
      </c>
      <c r="AP475">
        <v>21.395421517885943</v>
      </c>
      <c r="AQ475">
        <v>4.6683249947016412</v>
      </c>
      <c r="AR475">
        <v>0.64141743248892158</v>
      </c>
      <c r="AS475">
        <v>3.4068523633267636</v>
      </c>
      <c r="AT475" t="e">
        <v>#DIV/0!</v>
      </c>
      <c r="AU475" t="e">
        <v>#DIV/0!</v>
      </c>
      <c r="AV475"/>
      <c r="AW475"/>
      <c r="FY475" s="211">
        <v>470</v>
      </c>
      <c r="FZ475">
        <v>0.63801819743683308</v>
      </c>
      <c r="GA475">
        <v>8.725047411847664E-2</v>
      </c>
      <c r="GB475">
        <v>0.22123389596694673</v>
      </c>
      <c r="GC475">
        <v>0.12309692626280153</v>
      </c>
      <c r="GD475">
        <v>0</v>
      </c>
      <c r="GE475">
        <v>0</v>
      </c>
      <c r="GF475">
        <v>0.66042100116664126</v>
      </c>
      <c r="GG475">
        <v>0.59518473501329594</v>
      </c>
      <c r="GH475">
        <v>0</v>
      </c>
      <c r="GI475">
        <v>0.27701929165598871</v>
      </c>
      <c r="GJ475"/>
      <c r="GK475">
        <v>0.636836023862282</v>
      </c>
      <c r="GL475">
        <v>7.3740509229249462E-2</v>
      </c>
      <c r="GM475">
        <v>0.3667734676484084</v>
      </c>
      <c r="GN475">
        <v>0.3667734676484084</v>
      </c>
      <c r="GO475">
        <v>0</v>
      </c>
      <c r="GP475">
        <v>0</v>
      </c>
      <c r="GQ475">
        <v>0.90739586192571098</v>
      </c>
      <c r="GR475">
        <v>0.90739586192571098</v>
      </c>
      <c r="GS475">
        <v>0</v>
      </c>
      <c r="GT475">
        <v>0.38220107068728026</v>
      </c>
      <c r="GU475"/>
      <c r="GV475"/>
      <c r="GW475"/>
      <c r="GX475"/>
      <c r="GY475"/>
      <c r="GZ475"/>
      <c r="HA475"/>
      <c r="HB475"/>
      <c r="HC475"/>
    </row>
    <row r="476" spans="1:211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1.4814105268105848</v>
      </c>
      <c r="I476" s="101">
        <f>+H476*F475</f>
        <v>0</v>
      </c>
      <c r="J476" s="101">
        <f>+I476*$A$440</f>
        <v>0</v>
      </c>
      <c r="K476" s="61">
        <f>IF(AND(J476&lt;0, J474&lt;0), 0, J476)</f>
        <v>0</v>
      </c>
      <c r="L476" s="205"/>
      <c r="M476" s="205"/>
      <c r="N476" s="205"/>
      <c r="O476" s="205"/>
      <c r="P476" s="205"/>
      <c r="Q476" s="205"/>
      <c r="R476" s="205"/>
      <c r="S476" s="205"/>
      <c r="T476" s="205"/>
      <c r="U476" s="205"/>
      <c r="V476" s="205"/>
      <c r="W476" s="205"/>
      <c r="X476" s="205"/>
      <c r="Y476" s="205"/>
      <c r="Z476" s="205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3.046875</v>
      </c>
      <c r="AO476">
        <v>0.22207034600563</v>
      </c>
      <c r="AP476">
        <v>3.3257479022053356</v>
      </c>
      <c r="AQ476">
        <v>1.612034701074573</v>
      </c>
      <c r="AR476">
        <v>0.28353850898697797</v>
      </c>
      <c r="AS476">
        <v>2.0989912879116233</v>
      </c>
      <c r="AT476" t="e">
        <v>#DIV/0!</v>
      </c>
      <c r="AU476" t="e">
        <v>#DIV/0!</v>
      </c>
      <c r="AV476"/>
      <c r="AW476"/>
      <c r="FY476" s="211">
        <v>471</v>
      </c>
      <c r="FZ476">
        <v>1.2873910582299242</v>
      </c>
      <c r="GA476">
        <v>0.47460065171768845</v>
      </c>
      <c r="GB476">
        <v>0.12565184548559416</v>
      </c>
      <c r="GC476">
        <v>0.174096374794806</v>
      </c>
      <c r="GD476">
        <v>8.0173661321021189E-2</v>
      </c>
      <c r="GE476">
        <v>0</v>
      </c>
      <c r="GF476">
        <v>0.33021050058332063</v>
      </c>
      <c r="GG476">
        <v>0.29759236750664797</v>
      </c>
      <c r="GH476">
        <v>0</v>
      </c>
      <c r="GI476">
        <v>0.33187370581167291</v>
      </c>
      <c r="GJ476"/>
      <c r="GK476">
        <v>1.2979743403403927</v>
      </c>
      <c r="GL476">
        <v>0.40705572478708768</v>
      </c>
      <c r="GM476">
        <v>0.20987613046478273</v>
      </c>
      <c r="GN476">
        <v>0.52469032616195688</v>
      </c>
      <c r="GO476">
        <v>0.31481419569717417</v>
      </c>
      <c r="GP476">
        <v>0</v>
      </c>
      <c r="GQ476">
        <v>0.45369793096285549</v>
      </c>
      <c r="GR476">
        <v>0.45369793096285549</v>
      </c>
      <c r="GS476">
        <v>0</v>
      </c>
      <c r="GT476">
        <v>0.45527251949304104</v>
      </c>
      <c r="GU476"/>
      <c r="GV476"/>
      <c r="GW476"/>
      <c r="GX476"/>
      <c r="GY476"/>
      <c r="GZ476"/>
      <c r="HA476"/>
      <c r="HB476"/>
      <c r="HC476"/>
    </row>
    <row r="477" spans="1:211" s="7" customFormat="1">
      <c r="A477" s="4"/>
      <c r="B477" s="16"/>
      <c r="C477" s="63">
        <v>10</v>
      </c>
      <c r="D477" s="101">
        <f>SUM($O$228:$O$347)/$A$438</f>
        <v>0</v>
      </c>
      <c r="E477" s="97">
        <f>Q36</f>
        <v>1.7455918997368574</v>
      </c>
      <c r="F477" s="102">
        <f>+D477-D479</f>
        <v>0</v>
      </c>
      <c r="G477" s="101">
        <f>+D477*E477</f>
        <v>0</v>
      </c>
      <c r="H477" s="101"/>
      <c r="I477" s="101"/>
      <c r="J477" s="101"/>
      <c r="K477" s="101"/>
      <c r="L477" s="205"/>
      <c r="M477" s="205"/>
      <c r="N477" s="205"/>
      <c r="O477" s="205"/>
      <c r="P477" s="205"/>
      <c r="Q477" s="205"/>
      <c r="R477" s="205"/>
      <c r="S477" s="205"/>
      <c r="T477" s="205"/>
      <c r="U477" s="205"/>
      <c r="V477" s="205"/>
      <c r="W477" s="205"/>
      <c r="X477" s="205"/>
      <c r="Y477" s="205"/>
      <c r="Z477" s="205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2.5708333333333333</v>
      </c>
      <c r="AO477">
        <v>0.2573241771387359</v>
      </c>
      <c r="AP477">
        <v>6.4749245798096338</v>
      </c>
      <c r="AQ477">
        <v>2.0064776284485362</v>
      </c>
      <c r="AR477">
        <v>0.29470250382478685</v>
      </c>
      <c r="AS477">
        <v>1.8684248721217489</v>
      </c>
      <c r="AT477" t="e">
        <v>#DIV/0!</v>
      </c>
      <c r="AU477" t="e">
        <v>#DIV/0!</v>
      </c>
      <c r="AV477"/>
      <c r="AW477"/>
      <c r="FY477" s="211">
        <v>472</v>
      </c>
      <c r="FZ477">
        <v>0.76011734180162782</v>
      </c>
      <c r="GA477">
        <v>8.725047411847664E-2</v>
      </c>
      <c r="GB477">
        <v>0.22123389596694673</v>
      </c>
      <c r="GC477">
        <v>0.1579162012217627</v>
      </c>
      <c r="GD477">
        <v>2.6724553773673727E-2</v>
      </c>
      <c r="GE477">
        <v>0</v>
      </c>
      <c r="GF477">
        <v>0.33021050058332063</v>
      </c>
      <c r="GG477">
        <v>0.29759236750664797</v>
      </c>
      <c r="GH477">
        <v>0</v>
      </c>
      <c r="GI477">
        <v>0.24635699302000941</v>
      </c>
      <c r="GJ477"/>
      <c r="GK477">
        <v>0.76381942756424714</v>
      </c>
      <c r="GL477">
        <v>7.3740509229249462E-2</v>
      </c>
      <c r="GM477">
        <v>0.3667734676484084</v>
      </c>
      <c r="GN477">
        <v>0.47171153288079981</v>
      </c>
      <c r="GO477">
        <v>0.10493806523239137</v>
      </c>
      <c r="GP477">
        <v>0</v>
      </c>
      <c r="GQ477">
        <v>0.45369793096285549</v>
      </c>
      <c r="GR477">
        <v>0.45369793096285549</v>
      </c>
      <c r="GS477">
        <v>0</v>
      </c>
      <c r="GT477">
        <v>0.33784577828158052</v>
      </c>
      <c r="GU477"/>
      <c r="GV477"/>
      <c r="GW477"/>
      <c r="GX477"/>
      <c r="GY477"/>
      <c r="GZ477"/>
      <c r="HA477"/>
      <c r="HB477"/>
      <c r="HC477"/>
    </row>
    <row r="478" spans="1:211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2.0249384413074334</v>
      </c>
      <c r="I478" s="101">
        <f>+H478*F477</f>
        <v>0</v>
      </c>
      <c r="J478" s="101">
        <f>+I478*$A$440</f>
        <v>0</v>
      </c>
      <c r="K478" s="61">
        <f>IF(AND(J478&lt;0, J476&lt;0), 0, J478)</f>
        <v>0</v>
      </c>
      <c r="L478" s="205"/>
      <c r="M478" s="205"/>
      <c r="N478" s="205"/>
      <c r="O478" s="205"/>
      <c r="P478" s="205"/>
      <c r="Q478" s="205"/>
      <c r="R478" s="205"/>
      <c r="S478" s="205"/>
      <c r="T478" s="205"/>
      <c r="U478" s="205"/>
      <c r="V478" s="205"/>
      <c r="W478" s="205"/>
      <c r="X478" s="205"/>
      <c r="Y478" s="205"/>
      <c r="Z478" s="205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2.7531249999999998</v>
      </c>
      <c r="AO478">
        <v>0.35818276783521374</v>
      </c>
      <c r="AP478">
        <v>12.375186103990096</v>
      </c>
      <c r="AQ478">
        <v>2.5923647641122516</v>
      </c>
      <c r="AR478">
        <v>0.37402409494897826</v>
      </c>
      <c r="AS478">
        <v>1.9961421319311352</v>
      </c>
      <c r="AT478" t="e">
        <v>#DIV/0!</v>
      </c>
      <c r="AU478" t="e">
        <v>#DIV/0!</v>
      </c>
      <c r="AV478"/>
      <c r="AW478"/>
      <c r="FY478" s="211">
        <v>473</v>
      </c>
      <c r="FZ478">
        <v>0.77687427730387737</v>
      </c>
      <c r="GA478">
        <v>0.47460065171768845</v>
      </c>
      <c r="GB478">
        <v>7.9203986612074825E-2</v>
      </c>
      <c r="GC478">
        <v>7.8958100610881349E-2</v>
      </c>
      <c r="GD478">
        <v>2.6724553773673727E-2</v>
      </c>
      <c r="GE478">
        <v>0</v>
      </c>
      <c r="GF478">
        <v>0.33021050058332063</v>
      </c>
      <c r="GG478">
        <v>0.29759236750664797</v>
      </c>
      <c r="GH478">
        <v>0</v>
      </c>
      <c r="GI478">
        <v>0.2139857155649868</v>
      </c>
      <c r="GJ478"/>
      <c r="GK478">
        <v>0.78035973965173033</v>
      </c>
      <c r="GL478">
        <v>0.40705572478708768</v>
      </c>
      <c r="GM478">
        <v>0.13091770120800852</v>
      </c>
      <c r="GN478">
        <v>0.23585576644039991</v>
      </c>
      <c r="GO478">
        <v>0.10493806523239137</v>
      </c>
      <c r="GP478">
        <v>0</v>
      </c>
      <c r="GQ478">
        <v>0.45369793096285549</v>
      </c>
      <c r="GR478">
        <v>0.45369793096285549</v>
      </c>
      <c r="GS478">
        <v>0</v>
      </c>
      <c r="GT478">
        <v>0.29398268741099715</v>
      </c>
      <c r="GU478"/>
      <c r="GV478"/>
      <c r="GW478"/>
      <c r="GX478"/>
      <c r="GY478"/>
      <c r="GZ478"/>
      <c r="HA478"/>
      <c r="HB478"/>
      <c r="HC478"/>
    </row>
    <row r="479" spans="1:211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2.3489887250867154</v>
      </c>
      <c r="F479" s="102">
        <f>+D479-D481</f>
        <v>0</v>
      </c>
      <c r="G479" s="101">
        <f>+D479*E479</f>
        <v>0</v>
      </c>
      <c r="H479" s="101"/>
      <c r="I479" s="101"/>
      <c r="J479" s="101"/>
      <c r="K479" s="101"/>
      <c r="L479" s="205"/>
      <c r="M479" s="205"/>
      <c r="N479" s="205"/>
      <c r="O479" s="205"/>
      <c r="P479" s="205"/>
      <c r="Q479" s="205"/>
      <c r="R479" s="205"/>
      <c r="S479" s="205"/>
      <c r="T479" s="205"/>
      <c r="U479" s="205"/>
      <c r="V479" s="205"/>
      <c r="W479" s="205"/>
      <c r="X479" s="205"/>
      <c r="Y479" s="205"/>
      <c r="Z479" s="205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2.604166666666667</v>
      </c>
      <c r="AO479">
        <v>0.3490695072896422</v>
      </c>
      <c r="AP479">
        <v>15.681773301272115</v>
      </c>
      <c r="AQ479">
        <v>2.402402168390112</v>
      </c>
      <c r="AR479">
        <v>0.36942095722038376</v>
      </c>
      <c r="AS479">
        <v>1.8343455966633981</v>
      </c>
      <c r="AT479" t="e">
        <v>#DIV/0!</v>
      </c>
      <c r="AU479" t="e">
        <v>#DIV/0!</v>
      </c>
      <c r="AV479"/>
      <c r="AW479"/>
      <c r="FY479" s="211">
        <v>474</v>
      </c>
      <c r="FZ479">
        <v>0.74052611333861962</v>
      </c>
      <c r="GA479">
        <v>0</v>
      </c>
      <c r="GB479">
        <v>7.9203986612074825E-2</v>
      </c>
      <c r="GC479">
        <v>7.8958100610881349E-2</v>
      </c>
      <c r="GD479">
        <v>2.6724553773673727E-2</v>
      </c>
      <c r="GE479">
        <v>0</v>
      </c>
      <c r="GF479">
        <v>0.99063150174996206</v>
      </c>
      <c r="GG479">
        <v>0.89277710251994391</v>
      </c>
      <c r="GH479">
        <v>0</v>
      </c>
      <c r="GI479">
        <v>0.33681104303897613</v>
      </c>
      <c r="GJ479"/>
      <c r="GK479">
        <v>0.74178990373234432</v>
      </c>
      <c r="GL479">
        <v>0</v>
      </c>
      <c r="GM479">
        <v>0.13091770120800852</v>
      </c>
      <c r="GN479">
        <v>0.23585576644039991</v>
      </c>
      <c r="GO479">
        <v>0.10493806523239137</v>
      </c>
      <c r="GP479">
        <v>0</v>
      </c>
      <c r="GQ479">
        <v>1.3610937928885667</v>
      </c>
      <c r="GR479">
        <v>1.3610937928885667</v>
      </c>
      <c r="GS479">
        <v>0</v>
      </c>
      <c r="GT479">
        <v>0.46774789261226218</v>
      </c>
      <c r="GU479"/>
      <c r="GV479"/>
      <c r="GW479"/>
      <c r="GX479"/>
      <c r="GY479"/>
      <c r="GZ479"/>
      <c r="HA479"/>
      <c r="HB479"/>
      <c r="HC479"/>
    </row>
    <row r="480" spans="1:211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2.6899029783856285</v>
      </c>
      <c r="I480" s="101">
        <f>+H480*F479</f>
        <v>0</v>
      </c>
      <c r="J480" s="101">
        <f>+I480*$A$440</f>
        <v>0</v>
      </c>
      <c r="K480" s="61">
        <f>IF(AND(J480&lt;0, J478&lt;0), 0, J480)</f>
        <v>0</v>
      </c>
      <c r="L480" s="205"/>
      <c r="M480" s="205"/>
      <c r="N480" s="205"/>
      <c r="O480" s="205"/>
      <c r="P480" s="205"/>
      <c r="Q480" s="205"/>
      <c r="R480" s="205"/>
      <c r="S480" s="205"/>
      <c r="T480" s="205"/>
      <c r="U480" s="205"/>
      <c r="V480" s="205"/>
      <c r="W480" s="205"/>
      <c r="X480" s="205"/>
      <c r="Y480" s="205"/>
      <c r="Z480" s="205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2.4635416666666661</v>
      </c>
      <c r="AO480">
        <v>0.20413729311378939</v>
      </c>
      <c r="AP480">
        <v>7.7134159692770314</v>
      </c>
      <c r="AQ480">
        <v>1.5591865261439668</v>
      </c>
      <c r="AR480">
        <v>0.24279288316117165</v>
      </c>
      <c r="AS480">
        <v>1.7131186759426522</v>
      </c>
      <c r="AT480" t="e">
        <v>#DIV/0!</v>
      </c>
      <c r="AU480" t="e">
        <v>#DIV/0!</v>
      </c>
      <c r="AV480"/>
      <c r="AW480"/>
      <c r="FY480" s="211">
        <v>475</v>
      </c>
      <c r="FZ480">
        <v>0.54834093790096206</v>
      </c>
      <c r="GA480">
        <v>8.725047411847664E-2</v>
      </c>
      <c r="GB480">
        <v>0.18847776822839127</v>
      </c>
      <c r="GC480">
        <v>0.10445782487688361</v>
      </c>
      <c r="GD480">
        <v>0</v>
      </c>
      <c r="GE480">
        <v>0</v>
      </c>
      <c r="GF480">
        <v>0.33021050058332063</v>
      </c>
      <c r="GG480">
        <v>0.29759236750664797</v>
      </c>
      <c r="GH480">
        <v>0</v>
      </c>
      <c r="GI480">
        <v>0.19166675161187033</v>
      </c>
      <c r="GJ480"/>
      <c r="GK480">
        <v>0.55030179738233209</v>
      </c>
      <c r="GL480">
        <v>7.3740509229249462E-2</v>
      </c>
      <c r="GM480">
        <v>0.31481419569717417</v>
      </c>
      <c r="GN480">
        <v>0.31481419569717417</v>
      </c>
      <c r="GO480">
        <v>0</v>
      </c>
      <c r="GP480">
        <v>0</v>
      </c>
      <c r="GQ480">
        <v>0.45369793096285549</v>
      </c>
      <c r="GR480">
        <v>0.45369793096285549</v>
      </c>
      <c r="GS480">
        <v>0</v>
      </c>
      <c r="GT480">
        <v>0.26376278480847232</v>
      </c>
      <c r="GU480"/>
      <c r="GV480"/>
      <c r="GW480"/>
      <c r="GX480"/>
      <c r="GY480"/>
      <c r="GZ480"/>
      <c r="HA480"/>
      <c r="HB480"/>
      <c r="HC480"/>
    </row>
    <row r="481" spans="1:211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3.0802949183422608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5"/>
      <c r="M481" s="205"/>
      <c r="N481" s="205"/>
      <c r="O481" s="205"/>
      <c r="P481" s="205"/>
      <c r="Q481" s="205"/>
      <c r="R481" s="205"/>
      <c r="S481" s="205"/>
      <c r="T481" s="205"/>
      <c r="U481" s="205"/>
      <c r="V481" s="205"/>
      <c r="W481" s="205"/>
      <c r="X481" s="205"/>
      <c r="Y481" s="205"/>
      <c r="Z481" s="205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3.2687499999999998</v>
      </c>
      <c r="AO481">
        <v>0.35934960663783128</v>
      </c>
      <c r="AP481">
        <v>9.4550761542729198</v>
      </c>
      <c r="AQ481">
        <v>2.8585786717077495</v>
      </c>
      <c r="AR481">
        <v>0.40298803582186582</v>
      </c>
      <c r="AS481">
        <v>2.1956069168253101</v>
      </c>
      <c r="AT481" t="e">
        <v>#DIV/0!</v>
      </c>
      <c r="AU481" t="e">
        <v>#DIV/0!</v>
      </c>
      <c r="AV481"/>
      <c r="AW481"/>
      <c r="FY481" s="211">
        <v>476</v>
      </c>
      <c r="FZ481">
        <v>0.81709536158313945</v>
      </c>
      <c r="GA481">
        <v>0.47460065171768845</v>
      </c>
      <c r="GB481">
        <v>0.18847776822839127</v>
      </c>
      <c r="GC481">
        <v>0.20891564975376722</v>
      </c>
      <c r="GD481">
        <v>8.0173661321021189E-2</v>
      </c>
      <c r="GE481">
        <v>0</v>
      </c>
      <c r="GF481">
        <v>0.33021050058332063</v>
      </c>
      <c r="GG481">
        <v>0.29759236750664797</v>
      </c>
      <c r="GH481">
        <v>0</v>
      </c>
      <c r="GI481">
        <v>0.27782880212207817</v>
      </c>
      <c r="GJ481"/>
      <c r="GK481">
        <v>0.82063811118925056</v>
      </c>
      <c r="GL481">
        <v>0.40705572478708768</v>
      </c>
      <c r="GM481">
        <v>0.31481419569717417</v>
      </c>
      <c r="GN481">
        <v>0.62962839139434834</v>
      </c>
      <c r="GO481">
        <v>0.31481419569717417</v>
      </c>
      <c r="GP481">
        <v>0</v>
      </c>
      <c r="GQ481">
        <v>0.45369793096285549</v>
      </c>
      <c r="GR481">
        <v>0.45369793096285549</v>
      </c>
      <c r="GS481">
        <v>0</v>
      </c>
      <c r="GT481">
        <v>0.38079288670929085</v>
      </c>
      <c r="GU481"/>
      <c r="GV481"/>
      <c r="GW481"/>
      <c r="GX481"/>
      <c r="GY481"/>
      <c r="GZ481"/>
      <c r="HA481"/>
      <c r="HB481"/>
      <c r="HC481"/>
    </row>
    <row r="482" spans="1:211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3.4892676169359906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5"/>
      <c r="M482" s="205"/>
      <c r="N482" s="205"/>
      <c r="O482" s="205"/>
      <c r="P482" s="205"/>
      <c r="Q482" s="205"/>
      <c r="R482" s="205"/>
      <c r="S482" s="205"/>
      <c r="T482" s="205"/>
      <c r="U482" s="205"/>
      <c r="V482" s="205"/>
      <c r="W482" s="205"/>
      <c r="X482" s="205"/>
      <c r="Y482" s="205"/>
      <c r="Z482" s="205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2.1</v>
      </c>
      <c r="AO482">
        <v>0.34235627384629586</v>
      </c>
      <c r="AP482">
        <v>2.8497547314585425</v>
      </c>
      <c r="AQ482">
        <v>2.8717983988377416</v>
      </c>
      <c r="AR482">
        <v>0.3772399228647445</v>
      </c>
      <c r="AS482">
        <v>2.4135464900143559</v>
      </c>
      <c r="AT482" t="e">
        <v>#DIV/0!</v>
      </c>
      <c r="AU482" t="e">
        <v>#DIV/0!</v>
      </c>
      <c r="AV482"/>
      <c r="AW482"/>
      <c r="FY482" s="211">
        <v>477</v>
      </c>
      <c r="FZ482">
        <v>0.94426310190594276</v>
      </c>
      <c r="GA482">
        <v>0.38735017759921181</v>
      </c>
      <c r="GB482">
        <v>0.26768175484046608</v>
      </c>
      <c r="GC482">
        <v>0.14859665052880378</v>
      </c>
      <c r="GD482">
        <v>0</v>
      </c>
      <c r="GE482">
        <v>0</v>
      </c>
      <c r="GF482">
        <v>0</v>
      </c>
      <c r="GG482">
        <v>0</v>
      </c>
      <c r="GH482">
        <v>0</v>
      </c>
      <c r="GI482">
        <v>0.20556568486103338</v>
      </c>
      <c r="GJ482"/>
      <c r="GK482">
        <v>0.95020578513288045</v>
      </c>
      <c r="GL482">
        <v>0.33331521555783822</v>
      </c>
      <c r="GM482">
        <v>0.44573189690518267</v>
      </c>
      <c r="GN482">
        <v>0.44573189690518267</v>
      </c>
      <c r="GO482">
        <v>0</v>
      </c>
      <c r="GP482">
        <v>0</v>
      </c>
      <c r="GQ482">
        <v>0</v>
      </c>
      <c r="GR482">
        <v>0</v>
      </c>
      <c r="GS482">
        <v>0</v>
      </c>
      <c r="GT482">
        <v>0.27918753640761262</v>
      </c>
      <c r="GU482"/>
      <c r="GV482"/>
      <c r="GW482"/>
      <c r="GX482"/>
      <c r="GY482"/>
      <c r="GZ482"/>
      <c r="HA482"/>
      <c r="HB482"/>
      <c r="HC482"/>
    </row>
    <row r="483" spans="1:211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3.9525398786004713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5"/>
      <c r="M483" s="205"/>
      <c r="N483" s="205"/>
      <c r="O483" s="205"/>
      <c r="P483" s="205"/>
      <c r="Q483" s="205"/>
      <c r="R483" s="205"/>
      <c r="S483" s="205"/>
      <c r="T483" s="205"/>
      <c r="U483" s="205"/>
      <c r="V483" s="205"/>
      <c r="W483" s="205"/>
      <c r="X483" s="205"/>
      <c r="Y483" s="205"/>
      <c r="Z483" s="205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3.3697916666666665</v>
      </c>
      <c r="AO483">
        <v>0.41331890274112038</v>
      </c>
      <c r="AP483">
        <v>15.746850586255935</v>
      </c>
      <c r="AQ483">
        <v>3.093067090335242</v>
      </c>
      <c r="AR483">
        <v>0.44396296768749222</v>
      </c>
      <c r="AS483">
        <v>2.442219101616554</v>
      </c>
      <c r="AT483" t="e">
        <v>#DIV/0!</v>
      </c>
      <c r="AU483" t="e">
        <v>#DIV/0!</v>
      </c>
      <c r="AV483"/>
      <c r="AW483"/>
      <c r="FY483" s="211">
        <v>478</v>
      </c>
      <c r="FZ483">
        <v>0.93382937284437373</v>
      </c>
      <c r="GA483">
        <v>0.38735017759921181</v>
      </c>
      <c r="GB483">
        <v>0.15840797322414965</v>
      </c>
      <c r="GC483">
        <v>8.8277651303840327E-2</v>
      </c>
      <c r="GD483">
        <v>0</v>
      </c>
      <c r="GE483">
        <v>0</v>
      </c>
      <c r="GF483">
        <v>0</v>
      </c>
      <c r="GG483">
        <v>0</v>
      </c>
      <c r="GH483">
        <v>0</v>
      </c>
      <c r="GI483">
        <v>0.17706266648606578</v>
      </c>
      <c r="GJ483"/>
      <c r="GK483">
        <v>0.93937730658661855</v>
      </c>
      <c r="GL483">
        <v>0.33331521555783822</v>
      </c>
      <c r="GM483">
        <v>0.26183540241601705</v>
      </c>
      <c r="GN483">
        <v>0.26183540241601705</v>
      </c>
      <c r="GO483">
        <v>0</v>
      </c>
      <c r="GP483">
        <v>0</v>
      </c>
      <c r="GQ483">
        <v>0</v>
      </c>
      <c r="GR483">
        <v>0</v>
      </c>
      <c r="GS483">
        <v>0</v>
      </c>
      <c r="GT483">
        <v>0.24024254180052712</v>
      </c>
      <c r="GU483"/>
      <c r="GV483"/>
      <c r="GW483"/>
      <c r="GX483"/>
      <c r="GY483"/>
      <c r="GZ483"/>
      <c r="HA483"/>
      <c r="HB483"/>
      <c r="HC483"/>
    </row>
    <row r="484" spans="1:211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4.4361263242374562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5"/>
      <c r="M484" s="205"/>
      <c r="N484" s="205"/>
      <c r="O484" s="205"/>
      <c r="P484" s="205"/>
      <c r="Q484" s="205"/>
      <c r="R484" s="205"/>
      <c r="S484" s="205"/>
      <c r="T484" s="205"/>
      <c r="U484" s="205"/>
      <c r="V484" s="205"/>
      <c r="W484" s="205"/>
      <c r="X484" s="205"/>
      <c r="Y484" s="205"/>
      <c r="Z484" s="205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2.4822916666666663</v>
      </c>
      <c r="AO484">
        <v>0.31827165218063108</v>
      </c>
      <c r="AP484">
        <v>6.6776399942986373</v>
      </c>
      <c r="AQ484">
        <v>2.3763863883251166</v>
      </c>
      <c r="AR484">
        <v>0.35334212827487621</v>
      </c>
      <c r="AS484">
        <v>1.8686780791713189</v>
      </c>
      <c r="AT484" t="e">
        <v>#DIV/0!</v>
      </c>
      <c r="AU484" t="e">
        <v>#DIV/0!</v>
      </c>
      <c r="AV484"/>
      <c r="AW484"/>
      <c r="FY484" s="211">
        <v>479</v>
      </c>
      <c r="FZ484">
        <v>1.0253382718061714</v>
      </c>
      <c r="GA484">
        <v>0.26175142235542992</v>
      </c>
      <c r="GB484">
        <v>0</v>
      </c>
      <c r="GC484">
        <v>0</v>
      </c>
      <c r="GD484">
        <v>0</v>
      </c>
      <c r="GE484">
        <v>0</v>
      </c>
      <c r="GF484">
        <v>0</v>
      </c>
      <c r="GG484">
        <v>0</v>
      </c>
      <c r="GH484">
        <v>0</v>
      </c>
      <c r="GI484">
        <v>0.15187438960230634</v>
      </c>
      <c r="GJ484"/>
      <c r="GK484">
        <v>1.0289960682992381</v>
      </c>
      <c r="GL484">
        <v>0.22122152768774839</v>
      </c>
      <c r="GM484">
        <v>0</v>
      </c>
      <c r="GN484">
        <v>0</v>
      </c>
      <c r="GO484">
        <v>0</v>
      </c>
      <c r="GP484">
        <v>0</v>
      </c>
      <c r="GQ484">
        <v>0</v>
      </c>
      <c r="GR484">
        <v>0</v>
      </c>
      <c r="GS484">
        <v>0</v>
      </c>
      <c r="GT484">
        <v>0.20579921365984766</v>
      </c>
      <c r="GU484"/>
      <c r="GV484"/>
      <c r="GW484"/>
      <c r="GX484"/>
      <c r="GY484"/>
      <c r="GZ484"/>
      <c r="HA484"/>
      <c r="HB484"/>
      <c r="HC484"/>
    </row>
    <row r="485" spans="1:211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4.9788787384886826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5"/>
      <c r="M485" s="205"/>
      <c r="N485" s="205"/>
      <c r="O485" s="205"/>
      <c r="P485" s="205"/>
      <c r="Q485" s="205"/>
      <c r="R485" s="205"/>
      <c r="S485" s="205"/>
      <c r="T485" s="205"/>
      <c r="U485" s="205"/>
      <c r="V485" s="205"/>
      <c r="W485" s="205"/>
      <c r="X485" s="205"/>
      <c r="Y485" s="205"/>
      <c r="Z485" s="205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2.963541666666667</v>
      </c>
      <c r="AO485">
        <v>0.19665989676110218</v>
      </c>
      <c r="AP485">
        <v>3.1061985330051556</v>
      </c>
      <c r="AQ485">
        <v>1.6869859364349447</v>
      </c>
      <c r="AR485">
        <v>0.25158694558047889</v>
      </c>
      <c r="AS485">
        <v>1.6548639150478495</v>
      </c>
      <c r="AT485" t="e">
        <v>#DIV/0!</v>
      </c>
      <c r="AU485" t="e">
        <v>#DIV/0!</v>
      </c>
      <c r="AV485"/>
      <c r="AW485"/>
      <c r="FY485" s="211">
        <v>480</v>
      </c>
      <c r="FZ485">
        <v>1.1012957890223465</v>
      </c>
      <c r="GA485">
        <v>0.47460065171768845</v>
      </c>
      <c r="GB485">
        <v>0</v>
      </c>
      <c r="GC485">
        <v>3.4819274958961192E-2</v>
      </c>
      <c r="GD485">
        <v>2.6724553773673727E-2</v>
      </c>
      <c r="GE485">
        <v>0</v>
      </c>
      <c r="GF485">
        <v>0.33021050058332063</v>
      </c>
      <c r="GG485">
        <v>0.29759236750664797</v>
      </c>
      <c r="GH485">
        <v>0</v>
      </c>
      <c r="GI485">
        <v>0.24269263406949032</v>
      </c>
      <c r="GJ485"/>
      <c r="GK485">
        <v>1.1039997901870371</v>
      </c>
      <c r="GL485">
        <v>0.40705572478708768</v>
      </c>
      <c r="GM485">
        <v>0</v>
      </c>
      <c r="GN485">
        <v>0.10493806523239137</v>
      </c>
      <c r="GO485">
        <v>0.10493806523239137</v>
      </c>
      <c r="GP485">
        <v>0</v>
      </c>
      <c r="GQ485">
        <v>0.45369793096285549</v>
      </c>
      <c r="GR485">
        <v>0.45369793096285549</v>
      </c>
      <c r="GS485">
        <v>0</v>
      </c>
      <c r="GT485">
        <v>0.33252715727645676</v>
      </c>
      <c r="GU485"/>
      <c r="GV485"/>
      <c r="GW485"/>
      <c r="GX485"/>
      <c r="GY485"/>
      <c r="GZ485"/>
      <c r="HA485"/>
      <c r="HB485"/>
      <c r="HC485"/>
    </row>
    <row r="486" spans="1:211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5.5436942469922466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5"/>
      <c r="M486" s="205"/>
      <c r="N486" s="205"/>
      <c r="O486" s="205"/>
      <c r="P486" s="205"/>
      <c r="Q486" s="205"/>
      <c r="R486" s="205"/>
      <c r="S486" s="205"/>
      <c r="T486" s="205"/>
      <c r="U486" s="205"/>
      <c r="V486" s="205"/>
      <c r="W486" s="205"/>
      <c r="X486" s="205"/>
      <c r="Y486" s="205"/>
      <c r="Z486" s="205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2.8333333333333335</v>
      </c>
      <c r="AO486">
        <v>0.36411162629270505</v>
      </c>
      <c r="AP486">
        <v>17.055153076007372</v>
      </c>
      <c r="AQ486">
        <v>2.6022245216209838</v>
      </c>
      <c r="AR486">
        <v>0.38220107068728026</v>
      </c>
      <c r="AS486">
        <v>2.1281505409143007</v>
      </c>
      <c r="AT486" t="e">
        <v>#DIV/0!</v>
      </c>
      <c r="AU486" t="e">
        <v>#DIV/0!</v>
      </c>
      <c r="AV486"/>
      <c r="AW486"/>
      <c r="FY486" s="211">
        <v>481</v>
      </c>
      <c r="FZ486">
        <v>0.86382093334741872</v>
      </c>
      <c r="GA486">
        <v>0.38735017759921181</v>
      </c>
      <c r="GB486">
        <v>7.9203986612074825E-2</v>
      </c>
      <c r="GC486">
        <v>0.14859665052880378</v>
      </c>
      <c r="GD486">
        <v>8.0173661321021189E-2</v>
      </c>
      <c r="GE486">
        <v>0</v>
      </c>
      <c r="GF486">
        <v>0.33021050058332063</v>
      </c>
      <c r="GG486">
        <v>0.29759236750664797</v>
      </c>
      <c r="GH486">
        <v>0</v>
      </c>
      <c r="GI486">
        <v>0.25771911661634456</v>
      </c>
      <c r="GJ486"/>
      <c r="GK486">
        <v>0.86964904205783988</v>
      </c>
      <c r="GL486">
        <v>0.33331521555783822</v>
      </c>
      <c r="GM486">
        <v>0.13091770120800852</v>
      </c>
      <c r="GN486">
        <v>0.44573189690518267</v>
      </c>
      <c r="GO486">
        <v>0.31481419569717417</v>
      </c>
      <c r="GP486">
        <v>0</v>
      </c>
      <c r="GQ486">
        <v>0.45369793096285549</v>
      </c>
      <c r="GR486">
        <v>0.45369793096285549</v>
      </c>
      <c r="GS486">
        <v>0</v>
      </c>
      <c r="GT486">
        <v>0.35381577398517561</v>
      </c>
      <c r="GU486"/>
      <c r="GV486"/>
      <c r="GW486"/>
      <c r="GX486"/>
      <c r="GY486"/>
      <c r="GZ486"/>
      <c r="HA486"/>
      <c r="HB486"/>
      <c r="HC486"/>
    </row>
    <row r="487" spans="1:211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6.1725837318672401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5"/>
      <c r="M487" s="205"/>
      <c r="N487" s="205"/>
      <c r="O487" s="205"/>
      <c r="P487" s="205"/>
      <c r="Q487" s="205"/>
      <c r="R487" s="205"/>
      <c r="S487" s="205"/>
      <c r="T487" s="205"/>
      <c r="U487" s="205"/>
      <c r="V487" s="205"/>
      <c r="W487" s="205"/>
      <c r="X487" s="205"/>
      <c r="Y487" s="205"/>
      <c r="Z487" s="205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2.8729166666666668</v>
      </c>
      <c r="AO487">
        <v>0.41170790988701461</v>
      </c>
      <c r="AP487">
        <v>10.344382366543854</v>
      </c>
      <c r="AQ487">
        <v>3.1015901654506757</v>
      </c>
      <c r="AR487">
        <v>0.45527251949304104</v>
      </c>
      <c r="AS487">
        <v>2.3033431973981471</v>
      </c>
      <c r="AT487" t="e">
        <v>#DIV/0!</v>
      </c>
      <c r="AU487" t="e">
        <v>#DIV/0!</v>
      </c>
      <c r="AV487"/>
      <c r="AW487"/>
      <c r="FY487" s="211">
        <v>482</v>
      </c>
      <c r="FZ487">
        <v>0.78396997394105639</v>
      </c>
      <c r="GA487">
        <v>0</v>
      </c>
      <c r="GB487">
        <v>0</v>
      </c>
      <c r="GC487">
        <v>0</v>
      </c>
      <c r="GD487">
        <v>0</v>
      </c>
      <c r="GE487">
        <v>0</v>
      </c>
      <c r="GF487">
        <v>0</v>
      </c>
      <c r="GG487">
        <v>0</v>
      </c>
      <c r="GH487">
        <v>0</v>
      </c>
      <c r="GI487">
        <v>0.11616570250135136</v>
      </c>
      <c r="GJ487"/>
      <c r="GK487">
        <v>0.78530864059738592</v>
      </c>
      <c r="GL487">
        <v>0</v>
      </c>
      <c r="GM487">
        <v>0</v>
      </c>
      <c r="GN487">
        <v>0</v>
      </c>
      <c r="GO487">
        <v>0</v>
      </c>
      <c r="GP487">
        <v>0</v>
      </c>
      <c r="GQ487">
        <v>0</v>
      </c>
      <c r="GR487">
        <v>0</v>
      </c>
      <c r="GS487">
        <v>0</v>
      </c>
      <c r="GT487">
        <v>0.15706172811947722</v>
      </c>
      <c r="GU487"/>
      <c r="GV487"/>
      <c r="GW487"/>
      <c r="GX487"/>
      <c r="GY487"/>
      <c r="GZ487"/>
      <c r="HA487"/>
      <c r="HB487"/>
      <c r="HC487"/>
    </row>
    <row r="488" spans="1:211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6.8252997131776993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5"/>
      <c r="M488" s="205"/>
      <c r="N488" s="205"/>
      <c r="O488" s="205"/>
      <c r="P488" s="205"/>
      <c r="Q488" s="205"/>
      <c r="R488" s="205"/>
      <c r="S488" s="205"/>
      <c r="T488" s="205"/>
      <c r="U488" s="205"/>
      <c r="V488" s="205"/>
      <c r="W488" s="205"/>
      <c r="X488" s="205"/>
      <c r="Y488" s="205"/>
      <c r="Z488" s="205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2.833333333333333</v>
      </c>
      <c r="AO488">
        <v>0.30262246427623879</v>
      </c>
      <c r="AP488">
        <v>11.021626580290835</v>
      </c>
      <c r="AQ488">
        <v>2.1274023279924656</v>
      </c>
      <c r="AR488">
        <v>0.33784577828158052</v>
      </c>
      <c r="AS488">
        <v>1.7884177008410351</v>
      </c>
      <c r="AT488" t="e">
        <v>#DIV/0!</v>
      </c>
      <c r="AU488" t="e">
        <v>#DIV/0!</v>
      </c>
      <c r="AV488"/>
      <c r="AW488"/>
      <c r="FY488" s="211">
        <v>483</v>
      </c>
      <c r="FZ488">
        <v>0.43412323770952527</v>
      </c>
      <c r="GA488">
        <v>0</v>
      </c>
      <c r="GB488">
        <v>6.282592274279708E-2</v>
      </c>
      <c r="GC488">
        <v>3.4819274958961192E-2</v>
      </c>
      <c r="GD488">
        <v>0</v>
      </c>
      <c r="GE488">
        <v>0</v>
      </c>
      <c r="GF488">
        <v>0.66042100116664126</v>
      </c>
      <c r="GG488">
        <v>0.59518473501329594</v>
      </c>
      <c r="GH488">
        <v>0</v>
      </c>
      <c r="GI488">
        <v>0.20789958679467338</v>
      </c>
      <c r="GJ488"/>
      <c r="GK488">
        <v>0.43594741342481402</v>
      </c>
      <c r="GL488">
        <v>0</v>
      </c>
      <c r="GM488">
        <v>0.10493806523239137</v>
      </c>
      <c r="GN488">
        <v>0.10493806523239137</v>
      </c>
      <c r="GO488">
        <v>0</v>
      </c>
      <c r="GP488">
        <v>0</v>
      </c>
      <c r="GQ488">
        <v>0.90739586192571098</v>
      </c>
      <c r="GR488">
        <v>0.90739586192571098</v>
      </c>
      <c r="GS488">
        <v>0</v>
      </c>
      <c r="GT488">
        <v>0.28965626811658329</v>
      </c>
      <c r="GU488"/>
      <c r="GV488"/>
      <c r="GW488"/>
      <c r="GX488"/>
      <c r="GY488"/>
      <c r="GZ488"/>
      <c r="HA488"/>
      <c r="HB488"/>
      <c r="HC488"/>
    </row>
    <row r="489" spans="1:211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7.5470367350709795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5"/>
      <c r="M489" s="205"/>
      <c r="N489" s="205"/>
      <c r="O489" s="205"/>
      <c r="P489" s="205"/>
      <c r="Q489" s="205"/>
      <c r="R489" s="205"/>
      <c r="S489" s="205"/>
      <c r="T489" s="205"/>
      <c r="U489" s="205"/>
      <c r="V489" s="205"/>
      <c r="W489" s="205"/>
      <c r="X489" s="205"/>
      <c r="Y489" s="205"/>
      <c r="Z489" s="205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1.9510416666666663</v>
      </c>
      <c r="AO489">
        <v>0.28605055466563262</v>
      </c>
      <c r="AP489">
        <v>9.0667385523650541</v>
      </c>
      <c r="AQ489">
        <v>2.2781501536731512</v>
      </c>
      <c r="AR489">
        <v>0.29398268741099715</v>
      </c>
      <c r="AS489">
        <v>1.7234196853922299</v>
      </c>
      <c r="AT489" t="e">
        <v>#DIV/0!</v>
      </c>
      <c r="AU489" t="e">
        <v>#DIV/0!</v>
      </c>
      <c r="AV489"/>
      <c r="AW489"/>
      <c r="FY489" s="211">
        <v>484</v>
      </c>
      <c r="FZ489">
        <v>0.77844686967751098</v>
      </c>
      <c r="GA489">
        <v>0.47460065171768845</v>
      </c>
      <c r="GB489">
        <v>0.12565184548559416</v>
      </c>
      <c r="GC489">
        <v>0.10445782487688358</v>
      </c>
      <c r="GD489">
        <v>2.6724553773673727E-2</v>
      </c>
      <c r="GE489">
        <v>0</v>
      </c>
      <c r="GF489">
        <v>0.33021050058332063</v>
      </c>
      <c r="GG489">
        <v>0.29759236750664797</v>
      </c>
      <c r="GH489">
        <v>0</v>
      </c>
      <c r="GI489">
        <v>0.22565094744197134</v>
      </c>
      <c r="GJ489"/>
      <c r="GK489">
        <v>0.78459170325585681</v>
      </c>
      <c r="GL489">
        <v>0.40705572478708768</v>
      </c>
      <c r="GM489">
        <v>0.20987613046478273</v>
      </c>
      <c r="GN489">
        <v>0.31481419569717412</v>
      </c>
      <c r="GO489">
        <v>0.10493806523239137</v>
      </c>
      <c r="GP489">
        <v>0</v>
      </c>
      <c r="GQ489">
        <v>0.45369793096285549</v>
      </c>
      <c r="GR489">
        <v>0.45369793096285549</v>
      </c>
      <c r="GS489">
        <v>0</v>
      </c>
      <c r="GT489">
        <v>0.31062076598317728</v>
      </c>
      <c r="GU489"/>
      <c r="GV489"/>
      <c r="GW489"/>
      <c r="GX489"/>
      <c r="GY489"/>
      <c r="GZ489"/>
      <c r="HA489"/>
      <c r="HB489"/>
      <c r="HC489"/>
    </row>
    <row r="490" spans="1:211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8.2943772815094068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5"/>
      <c r="M490" s="205"/>
      <c r="N490" s="205"/>
      <c r="O490" s="205"/>
      <c r="P490" s="205"/>
      <c r="Q490" s="205"/>
      <c r="R490" s="205"/>
      <c r="S490" s="205"/>
      <c r="T490" s="205"/>
      <c r="U490" s="205"/>
      <c r="V490" s="205"/>
      <c r="W490" s="205"/>
      <c r="X490" s="205"/>
      <c r="Y490" s="205"/>
      <c r="Z490" s="205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2.7447916666666665</v>
      </c>
      <c r="AO490">
        <v>0.44034369150025399</v>
      </c>
      <c r="AP490">
        <v>20.288275337073578</v>
      </c>
      <c r="AQ490">
        <v>3.1456324016441313</v>
      </c>
      <c r="AR490">
        <v>0.46774789261226218</v>
      </c>
      <c r="AS490">
        <v>2.2417482372510937</v>
      </c>
      <c r="AT490" t="e">
        <v>#DIV/0!</v>
      </c>
      <c r="AU490" t="e">
        <v>#DIV/0!</v>
      </c>
      <c r="AV490"/>
      <c r="AW490"/>
      <c r="FY490" s="211">
        <v>485</v>
      </c>
      <c r="FZ490">
        <v>1.021993149277328</v>
      </c>
      <c r="GA490">
        <v>0.38735017759921181</v>
      </c>
      <c r="GB490">
        <v>0.37964186919109638</v>
      </c>
      <c r="GC490">
        <v>0.24619385252560305</v>
      </c>
      <c r="GD490">
        <v>2.6724553773673727E-2</v>
      </c>
      <c r="GE490">
        <v>0</v>
      </c>
      <c r="GF490">
        <v>0.33021050058332063</v>
      </c>
      <c r="GG490">
        <v>0.29759236750664797</v>
      </c>
      <c r="GH490">
        <v>0</v>
      </c>
      <c r="GI490">
        <v>0.32400310000979582</v>
      </c>
      <c r="GJ490"/>
      <c r="GK490">
        <v>1.0249868058578957</v>
      </c>
      <c r="GL490">
        <v>0.33331521555783822</v>
      </c>
      <c r="GM490">
        <v>0.62860887006442545</v>
      </c>
      <c r="GN490">
        <v>0.7335469352968168</v>
      </c>
      <c r="GO490">
        <v>0.10493806523239137</v>
      </c>
      <c r="GP490">
        <v>0</v>
      </c>
      <c r="GQ490">
        <v>0.45369793096285549</v>
      </c>
      <c r="GR490">
        <v>0.45369793096285549</v>
      </c>
      <c r="GS490">
        <v>0</v>
      </c>
      <c r="GT490">
        <v>0.44244633442351361</v>
      </c>
      <c r="GU490"/>
      <c r="GV490"/>
      <c r="GW490"/>
      <c r="GX490"/>
      <c r="GY490"/>
      <c r="GZ490"/>
      <c r="HA490"/>
      <c r="HB490"/>
      <c r="HC490"/>
    </row>
    <row r="491" spans="1:211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9.1157227535838086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5"/>
      <c r="M491" s="205"/>
      <c r="N491" s="205"/>
      <c r="O491" s="205"/>
      <c r="P491" s="205"/>
      <c r="Q491" s="205"/>
      <c r="R491" s="205"/>
      <c r="S491" s="205"/>
      <c r="T491" s="205"/>
      <c r="U491" s="205"/>
      <c r="V491" s="205"/>
      <c r="W491" s="205"/>
      <c r="X491" s="205"/>
      <c r="Y491" s="205"/>
      <c r="Z491" s="205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1.375</v>
      </c>
      <c r="AO491">
        <v>0.24248293447401131</v>
      </c>
      <c r="AP491">
        <v>10.050426622500011</v>
      </c>
      <c r="AQ491">
        <v>1.7479966248265526</v>
      </c>
      <c r="AR491">
        <v>0.26376278480847237</v>
      </c>
      <c r="AS491">
        <v>1.3761566401033081</v>
      </c>
      <c r="AT491" t="e">
        <v>#DIV/0!</v>
      </c>
      <c r="AU491" t="e">
        <v>#DIV/0!</v>
      </c>
      <c r="AV491"/>
      <c r="AW491"/>
      <c r="FY491" s="211">
        <v>486</v>
      </c>
      <c r="FZ491">
        <v>1.1992459385342096</v>
      </c>
      <c r="GA491">
        <v>0.47460065171768845</v>
      </c>
      <c r="GB491">
        <v>0.15840797322414965</v>
      </c>
      <c r="GC491">
        <v>0.1579162012217627</v>
      </c>
      <c r="GD491">
        <v>5.3449107547347455E-2</v>
      </c>
      <c r="GE491">
        <v>0</v>
      </c>
      <c r="GF491">
        <v>0.33021050058332063</v>
      </c>
      <c r="GG491">
        <v>0.29759236750664797</v>
      </c>
      <c r="GH491">
        <v>0</v>
      </c>
      <c r="GI491">
        <v>0.31139019298637971</v>
      </c>
      <c r="GJ491"/>
      <c r="GK491">
        <v>1.204889450512358</v>
      </c>
      <c r="GL491">
        <v>0.40705572478708768</v>
      </c>
      <c r="GM491">
        <v>0.26183540241601705</v>
      </c>
      <c r="GN491">
        <v>0.47171153288079981</v>
      </c>
      <c r="GO491">
        <v>0.20987613046478273</v>
      </c>
      <c r="GP491">
        <v>0</v>
      </c>
      <c r="GQ491">
        <v>0.45369793096285549</v>
      </c>
      <c r="GR491">
        <v>0.45369793096285549</v>
      </c>
      <c r="GS491">
        <v>0</v>
      </c>
      <c r="GT491">
        <v>0.42605978287120266</v>
      </c>
      <c r="GU491"/>
      <c r="GV491"/>
      <c r="GW491"/>
      <c r="GX491"/>
      <c r="GY491"/>
      <c r="GZ491"/>
      <c r="HA491"/>
      <c r="HB491"/>
      <c r="HC491"/>
    </row>
    <row r="492" spans="1:211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9.964461641929919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5"/>
      <c r="M492" s="205"/>
      <c r="N492" s="205"/>
      <c r="O492" s="205"/>
      <c r="P492" s="205"/>
      <c r="Q492" s="205"/>
      <c r="R492" s="205"/>
      <c r="S492" s="205"/>
      <c r="T492" s="205"/>
      <c r="U492" s="205"/>
      <c r="V492" s="205"/>
      <c r="W492" s="205"/>
      <c r="X492" s="205"/>
      <c r="Y492" s="205"/>
      <c r="Z492" s="205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2.1749999999999998</v>
      </c>
      <c r="AO492">
        <v>0.37751393674000366</v>
      </c>
      <c r="AP492">
        <v>11.164149472239579</v>
      </c>
      <c r="AQ492">
        <v>2.6748947628160544</v>
      </c>
      <c r="AR492">
        <v>0.38079288670929085</v>
      </c>
      <c r="AS492">
        <v>1.8826521539156338</v>
      </c>
      <c r="AT492" t="e">
        <v>#DIV/0!</v>
      </c>
      <c r="AU492" t="e">
        <v>#DIV/0!</v>
      </c>
      <c r="AV492"/>
      <c r="AW492"/>
      <c r="FY492" s="211">
        <v>487</v>
      </c>
      <c r="FZ492">
        <v>1.4302537968173792</v>
      </c>
      <c r="GA492">
        <v>0.77470035519842362</v>
      </c>
      <c r="GB492">
        <v>0.15840797322414965</v>
      </c>
      <c r="GC492">
        <v>0.1579162012217627</v>
      </c>
      <c r="GD492">
        <v>5.3449107547347455E-2</v>
      </c>
      <c r="GE492">
        <v>0</v>
      </c>
      <c r="GF492">
        <v>0.33021050058332063</v>
      </c>
      <c r="GG492">
        <v>0.29759236750664797</v>
      </c>
      <c r="GH492">
        <v>0</v>
      </c>
      <c r="GI492">
        <v>0.34558982492623158</v>
      </c>
      <c r="GJ492"/>
      <c r="GK492">
        <v>1.4373150057448751</v>
      </c>
      <c r="GL492">
        <v>0.66663043111567644</v>
      </c>
      <c r="GM492">
        <v>0.26183540241601705</v>
      </c>
      <c r="GN492">
        <v>0.47171153288079981</v>
      </c>
      <c r="GO492">
        <v>0.20987613046478273</v>
      </c>
      <c r="GP492">
        <v>0</v>
      </c>
      <c r="GQ492">
        <v>0.45369793096285549</v>
      </c>
      <c r="GR492">
        <v>0.45369793096285549</v>
      </c>
      <c r="GS492">
        <v>0</v>
      </c>
      <c r="GT492">
        <v>0.47254489391770615</v>
      </c>
      <c r="GU492"/>
      <c r="GV492"/>
      <c r="GW492"/>
      <c r="GX492"/>
      <c r="GY492"/>
      <c r="GZ492"/>
      <c r="HA492"/>
      <c r="HB492"/>
      <c r="HC492"/>
    </row>
    <row r="493" spans="1:211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10.892224182054795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5"/>
      <c r="M493" s="205"/>
      <c r="N493" s="205"/>
      <c r="O493" s="205"/>
      <c r="P493" s="205"/>
      <c r="Q493" s="205"/>
      <c r="R493" s="205"/>
      <c r="S493" s="205"/>
      <c r="T493" s="205"/>
      <c r="U493" s="205"/>
      <c r="V493" s="205"/>
      <c r="W493" s="205"/>
      <c r="X493" s="205"/>
      <c r="Y493" s="205"/>
      <c r="Z493" s="205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2.0239583333333333</v>
      </c>
      <c r="AO493">
        <v>0.24541723309086966</v>
      </c>
      <c r="AP493">
        <v>6.9831022387558352</v>
      </c>
      <c r="AQ493">
        <v>1.9534573697354578</v>
      </c>
      <c r="AR493">
        <v>0.27918753640761262</v>
      </c>
      <c r="AS493">
        <v>1.7262814751909878</v>
      </c>
      <c r="AT493" t="e">
        <v>#DIV/0!</v>
      </c>
      <c r="AU493" t="e">
        <v>#DIV/0!</v>
      </c>
      <c r="AV493"/>
      <c r="AW493"/>
      <c r="FY493" s="211">
        <v>488</v>
      </c>
      <c r="FZ493">
        <v>0.52134312101426683</v>
      </c>
      <c r="GA493">
        <v>0</v>
      </c>
      <c r="GB493">
        <v>0.12565184548559416</v>
      </c>
      <c r="GC493">
        <v>0.174096374794806</v>
      </c>
      <c r="GD493">
        <v>8.0173661321021189E-2</v>
      </c>
      <c r="GE493">
        <v>0</v>
      </c>
      <c r="GF493">
        <v>0.33021050058332063</v>
      </c>
      <c r="GG493">
        <v>0.29759236750664797</v>
      </c>
      <c r="GH493">
        <v>0</v>
      </c>
      <c r="GI493">
        <v>0.21866710329952077</v>
      </c>
      <c r="GJ493"/>
      <c r="GK493">
        <v>0.52034865714094047</v>
      </c>
      <c r="GL493">
        <v>0</v>
      </c>
      <c r="GM493">
        <v>0.20987613046478273</v>
      </c>
      <c r="GN493">
        <v>0.52469032616195688</v>
      </c>
      <c r="GO493">
        <v>0.31481419569717417</v>
      </c>
      <c r="GP493">
        <v>0</v>
      </c>
      <c r="GQ493">
        <v>0.45369793096285549</v>
      </c>
      <c r="GR493">
        <v>0.45369793096285549</v>
      </c>
      <c r="GS493">
        <v>0</v>
      </c>
      <c r="GT493">
        <v>0.29974738285315056</v>
      </c>
      <c r="GU493"/>
      <c r="GV493"/>
      <c r="GW493"/>
      <c r="GX493"/>
      <c r="GY493"/>
      <c r="GZ493"/>
      <c r="HA493"/>
      <c r="HB493"/>
      <c r="HC493"/>
    </row>
    <row r="494" spans="1:211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11.849182217228327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5"/>
      <c r="M494" s="205"/>
      <c r="N494" s="205"/>
      <c r="O494" s="205"/>
      <c r="P494" s="205"/>
      <c r="Q494" s="205"/>
      <c r="R494" s="205"/>
      <c r="S494" s="205"/>
      <c r="T494" s="205"/>
      <c r="U494" s="205"/>
      <c r="V494" s="205"/>
      <c r="W494" s="205"/>
      <c r="X494" s="205"/>
      <c r="Y494" s="205"/>
      <c r="Z494" s="205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2.6541666666666668</v>
      </c>
      <c r="AO494">
        <v>0.20366058687770178</v>
      </c>
      <c r="AP494">
        <v>5.0971203740119755</v>
      </c>
      <c r="AQ494">
        <v>1.7449278414576412</v>
      </c>
      <c r="AR494">
        <v>0.24024254180052712</v>
      </c>
      <c r="AS494">
        <v>1.5393403377483725</v>
      </c>
      <c r="AT494" t="e">
        <v>#DIV/0!</v>
      </c>
      <c r="AU494" t="e">
        <v>#DIV/0!</v>
      </c>
      <c r="AV494"/>
      <c r="AW494"/>
      <c r="FY494" s="211">
        <v>489</v>
      </c>
      <c r="FZ494">
        <v>0.87521982585056068</v>
      </c>
      <c r="GA494">
        <v>8.725047411847664E-2</v>
      </c>
      <c r="GB494">
        <v>7.9203986612074825E-2</v>
      </c>
      <c r="GC494">
        <v>0.14859665052880378</v>
      </c>
      <c r="GD494">
        <v>8.0173661321021189E-2</v>
      </c>
      <c r="GE494">
        <v>0</v>
      </c>
      <c r="GF494">
        <v>0.66042100116664126</v>
      </c>
      <c r="GG494">
        <v>0.59518473501329594</v>
      </c>
      <c r="GH494">
        <v>0</v>
      </c>
      <c r="GI494">
        <v>0.32362941827554143</v>
      </c>
      <c r="GJ494"/>
      <c r="GK494">
        <v>0.8760748306814623</v>
      </c>
      <c r="GL494">
        <v>7.3740509229249462E-2</v>
      </c>
      <c r="GM494">
        <v>0.13091770120800852</v>
      </c>
      <c r="GN494">
        <v>0.44573189690518267</v>
      </c>
      <c r="GO494">
        <v>0.31481419569717417</v>
      </c>
      <c r="GP494">
        <v>0</v>
      </c>
      <c r="GQ494">
        <v>0.90739586192571098</v>
      </c>
      <c r="GR494">
        <v>0.90739586192571098</v>
      </c>
      <c r="GS494">
        <v>0</v>
      </c>
      <c r="GT494">
        <v>0.44584051790247126</v>
      </c>
      <c r="GU494"/>
      <c r="GV494"/>
      <c r="GW494"/>
      <c r="GX494"/>
      <c r="GY494"/>
      <c r="GZ494"/>
      <c r="HA494"/>
      <c r="HB494"/>
      <c r="HC494"/>
    </row>
    <row r="495" spans="1:211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12.890215705291629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5"/>
      <c r="M495" s="205"/>
      <c r="N495" s="205"/>
      <c r="O495" s="205"/>
      <c r="P495" s="205"/>
      <c r="Q495" s="205"/>
      <c r="R495" s="205"/>
      <c r="S495" s="205"/>
      <c r="T495" s="205"/>
      <c r="U495" s="205"/>
      <c r="V495" s="205"/>
      <c r="W495" s="205"/>
      <c r="X495" s="205"/>
      <c r="Y495" s="205"/>
      <c r="Z495" s="205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1.9999999999999996</v>
      </c>
      <c r="AO495">
        <v>0.14560168096468343</v>
      </c>
      <c r="AP495">
        <v>0</v>
      </c>
      <c r="AQ495">
        <v>1.4389640837639077</v>
      </c>
      <c r="AR495">
        <v>0.20579921365984763</v>
      </c>
      <c r="AS495">
        <v>1.5646930376304777</v>
      </c>
      <c r="AT495" t="e">
        <v>#DIV/0!</v>
      </c>
      <c r="AU495" t="e">
        <v>#DIV/0!</v>
      </c>
      <c r="AV495"/>
      <c r="AW495"/>
      <c r="FY495" s="211">
        <v>490</v>
      </c>
      <c r="FZ495">
        <v>1.3165497142021965</v>
      </c>
      <c r="GA495">
        <v>0.56185112583616514</v>
      </c>
      <c r="GB495">
        <v>0.15840797322414965</v>
      </c>
      <c r="GC495">
        <v>0.12309692626280153</v>
      </c>
      <c r="GD495">
        <v>2.6724553773673727E-2</v>
      </c>
      <c r="GE495">
        <v>0</v>
      </c>
      <c r="GF495">
        <v>0.66042100116664126</v>
      </c>
      <c r="GG495">
        <v>0.59518473501329594</v>
      </c>
      <c r="GH495">
        <v>0</v>
      </c>
      <c r="GI495">
        <v>0.37732882677053786</v>
      </c>
      <c r="GJ495"/>
      <c r="GK495">
        <v>1.3244005252826754</v>
      </c>
      <c r="GL495">
        <v>0.48079623401633714</v>
      </c>
      <c r="GM495">
        <v>0.26183540241601705</v>
      </c>
      <c r="GN495">
        <v>0.3667734676484084</v>
      </c>
      <c r="GO495">
        <v>0.10493806523239137</v>
      </c>
      <c r="GP495">
        <v>0</v>
      </c>
      <c r="GQ495">
        <v>0.90739586192571098</v>
      </c>
      <c r="GR495">
        <v>0.90739586192571098</v>
      </c>
      <c r="GS495">
        <v>0</v>
      </c>
      <c r="GT495">
        <v>0.51971397097135896</v>
      </c>
      <c r="GU495"/>
      <c r="GV495"/>
      <c r="GW495"/>
      <c r="GX495"/>
      <c r="GY495"/>
      <c r="GZ495"/>
      <c r="HA495"/>
      <c r="HB495"/>
      <c r="HC495"/>
    </row>
    <row r="496" spans="1:211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13.962258349433505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5"/>
      <c r="M496" s="205"/>
      <c r="N496" s="205"/>
      <c r="O496" s="205"/>
      <c r="P496" s="205"/>
      <c r="Q496" s="205"/>
      <c r="R496" s="205"/>
      <c r="S496" s="205"/>
      <c r="T496" s="205"/>
      <c r="U496" s="205"/>
      <c r="V496" s="205"/>
      <c r="W496" s="205"/>
      <c r="X496" s="205"/>
      <c r="Y496" s="205"/>
      <c r="Z496" s="205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3.1020833333333329</v>
      </c>
      <c r="AO496">
        <v>0.29608546646410749</v>
      </c>
      <c r="AP496">
        <v>9.4641637439953676</v>
      </c>
      <c r="AQ496">
        <v>2.5079357716321287</v>
      </c>
      <c r="AR496">
        <v>0.33252715727645676</v>
      </c>
      <c r="AS496">
        <v>1.9164563133418258</v>
      </c>
      <c r="AT496" t="e">
        <v>#DIV/0!</v>
      </c>
      <c r="AU496" t="e">
        <v>#DIV/0!</v>
      </c>
      <c r="AV496"/>
      <c r="AW496"/>
      <c r="FY496" s="211">
        <v>491</v>
      </c>
      <c r="FZ496">
        <v>1.7115870943496811</v>
      </c>
      <c r="GA496">
        <v>0.77470035519842362</v>
      </c>
      <c r="GB496">
        <v>0.14202990935487192</v>
      </c>
      <c r="GC496">
        <v>0.14859665052880375</v>
      </c>
      <c r="GD496">
        <v>5.3449107547347455E-2</v>
      </c>
      <c r="GE496">
        <v>0</v>
      </c>
      <c r="GF496">
        <v>0.66042100116664126</v>
      </c>
      <c r="GG496">
        <v>0.59518473501329594</v>
      </c>
      <c r="GH496">
        <v>0</v>
      </c>
      <c r="GI496">
        <v>0.44718878191521538</v>
      </c>
      <c r="GJ496"/>
      <c r="GK496">
        <v>1.7264034938735264</v>
      </c>
      <c r="GL496">
        <v>0.66663043111567644</v>
      </c>
      <c r="GM496">
        <v>0.23585576644039991</v>
      </c>
      <c r="GN496">
        <v>0.44573189690518267</v>
      </c>
      <c r="GO496">
        <v>0.20987613046478273</v>
      </c>
      <c r="GP496">
        <v>0</v>
      </c>
      <c r="GQ496">
        <v>0.90739586192571098</v>
      </c>
      <c r="GR496">
        <v>0.90739586192571098</v>
      </c>
      <c r="GS496">
        <v>0</v>
      </c>
      <c r="GT496">
        <v>0.61590625054088399</v>
      </c>
      <c r="GU496"/>
      <c r="GV496"/>
      <c r="GW496"/>
      <c r="GX496"/>
      <c r="GY496"/>
      <c r="GZ496"/>
      <c r="HA496"/>
      <c r="HB496"/>
      <c r="HC496"/>
    </row>
    <row r="497" spans="1:211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15.123459736697646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5"/>
      <c r="M497" s="205"/>
      <c r="N497" s="205"/>
      <c r="O497" s="205"/>
      <c r="P497" s="205"/>
      <c r="Q497" s="205"/>
      <c r="R497" s="205"/>
      <c r="S497" s="205"/>
      <c r="T497" s="205"/>
      <c r="U497" s="205"/>
      <c r="V497" s="205"/>
      <c r="W497" s="205"/>
      <c r="X497" s="205"/>
      <c r="Y497" s="205"/>
      <c r="Z497" s="205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2.2635416666666663</v>
      </c>
      <c r="AO497">
        <v>0.33556396873369299</v>
      </c>
      <c r="AP497">
        <v>9.7460742844320993</v>
      </c>
      <c r="AQ497">
        <v>2.4446673941148434</v>
      </c>
      <c r="AR497">
        <v>0.35381577398517561</v>
      </c>
      <c r="AS497">
        <v>1.9269564340408334</v>
      </c>
      <c r="AT497" t="e">
        <v>#DIV/0!</v>
      </c>
      <c r="AU497" t="e">
        <v>#DIV/0!</v>
      </c>
      <c r="AV497"/>
      <c r="AW497"/>
      <c r="FY497" s="211">
        <v>492</v>
      </c>
      <c r="FZ497">
        <v>1.6699086737980013</v>
      </c>
      <c r="GA497">
        <v>1.2493010069161121</v>
      </c>
      <c r="GB497">
        <v>0.14202990935487192</v>
      </c>
      <c r="GC497">
        <v>0.11377737556984255</v>
      </c>
      <c r="GD497">
        <v>2.6724553773673727E-2</v>
      </c>
      <c r="GE497">
        <v>0</v>
      </c>
      <c r="GF497">
        <v>0</v>
      </c>
      <c r="GG497">
        <v>0</v>
      </c>
      <c r="GH497">
        <v>0</v>
      </c>
      <c r="GI497">
        <v>0.29741177316910805</v>
      </c>
      <c r="GJ497"/>
      <c r="GK497">
        <v>1.6845323710049647</v>
      </c>
      <c r="GL497">
        <v>1.073686155902764</v>
      </c>
      <c r="GM497">
        <v>0.23585576644039991</v>
      </c>
      <c r="GN497">
        <v>0.34079383167279126</v>
      </c>
      <c r="GO497">
        <v>0.10493806523239137</v>
      </c>
      <c r="GP497">
        <v>0</v>
      </c>
      <c r="GQ497">
        <v>0</v>
      </c>
      <c r="GR497">
        <v>0</v>
      </c>
      <c r="GS497">
        <v>0</v>
      </c>
      <c r="GT497">
        <v>0.40506524053555115</v>
      </c>
      <c r="GU497"/>
      <c r="GV497"/>
      <c r="GW497"/>
      <c r="GX497"/>
      <c r="GY497"/>
      <c r="GZ497"/>
      <c r="HA497"/>
      <c r="HB497"/>
      <c r="HC497"/>
    </row>
    <row r="498" spans="1:211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16.317494979232094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5"/>
      <c r="M498" s="205"/>
      <c r="N498" s="205"/>
      <c r="O498" s="205"/>
      <c r="P498" s="205"/>
      <c r="Q498" s="205"/>
      <c r="R498" s="205"/>
      <c r="S498" s="205"/>
      <c r="T498" s="205"/>
      <c r="U498" s="205"/>
      <c r="V498" s="205"/>
      <c r="W498" s="205"/>
      <c r="X498" s="205"/>
      <c r="Y498" s="205"/>
      <c r="Z498" s="205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1.8125</v>
      </c>
      <c r="AO498">
        <v>9.4237036871686317E-2</v>
      </c>
      <c r="AP498">
        <v>0</v>
      </c>
      <c r="AQ498">
        <v>0.90013567644240777</v>
      </c>
      <c r="AR498">
        <v>0.15706172811947722</v>
      </c>
      <c r="AS498">
        <v>1.1149967093946671</v>
      </c>
      <c r="AT498" t="e">
        <v>#DIV/0!</v>
      </c>
      <c r="AU498" t="e">
        <v>#DIV/0!</v>
      </c>
      <c r="AV498"/>
      <c r="AW498"/>
      <c r="FY498" s="211">
        <v>493</v>
      </c>
      <c r="FZ498">
        <v>0.43754164971799242</v>
      </c>
      <c r="GA498">
        <v>0</v>
      </c>
      <c r="GB498">
        <v>7.9203986612074825E-2</v>
      </c>
      <c r="GC498">
        <v>7.8958100610881349E-2</v>
      </c>
      <c r="GD498">
        <v>2.6724553773673727E-2</v>
      </c>
      <c r="GE498">
        <v>0</v>
      </c>
      <c r="GF498">
        <v>0.33021050058332063</v>
      </c>
      <c r="GG498">
        <v>0.29759236750664797</v>
      </c>
      <c r="GH498">
        <v>0</v>
      </c>
      <c r="GI498">
        <v>0.16373200871401375</v>
      </c>
      <c r="GJ498"/>
      <c r="GK498">
        <v>0.43952328194308371</v>
      </c>
      <c r="GL498">
        <v>0</v>
      </c>
      <c r="GM498">
        <v>0.13091770120800852</v>
      </c>
      <c r="GN498">
        <v>0.23585576644039991</v>
      </c>
      <c r="GO498">
        <v>0.10493806523239137</v>
      </c>
      <c r="GP498">
        <v>0</v>
      </c>
      <c r="GQ498">
        <v>0.45369793096285549</v>
      </c>
      <c r="GR498">
        <v>0.45369793096285549</v>
      </c>
      <c r="GS498">
        <v>0</v>
      </c>
      <c r="GT498">
        <v>0.22581539586926785</v>
      </c>
      <c r="GU498"/>
      <c r="GV498"/>
      <c r="GW498"/>
      <c r="GX498"/>
      <c r="GY498"/>
      <c r="GZ498"/>
      <c r="HA498"/>
      <c r="HB498"/>
      <c r="HC498"/>
    </row>
    <row r="499" spans="1:211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17.605802311965238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5"/>
      <c r="M499" s="205"/>
      <c r="N499" s="205"/>
      <c r="O499" s="205"/>
      <c r="P499" s="205"/>
      <c r="Q499" s="205"/>
      <c r="R499" s="205"/>
      <c r="S499" s="205"/>
      <c r="T499" s="205"/>
      <c r="U499" s="205"/>
      <c r="V499" s="205"/>
      <c r="W499" s="205"/>
      <c r="X499" s="205"/>
      <c r="Y499" s="205"/>
      <c r="Z499" s="205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1.0937499999999998</v>
      </c>
      <c r="AO499">
        <v>0.27502715358576013</v>
      </c>
      <c r="AP499">
        <v>13.692573768416871</v>
      </c>
      <c r="AQ499">
        <v>1.9952737583858942</v>
      </c>
      <c r="AR499">
        <v>0.28965626811658329</v>
      </c>
      <c r="AS499">
        <v>1.3425661973820642</v>
      </c>
      <c r="AT499" t="e">
        <v>#DIV/0!</v>
      </c>
      <c r="AU499" t="e">
        <v>#DIV/0!</v>
      </c>
      <c r="AV499"/>
      <c r="AW499"/>
      <c r="FY499" s="211">
        <v>494</v>
      </c>
      <c r="FZ499">
        <v>1.1594579178150757</v>
      </c>
      <c r="GA499">
        <v>0.38735017759921181</v>
      </c>
      <c r="GB499">
        <v>0.14202990935487192</v>
      </c>
      <c r="GC499">
        <v>0.11377737556984255</v>
      </c>
      <c r="GD499">
        <v>2.6724553773673727E-2</v>
      </c>
      <c r="GE499">
        <v>0</v>
      </c>
      <c r="GF499">
        <v>0.66042100116664126</v>
      </c>
      <c r="GG499">
        <v>0.59518473501329594</v>
      </c>
      <c r="GH499">
        <v>0</v>
      </c>
      <c r="GI499">
        <v>0.3500972229142531</v>
      </c>
      <c r="GJ499"/>
      <c r="GK499">
        <v>1.1672992838330651</v>
      </c>
      <c r="GL499">
        <v>0.33331521555783822</v>
      </c>
      <c r="GM499">
        <v>0.23585576644039991</v>
      </c>
      <c r="GN499">
        <v>0.34079383167279126</v>
      </c>
      <c r="GO499">
        <v>0.10493806523239137</v>
      </c>
      <c r="GP499">
        <v>0</v>
      </c>
      <c r="GQ499">
        <v>0.90739586192571098</v>
      </c>
      <c r="GR499">
        <v>0.90739586192571098</v>
      </c>
      <c r="GS499">
        <v>0</v>
      </c>
      <c r="GT499">
        <v>0.48309779548631349</v>
      </c>
      <c r="GU499"/>
      <c r="GV499"/>
      <c r="GW499"/>
      <c r="GX499"/>
      <c r="GY499"/>
      <c r="GZ499"/>
      <c r="HA499"/>
      <c r="HB499"/>
      <c r="HC499"/>
    </row>
    <row r="500" spans="1:211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18.928778745060118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5"/>
      <c r="M500" s="205"/>
      <c r="N500" s="205"/>
      <c r="O500" s="205"/>
      <c r="P500" s="205"/>
      <c r="Q500" s="205"/>
      <c r="R500" s="205"/>
      <c r="S500" s="205"/>
      <c r="T500" s="205"/>
      <c r="U500" s="205"/>
      <c r="V500" s="205"/>
      <c r="W500" s="205"/>
      <c r="X500" s="205"/>
      <c r="Y500" s="205"/>
      <c r="Z500" s="205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1.51875</v>
      </c>
      <c r="AO500">
        <v>0.30392924473461813</v>
      </c>
      <c r="AP500">
        <v>9.5869965013067997</v>
      </c>
      <c r="AQ500">
        <v>2.3633355610632911</v>
      </c>
      <c r="AR500">
        <v>0.31062076598317728</v>
      </c>
      <c r="AS500">
        <v>1.4535745043767554</v>
      </c>
      <c r="AT500" t="e">
        <v>#DIV/0!</v>
      </c>
      <c r="AU500" t="e">
        <v>#DIV/0!</v>
      </c>
      <c r="AV500"/>
      <c r="AW500"/>
      <c r="FY500" s="211">
        <v>495</v>
      </c>
      <c r="FZ500">
        <v>0.99601960510292242</v>
      </c>
      <c r="GA500">
        <v>0.17450094823695328</v>
      </c>
      <c r="GB500">
        <v>0.23761195983622446</v>
      </c>
      <c r="GC500">
        <v>0.13241647695576048</v>
      </c>
      <c r="GD500">
        <v>0</v>
      </c>
      <c r="GE500">
        <v>0</v>
      </c>
      <c r="GF500">
        <v>0.33021050058332063</v>
      </c>
      <c r="GG500">
        <v>0.29759236750664797</v>
      </c>
      <c r="GH500">
        <v>0</v>
      </c>
      <c r="GI500">
        <v>0.26998418993256834</v>
      </c>
      <c r="GJ500"/>
      <c r="GK500">
        <v>0.99393821208931799</v>
      </c>
      <c r="GL500">
        <v>0.14748101845849892</v>
      </c>
      <c r="GM500">
        <v>0.39275310362402555</v>
      </c>
      <c r="GN500">
        <v>0.39275310362402555</v>
      </c>
      <c r="GO500">
        <v>0</v>
      </c>
      <c r="GP500">
        <v>0</v>
      </c>
      <c r="GQ500">
        <v>0.45369793096285549</v>
      </c>
      <c r="GR500">
        <v>0.45369793096285549</v>
      </c>
      <c r="GS500">
        <v>0</v>
      </c>
      <c r="GT500">
        <v>0.36807784933523979</v>
      </c>
      <c r="GU500"/>
      <c r="GV500"/>
      <c r="GW500"/>
      <c r="GX500"/>
      <c r="GY500"/>
      <c r="GZ500"/>
      <c r="HA500"/>
      <c r="HB500"/>
      <c r="HC500"/>
    </row>
    <row r="501" spans="1:211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20.351169371925362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5"/>
      <c r="M501" s="205"/>
      <c r="N501" s="205"/>
      <c r="O501" s="205"/>
      <c r="P501" s="205"/>
      <c r="Q501" s="205"/>
      <c r="R501" s="205"/>
      <c r="S501" s="205"/>
      <c r="T501" s="205"/>
      <c r="U501" s="205"/>
      <c r="V501" s="205"/>
      <c r="W501" s="205"/>
      <c r="X501" s="205"/>
      <c r="Y501" s="205"/>
      <c r="Z501" s="205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3.7583333333333337</v>
      </c>
      <c r="AO501">
        <v>0.41752380883585916</v>
      </c>
      <c r="AP501">
        <v>16.179856191580146</v>
      </c>
      <c r="AQ501">
        <v>3.0137095704666774</v>
      </c>
      <c r="AR501">
        <v>0.44244633442351361</v>
      </c>
      <c r="AS501">
        <v>2.6685741608678257</v>
      </c>
      <c r="AT501" t="e">
        <v>#DIV/0!</v>
      </c>
      <c r="AU501" t="e">
        <v>#DIV/0!</v>
      </c>
      <c r="AV501"/>
      <c r="AW501"/>
      <c r="FY501" s="211">
        <v>496</v>
      </c>
      <c r="FZ501">
        <v>1.1772391260296149</v>
      </c>
      <c r="GA501">
        <v>0.56185112583616514</v>
      </c>
      <c r="GB501">
        <v>0.14202990935487192</v>
      </c>
      <c r="GC501">
        <v>0.11377737556984255</v>
      </c>
      <c r="GD501">
        <v>2.6724553773673727E-2</v>
      </c>
      <c r="GE501">
        <v>0</v>
      </c>
      <c r="GF501">
        <v>0.33021050058332063</v>
      </c>
      <c r="GG501">
        <v>0.29759236750664797</v>
      </c>
      <c r="GH501">
        <v>0</v>
      </c>
      <c r="GI501">
        <v>0.28872819294649799</v>
      </c>
      <c r="GJ501"/>
      <c r="GK501">
        <v>1.1827441423933625</v>
      </c>
      <c r="GL501">
        <v>0.48079623401633714</v>
      </c>
      <c r="GM501">
        <v>0.23585576644039991</v>
      </c>
      <c r="GN501">
        <v>0.34079383167279126</v>
      </c>
      <c r="GO501">
        <v>0.10493806523239137</v>
      </c>
      <c r="GP501">
        <v>0</v>
      </c>
      <c r="GQ501">
        <v>0.45369793096285549</v>
      </c>
      <c r="GR501">
        <v>0.45369793096285549</v>
      </c>
      <c r="GS501">
        <v>0</v>
      </c>
      <c r="GT501">
        <v>0.39544718100580184</v>
      </c>
      <c r="GU501"/>
      <c r="GV501"/>
      <c r="GW501"/>
      <c r="GX501"/>
      <c r="GY501"/>
      <c r="GZ501"/>
      <c r="HA501"/>
      <c r="HB501"/>
      <c r="HC501"/>
    </row>
    <row r="502" spans="1:211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21.810074442500618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5"/>
      <c r="M502" s="205"/>
      <c r="N502" s="205"/>
      <c r="O502" s="205"/>
      <c r="P502" s="205"/>
      <c r="Q502" s="205"/>
      <c r="R502" s="205"/>
      <c r="S502" s="205"/>
      <c r="T502" s="205"/>
      <c r="U502" s="205"/>
      <c r="V502" s="205"/>
      <c r="W502" s="205"/>
      <c r="X502" s="205"/>
      <c r="Y502" s="205"/>
      <c r="Z502" s="205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2.9770833333333333</v>
      </c>
      <c r="AO502">
        <v>0.38888238858579582</v>
      </c>
      <c r="AP502">
        <v>11.05554293679959</v>
      </c>
      <c r="AQ502">
        <v>2.9828129333215063</v>
      </c>
      <c r="AR502">
        <v>0.42605978287120266</v>
      </c>
      <c r="AS502">
        <v>2.4247868496601668</v>
      </c>
      <c r="AT502" t="e">
        <v>#DIV/0!</v>
      </c>
      <c r="AU502" t="e">
        <v>#DIV/0!</v>
      </c>
      <c r="AV502"/>
      <c r="AW502"/>
      <c r="FY502" s="211">
        <v>497</v>
      </c>
      <c r="FZ502">
        <v>1.5492454209602151</v>
      </c>
      <c r="GA502">
        <v>1.1620505327976354</v>
      </c>
      <c r="GB502">
        <v>7.9203986612074825E-2</v>
      </c>
      <c r="GC502">
        <v>4.4138825651920163E-2</v>
      </c>
      <c r="GD502">
        <v>0</v>
      </c>
      <c r="GE502">
        <v>0</v>
      </c>
      <c r="GF502">
        <v>0.33021050058332063</v>
      </c>
      <c r="GG502">
        <v>0.29759236750664797</v>
      </c>
      <c r="GH502">
        <v>0</v>
      </c>
      <c r="GI502">
        <v>0.31269024507147658</v>
      </c>
      <c r="GJ502"/>
      <c r="GK502">
        <v>1.5636972563924039</v>
      </c>
      <c r="GL502">
        <v>0.9999456466735146</v>
      </c>
      <c r="GM502">
        <v>0.13091770120800852</v>
      </c>
      <c r="GN502">
        <v>0.13091770120800852</v>
      </c>
      <c r="GO502">
        <v>0</v>
      </c>
      <c r="GP502">
        <v>0</v>
      </c>
      <c r="GQ502">
        <v>0.45369793096285549</v>
      </c>
      <c r="GR502">
        <v>0.45369793096285549</v>
      </c>
      <c r="GS502">
        <v>0</v>
      </c>
      <c r="GT502">
        <v>0.42966257771265359</v>
      </c>
      <c r="GU502"/>
      <c r="GV502"/>
      <c r="GW502"/>
      <c r="GX502"/>
      <c r="GY502"/>
      <c r="GZ502"/>
      <c r="HA502"/>
      <c r="HB502"/>
      <c r="HC502"/>
    </row>
    <row r="503" spans="1:211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23.373563380766857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5"/>
      <c r="M503" s="205"/>
      <c r="N503" s="205"/>
      <c r="O503" s="205"/>
      <c r="P503" s="205"/>
      <c r="Q503" s="205"/>
      <c r="R503" s="205"/>
      <c r="S503" s="205"/>
      <c r="T503" s="205"/>
      <c r="U503" s="205"/>
      <c r="V503" s="205"/>
      <c r="W503" s="205"/>
      <c r="X503" s="205"/>
      <c r="Y503" s="205"/>
      <c r="Z503" s="205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3.8916666666666671</v>
      </c>
      <c r="AO503">
        <v>0.44273092584655682</v>
      </c>
      <c r="AP503">
        <v>12.837250409995939</v>
      </c>
      <c r="AQ503">
        <v>3.5481201270252631</v>
      </c>
      <c r="AR503">
        <v>0.47254489391770615</v>
      </c>
      <c r="AS503">
        <v>2.6281981556988319</v>
      </c>
      <c r="AT503" t="e">
        <v>#DIV/0!</v>
      </c>
      <c r="AU503" t="e">
        <v>#DIV/0!</v>
      </c>
      <c r="AV503"/>
      <c r="AW503"/>
      <c r="FY503" s="211">
        <v>498</v>
      </c>
      <c r="FZ503">
        <v>0.65754618896488926</v>
      </c>
      <c r="GA503">
        <v>0.47460065171768845</v>
      </c>
      <c r="GB503">
        <v>0.15840797322414965</v>
      </c>
      <c r="GC503">
        <v>0.12309692626280153</v>
      </c>
      <c r="GD503">
        <v>2.6724553773673727E-2</v>
      </c>
      <c r="GE503">
        <v>0</v>
      </c>
      <c r="GF503">
        <v>0.33021050058332063</v>
      </c>
      <c r="GG503">
        <v>0.29759236750664797</v>
      </c>
      <c r="GH503">
        <v>0</v>
      </c>
      <c r="GI503">
        <v>0.21569120608762485</v>
      </c>
      <c r="GJ503"/>
      <c r="GK503">
        <v>0.66140388697581687</v>
      </c>
      <c r="GL503">
        <v>0.40705572478708768</v>
      </c>
      <c r="GM503">
        <v>0.26183540241601705</v>
      </c>
      <c r="GN503">
        <v>0.3667734676484084</v>
      </c>
      <c r="GO503">
        <v>0.10493806523239137</v>
      </c>
      <c r="GP503">
        <v>0</v>
      </c>
      <c r="GQ503">
        <v>0.45369793096285549</v>
      </c>
      <c r="GR503">
        <v>0.45369793096285549</v>
      </c>
      <c r="GS503">
        <v>0</v>
      </c>
      <c r="GT503">
        <v>0.29637505711741619</v>
      </c>
      <c r="GU503"/>
      <c r="GV503"/>
      <c r="GW503"/>
      <c r="GX503"/>
      <c r="GY503"/>
      <c r="GZ503"/>
      <c r="HA503"/>
      <c r="HB503"/>
      <c r="HC503"/>
    </row>
    <row r="504" spans="1:211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24.975421795406419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5"/>
      <c r="M504" s="205"/>
      <c r="N504" s="205"/>
      <c r="O504" s="205"/>
      <c r="P504" s="205"/>
      <c r="Q504" s="205"/>
      <c r="R504" s="205"/>
      <c r="S504" s="205"/>
      <c r="T504" s="205"/>
      <c r="U504" s="205"/>
      <c r="V504" s="205"/>
      <c r="W504" s="205"/>
      <c r="X504" s="205"/>
      <c r="Y504" s="205"/>
      <c r="Z504" s="205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2.2499999999999996</v>
      </c>
      <c r="AO504">
        <v>0.27768725542437156</v>
      </c>
      <c r="AP504">
        <v>8.7687707271833801</v>
      </c>
      <c r="AQ504">
        <v>1.7477349740051777</v>
      </c>
      <c r="AR504">
        <v>0.29974738285315056</v>
      </c>
      <c r="AS504">
        <v>1.6406371064613059</v>
      </c>
      <c r="AT504" t="e">
        <v>#DIV/0!</v>
      </c>
      <c r="AU504" t="e">
        <v>#DIV/0!</v>
      </c>
      <c r="AV504"/>
      <c r="AW504"/>
      <c r="FY504" s="211">
        <v>499</v>
      </c>
      <c r="FZ504">
        <v>0.71572976250302733</v>
      </c>
      <c r="GA504">
        <v>0</v>
      </c>
      <c r="GB504">
        <v>0.12565184548559416</v>
      </c>
      <c r="GC504">
        <v>0.10445782487688358</v>
      </c>
      <c r="GD504">
        <v>2.6724553773673727E-2</v>
      </c>
      <c r="GE504">
        <v>0</v>
      </c>
      <c r="GF504">
        <v>0</v>
      </c>
      <c r="GG504">
        <v>0</v>
      </c>
      <c r="GH504">
        <v>0</v>
      </c>
      <c r="GI504">
        <v>0.15233190569169833</v>
      </c>
      <c r="GJ504"/>
      <c r="GK504">
        <v>0.7201478428634821</v>
      </c>
      <c r="GL504">
        <v>0</v>
      </c>
      <c r="GM504">
        <v>0.20987613046478273</v>
      </c>
      <c r="GN504">
        <v>0.31481419569717412</v>
      </c>
      <c r="GO504">
        <v>0.10493806523239137</v>
      </c>
      <c r="GP504">
        <v>0</v>
      </c>
      <c r="GQ504">
        <v>0</v>
      </c>
      <c r="GR504">
        <v>0</v>
      </c>
      <c r="GS504">
        <v>0</v>
      </c>
      <c r="GT504">
        <v>0.20699240771213126</v>
      </c>
      <c r="GU504"/>
      <c r="GV504"/>
      <c r="GW504"/>
      <c r="GX504"/>
      <c r="GY504"/>
      <c r="GZ504"/>
      <c r="HA504"/>
      <c r="HB504"/>
      <c r="HC504"/>
    </row>
    <row r="505" spans="1:211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26.68706023539988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5"/>
      <c r="M505" s="205"/>
      <c r="N505" s="205"/>
      <c r="O505" s="205"/>
      <c r="P505" s="205"/>
      <c r="Q505" s="205"/>
      <c r="R505" s="205"/>
      <c r="S505" s="205"/>
      <c r="T505" s="205"/>
      <c r="U505" s="205"/>
      <c r="V505" s="205"/>
      <c r="W505" s="205"/>
      <c r="X505" s="205"/>
      <c r="Y505" s="205"/>
      <c r="Z505" s="205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3.401041666666667</v>
      </c>
      <c r="AO505">
        <v>0.41019113754749703</v>
      </c>
      <c r="AP505">
        <v>14.693718115165858</v>
      </c>
      <c r="AQ505">
        <v>2.8496797528864151</v>
      </c>
      <c r="AR505">
        <v>0.44584051790247126</v>
      </c>
      <c r="AS505">
        <v>2.3731238960154268</v>
      </c>
      <c r="AT505" t="e">
        <v>#DIV/0!</v>
      </c>
      <c r="AU505" t="e">
        <v>#DIV/0!</v>
      </c>
      <c r="AV505"/>
      <c r="AW505"/>
      <c r="FY505" s="211">
        <v>500</v>
      </c>
      <c r="FZ505">
        <v>1.26463320027424</v>
      </c>
      <c r="GA505">
        <v>0.86195082931690026</v>
      </c>
      <c r="GB505">
        <v>0</v>
      </c>
      <c r="GC505">
        <v>6.9638549917922385E-2</v>
      </c>
      <c r="GD505">
        <v>5.3449107547347455E-2</v>
      </c>
      <c r="GE505">
        <v>0</v>
      </c>
      <c r="GF505">
        <v>0</v>
      </c>
      <c r="GG505">
        <v>0</v>
      </c>
      <c r="GH505">
        <v>0</v>
      </c>
      <c r="GI505">
        <v>0.21814841451717523</v>
      </c>
      <c r="GJ505"/>
      <c r="GK505">
        <v>1.2720364270586</v>
      </c>
      <c r="GL505">
        <v>0.7403709403449259</v>
      </c>
      <c r="GM505">
        <v>0</v>
      </c>
      <c r="GN505">
        <v>0.20987613046478273</v>
      </c>
      <c r="GO505">
        <v>0.20987613046478273</v>
      </c>
      <c r="GP505">
        <v>0</v>
      </c>
      <c r="GQ505">
        <v>0</v>
      </c>
      <c r="GR505">
        <v>0</v>
      </c>
      <c r="GS505">
        <v>0</v>
      </c>
      <c r="GT505">
        <v>0.29638251150467654</v>
      </c>
      <c r="GU505"/>
      <c r="GV505"/>
      <c r="GW505"/>
      <c r="GX505"/>
      <c r="GY505"/>
      <c r="GZ505"/>
      <c r="HA505"/>
      <c r="HB505"/>
      <c r="HC505"/>
    </row>
    <row r="506" spans="1:211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28.438932498598071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5"/>
      <c r="M506" s="205"/>
      <c r="N506" s="205"/>
      <c r="O506" s="205"/>
      <c r="P506" s="205"/>
      <c r="Q506" s="205"/>
      <c r="R506" s="205"/>
      <c r="S506" s="205"/>
      <c r="T506" s="205"/>
      <c r="U506" s="205"/>
      <c r="V506" s="205"/>
      <c r="W506" s="205"/>
      <c r="X506" s="205"/>
      <c r="Y506" s="205"/>
      <c r="Z506" s="205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3.5812499999999998</v>
      </c>
      <c r="AO506">
        <v>0.48732493894186096</v>
      </c>
      <c r="AP506">
        <v>17.199056870589196</v>
      </c>
      <c r="AQ506">
        <v>3.8195648562494613</v>
      </c>
      <c r="AR506">
        <v>0.51971397097135896</v>
      </c>
      <c r="AS506">
        <v>2.6175350300507856</v>
      </c>
      <c r="AT506" t="e">
        <v>#DIV/0!</v>
      </c>
      <c r="AU506" t="e">
        <v>#DIV/0!</v>
      </c>
      <c r="AV506"/>
      <c r="AW506"/>
      <c r="FY506" s="211">
        <v>501</v>
      </c>
      <c r="FZ506">
        <v>0.82291500299223719</v>
      </c>
      <c r="GA506">
        <v>8.725047411847664E-2</v>
      </c>
      <c r="GB506">
        <v>0.14202990935487192</v>
      </c>
      <c r="GC506">
        <v>7.8958100610881349E-2</v>
      </c>
      <c r="GD506">
        <v>0</v>
      </c>
      <c r="GE506">
        <v>0</v>
      </c>
      <c r="GF506">
        <v>0.33021050058332063</v>
      </c>
      <c r="GG506">
        <v>0.29759236750664797</v>
      </c>
      <c r="GH506">
        <v>0</v>
      </c>
      <c r="GI506">
        <v>0.2207920194106115</v>
      </c>
      <c r="GJ506"/>
      <c r="GK506">
        <v>0.82701498659371242</v>
      </c>
      <c r="GL506">
        <v>7.3740509229249462E-2</v>
      </c>
      <c r="GM506">
        <v>0.23585576644039991</v>
      </c>
      <c r="GN506">
        <v>0.23585576644039991</v>
      </c>
      <c r="GO506">
        <v>0</v>
      </c>
      <c r="GP506">
        <v>0</v>
      </c>
      <c r="GQ506">
        <v>0.45369793096285549</v>
      </c>
      <c r="GR506">
        <v>0.45369793096285549</v>
      </c>
      <c r="GS506">
        <v>0</v>
      </c>
      <c r="GT506">
        <v>0.30331373679939355</v>
      </c>
      <c r="GU506"/>
      <c r="GV506"/>
      <c r="GW506"/>
      <c r="GX506"/>
      <c r="GY506"/>
      <c r="GZ506"/>
      <c r="HA506"/>
      <c r="HB506"/>
      <c r="HC506"/>
    </row>
    <row r="507" spans="1:211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30.305806429252016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5"/>
      <c r="M507" s="205"/>
      <c r="N507" s="205"/>
      <c r="O507" s="205"/>
      <c r="P507" s="205"/>
      <c r="Q507" s="205"/>
      <c r="R507" s="205"/>
      <c r="S507" s="205"/>
      <c r="T507" s="205"/>
      <c r="U507" s="205"/>
      <c r="V507" s="205"/>
      <c r="W507" s="205"/>
      <c r="X507" s="205"/>
      <c r="Y507" s="205"/>
      <c r="Z507" s="205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3.3343750000000001</v>
      </c>
      <c r="AO507">
        <v>0.57151956931918746</v>
      </c>
      <c r="AP507">
        <v>18.4091454885607</v>
      </c>
      <c r="AQ507">
        <v>4.5331576350742804</v>
      </c>
      <c r="AR507">
        <v>0.6159062505408841</v>
      </c>
      <c r="AS507">
        <v>2.9301269171413691</v>
      </c>
      <c r="AT507" t="e">
        <v>#DIV/0!</v>
      </c>
      <c r="AU507" t="e">
        <v>#DIV/0!</v>
      </c>
      <c r="AV507"/>
      <c r="AW507"/>
      <c r="FY507" s="211">
        <v>502</v>
      </c>
      <c r="FZ507">
        <v>1.0151001784298948</v>
      </c>
      <c r="GA507">
        <v>0.17450094823695328</v>
      </c>
      <c r="GB507">
        <v>0.15840797322414965</v>
      </c>
      <c r="GC507">
        <v>0.12309692626280153</v>
      </c>
      <c r="GD507">
        <v>2.6724553773673727E-2</v>
      </c>
      <c r="GE507">
        <v>0</v>
      </c>
      <c r="GF507">
        <v>0</v>
      </c>
      <c r="GG507">
        <v>0</v>
      </c>
      <c r="GH507">
        <v>0</v>
      </c>
      <c r="GI507">
        <v>0.20462996296765826</v>
      </c>
      <c r="GJ507"/>
      <c r="GK507">
        <v>1.0185030929437247</v>
      </c>
      <c r="GL507">
        <v>0.14748101845849892</v>
      </c>
      <c r="GM507">
        <v>0.26183540241601705</v>
      </c>
      <c r="GN507">
        <v>0.3667734676484084</v>
      </c>
      <c r="GO507">
        <v>0.10493806523239137</v>
      </c>
      <c r="GP507">
        <v>0</v>
      </c>
      <c r="GQ507">
        <v>0</v>
      </c>
      <c r="GR507">
        <v>0</v>
      </c>
      <c r="GS507">
        <v>0</v>
      </c>
      <c r="GT507">
        <v>0.27705531211842666</v>
      </c>
      <c r="GU507"/>
      <c r="GV507"/>
      <c r="GW507"/>
      <c r="GX507"/>
      <c r="GY507"/>
      <c r="GZ507"/>
      <c r="HA507"/>
      <c r="HB507"/>
      <c r="HC507"/>
    </row>
    <row r="508" spans="1:211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32.2147874986563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5"/>
      <c r="M508" s="205"/>
      <c r="N508" s="205"/>
      <c r="O508" s="205"/>
      <c r="P508" s="205"/>
      <c r="Q508" s="205"/>
      <c r="R508" s="205"/>
      <c r="S508" s="205"/>
      <c r="T508" s="205"/>
      <c r="U508" s="205"/>
      <c r="V508" s="205"/>
      <c r="W508" s="205"/>
      <c r="X508" s="205"/>
      <c r="Y508" s="205"/>
      <c r="Z508" s="205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2.4885416666666664</v>
      </c>
      <c r="AO508">
        <v>0.38448714307888621</v>
      </c>
      <c r="AP508">
        <v>5.3745475126430113</v>
      </c>
      <c r="AQ508">
        <v>3.4991532925816098</v>
      </c>
      <c r="AR508">
        <v>0.40506524053555115</v>
      </c>
      <c r="AS508">
        <v>2.3395577961437524</v>
      </c>
      <c r="AT508" t="e">
        <v>#DIV/0!</v>
      </c>
      <c r="AU508" t="e">
        <v>#DIV/0!</v>
      </c>
      <c r="AV508"/>
      <c r="AW508"/>
      <c r="FY508" s="211">
        <v>503</v>
      </c>
      <c r="FZ508">
        <v>1.1089398053208692</v>
      </c>
      <c r="GA508">
        <v>0.47460065171768845</v>
      </c>
      <c r="GB508">
        <v>0.14202990935487192</v>
      </c>
      <c r="GC508">
        <v>0.14859665052880375</v>
      </c>
      <c r="GD508">
        <v>5.3449107547347455E-2</v>
      </c>
      <c r="GE508">
        <v>0</v>
      </c>
      <c r="GF508">
        <v>0.33021050058332063</v>
      </c>
      <c r="GG508">
        <v>0.29759236750664797</v>
      </c>
      <c r="GH508">
        <v>0</v>
      </c>
      <c r="GI508">
        <v>0.29406680509250688</v>
      </c>
      <c r="GJ508"/>
      <c r="GK508">
        <v>1.1142761082640051</v>
      </c>
      <c r="GL508">
        <v>0.40705572478708768</v>
      </c>
      <c r="GM508">
        <v>0.23585576644039991</v>
      </c>
      <c r="GN508">
        <v>0.44573189690518267</v>
      </c>
      <c r="GO508">
        <v>0.20987613046478273</v>
      </c>
      <c r="GP508">
        <v>0</v>
      </c>
      <c r="GQ508">
        <v>0.45369793096285549</v>
      </c>
      <c r="GR508">
        <v>0.45369793096285549</v>
      </c>
      <c r="GS508">
        <v>0</v>
      </c>
      <c r="GT508">
        <v>0.40274118722640861</v>
      </c>
      <c r="GU508"/>
      <c r="GV508"/>
      <c r="GW508"/>
      <c r="GX508"/>
      <c r="GY508"/>
      <c r="GZ508"/>
      <c r="HA508"/>
      <c r="HB508"/>
      <c r="HC508"/>
    </row>
    <row r="509" spans="1:211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34.244016439763037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5"/>
      <c r="M509" s="205"/>
      <c r="N509" s="205"/>
      <c r="O509" s="205"/>
      <c r="P509" s="205"/>
      <c r="Q509" s="205"/>
      <c r="R509" s="205"/>
      <c r="S509" s="205"/>
      <c r="T509" s="205"/>
      <c r="U509" s="205"/>
      <c r="V509" s="205"/>
      <c r="W509" s="205"/>
      <c r="X509" s="205"/>
      <c r="Y509" s="205"/>
      <c r="Z509" s="205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1.140625</v>
      </c>
      <c r="AO509">
        <v>0.20444460726188624</v>
      </c>
      <c r="AP509">
        <v>7.8773574639733344</v>
      </c>
      <c r="AQ509">
        <v>1.4139631675186048</v>
      </c>
      <c r="AR509">
        <v>0.2258153958692678</v>
      </c>
      <c r="AS509">
        <v>1.111070251708947</v>
      </c>
      <c r="AT509" t="e">
        <v>#DIV/0!</v>
      </c>
      <c r="AU509" t="e">
        <v>#DIV/0!</v>
      </c>
      <c r="AV509"/>
      <c r="AW509"/>
      <c r="FY509" s="211">
        <v>504</v>
      </c>
      <c r="FZ509">
        <v>0.98069164545527743</v>
      </c>
      <c r="GA509">
        <v>0.47460065171768845</v>
      </c>
      <c r="GB509">
        <v>0.14202990935487192</v>
      </c>
      <c r="GC509">
        <v>0.18341592548776492</v>
      </c>
      <c r="GD509">
        <v>8.0173661321021189E-2</v>
      </c>
      <c r="GE509">
        <v>0</v>
      </c>
      <c r="GF509">
        <v>0.99063150174996206</v>
      </c>
      <c r="GG509">
        <v>0.89277710251994391</v>
      </c>
      <c r="GH509">
        <v>0</v>
      </c>
      <c r="GI509">
        <v>0.41864873698946314</v>
      </c>
      <c r="GJ509"/>
      <c r="GK509">
        <v>0.98647191196992978</v>
      </c>
      <c r="GL509">
        <v>0.40705572478708768</v>
      </c>
      <c r="GM509">
        <v>0.23585576644039991</v>
      </c>
      <c r="GN509">
        <v>0.55066996213757402</v>
      </c>
      <c r="GO509">
        <v>0.31481419569717417</v>
      </c>
      <c r="GP509">
        <v>0</v>
      </c>
      <c r="GQ509">
        <v>1.3610937928885667</v>
      </c>
      <c r="GR509">
        <v>1.3610937928885667</v>
      </c>
      <c r="GS509">
        <v>0</v>
      </c>
      <c r="GT509">
        <v>0.57964713339921414</v>
      </c>
      <c r="GU509"/>
      <c r="GV509"/>
      <c r="GW509"/>
      <c r="GX509"/>
      <c r="GY509"/>
      <c r="GZ509"/>
      <c r="HA509"/>
      <c r="HB509"/>
      <c r="HC509"/>
    </row>
    <row r="510" spans="1:211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36.317234484661057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5"/>
      <c r="M510" s="205"/>
      <c r="N510" s="205"/>
      <c r="O510" s="205"/>
      <c r="P510" s="205"/>
      <c r="Q510" s="205"/>
      <c r="R510" s="205"/>
      <c r="S510" s="205"/>
      <c r="T510" s="205"/>
      <c r="U510" s="205"/>
      <c r="V510" s="205"/>
      <c r="W510" s="205"/>
      <c r="X510" s="205"/>
      <c r="Y510" s="205"/>
      <c r="Z510" s="205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3.0135416666666668</v>
      </c>
      <c r="AO510">
        <v>0.44800916820742209</v>
      </c>
      <c r="AP510">
        <v>17.662796773480117</v>
      </c>
      <c r="AQ510">
        <v>3.435042893206866</v>
      </c>
      <c r="AR510">
        <v>0.48309779548631349</v>
      </c>
      <c r="AS510">
        <v>2.3839351760427041</v>
      </c>
      <c r="AT510" t="e">
        <v>#DIV/0!</v>
      </c>
      <c r="AU510" t="e">
        <v>#DIV/0!</v>
      </c>
      <c r="AV510"/>
      <c r="AW510"/>
      <c r="FY510" s="211">
        <v>505</v>
      </c>
      <c r="FZ510">
        <v>0.49041623698306847</v>
      </c>
      <c r="GA510">
        <v>0</v>
      </c>
      <c r="GB510">
        <v>0</v>
      </c>
      <c r="GC510">
        <v>0</v>
      </c>
      <c r="GD510">
        <v>0</v>
      </c>
      <c r="GE510">
        <v>0</v>
      </c>
      <c r="GF510">
        <v>0.66042100116664126</v>
      </c>
      <c r="GG510">
        <v>0.59518473501329594</v>
      </c>
      <c r="GH510">
        <v>0</v>
      </c>
      <c r="GI510">
        <v>0.20087157019690058</v>
      </c>
      <c r="GJ510"/>
      <c r="GK510">
        <v>0.48935500540378307</v>
      </c>
      <c r="GL510">
        <v>0</v>
      </c>
      <c r="GM510">
        <v>0</v>
      </c>
      <c r="GN510">
        <v>0</v>
      </c>
      <c r="GO510">
        <v>0</v>
      </c>
      <c r="GP510">
        <v>0</v>
      </c>
      <c r="GQ510">
        <v>0.90739586192571098</v>
      </c>
      <c r="GR510">
        <v>0.90739586192571098</v>
      </c>
      <c r="GS510">
        <v>0</v>
      </c>
      <c r="GT510">
        <v>0.2793501734658988</v>
      </c>
      <c r="GU510"/>
      <c r="GV510"/>
      <c r="GW510"/>
      <c r="GX510"/>
      <c r="GY510"/>
      <c r="GZ510"/>
      <c r="HA510"/>
      <c r="HB510"/>
      <c r="HC510"/>
    </row>
    <row r="511" spans="1:211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38.515970313644125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5"/>
      <c r="M511" s="205"/>
      <c r="N511" s="205"/>
      <c r="O511" s="205"/>
      <c r="P511" s="205"/>
      <c r="Q511" s="205"/>
      <c r="R511" s="205"/>
      <c r="S511" s="205"/>
      <c r="T511" s="205"/>
      <c r="U511" s="205"/>
      <c r="V511" s="205"/>
      <c r="W511" s="205"/>
      <c r="X511" s="205"/>
      <c r="Y511" s="205"/>
      <c r="Z511" s="205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4.619791666666667</v>
      </c>
      <c r="AO511">
        <v>0.32023991490568182</v>
      </c>
      <c r="AP511">
        <v>11.522662809740691</v>
      </c>
      <c r="AQ511">
        <v>2.4383360481543979</v>
      </c>
      <c r="AR511">
        <v>0.36807784933523974</v>
      </c>
      <c r="AS511">
        <v>2.3698832334607283</v>
      </c>
      <c r="AT511" t="e">
        <v>#DIV/0!</v>
      </c>
      <c r="AU511" t="e">
        <v>#DIV/0!</v>
      </c>
      <c r="AV511"/>
      <c r="AW511"/>
      <c r="FY511" s="211">
        <v>506</v>
      </c>
      <c r="FZ511">
        <v>0.9142381443813653</v>
      </c>
      <c r="GA511">
        <v>0.38735017759921181</v>
      </c>
      <c r="GB511">
        <v>0.15840797322414965</v>
      </c>
      <c r="GC511">
        <v>0.1579162012217627</v>
      </c>
      <c r="GD511">
        <v>5.3449107547347455E-2</v>
      </c>
      <c r="GE511">
        <v>0</v>
      </c>
      <c r="GF511">
        <v>0</v>
      </c>
      <c r="GG511">
        <v>0</v>
      </c>
      <c r="GH511">
        <v>0</v>
      </c>
      <c r="GI511">
        <v>0.20514559339202107</v>
      </c>
      <c r="GJ511"/>
      <c r="GK511">
        <v>0.91734778275471562</v>
      </c>
      <c r="GL511">
        <v>0.33331521555783822</v>
      </c>
      <c r="GM511">
        <v>0.26183540241601705</v>
      </c>
      <c r="GN511">
        <v>0.47171153288079981</v>
      </c>
      <c r="GO511">
        <v>0.20987613046478273</v>
      </c>
      <c r="GP511">
        <v>0</v>
      </c>
      <c r="GQ511">
        <v>0</v>
      </c>
      <c r="GR511">
        <v>0</v>
      </c>
      <c r="GS511">
        <v>0</v>
      </c>
      <c r="GT511">
        <v>0.27781186312710315</v>
      </c>
      <c r="GU511"/>
      <c r="GV511"/>
      <c r="GW511"/>
      <c r="GX511"/>
      <c r="GY511"/>
      <c r="GZ511"/>
      <c r="HA511"/>
      <c r="HB511"/>
      <c r="HC511"/>
    </row>
    <row r="512" spans="1:211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40.760585565035448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5"/>
      <c r="M512" s="205"/>
      <c r="N512" s="205"/>
      <c r="O512" s="205"/>
      <c r="P512" s="205"/>
      <c r="Q512" s="205"/>
      <c r="R512" s="205"/>
      <c r="S512" s="205"/>
      <c r="T512" s="205"/>
      <c r="U512" s="205"/>
      <c r="V512" s="205"/>
      <c r="W512" s="205"/>
      <c r="X512" s="205"/>
      <c r="Y512" s="205"/>
      <c r="Z512" s="205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3.0447916666666659</v>
      </c>
      <c r="AO512">
        <v>0.3647971082686795</v>
      </c>
      <c r="AP512">
        <v>10.547030469676605</v>
      </c>
      <c r="AQ512">
        <v>2.9381531516006349</v>
      </c>
      <c r="AR512">
        <v>0.39544718100580184</v>
      </c>
      <c r="AS512">
        <v>2.2732645202577539</v>
      </c>
      <c r="AT512" t="e">
        <v>#DIV/0!</v>
      </c>
      <c r="AU512" t="e">
        <v>#DIV/0!</v>
      </c>
      <c r="AV512"/>
      <c r="AW512"/>
      <c r="FY512" s="211">
        <v>507</v>
      </c>
      <c r="FZ512">
        <v>1.4122942699987213</v>
      </c>
      <c r="GA512">
        <v>0.9492013034353769</v>
      </c>
      <c r="GB512">
        <v>6.282592274279708E-2</v>
      </c>
      <c r="GC512">
        <v>6.9638549917922385E-2</v>
      </c>
      <c r="GD512">
        <v>2.6724553773673727E-2</v>
      </c>
      <c r="GE512">
        <v>0</v>
      </c>
      <c r="GF512">
        <v>0.66042100116664126</v>
      </c>
      <c r="GG512">
        <v>0.59518473501329594</v>
      </c>
      <c r="GH512">
        <v>0</v>
      </c>
      <c r="GI512">
        <v>0.36809075401343377</v>
      </c>
      <c r="GJ512"/>
      <c r="GK512">
        <v>1.4228246819125523</v>
      </c>
      <c r="GL512">
        <v>0.81411144957417536</v>
      </c>
      <c r="GM512">
        <v>0.10493806523239137</v>
      </c>
      <c r="GN512">
        <v>0.20987613046478273</v>
      </c>
      <c r="GO512">
        <v>0.10493806523239137</v>
      </c>
      <c r="GP512">
        <v>0</v>
      </c>
      <c r="GQ512">
        <v>0.90739586192571098</v>
      </c>
      <c r="GR512">
        <v>0.90739586192571098</v>
      </c>
      <c r="GS512">
        <v>0</v>
      </c>
      <c r="GT512">
        <v>0.50801933486060924</v>
      </c>
      <c r="GU512"/>
      <c r="GV512"/>
      <c r="GW512"/>
      <c r="GX512"/>
      <c r="GY512"/>
      <c r="GZ512"/>
      <c r="HA512"/>
      <c r="HB512"/>
      <c r="HC512"/>
    </row>
    <row r="513" spans="1:211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43.136011427862769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5"/>
      <c r="M513" s="205"/>
      <c r="N513" s="205"/>
      <c r="O513" s="205"/>
      <c r="P513" s="205"/>
      <c r="Q513" s="205"/>
      <c r="R513" s="205"/>
      <c r="S513" s="205"/>
      <c r="T513" s="205"/>
      <c r="U513" s="205"/>
      <c r="V513" s="205"/>
      <c r="W513" s="205"/>
      <c r="X513" s="205"/>
      <c r="Y513" s="205"/>
      <c r="Z513" s="205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2.4572916666666664</v>
      </c>
      <c r="AO513">
        <v>0.41625367451202999</v>
      </c>
      <c r="AP513">
        <v>10.875497103173123</v>
      </c>
      <c r="AQ513">
        <v>3.7751318791832906</v>
      </c>
      <c r="AR513">
        <v>0.42966257771265354</v>
      </c>
      <c r="AS513">
        <v>2.2690324523682088</v>
      </c>
      <c r="AT513" t="e">
        <v>#DIV/0!</v>
      </c>
      <c r="AU513" t="e">
        <v>#DIV/0!</v>
      </c>
      <c r="AV513"/>
      <c r="AW513"/>
      <c r="FY513" s="211">
        <v>508</v>
      </c>
      <c r="FZ513">
        <v>0.90303918965979979</v>
      </c>
      <c r="GA513">
        <v>0.47460065171768845</v>
      </c>
      <c r="GB513">
        <v>6.282592274279708E-2</v>
      </c>
      <c r="GC513">
        <v>0.10445782487688358</v>
      </c>
      <c r="GD513">
        <v>5.3449107547347455E-2</v>
      </c>
      <c r="GE513">
        <v>0</v>
      </c>
      <c r="GF513">
        <v>0</v>
      </c>
      <c r="GG513">
        <v>0</v>
      </c>
      <c r="GH513">
        <v>0</v>
      </c>
      <c r="GI513">
        <v>0.18012541288564907</v>
      </c>
      <c r="GJ513"/>
      <c r="GK513">
        <v>0.90646732936418317</v>
      </c>
      <c r="GL513">
        <v>0.40705572478708768</v>
      </c>
      <c r="GM513">
        <v>0.10493806523239137</v>
      </c>
      <c r="GN513">
        <v>0.31481419569717412</v>
      </c>
      <c r="GO513">
        <v>0.20987613046478273</v>
      </c>
      <c r="GP513">
        <v>0</v>
      </c>
      <c r="GQ513">
        <v>0</v>
      </c>
      <c r="GR513">
        <v>0</v>
      </c>
      <c r="GS513">
        <v>0</v>
      </c>
      <c r="GT513">
        <v>0.24425630501227144</v>
      </c>
      <c r="GU513"/>
      <c r="GV513"/>
      <c r="GW513"/>
      <c r="GX513"/>
      <c r="GY513"/>
      <c r="GZ513"/>
      <c r="HA513"/>
      <c r="HB513"/>
      <c r="HC513"/>
    </row>
    <row r="514" spans="1:211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45.559215110162178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5"/>
      <c r="M514" s="205"/>
      <c r="N514" s="205"/>
      <c r="O514" s="205"/>
      <c r="P514" s="205"/>
      <c r="Q514" s="205"/>
      <c r="R514" s="205"/>
      <c r="S514" s="205"/>
      <c r="T514" s="205"/>
      <c r="U514" s="205"/>
      <c r="V514" s="205"/>
      <c r="W514" s="205"/>
      <c r="X514" s="205"/>
      <c r="Y514" s="205"/>
      <c r="Z514" s="205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1.8</v>
      </c>
      <c r="AO514">
        <v>0.3005777466102848</v>
      </c>
      <c r="AP514">
        <v>10.357614908926962</v>
      </c>
      <c r="AQ514">
        <v>2.2838703681207959</v>
      </c>
      <c r="AR514">
        <v>0.29637505711741619</v>
      </c>
      <c r="AS514">
        <v>1.3867738965435239</v>
      </c>
      <c r="AT514" t="e">
        <v>#DIV/0!</v>
      </c>
      <c r="AU514" t="e">
        <v>#DIV/0!</v>
      </c>
      <c r="AV514"/>
      <c r="AW514"/>
      <c r="FY514" s="211">
        <v>509</v>
      </c>
      <c r="FZ514">
        <v>1.3525237494459939</v>
      </c>
      <c r="GA514">
        <v>0.86195082931690026</v>
      </c>
      <c r="GB514">
        <v>0.22123389596694673</v>
      </c>
      <c r="GC514">
        <v>0.1579162012217627</v>
      </c>
      <c r="GD514">
        <v>2.6724553773673727E-2</v>
      </c>
      <c r="GE514">
        <v>0</v>
      </c>
      <c r="GF514">
        <v>0.66042100116664126</v>
      </c>
      <c r="GG514">
        <v>0.59518473501329594</v>
      </c>
      <c r="GH514">
        <v>0</v>
      </c>
      <c r="GI514">
        <v>0.39805473258741558</v>
      </c>
      <c r="GJ514"/>
      <c r="GK514">
        <v>1.3625339850198599</v>
      </c>
      <c r="GL514">
        <v>0.7403709403449259</v>
      </c>
      <c r="GM514">
        <v>0.3667734676484084</v>
      </c>
      <c r="GN514">
        <v>0.47171153288079981</v>
      </c>
      <c r="GO514">
        <v>0.10493806523239137</v>
      </c>
      <c r="GP514">
        <v>0</v>
      </c>
      <c r="GQ514">
        <v>0.90739586192571098</v>
      </c>
      <c r="GR514">
        <v>0.90739586192571098</v>
      </c>
      <c r="GS514">
        <v>0</v>
      </c>
      <c r="GT514">
        <v>0.54832827596527423</v>
      </c>
      <c r="GU514"/>
      <c r="GV514"/>
      <c r="GW514"/>
      <c r="GX514"/>
      <c r="GY514"/>
      <c r="GZ514"/>
      <c r="HA514"/>
      <c r="HB514"/>
      <c r="HC514"/>
    </row>
    <row r="515" spans="1:211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48.118544407499712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5"/>
      <c r="M515" s="205"/>
      <c r="N515" s="205"/>
      <c r="O515" s="205"/>
      <c r="P515" s="205"/>
      <c r="Q515" s="205"/>
      <c r="R515" s="205"/>
      <c r="S515" s="205"/>
      <c r="T515" s="205"/>
      <c r="U515" s="205"/>
      <c r="V515" s="205"/>
      <c r="W515" s="205"/>
      <c r="X515" s="205"/>
      <c r="Y515" s="205"/>
      <c r="Z515" s="205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1.21875</v>
      </c>
      <c r="AO515">
        <v>0.15567686419699617</v>
      </c>
      <c r="AP515">
        <v>2.5633117906332585</v>
      </c>
      <c r="AQ515">
        <v>1.1248958923308772</v>
      </c>
      <c r="AR515">
        <v>0.20699240771213129</v>
      </c>
      <c r="AS515">
        <v>1.1944218988273279</v>
      </c>
      <c r="AT515" t="e">
        <v>#DIV/0!</v>
      </c>
      <c r="AU515" t="e">
        <v>#DIV/0!</v>
      </c>
      <c r="AV515"/>
      <c r="AW515"/>
      <c r="FY515" s="211">
        <v>510</v>
      </c>
      <c r="FZ515">
        <v>0.47884315354004292</v>
      </c>
      <c r="GA515">
        <v>8.725047411847664E-2</v>
      </c>
      <c r="GB515">
        <v>7.9203986612074825E-2</v>
      </c>
      <c r="GC515">
        <v>4.4138825651920163E-2</v>
      </c>
      <c r="GD515">
        <v>0</v>
      </c>
      <c r="GE515">
        <v>0</v>
      </c>
      <c r="GF515">
        <v>0.33021050058332063</v>
      </c>
      <c r="GG515">
        <v>0.29759236750664797</v>
      </c>
      <c r="GH515">
        <v>0</v>
      </c>
      <c r="GI515">
        <v>0.15447893303943674</v>
      </c>
      <c r="GJ515"/>
      <c r="GK515">
        <v>0.47803817583104941</v>
      </c>
      <c r="GL515">
        <v>7.3740509229249462E-2</v>
      </c>
      <c r="GM515">
        <v>0.13091770120800852</v>
      </c>
      <c r="GN515">
        <v>0.13091770120800852</v>
      </c>
      <c r="GO515">
        <v>0</v>
      </c>
      <c r="GP515">
        <v>0</v>
      </c>
      <c r="GQ515">
        <v>0.45369793096285549</v>
      </c>
      <c r="GR515">
        <v>0.45369793096285549</v>
      </c>
      <c r="GS515">
        <v>0</v>
      </c>
      <c r="GT515">
        <v>0.21253076160038267</v>
      </c>
      <c r="GU515"/>
      <c r="GV515"/>
      <c r="GW515"/>
      <c r="GX515"/>
      <c r="GY515"/>
      <c r="GZ515"/>
      <c r="HA515"/>
      <c r="HB515"/>
      <c r="HC515"/>
    </row>
    <row r="516" spans="1:211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50.727557743323096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5"/>
      <c r="M516" s="205"/>
      <c r="N516" s="205"/>
      <c r="O516" s="205"/>
      <c r="P516" s="205"/>
      <c r="Q516" s="205"/>
      <c r="R516" s="205"/>
      <c r="S516" s="205"/>
      <c r="T516" s="205"/>
      <c r="U516" s="205"/>
      <c r="V516" s="205"/>
      <c r="W516" s="205"/>
      <c r="X516" s="205"/>
      <c r="Y516" s="205"/>
      <c r="Z516" s="205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2.8708333333333336</v>
      </c>
      <c r="AO516">
        <v>0.27285421398377679</v>
      </c>
      <c r="AP516">
        <v>5.201650340558583</v>
      </c>
      <c r="AQ516">
        <v>2.4678201015735852</v>
      </c>
      <c r="AR516">
        <v>0.29638251150467654</v>
      </c>
      <c r="AS516">
        <v>1.7675967608087004</v>
      </c>
      <c r="AT516" t="e">
        <v>#DIV/0!</v>
      </c>
      <c r="AU516" t="e">
        <v>#DIV/0!</v>
      </c>
      <c r="AV516"/>
      <c r="AW516"/>
      <c r="FY516" s="211">
        <v>511</v>
      </c>
      <c r="FZ516">
        <v>0.8167426776070883</v>
      </c>
      <c r="GA516">
        <v>8.725047411847664E-2</v>
      </c>
      <c r="GB516">
        <v>0.204855832097669</v>
      </c>
      <c r="GC516">
        <v>0.11377737556984255</v>
      </c>
      <c r="GD516">
        <v>0</v>
      </c>
      <c r="GE516">
        <v>0</v>
      </c>
      <c r="GF516">
        <v>0.33021050058332063</v>
      </c>
      <c r="GG516">
        <v>0.29759236750664797</v>
      </c>
      <c r="GH516">
        <v>0</v>
      </c>
      <c r="GI516">
        <v>0.23548808500431656</v>
      </c>
      <c r="GJ516"/>
      <c r="GK516">
        <v>0.81564619724868659</v>
      </c>
      <c r="GL516">
        <v>7.3740509229249462E-2</v>
      </c>
      <c r="GM516">
        <v>0.34079383167279126</v>
      </c>
      <c r="GN516">
        <v>0.34079383167279126</v>
      </c>
      <c r="GO516">
        <v>0</v>
      </c>
      <c r="GP516">
        <v>0</v>
      </c>
      <c r="GQ516">
        <v>0.45369793096285549</v>
      </c>
      <c r="GR516">
        <v>0.45369793096285549</v>
      </c>
      <c r="GS516">
        <v>0</v>
      </c>
      <c r="GT516">
        <v>0.3220275919768667</v>
      </c>
      <c r="GU516"/>
      <c r="GV516"/>
      <c r="GW516"/>
      <c r="GX516"/>
      <c r="GY516"/>
      <c r="GZ516"/>
      <c r="HA516"/>
      <c r="HB516"/>
      <c r="HC516"/>
    </row>
    <row r="517" spans="1:211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53.478033184252119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5"/>
      <c r="M517" s="205"/>
      <c r="N517" s="205"/>
      <c r="O517" s="205"/>
      <c r="P517" s="205"/>
      <c r="Q517" s="205"/>
      <c r="R517" s="205"/>
      <c r="S517" s="205"/>
      <c r="T517" s="205"/>
      <c r="U517" s="205"/>
      <c r="V517" s="205"/>
      <c r="W517" s="205"/>
      <c r="X517" s="205"/>
      <c r="Y517" s="205"/>
      <c r="Z517" s="205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1.8072916666666667</v>
      </c>
      <c r="AO517">
        <v>0.25831766274288664</v>
      </c>
      <c r="AP517">
        <v>8.9816081874762741</v>
      </c>
      <c r="AQ517">
        <v>1.9797483745770472</v>
      </c>
      <c r="AR517">
        <v>0.30331373679939355</v>
      </c>
      <c r="AS517">
        <v>1.7531136405072705</v>
      </c>
      <c r="AT517" t="e">
        <v>#DIV/0!</v>
      </c>
      <c r="AU517" t="e">
        <v>#DIV/0!</v>
      </c>
      <c r="AV517"/>
      <c r="AW517"/>
      <c r="FY517" s="211">
        <v>512</v>
      </c>
      <c r="FZ517">
        <v>1.1179822230531415</v>
      </c>
      <c r="GA517">
        <v>8.725047411847664E-2</v>
      </c>
      <c r="GB517">
        <v>0.14202990935487192</v>
      </c>
      <c r="GC517">
        <v>0.11377737556984255</v>
      </c>
      <c r="GD517">
        <v>2.6724553773673727E-2</v>
      </c>
      <c r="GE517">
        <v>0</v>
      </c>
      <c r="GF517">
        <v>0.33021050058332063</v>
      </c>
      <c r="GG517">
        <v>0.29759236750664797</v>
      </c>
      <c r="GH517">
        <v>0</v>
      </c>
      <c r="GI517">
        <v>0.27993273833351551</v>
      </c>
      <c r="GJ517"/>
      <c r="GK517">
        <v>1.1238933489959884</v>
      </c>
      <c r="GL517">
        <v>7.3740509229249462E-2</v>
      </c>
      <c r="GM517">
        <v>0.23585576644039991</v>
      </c>
      <c r="GN517">
        <v>0.34079383167279126</v>
      </c>
      <c r="GO517">
        <v>0.10493806523239137</v>
      </c>
      <c r="GP517">
        <v>0</v>
      </c>
      <c r="GQ517">
        <v>0.45369793096285549</v>
      </c>
      <c r="GR517">
        <v>0.45369793096285549</v>
      </c>
      <c r="GS517">
        <v>0</v>
      </c>
      <c r="GT517">
        <v>0.383677022326327</v>
      </c>
      <c r="GU517"/>
      <c r="GV517"/>
      <c r="GW517"/>
      <c r="GX517"/>
      <c r="GY517"/>
      <c r="GZ517"/>
      <c r="HA517"/>
      <c r="HB517"/>
      <c r="HC517"/>
    </row>
    <row r="518" spans="1:211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53.478033184252119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5"/>
      <c r="M518" s="205"/>
      <c r="N518" s="205"/>
      <c r="O518" s="205"/>
      <c r="P518" s="205"/>
      <c r="Q518" s="205"/>
      <c r="R518" s="205"/>
      <c r="S518" s="205"/>
      <c r="T518" s="205"/>
      <c r="U518" s="205"/>
      <c r="V518" s="205"/>
      <c r="W518" s="205"/>
      <c r="X518" s="205"/>
      <c r="Y518" s="205"/>
      <c r="Z518" s="205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3.270833333333333</v>
      </c>
      <c r="AO518">
        <v>0.21765863588174672</v>
      </c>
      <c r="AP518">
        <v>3.6416906954744048</v>
      </c>
      <c r="AQ518">
        <v>1.7024605428951312</v>
      </c>
      <c r="AR518">
        <v>0.27705531211842666</v>
      </c>
      <c r="AS518">
        <v>1.8388826833484853</v>
      </c>
      <c r="AT518" t="e">
        <v>#DIV/0!</v>
      </c>
      <c r="AU518" t="e">
        <v>#DIV/0!</v>
      </c>
      <c r="AV518"/>
      <c r="AW518"/>
      <c r="FY518" s="211">
        <v>513</v>
      </c>
      <c r="FZ518">
        <v>0.9550922300023319</v>
      </c>
      <c r="GA518">
        <v>8.725047411847664E-2</v>
      </c>
      <c r="GB518">
        <v>0.204855832097669</v>
      </c>
      <c r="GC518">
        <v>0.14859665052880375</v>
      </c>
      <c r="GD518">
        <v>2.6724553773673727E-2</v>
      </c>
      <c r="GE518">
        <v>0</v>
      </c>
      <c r="GF518">
        <v>0</v>
      </c>
      <c r="GG518">
        <v>0</v>
      </c>
      <c r="GH518">
        <v>0</v>
      </c>
      <c r="GI518">
        <v>0.20732378392900719</v>
      </c>
      <c r="GJ518"/>
      <c r="GK518">
        <v>0.95585969438355334</v>
      </c>
      <c r="GL518">
        <v>7.3740509229249462E-2</v>
      </c>
      <c r="GM518">
        <v>0.34079383167279126</v>
      </c>
      <c r="GN518">
        <v>0.44573189690518267</v>
      </c>
      <c r="GO518">
        <v>0.10493806523239137</v>
      </c>
      <c r="GP518">
        <v>0</v>
      </c>
      <c r="GQ518">
        <v>0</v>
      </c>
      <c r="GR518">
        <v>0</v>
      </c>
      <c r="GS518">
        <v>0</v>
      </c>
      <c r="GT518">
        <v>0.28031831825774722</v>
      </c>
      <c r="GU518"/>
      <c r="GV518"/>
      <c r="GW518"/>
      <c r="GX518"/>
      <c r="GY518"/>
      <c r="GZ518"/>
      <c r="HA518"/>
      <c r="HB518"/>
      <c r="HC518"/>
    </row>
    <row r="519" spans="1:211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5"/>
      <c r="M519" s="205"/>
      <c r="N519" s="205"/>
      <c r="O519" s="205"/>
      <c r="P519" s="205"/>
      <c r="Q519" s="205"/>
      <c r="R519" s="205"/>
      <c r="S519" s="205"/>
      <c r="T519" s="205"/>
      <c r="U519" s="205"/>
      <c r="V519" s="205"/>
      <c r="W519" s="205"/>
      <c r="X519" s="205"/>
      <c r="Y519" s="205"/>
      <c r="Z519" s="205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3.3052083333333337</v>
      </c>
      <c r="AO519">
        <v>0.37229326760135778</v>
      </c>
      <c r="AP519">
        <v>11.005290574879675</v>
      </c>
      <c r="AQ519">
        <v>2.8494857976520565</v>
      </c>
      <c r="AR519">
        <v>0.40274118722640867</v>
      </c>
      <c r="AS519">
        <v>2.1129412092055126</v>
      </c>
      <c r="AT519" t="e">
        <v>#DIV/0!</v>
      </c>
      <c r="AU519" t="e">
        <v>#DIV/0!</v>
      </c>
      <c r="AV519"/>
      <c r="AW519"/>
      <c r="FY519" s="211">
        <v>514</v>
      </c>
      <c r="FZ519">
        <v>1.775775892437538</v>
      </c>
      <c r="GA519">
        <v>1.2493010069161121</v>
      </c>
      <c r="GB519">
        <v>0.14202990935487192</v>
      </c>
      <c r="GC519">
        <v>7.8958100610881349E-2</v>
      </c>
      <c r="GD519">
        <v>0</v>
      </c>
      <c r="GE519">
        <v>0</v>
      </c>
      <c r="GF519">
        <v>0.66042100116664126</v>
      </c>
      <c r="GG519">
        <v>0.59518473501329594</v>
      </c>
      <c r="GH519">
        <v>0</v>
      </c>
      <c r="GI519">
        <v>0.4258132050927253</v>
      </c>
      <c r="GJ519"/>
      <c r="GK519">
        <v>1.7897548829978431</v>
      </c>
      <c r="GL519">
        <v>1.073686155902764</v>
      </c>
      <c r="GM519">
        <v>0.23585576644039991</v>
      </c>
      <c r="GN519">
        <v>0.23585576644039991</v>
      </c>
      <c r="GO519">
        <v>0</v>
      </c>
      <c r="GP519">
        <v>0</v>
      </c>
      <c r="GQ519">
        <v>0.90739586192571098</v>
      </c>
      <c r="GR519">
        <v>0.90739586192571098</v>
      </c>
      <c r="GS519">
        <v>0</v>
      </c>
      <c r="GT519">
        <v>0.58660130227279084</v>
      </c>
      <c r="GU519"/>
      <c r="GV519"/>
      <c r="GW519"/>
      <c r="GX519"/>
      <c r="GY519"/>
      <c r="GZ519"/>
      <c r="HA519"/>
      <c r="HB519"/>
      <c r="HC519"/>
    </row>
    <row r="520" spans="1:211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0.37144747952924589</v>
      </c>
      <c r="H520" s="63" t="s">
        <v>30</v>
      </c>
      <c r="I520" s="101">
        <f>SUM(K458:K518)</f>
        <v>2.2160169183770013</v>
      </c>
      <c r="J520" s="63"/>
      <c r="K520" s="19"/>
      <c r="L520" s="205"/>
      <c r="M520" s="205"/>
      <c r="N520" s="205"/>
      <c r="O520" s="205"/>
      <c r="P520" s="205"/>
      <c r="Q520" s="205"/>
      <c r="R520" s="205"/>
      <c r="S520" s="205"/>
      <c r="T520" s="205"/>
      <c r="U520" s="205"/>
      <c r="V520" s="205"/>
      <c r="W520" s="205"/>
      <c r="X520" s="205"/>
      <c r="Y520" s="205"/>
      <c r="Z520" s="205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2.9614583333333337</v>
      </c>
      <c r="AO520">
        <v>0.57967022802085133</v>
      </c>
      <c r="AP520">
        <v>23.064266215496954</v>
      </c>
      <c r="AQ520">
        <v>4.1629691345959925</v>
      </c>
      <c r="AR520">
        <v>0.57964713339921414</v>
      </c>
      <c r="AS520">
        <v>2.6382633367721557</v>
      </c>
      <c r="AT520" t="e">
        <v>#DIV/0!</v>
      </c>
      <c r="AU520" t="e">
        <v>#DIV/0!</v>
      </c>
      <c r="AV520"/>
      <c r="AW520"/>
      <c r="FY520" s="211">
        <v>515</v>
      </c>
      <c r="FZ520">
        <v>0.52083246587823095</v>
      </c>
      <c r="GA520">
        <v>0.17450094823695328</v>
      </c>
      <c r="GB520">
        <v>0.23761195983622446</v>
      </c>
      <c r="GC520">
        <v>0.23687430183264407</v>
      </c>
      <c r="GD520">
        <v>8.0173661321021189E-2</v>
      </c>
      <c r="GE520">
        <v>0</v>
      </c>
      <c r="GF520">
        <v>0</v>
      </c>
      <c r="GG520">
        <v>0</v>
      </c>
      <c r="GH520">
        <v>0</v>
      </c>
      <c r="GI520">
        <v>0.18172514968073594</v>
      </c>
      <c r="GJ520"/>
      <c r="GK520">
        <v>0.52288401416344443</v>
      </c>
      <c r="GL520">
        <v>0.14748101845849892</v>
      </c>
      <c r="GM520">
        <v>0.39275310362402555</v>
      </c>
      <c r="GN520">
        <v>0.70756729932119966</v>
      </c>
      <c r="GO520">
        <v>0.31481419569717417</v>
      </c>
      <c r="GP520">
        <v>0</v>
      </c>
      <c r="GQ520">
        <v>0</v>
      </c>
      <c r="GR520">
        <v>0</v>
      </c>
      <c r="GS520">
        <v>0</v>
      </c>
      <c r="GT520">
        <v>0.24609026269692882</v>
      </c>
      <c r="GU520"/>
      <c r="GV520"/>
      <c r="GW520"/>
      <c r="GX520"/>
      <c r="GY520"/>
      <c r="GZ520"/>
      <c r="HA520"/>
      <c r="HB520"/>
      <c r="HC520"/>
    </row>
    <row r="521" spans="1:211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5"/>
      <c r="M521" s="205"/>
      <c r="N521" s="205"/>
      <c r="O521" s="205"/>
      <c r="P521" s="205"/>
      <c r="Q521" s="205"/>
      <c r="R521" s="205"/>
      <c r="S521" s="205"/>
      <c r="T521" s="205"/>
      <c r="U521" s="205"/>
      <c r="V521" s="205"/>
      <c r="W521" s="205"/>
      <c r="X521" s="205"/>
      <c r="Y521" s="205"/>
      <c r="Z521" s="205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1.7916666666666665</v>
      </c>
      <c r="AO521">
        <v>0.25834969027211041</v>
      </c>
      <c r="AP521">
        <v>12.410917873100242</v>
      </c>
      <c r="AQ521">
        <v>1.9468935433599064</v>
      </c>
      <c r="AR521">
        <v>0.2793501734658988</v>
      </c>
      <c r="AS521">
        <v>1.4730647094262126</v>
      </c>
      <c r="AT521" t="e">
        <v>#DIV/0!</v>
      </c>
      <c r="AU521" t="e">
        <v>#DIV/0!</v>
      </c>
      <c r="AV521"/>
      <c r="AW521"/>
      <c r="FY521" s="211">
        <v>516</v>
      </c>
      <c r="FZ521">
        <v>1.0769539464922913</v>
      </c>
      <c r="GA521">
        <v>0.17450094823695328</v>
      </c>
      <c r="GB521">
        <v>0.204855832097669</v>
      </c>
      <c r="GC521">
        <v>0.11377737556984255</v>
      </c>
      <c r="GD521">
        <v>0</v>
      </c>
      <c r="GE521">
        <v>0</v>
      </c>
      <c r="GF521">
        <v>0.33021050058332063</v>
      </c>
      <c r="GG521">
        <v>0.29759236750664797</v>
      </c>
      <c r="GH521">
        <v>0</v>
      </c>
      <c r="GI521">
        <v>0.27392142766601352</v>
      </c>
      <c r="GJ521"/>
      <c r="GK521">
        <v>1.0804903964180395</v>
      </c>
      <c r="GL521">
        <v>0.14748101845849892</v>
      </c>
      <c r="GM521">
        <v>0.34079383167279126</v>
      </c>
      <c r="GN521">
        <v>0.34079383167279126</v>
      </c>
      <c r="GO521">
        <v>0</v>
      </c>
      <c r="GP521">
        <v>0</v>
      </c>
      <c r="GQ521">
        <v>0.45369793096285549</v>
      </c>
      <c r="GR521">
        <v>0.45369793096285549</v>
      </c>
      <c r="GS521">
        <v>0</v>
      </c>
      <c r="GT521">
        <v>0.37499643181073727</v>
      </c>
      <c r="GU521"/>
      <c r="GV521"/>
      <c r="GW521"/>
      <c r="GX521"/>
      <c r="GY521"/>
      <c r="GZ521"/>
      <c r="HA521"/>
      <c r="HB521"/>
      <c r="HC521"/>
    </row>
    <row r="522" spans="1:211" s="7" customFormat="1">
      <c r="A522" s="4"/>
      <c r="B522" s="4"/>
      <c r="C522" s="63"/>
      <c r="D522" s="63"/>
      <c r="E522" s="63" t="s">
        <v>100</v>
      </c>
      <c r="F522" s="101">
        <f>+I520/G520</f>
        <v>5.9658956932093634</v>
      </c>
      <c r="G522" s="63"/>
      <c r="H522" s="63" t="s">
        <v>101</v>
      </c>
      <c r="I522">
        <v>354.82888793945312</v>
      </c>
      <c r="J522" s="19"/>
      <c r="K522" s="19"/>
      <c r="L522" s="205"/>
      <c r="M522" s="205"/>
      <c r="N522" s="205"/>
      <c r="O522" s="205"/>
      <c r="P522" s="205"/>
      <c r="Q522" s="205"/>
      <c r="R522" s="205"/>
      <c r="S522" s="205"/>
      <c r="T522">
        <v>0</v>
      </c>
      <c r="U522" s="205"/>
      <c r="V522" s="205"/>
      <c r="W522" s="205"/>
      <c r="X522" s="205"/>
      <c r="Y522" s="205"/>
      <c r="Z522" s="205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3.0708333333333329</v>
      </c>
      <c r="AO522">
        <v>0.24718979272012565</v>
      </c>
      <c r="AP522">
        <v>5.4975946014495127</v>
      </c>
      <c r="AQ522">
        <v>1.876507197365858</v>
      </c>
      <c r="AR522">
        <v>0.27781186312710315</v>
      </c>
      <c r="AS522">
        <v>1.8306538617514405</v>
      </c>
      <c r="AT522" t="e">
        <v>#DIV/0!</v>
      </c>
      <c r="AU522" t="e">
        <v>#DIV/0!</v>
      </c>
      <c r="AV522"/>
      <c r="AW522"/>
      <c r="FY522" s="211">
        <v>517</v>
      </c>
      <c r="FZ522">
        <v>0.67867234527622311</v>
      </c>
      <c r="GA522">
        <v>8.725047411847664E-2</v>
      </c>
      <c r="GB522">
        <v>0.204855832097669</v>
      </c>
      <c r="GC522">
        <v>0.18341592548776492</v>
      </c>
      <c r="GD522">
        <v>5.3449107547347455E-2</v>
      </c>
      <c r="GE522">
        <v>0</v>
      </c>
      <c r="GF522">
        <v>0.33021050058332063</v>
      </c>
      <c r="GG522">
        <v>0.29759236750664797</v>
      </c>
      <c r="GH522">
        <v>0</v>
      </c>
      <c r="GI522">
        <v>0.24587139162411967</v>
      </c>
      <c r="GJ522"/>
      <c r="GK522">
        <v>0.67980260025802974</v>
      </c>
      <c r="GL522">
        <v>7.3740509229249462E-2</v>
      </c>
      <c r="GM522">
        <v>0.34079383167279126</v>
      </c>
      <c r="GN522">
        <v>0.55066996213757402</v>
      </c>
      <c r="GO522">
        <v>0.20987613046478273</v>
      </c>
      <c r="GP522">
        <v>0</v>
      </c>
      <c r="GQ522">
        <v>0.45369793096285549</v>
      </c>
      <c r="GR522">
        <v>0.45369793096285549</v>
      </c>
      <c r="GS522">
        <v>0</v>
      </c>
      <c r="GT522">
        <v>0.33683409867169184</v>
      </c>
      <c r="GU522"/>
      <c r="GV522"/>
      <c r="GW522"/>
      <c r="GX522"/>
      <c r="GY522"/>
      <c r="GZ522"/>
      <c r="HA522"/>
      <c r="HB522"/>
      <c r="HC522"/>
    </row>
    <row r="523" spans="1:211" s="7" customFormat="1">
      <c r="A523" s="4"/>
      <c r="B523" s="4"/>
      <c r="C523" s="63"/>
      <c r="D523" s="63"/>
      <c r="E523" s="63" t="s">
        <v>102</v>
      </c>
      <c r="F523" s="101">
        <f>+I523/G520</f>
        <v>6.1369071178696935</v>
      </c>
      <c r="G523" s="63"/>
      <c r="H523" s="63" t="s">
        <v>103</v>
      </c>
      <c r="I523" s="123">
        <f>+I520*(365/I522)</f>
        <v>2.2795386810377862</v>
      </c>
      <c r="J523" s="19"/>
      <c r="K523" s="19"/>
      <c r="L523" s="205"/>
      <c r="M523" s="205"/>
      <c r="N523" s="205"/>
      <c r="O523" s="205"/>
      <c r="P523" s="205"/>
      <c r="Q523" s="205"/>
      <c r="R523" s="205"/>
      <c r="S523" s="205"/>
      <c r="T523" s="205"/>
      <c r="U523" s="205"/>
      <c r="V523" s="205"/>
      <c r="W523" s="205"/>
      <c r="X523" s="205"/>
      <c r="Y523" s="205"/>
      <c r="Z523" s="205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2.2666666666666666</v>
      </c>
      <c r="AO523">
        <v>0.49794994511283247</v>
      </c>
      <c r="AP523">
        <v>15.073641323879723</v>
      </c>
      <c r="AQ523">
        <v>4.1443810900618621</v>
      </c>
      <c r="AR523">
        <v>0.50801933486060924</v>
      </c>
      <c r="AS523">
        <v>2.4304104630729548</v>
      </c>
      <c r="AT523" t="e">
        <v>#DIV/0!</v>
      </c>
      <c r="AU523" t="e">
        <v>#DIV/0!</v>
      </c>
      <c r="AV523"/>
      <c r="AW523"/>
      <c r="FY523" s="211">
        <v>518</v>
      </c>
      <c r="FZ523">
        <v>0.69588378908400972</v>
      </c>
      <c r="GA523">
        <v>0.17450094823695328</v>
      </c>
      <c r="GB523">
        <v>0.28405981870974384</v>
      </c>
      <c r="GC523">
        <v>0.1927354761807239</v>
      </c>
      <c r="GD523">
        <v>2.6724553773673727E-2</v>
      </c>
      <c r="GE523">
        <v>0</v>
      </c>
      <c r="GF523">
        <v>1.3208420023332825</v>
      </c>
      <c r="GG523">
        <v>1.1903694700265919</v>
      </c>
      <c r="GH523">
        <v>0</v>
      </c>
      <c r="GI523">
        <v>0.44466545272100733</v>
      </c>
      <c r="GJ523"/>
      <c r="GK523">
        <v>0.69447557944537741</v>
      </c>
      <c r="GL523">
        <v>0.14748101845849892</v>
      </c>
      <c r="GM523">
        <v>0.47171153288079981</v>
      </c>
      <c r="GN523">
        <v>0.57664959811319116</v>
      </c>
      <c r="GO523">
        <v>0.10493806523239137</v>
      </c>
      <c r="GP523">
        <v>0</v>
      </c>
      <c r="GQ523">
        <v>1.814791723851422</v>
      </c>
      <c r="GR523">
        <v>1.814791723851422</v>
      </c>
      <c r="GS523">
        <v>0</v>
      </c>
      <c r="GT523">
        <v>0.61718338028199815</v>
      </c>
      <c r="GU523"/>
      <c r="GV523"/>
      <c r="GW523"/>
      <c r="GX523"/>
      <c r="GY523"/>
      <c r="GZ523"/>
      <c r="HA523"/>
      <c r="HB523"/>
      <c r="HC523"/>
    </row>
    <row r="524" spans="1:211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5"/>
      <c r="M524" s="205"/>
      <c r="N524" s="205"/>
      <c r="O524" s="205"/>
      <c r="P524" s="205"/>
      <c r="Q524" s="205"/>
      <c r="R524" s="205"/>
      <c r="S524" s="205"/>
      <c r="T524" s="205"/>
      <c r="U524" s="205"/>
      <c r="V524" s="205"/>
      <c r="W524" s="205"/>
      <c r="X524" s="205"/>
      <c r="Y524" s="205"/>
      <c r="Z524" s="205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1.9666666666666663</v>
      </c>
      <c r="AO524">
        <v>0.21874077505578904</v>
      </c>
      <c r="AP524">
        <v>2.5552038683454139</v>
      </c>
      <c r="AQ524">
        <v>1.7784981094301655</v>
      </c>
      <c r="AR524">
        <v>0.24425630501227144</v>
      </c>
      <c r="AS524">
        <v>1.6616370591932472</v>
      </c>
      <c r="AT524" t="e">
        <v>#DIV/0!</v>
      </c>
      <c r="AU524" t="e">
        <v>#DIV/0!</v>
      </c>
      <c r="AV524"/>
      <c r="AW524"/>
      <c r="FY524" s="211">
        <v>519</v>
      </c>
      <c r="FZ524">
        <v>0.86224834097378522</v>
      </c>
      <c r="GA524">
        <v>0.38735017759921181</v>
      </c>
      <c r="GB524">
        <v>0.22123389596694673</v>
      </c>
      <c r="GC524">
        <v>0.1927354761807239</v>
      </c>
      <c r="GD524">
        <v>5.3449107547347455E-2</v>
      </c>
      <c r="GE524">
        <v>0</v>
      </c>
      <c r="GF524">
        <v>0.66042100116664126</v>
      </c>
      <c r="GG524">
        <v>0.59518473501329594</v>
      </c>
      <c r="GH524">
        <v>0</v>
      </c>
      <c r="GI524">
        <v>0.34104242098433779</v>
      </c>
      <c r="GJ524"/>
      <c r="GK524">
        <v>0.86541707845371341</v>
      </c>
      <c r="GL524">
        <v>0.33331521555783822</v>
      </c>
      <c r="GM524">
        <v>0.3667734676484084</v>
      </c>
      <c r="GN524">
        <v>0.57664959811319116</v>
      </c>
      <c r="GO524">
        <v>0.20987613046478273</v>
      </c>
      <c r="GP524">
        <v>0</v>
      </c>
      <c r="GQ524">
        <v>0.90739586192571098</v>
      </c>
      <c r="GR524">
        <v>0.90739586192571098</v>
      </c>
      <c r="GS524">
        <v>0</v>
      </c>
      <c r="GT524">
        <v>0.46989250769852309</v>
      </c>
      <c r="GU524"/>
      <c r="GV524"/>
      <c r="GW524"/>
      <c r="GX524"/>
      <c r="GY524"/>
      <c r="GZ524"/>
      <c r="HA524"/>
      <c r="HB524"/>
      <c r="HC524"/>
    </row>
    <row r="525" spans="1:211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3.2354166666666671</v>
      </c>
      <c r="AO525">
        <v>0.54094479909430815</v>
      </c>
      <c r="AP525">
        <v>19.222705853542575</v>
      </c>
      <c r="AQ525">
        <v>4.2740096984926303</v>
      </c>
      <c r="AR525">
        <v>0.54832827596527423</v>
      </c>
      <c r="AS525">
        <v>2.6845747527239885</v>
      </c>
      <c r="AT525" t="e">
        <v>#DIV/0!</v>
      </c>
      <c r="AU525" t="e">
        <v>#DIV/0!</v>
      </c>
      <c r="AV525"/>
      <c r="AW525"/>
      <c r="FY525" s="211">
        <v>520</v>
      </c>
      <c r="FZ525">
        <v>1.3429706765776857</v>
      </c>
      <c r="GA525">
        <v>1.1620505327976354</v>
      </c>
      <c r="GB525">
        <v>6.282592274279708E-2</v>
      </c>
      <c r="GC525">
        <v>6.9638549917922385E-2</v>
      </c>
      <c r="GD525">
        <v>2.6724553773673727E-2</v>
      </c>
      <c r="GE525">
        <v>0</v>
      </c>
      <c r="GF525">
        <v>0.66042100116664126</v>
      </c>
      <c r="GG525">
        <v>0.59518473501329594</v>
      </c>
      <c r="GH525">
        <v>0</v>
      </c>
      <c r="GI525">
        <v>0.357757493763595</v>
      </c>
      <c r="GJ525"/>
      <c r="GK525">
        <v>1.3554521013103809</v>
      </c>
      <c r="GL525">
        <v>0.9999456466735146</v>
      </c>
      <c r="GM525">
        <v>0.10493806523239137</v>
      </c>
      <c r="GN525">
        <v>0.20987613046478273</v>
      </c>
      <c r="GO525">
        <v>0.10493806523239137</v>
      </c>
      <c r="GP525">
        <v>0</v>
      </c>
      <c r="GQ525">
        <v>0.90739586192571098</v>
      </c>
      <c r="GR525">
        <v>0.90739586192571098</v>
      </c>
      <c r="GS525">
        <v>0</v>
      </c>
      <c r="GT525">
        <v>0.49454481874017497</v>
      </c>
      <c r="GU525"/>
      <c r="GV525"/>
      <c r="GW525"/>
      <c r="GX525"/>
      <c r="GY525"/>
      <c r="GZ525"/>
      <c r="HA525"/>
      <c r="HB525"/>
      <c r="HC525"/>
    </row>
    <row r="526" spans="1:211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1.6302083333333335</v>
      </c>
      <c r="AO526">
        <v>0.19335407110024094</v>
      </c>
      <c r="AP526">
        <v>7.8940390776674949</v>
      </c>
      <c r="AQ526">
        <v>1.4717182410519201</v>
      </c>
      <c r="AR526">
        <v>0.2125307616003827</v>
      </c>
      <c r="AS526">
        <v>1.3380578825981497</v>
      </c>
      <c r="AT526" t="e">
        <v>#DIV/0!</v>
      </c>
      <c r="AU526" t="e">
        <v>#DIV/0!</v>
      </c>
      <c r="AV526"/>
      <c r="AW526"/>
      <c r="FY526" s="211">
        <v>521</v>
      </c>
      <c r="FZ526">
        <v>0.85384188702343555</v>
      </c>
      <c r="GA526">
        <v>0</v>
      </c>
      <c r="GB526">
        <v>0.204855832097669</v>
      </c>
      <c r="GC526">
        <v>0.14859665052880375</v>
      </c>
      <c r="GD526">
        <v>2.6724553773673727E-2</v>
      </c>
      <c r="GE526">
        <v>0</v>
      </c>
      <c r="GF526">
        <v>0.66042100116664126</v>
      </c>
      <c r="GG526">
        <v>0.59518473501329594</v>
      </c>
      <c r="GH526">
        <v>0</v>
      </c>
      <c r="GI526">
        <v>0.32036277174642219</v>
      </c>
      <c r="GJ526"/>
      <c r="GK526">
        <v>0.85800863833086982</v>
      </c>
      <c r="GL526">
        <v>0</v>
      </c>
      <c r="GM526">
        <v>0.34079383167279126</v>
      </c>
      <c r="GN526">
        <v>0.44573189690518267</v>
      </c>
      <c r="GO526">
        <v>0.10493806523239137</v>
      </c>
      <c r="GP526">
        <v>0</v>
      </c>
      <c r="GQ526">
        <v>0.90739586192571098</v>
      </c>
      <c r="GR526">
        <v>0.90739586192571098</v>
      </c>
      <c r="GS526">
        <v>0</v>
      </c>
      <c r="GT526">
        <v>0.44222727943235263</v>
      </c>
      <c r="GU526"/>
      <c r="GV526"/>
      <c r="GW526"/>
      <c r="GX526"/>
      <c r="GY526"/>
      <c r="GZ526"/>
      <c r="HA526"/>
      <c r="HB526"/>
      <c r="HC526"/>
    </row>
    <row r="527" spans="1:211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2.796875</v>
      </c>
      <c r="AO527">
        <v>0.28003978237260962</v>
      </c>
      <c r="AP527">
        <v>10.609068870147341</v>
      </c>
      <c r="AQ527">
        <v>2.085917312487362</v>
      </c>
      <c r="AR527">
        <v>0.3220275919768667</v>
      </c>
      <c r="AS527">
        <v>1.8788279998989947</v>
      </c>
      <c r="AT527" t="e">
        <v>#DIV/0!</v>
      </c>
      <c r="AU527" t="e">
        <v>#DIV/0!</v>
      </c>
      <c r="AV527"/>
      <c r="AW527"/>
      <c r="FY527" s="211">
        <v>522</v>
      </c>
      <c r="FZ527">
        <v>0.44204048126924811</v>
      </c>
      <c r="GA527">
        <v>0</v>
      </c>
      <c r="GB527">
        <v>7.9203986612074825E-2</v>
      </c>
      <c r="GC527">
        <v>4.4138825651920163E-2</v>
      </c>
      <c r="GD527">
        <v>0</v>
      </c>
      <c r="GE527">
        <v>0</v>
      </c>
      <c r="GF527">
        <v>0</v>
      </c>
      <c r="GG527">
        <v>0</v>
      </c>
      <c r="GH527">
        <v>0</v>
      </c>
      <c r="GI527">
        <v>8.4947114201874008E-2</v>
      </c>
      <c r="GJ527"/>
      <c r="GK527">
        <v>0.44133567281179886</v>
      </c>
      <c r="GL527">
        <v>0</v>
      </c>
      <c r="GM527">
        <v>0.13091770120800852</v>
      </c>
      <c r="GN527">
        <v>0.13091770120800852</v>
      </c>
      <c r="GO527">
        <v>0</v>
      </c>
      <c r="GP527">
        <v>0</v>
      </c>
      <c r="GQ527">
        <v>0</v>
      </c>
      <c r="GR527">
        <v>0</v>
      </c>
      <c r="GS527">
        <v>0</v>
      </c>
      <c r="GT527">
        <v>0.11445067480396148</v>
      </c>
      <c r="GU527"/>
      <c r="GV527"/>
      <c r="GW527"/>
      <c r="GX527"/>
      <c r="GY527"/>
      <c r="GZ527"/>
      <c r="HA527"/>
      <c r="HB527"/>
      <c r="HC527"/>
    </row>
    <row r="528" spans="1:211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2.984375</v>
      </c>
      <c r="AO528">
        <v>0.31702944058228583</v>
      </c>
      <c r="AP528">
        <v>9.3315631676721562</v>
      </c>
      <c r="AQ528">
        <v>2.395500142293491</v>
      </c>
      <c r="AR528">
        <v>0.383677022326327</v>
      </c>
      <c r="AS528">
        <v>2.0745118710486743</v>
      </c>
      <c r="AT528" t="e">
        <v>#DIV/0!</v>
      </c>
      <c r="AU528" t="e">
        <v>#DIV/0!</v>
      </c>
      <c r="AV528"/>
      <c r="AW528"/>
      <c r="FY528" s="211">
        <v>523</v>
      </c>
      <c r="FZ528">
        <v>1.0963638939109628</v>
      </c>
      <c r="GA528">
        <v>0.47460065171768845</v>
      </c>
      <c r="GB528">
        <v>0.14202990935487192</v>
      </c>
      <c r="GC528">
        <v>0.11377737556984255</v>
      </c>
      <c r="GD528">
        <v>2.6724553773673727E-2</v>
      </c>
      <c r="GE528">
        <v>0</v>
      </c>
      <c r="GF528">
        <v>0.33021050058332063</v>
      </c>
      <c r="GG528">
        <v>0.29759236750664797</v>
      </c>
      <c r="GH528">
        <v>0</v>
      </c>
      <c r="GI528">
        <v>0.27681035401703269</v>
      </c>
      <c r="GJ528"/>
      <c r="GK528">
        <v>1.0994991944600945</v>
      </c>
      <c r="GL528">
        <v>0.40705572478708768</v>
      </c>
      <c r="GM528">
        <v>0.23585576644039991</v>
      </c>
      <c r="GN528">
        <v>0.34079383167279126</v>
      </c>
      <c r="GO528">
        <v>0.10493806523239137</v>
      </c>
      <c r="GP528">
        <v>0</v>
      </c>
      <c r="GQ528">
        <v>0.45369793096285549</v>
      </c>
      <c r="GR528">
        <v>0.45369793096285549</v>
      </c>
      <c r="GS528">
        <v>0</v>
      </c>
      <c r="GT528">
        <v>0.37879819141914822</v>
      </c>
      <c r="GU528"/>
      <c r="GV528"/>
      <c r="GW528"/>
      <c r="GX528"/>
      <c r="GY528"/>
      <c r="GZ528"/>
      <c r="HA528"/>
      <c r="HB528"/>
      <c r="HC528"/>
    </row>
    <row r="529" spans="1:211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3.3593749999999991</v>
      </c>
      <c r="AO529">
        <v>0.22013823156809154</v>
      </c>
      <c r="AP529">
        <v>4.687767500669012</v>
      </c>
      <c r="AQ529">
        <v>1.6298435244499621</v>
      </c>
      <c r="AR529">
        <v>0.28031831825774722</v>
      </c>
      <c r="AS529">
        <v>1.8911136340471413</v>
      </c>
      <c r="AT529" t="e">
        <v>#DIV/0!</v>
      </c>
      <c r="AU529" t="e">
        <v>#DIV/0!</v>
      </c>
      <c r="AV529"/>
      <c r="AW529"/>
      <c r="FY529" s="211">
        <v>524</v>
      </c>
      <c r="FZ529">
        <v>0.60677629395489141</v>
      </c>
      <c r="GA529">
        <v>8.725047411847664E-2</v>
      </c>
      <c r="GB529">
        <v>7.9203986612074825E-2</v>
      </c>
      <c r="GC529">
        <v>7.8958100610881349E-2</v>
      </c>
      <c r="GD529">
        <v>2.6724553773673727E-2</v>
      </c>
      <c r="GE529">
        <v>0</v>
      </c>
      <c r="GF529">
        <v>0.33021050058332063</v>
      </c>
      <c r="GG529">
        <v>0.29759236750664797</v>
      </c>
      <c r="GH529">
        <v>0</v>
      </c>
      <c r="GI529">
        <v>0.18881841786957632</v>
      </c>
      <c r="GJ529"/>
      <c r="GK529">
        <v>0.60871323233837704</v>
      </c>
      <c r="GL529">
        <v>7.3740509229249462E-2</v>
      </c>
      <c r="GM529">
        <v>0.13091770120800852</v>
      </c>
      <c r="GN529">
        <v>0.23585576644039991</v>
      </c>
      <c r="GO529">
        <v>0.10493806523239137</v>
      </c>
      <c r="GP529">
        <v>0</v>
      </c>
      <c r="GQ529">
        <v>0.45369793096285549</v>
      </c>
      <c r="GR529">
        <v>0.45369793096285549</v>
      </c>
      <c r="GS529">
        <v>0</v>
      </c>
      <c r="GT529">
        <v>0.25965338594832649</v>
      </c>
      <c r="GU529"/>
      <c r="GV529"/>
      <c r="GW529"/>
      <c r="GX529"/>
      <c r="GY529"/>
      <c r="GZ529"/>
      <c r="HA529"/>
      <c r="HB529"/>
      <c r="HC529"/>
    </row>
    <row r="530" spans="1:211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3.8531249999999999</v>
      </c>
      <c r="AO530">
        <v>0.5736545597905619</v>
      </c>
      <c r="AP530">
        <v>18.840284404982327</v>
      </c>
      <c r="AQ530">
        <v>4.9274838505920666</v>
      </c>
      <c r="AR530">
        <v>0.58660130227279073</v>
      </c>
      <c r="AS530">
        <v>2.9507054085567095</v>
      </c>
      <c r="AT530" t="e">
        <v>#DIV/0!</v>
      </c>
      <c r="AU530" t="e">
        <v>#DIV/0!</v>
      </c>
      <c r="AV530"/>
      <c r="AW530"/>
      <c r="FY530" s="211">
        <v>525</v>
      </c>
      <c r="FZ530">
        <v>1.4146925369591337</v>
      </c>
      <c r="GA530">
        <v>0.86195082931690026</v>
      </c>
      <c r="GB530">
        <v>0.12565184548559416</v>
      </c>
      <c r="GC530">
        <v>0.10445782487688358</v>
      </c>
      <c r="GD530">
        <v>2.6724553773673727E-2</v>
      </c>
      <c r="GE530">
        <v>0</v>
      </c>
      <c r="GF530">
        <v>0.66042100116664126</v>
      </c>
      <c r="GG530">
        <v>0.59518473501329594</v>
      </c>
      <c r="GH530">
        <v>0</v>
      </c>
      <c r="GI530">
        <v>0.38400922068347376</v>
      </c>
      <c r="GJ530"/>
      <c r="GK530">
        <v>1.4216504282809224</v>
      </c>
      <c r="GL530">
        <v>0.7403709403449259</v>
      </c>
      <c r="GM530">
        <v>0.20987613046478273</v>
      </c>
      <c r="GN530">
        <v>0.31481419569717412</v>
      </c>
      <c r="GO530">
        <v>0.10493806523239137</v>
      </c>
      <c r="GP530">
        <v>0</v>
      </c>
      <c r="GQ530">
        <v>0.90739586192571098</v>
      </c>
      <c r="GR530">
        <v>0.90739586192571098</v>
      </c>
      <c r="GS530">
        <v>0</v>
      </c>
      <c r="GT530">
        <v>0.52877209718076146</v>
      </c>
      <c r="GU530"/>
      <c r="GV530"/>
      <c r="GW530"/>
      <c r="GX530"/>
      <c r="GY530"/>
      <c r="GZ530"/>
      <c r="HA530"/>
      <c r="HB530"/>
      <c r="HC530"/>
    </row>
    <row r="531" spans="1:211" s="7" customFormat="1">
      <c r="A531" s="4"/>
      <c r="B531" s="4"/>
      <c r="C531" s="116">
        <f>C4</f>
        <v>39646</v>
      </c>
      <c r="D531" s="101">
        <f>D70</f>
        <v>46.875</v>
      </c>
      <c r="E531" s="108">
        <f>E405</f>
        <v>2.4235073960958312E-2</v>
      </c>
      <c r="F531" s="102"/>
      <c r="G531" s="101">
        <f>D531*E531</f>
        <v>1.1360190919199209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2.098958333333333</v>
      </c>
      <c r="AO531">
        <v>0.23315898939612714</v>
      </c>
      <c r="AP531">
        <v>5.0156955822696387</v>
      </c>
      <c r="AQ531">
        <v>1.4317184867858097</v>
      </c>
      <c r="AR531">
        <v>0.24609026269692882</v>
      </c>
      <c r="AS531">
        <v>1.6955380153341373</v>
      </c>
      <c r="AT531" t="e">
        <v>#DIV/0!</v>
      </c>
      <c r="AU531" t="e">
        <v>#DIV/0!</v>
      </c>
      <c r="AV531"/>
      <c r="AW531"/>
      <c r="FY531" s="211">
        <v>526</v>
      </c>
      <c r="FZ531">
        <v>0.58135106944182957</v>
      </c>
      <c r="GA531">
        <v>0</v>
      </c>
      <c r="GB531">
        <v>6.282592274279708E-2</v>
      </c>
      <c r="GC531">
        <v>0.10445782487688358</v>
      </c>
      <c r="GD531">
        <v>5.3449107547347455E-2</v>
      </c>
      <c r="GE531">
        <v>0</v>
      </c>
      <c r="GF531">
        <v>0.33021050058332063</v>
      </c>
      <c r="GG531">
        <v>0.29759236750664797</v>
      </c>
      <c r="GH531">
        <v>0</v>
      </c>
      <c r="GI531">
        <v>0.19656918621799274</v>
      </c>
      <c r="GJ531"/>
      <c r="GK531">
        <v>0.58299205570111179</v>
      </c>
      <c r="GL531">
        <v>0</v>
      </c>
      <c r="GM531">
        <v>0.10493806523239137</v>
      </c>
      <c r="GN531">
        <v>0.31481419569717412</v>
      </c>
      <c r="GO531">
        <v>0.20987613046478273</v>
      </c>
      <c r="GP531">
        <v>0</v>
      </c>
      <c r="GQ531">
        <v>0.45369793096285549</v>
      </c>
      <c r="GR531">
        <v>0.45369793096285549</v>
      </c>
      <c r="GS531">
        <v>0</v>
      </c>
      <c r="GT531">
        <v>0.2703008364722283</v>
      </c>
      <c r="GU531"/>
      <c r="GV531"/>
      <c r="GW531"/>
      <c r="GX531"/>
      <c r="GY531"/>
      <c r="GZ531"/>
      <c r="HA531"/>
      <c r="HB531"/>
      <c r="HC531"/>
    </row>
    <row r="532" spans="1:211" s="7" customFormat="1">
      <c r="A532" s="4"/>
      <c r="B532" s="4"/>
      <c r="C532" s="63"/>
      <c r="D532" s="101"/>
      <c r="E532" s="63"/>
      <c r="F532" s="63"/>
      <c r="G532" s="101"/>
      <c r="H532" s="101">
        <f>E533-E531</f>
        <v>9.9525268878173978E-2</v>
      </c>
      <c r="I532" s="101">
        <f>AVERAGE(D531:D533)</f>
        <v>26.458333333333332</v>
      </c>
      <c r="J532" s="101">
        <f>I532*H532</f>
        <v>2.633272739068353</v>
      </c>
      <c r="K532" s="61">
        <f>J532/(C533-C531)</f>
        <v>9.7528619965494556E-2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3.2135416666666665</v>
      </c>
      <c r="AO532">
        <v>0.3191951371958569</v>
      </c>
      <c r="AP532">
        <v>10.575694156489963</v>
      </c>
      <c r="AQ532">
        <v>2.4718123981527382</v>
      </c>
      <c r="AR532">
        <v>0.37499643181073722</v>
      </c>
      <c r="AS532">
        <v>2.1920137798556376</v>
      </c>
      <c r="AT532" t="e">
        <v>#DIV/0!</v>
      </c>
      <c r="AU532" t="e">
        <v>#DIV/0!</v>
      </c>
      <c r="AV532"/>
      <c r="AW532"/>
      <c r="FY532" s="211">
        <v>527</v>
      </c>
      <c r="FZ532">
        <v>1.6620128749836875</v>
      </c>
      <c r="GA532">
        <v>0.9492013034353769</v>
      </c>
      <c r="GB532">
        <v>0.14202990935487192</v>
      </c>
      <c r="GC532">
        <v>0.11377737556984255</v>
      </c>
      <c r="GD532">
        <v>2.6724553773673727E-2</v>
      </c>
      <c r="GE532">
        <v>0</v>
      </c>
      <c r="GF532">
        <v>0.99063150174996206</v>
      </c>
      <c r="GG532">
        <v>0.89277710251994391</v>
      </c>
      <c r="GH532">
        <v>0</v>
      </c>
      <c r="GI532">
        <v>0.48852308887199358</v>
      </c>
      <c r="GJ532"/>
      <c r="GK532">
        <v>1.6745885738596171</v>
      </c>
      <c r="GL532">
        <v>0.81411144957417536</v>
      </c>
      <c r="GM532">
        <v>0.23585576644039991</v>
      </c>
      <c r="GN532">
        <v>0.34079383167279126</v>
      </c>
      <c r="GO532">
        <v>0.10493806523239137</v>
      </c>
      <c r="GP532">
        <v>0</v>
      </c>
      <c r="GQ532">
        <v>1.3610937928885667</v>
      </c>
      <c r="GR532">
        <v>1.3610937928885667</v>
      </c>
      <c r="GS532">
        <v>0</v>
      </c>
      <c r="GT532">
        <v>0.67529523968419491</v>
      </c>
      <c r="GU532"/>
      <c r="GV532"/>
      <c r="GW532"/>
      <c r="GX532"/>
      <c r="GY532"/>
      <c r="GZ532"/>
      <c r="HA532"/>
      <c r="HB532"/>
      <c r="HC532"/>
    </row>
    <row r="533" spans="1:211" s="7" customFormat="1">
      <c r="A533" s="4"/>
      <c r="B533" s="4"/>
      <c r="C533" s="117">
        <f>C5</f>
        <v>39673</v>
      </c>
      <c r="D533" s="101">
        <f>D71</f>
        <v>6.0416666666666661</v>
      </c>
      <c r="E533" s="108">
        <f>E406</f>
        <v>0.12376034283913229</v>
      </c>
      <c r="F533" s="102"/>
      <c r="G533" s="101">
        <f>D533*E533</f>
        <v>0.74771873798642419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2.963541666666667</v>
      </c>
      <c r="AO533">
        <v>0.309911299435983</v>
      </c>
      <c r="AP533">
        <v>10.845165810217072</v>
      </c>
      <c r="AQ533">
        <v>2.0813179442415692</v>
      </c>
      <c r="AR533">
        <v>0.33683409867169184</v>
      </c>
      <c r="AS533">
        <v>1.9777067548336966</v>
      </c>
      <c r="AT533" t="e">
        <v>#DIV/0!</v>
      </c>
      <c r="AU533" t="e">
        <v>#DIV/0!</v>
      </c>
      <c r="AV533"/>
      <c r="AW533"/>
      <c r="FY533" s="211">
        <v>528</v>
      </c>
      <c r="FZ533">
        <v>0.45304380030552094</v>
      </c>
      <c r="GA533">
        <v>8.725047411847664E-2</v>
      </c>
      <c r="GB533">
        <v>0.36326380532181862</v>
      </c>
      <c r="GC533">
        <v>0.20205502687368287</v>
      </c>
      <c r="GD533">
        <v>0</v>
      </c>
      <c r="GE533">
        <v>0</v>
      </c>
      <c r="GF533">
        <v>0.33021050058332063</v>
      </c>
      <c r="GG533">
        <v>0.29759236750664797</v>
      </c>
      <c r="GH533">
        <v>0</v>
      </c>
      <c r="GI533">
        <v>0.22038837337362985</v>
      </c>
      <c r="GJ533"/>
      <c r="GK533">
        <v>0.45188062301158299</v>
      </c>
      <c r="GL533">
        <v>7.3740509229249462E-2</v>
      </c>
      <c r="GM533">
        <v>0.60262923408880831</v>
      </c>
      <c r="GN533">
        <v>0.60262923408880831</v>
      </c>
      <c r="GO533">
        <v>0</v>
      </c>
      <c r="GP533">
        <v>0</v>
      </c>
      <c r="GQ533">
        <v>0.45369793096285549</v>
      </c>
      <c r="GR533">
        <v>0.45369793096285549</v>
      </c>
      <c r="GS533">
        <v>0</v>
      </c>
      <c r="GT533">
        <v>0.30164155761264938</v>
      </c>
      <c r="GU533"/>
      <c r="GV533"/>
      <c r="GW533"/>
      <c r="GX533"/>
      <c r="GY533"/>
      <c r="GZ533"/>
      <c r="HA533"/>
      <c r="HB533"/>
      <c r="HC533"/>
    </row>
    <row r="534" spans="1:211" s="7" customFormat="1">
      <c r="A534" s="4"/>
      <c r="B534" s="4"/>
      <c r="C534" s="63" t="s">
        <v>99</v>
      </c>
      <c r="D534" s="101"/>
      <c r="E534" s="63"/>
      <c r="F534" s="63"/>
      <c r="G534" s="101"/>
      <c r="H534" s="101" t="e">
        <f>E535-E533</f>
        <v>#DIV/0!</v>
      </c>
      <c r="I534" s="101">
        <f>AVERAGE(D533:D535)</f>
        <v>3.020833333333333</v>
      </c>
      <c r="J534" s="101" t="e">
        <f>I534*H534</f>
        <v>#DIV/0!</v>
      </c>
      <c r="K534" s="61" t="e">
        <f>J534/(C535-C533)</f>
        <v>#DIV/0!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3.833333333333333</v>
      </c>
      <c r="AO534">
        <v>0.62420226221151009</v>
      </c>
      <c r="AP534">
        <v>31.163384633041584</v>
      </c>
      <c r="AQ534">
        <v>4.3297815110659865</v>
      </c>
      <c r="AR534">
        <v>0.61718338028199815</v>
      </c>
      <c r="AS534">
        <v>2.8858219576890538</v>
      </c>
      <c r="AT534" t="e">
        <v>#DIV/0!</v>
      </c>
      <c r="AU534" t="e">
        <v>#DIV/0!</v>
      </c>
      <c r="AV534"/>
      <c r="AW534"/>
      <c r="FY534" s="211">
        <v>529</v>
      </c>
      <c r="FZ534">
        <v>0.96911856201225188</v>
      </c>
      <c r="GA534">
        <v>0.47460065171768845</v>
      </c>
      <c r="GB534">
        <v>0</v>
      </c>
      <c r="GC534">
        <v>3.4819274958961192E-2</v>
      </c>
      <c r="GD534">
        <v>2.6724553773673727E-2</v>
      </c>
      <c r="GE534">
        <v>0</v>
      </c>
      <c r="GF534">
        <v>0.33021050058332063</v>
      </c>
      <c r="GG534">
        <v>0.29759236750664797</v>
      </c>
      <c r="GH534">
        <v>0</v>
      </c>
      <c r="GI534">
        <v>0.22300196373855402</v>
      </c>
      <c r="GJ534"/>
      <c r="GK534">
        <v>0.97515508239719617</v>
      </c>
      <c r="GL534">
        <v>0.40705572478708768</v>
      </c>
      <c r="GM534">
        <v>0</v>
      </c>
      <c r="GN534">
        <v>0.10493806523239137</v>
      </c>
      <c r="GO534">
        <v>0.10493806523239137</v>
      </c>
      <c r="GP534">
        <v>0</v>
      </c>
      <c r="GQ534">
        <v>0.45369793096285549</v>
      </c>
      <c r="GR534">
        <v>0.45369793096285549</v>
      </c>
      <c r="GS534">
        <v>0</v>
      </c>
      <c r="GT534">
        <v>0.3067582157184886</v>
      </c>
      <c r="GU534"/>
      <c r="GV534"/>
      <c r="GW534"/>
      <c r="GX534"/>
      <c r="GY534"/>
      <c r="GZ534"/>
      <c r="HA534"/>
      <c r="HB534"/>
      <c r="HC534"/>
    </row>
    <row r="535" spans="1:211" s="7" customFormat="1">
      <c r="A535" s="4"/>
      <c r="B535" s="4"/>
      <c r="C535" s="117">
        <f>C6</f>
        <v>39714</v>
      </c>
      <c r="D535" s="101">
        <f>D72</f>
        <v>0</v>
      </c>
      <c r="E535" s="108" t="e">
        <f>E407</f>
        <v>#DIV/0!</v>
      </c>
      <c r="F535" s="102"/>
      <c r="G535" s="101" t="e">
        <f>D535*E535</f>
        <v>#DIV/0!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3.0395833333333337</v>
      </c>
      <c r="AO535">
        <v>0.46367157217878796</v>
      </c>
      <c r="AP535">
        <v>18.942698814748756</v>
      </c>
      <c r="AQ535">
        <v>3.3136651554322905</v>
      </c>
      <c r="AR535">
        <v>0.4698925076985232</v>
      </c>
      <c r="AS535">
        <v>2.4673657866056447</v>
      </c>
      <c r="AT535" t="e">
        <v>#DIV/0!</v>
      </c>
      <c r="AU535" t="e">
        <v>#DIV/0!</v>
      </c>
      <c r="AV535"/>
      <c r="AW535"/>
      <c r="FY535" s="211">
        <v>530</v>
      </c>
      <c r="FZ535">
        <v>0.86831976489867424</v>
      </c>
      <c r="GA535">
        <v>0.38735017759921181</v>
      </c>
      <c r="GB535">
        <v>0.12565184548559416</v>
      </c>
      <c r="GC535">
        <v>6.9638549917922385E-2</v>
      </c>
      <c r="GD535">
        <v>0</v>
      </c>
      <c r="GE535">
        <v>0</v>
      </c>
      <c r="GF535">
        <v>0.66042100116664126</v>
      </c>
      <c r="GG535">
        <v>0.59518473501329594</v>
      </c>
      <c r="GH535">
        <v>0</v>
      </c>
      <c r="GI535">
        <v>0.2876775680415441</v>
      </c>
      <c r="GJ535"/>
      <c r="GK535">
        <v>0.87146143292655509</v>
      </c>
      <c r="GL535">
        <v>0.33331521555783822</v>
      </c>
      <c r="GM535">
        <v>0.20987613046478273</v>
      </c>
      <c r="GN535">
        <v>0.20987613046478273</v>
      </c>
      <c r="GO535">
        <v>0</v>
      </c>
      <c r="GP535">
        <v>0</v>
      </c>
      <c r="GQ535">
        <v>0.90739586192571098</v>
      </c>
      <c r="GR535">
        <v>0.90739586192571098</v>
      </c>
      <c r="GS535">
        <v>0</v>
      </c>
      <c r="GT535">
        <v>0.39774668506340977</v>
      </c>
      <c r="GU535"/>
      <c r="GV535"/>
      <c r="GW535"/>
      <c r="GX535"/>
      <c r="GY535"/>
      <c r="GZ535"/>
      <c r="HA535"/>
      <c r="HB535"/>
      <c r="HC535"/>
    </row>
    <row r="536" spans="1:211" s="7" customFormat="1">
      <c r="A536" s="4"/>
      <c r="B536" s="4"/>
      <c r="C536" s="63"/>
      <c r="D536" s="101"/>
      <c r="E536" s="63"/>
      <c r="F536" s="63"/>
      <c r="G536" s="101"/>
      <c r="H536" s="101" t="e">
        <f>E537-E535</f>
        <v>#DIV/0!</v>
      </c>
      <c r="I536" s="101">
        <f>AVERAGE(D535:D537)</f>
        <v>1.3020833333333335</v>
      </c>
      <c r="J536" s="101" t="e">
        <f>I536*H536</f>
        <v>#DIV/0!</v>
      </c>
      <c r="K536" s="61" t="e">
        <f>J536/(C537-C535)</f>
        <v>#DIV/0!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1.8895833333333332</v>
      </c>
      <c r="AO536">
        <v>0.50844865515050575</v>
      </c>
      <c r="AP536">
        <v>16.285157741146456</v>
      </c>
      <c r="AQ536">
        <v>4.277573465753246</v>
      </c>
      <c r="AR536">
        <v>0.49454481874017497</v>
      </c>
      <c r="AS536">
        <v>2.2013218335102618</v>
      </c>
      <c r="AT536" t="e">
        <v>#DIV/0!</v>
      </c>
      <c r="AU536" t="e">
        <v>#DIV/0!</v>
      </c>
      <c r="AV536"/>
      <c r="AW536"/>
      <c r="FY536" s="211">
        <v>531</v>
      </c>
      <c r="FZ536">
        <v>1.1518730107872699</v>
      </c>
      <c r="GA536">
        <v>0.47460065171768845</v>
      </c>
      <c r="GB536">
        <v>0.15840797322414965</v>
      </c>
      <c r="GC536">
        <v>0.1579162012217627</v>
      </c>
      <c r="GD536">
        <v>5.3449107547347455E-2</v>
      </c>
      <c r="GE536">
        <v>0</v>
      </c>
      <c r="GF536">
        <v>0</v>
      </c>
      <c r="GG536">
        <v>0</v>
      </c>
      <c r="GH536">
        <v>0</v>
      </c>
      <c r="GI536">
        <v>0.24021139311841441</v>
      </c>
      <c r="GJ536"/>
      <c r="GK536">
        <v>1.1603302021515507</v>
      </c>
      <c r="GL536">
        <v>0.40705572478708768</v>
      </c>
      <c r="GM536">
        <v>0.26183540241601705</v>
      </c>
      <c r="GN536">
        <v>0.47171153288079981</v>
      </c>
      <c r="GO536">
        <v>0.20987613046478273</v>
      </c>
      <c r="GP536">
        <v>0</v>
      </c>
      <c r="GQ536">
        <v>0</v>
      </c>
      <c r="GR536">
        <v>0</v>
      </c>
      <c r="GS536">
        <v>0</v>
      </c>
      <c r="GT536">
        <v>0.32640834700647015</v>
      </c>
      <c r="GU536"/>
      <c r="GV536"/>
      <c r="GW536"/>
      <c r="GX536"/>
      <c r="GY536"/>
      <c r="GZ536"/>
      <c r="HA536"/>
      <c r="HB536"/>
      <c r="HC536"/>
    </row>
    <row r="537" spans="1:211" s="7" customFormat="1">
      <c r="A537" s="4"/>
      <c r="B537" s="4"/>
      <c r="C537" s="117">
        <f>C7</f>
        <v>39747</v>
      </c>
      <c r="D537" s="101">
        <f>D73</f>
        <v>2.604166666666667</v>
      </c>
      <c r="E537" s="108">
        <f>E408</f>
        <v>0.10054479452775054</v>
      </c>
      <c r="F537" s="102"/>
      <c r="G537" s="101">
        <f>D537*E537</f>
        <v>0.26183540241601705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2.046875</v>
      </c>
      <c r="AO537">
        <v>0.40064914354250092</v>
      </c>
      <c r="AP537">
        <v>16.607414215604422</v>
      </c>
      <c r="AQ537">
        <v>2.8099874313499416</v>
      </c>
      <c r="AR537">
        <v>0.44222727943235274</v>
      </c>
      <c r="AS537">
        <v>2.2883264964493288</v>
      </c>
      <c r="AT537" t="e">
        <v>#DIV/0!</v>
      </c>
      <c r="AU537" t="e">
        <v>#DIV/0!</v>
      </c>
      <c r="AV537"/>
      <c r="AW537"/>
      <c r="FY537" s="211">
        <v>532</v>
      </c>
      <c r="FZ537">
        <v>0.90709060300997169</v>
      </c>
      <c r="GA537">
        <v>0.17450094823695328</v>
      </c>
      <c r="GB537">
        <v>0.14202990935487192</v>
      </c>
      <c r="GC537">
        <v>0.11377737556984255</v>
      </c>
      <c r="GD537">
        <v>2.6724553773673727E-2</v>
      </c>
      <c r="GE537">
        <v>0</v>
      </c>
      <c r="GF537">
        <v>0.66042100116664126</v>
      </c>
      <c r="GG537">
        <v>0.59518473501329594</v>
      </c>
      <c r="GH537">
        <v>0</v>
      </c>
      <c r="GI537">
        <v>0.3128863246954896</v>
      </c>
      <c r="GJ537"/>
      <c r="GK537">
        <v>0.90827673797377018</v>
      </c>
      <c r="GL537">
        <v>0.14748101845849892</v>
      </c>
      <c r="GM537">
        <v>0.23585576644039991</v>
      </c>
      <c r="GN537">
        <v>0.34079383167279126</v>
      </c>
      <c r="GO537">
        <v>0.10493806523239137</v>
      </c>
      <c r="GP537">
        <v>0</v>
      </c>
      <c r="GQ537">
        <v>0.90739586192571098</v>
      </c>
      <c r="GR537">
        <v>0.90739586192571098</v>
      </c>
      <c r="GS537">
        <v>0</v>
      </c>
      <c r="GT537">
        <v>0.43129328631445452</v>
      </c>
      <c r="GU537"/>
      <c r="GV537"/>
      <c r="GW537"/>
      <c r="GX537"/>
      <c r="GY537"/>
      <c r="GZ537"/>
      <c r="HA537"/>
      <c r="HB537"/>
      <c r="HC537"/>
    </row>
    <row r="538" spans="1:211" s="7" customFormat="1">
      <c r="A538" s="4"/>
      <c r="B538" s="4"/>
      <c r="C538" s="63"/>
      <c r="D538" s="101"/>
      <c r="E538" s="63"/>
      <c r="F538" s="63"/>
      <c r="G538" s="101"/>
      <c r="H538" s="101">
        <f>E539-E537</f>
        <v>0.10093629071844092</v>
      </c>
      <c r="I538" s="101">
        <f>AVERAGE(D537:D539)</f>
        <v>1.8229166666666667</v>
      </c>
      <c r="J538" s="101">
        <f>I538*H538</f>
        <v>0.18399844662215792</v>
      </c>
      <c r="K538" s="61">
        <f>J538/(C539-C537)</f>
        <v>6.5713730936484971E-3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1.3489583333333335</v>
      </c>
      <c r="AO538">
        <v>8.1762175003177728E-2</v>
      </c>
      <c r="AP538">
        <v>1.5079570327269098</v>
      </c>
      <c r="AQ538">
        <v>0.65033040773511708</v>
      </c>
      <c r="AR538">
        <v>0.11445067480396148</v>
      </c>
      <c r="AS538">
        <v>0.91984177284811064</v>
      </c>
      <c r="AT538" t="e">
        <v>#DIV/0!</v>
      </c>
      <c r="AU538" t="e">
        <v>#DIV/0!</v>
      </c>
      <c r="AV538"/>
      <c r="AW538"/>
      <c r="FY538" s="211">
        <v>533</v>
      </c>
      <c r="FZ538">
        <v>0.75848151249304252</v>
      </c>
      <c r="GA538">
        <v>0.47460065171768845</v>
      </c>
      <c r="GB538">
        <v>0.15840797322414965</v>
      </c>
      <c r="GC538">
        <v>8.8277651303840327E-2</v>
      </c>
      <c r="GD538">
        <v>0</v>
      </c>
      <c r="GE538">
        <v>0</v>
      </c>
      <c r="GF538">
        <v>0.33021050058332063</v>
      </c>
      <c r="GG538">
        <v>0.29759236750664797</v>
      </c>
      <c r="GH538">
        <v>0</v>
      </c>
      <c r="GI538">
        <v>0.21520141217297772</v>
      </c>
      <c r="GJ538"/>
      <c r="GK538">
        <v>0.76212580324175283</v>
      </c>
      <c r="GL538">
        <v>0.40705572478708768</v>
      </c>
      <c r="GM538">
        <v>0.26183540241601705</v>
      </c>
      <c r="GN538">
        <v>0.26183540241601705</v>
      </c>
      <c r="GO538">
        <v>0</v>
      </c>
      <c r="GP538">
        <v>0</v>
      </c>
      <c r="GQ538">
        <v>0.45369793096285549</v>
      </c>
      <c r="GR538">
        <v>0.45369793096285549</v>
      </c>
      <c r="GS538">
        <v>0</v>
      </c>
      <c r="GT538">
        <v>0.29553182732412508</v>
      </c>
      <c r="GU538"/>
      <c r="GV538"/>
      <c r="GW538"/>
      <c r="GX538"/>
      <c r="GY538"/>
      <c r="GZ538"/>
      <c r="HA538"/>
      <c r="HB538"/>
      <c r="HC538"/>
    </row>
    <row r="539" spans="1:211" s="7" customFormat="1">
      <c r="A539" s="4"/>
      <c r="B539" s="4"/>
      <c r="C539" s="117">
        <f>C8</f>
        <v>39775</v>
      </c>
      <c r="D539" s="101">
        <f>D74</f>
        <v>1.0416666666666665</v>
      </c>
      <c r="E539" s="108">
        <f>E409</f>
        <v>0.20148108524619146</v>
      </c>
      <c r="F539" s="102"/>
      <c r="G539" s="101">
        <f>D539*E539</f>
        <v>0.20987613046478273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2.8156249999999998</v>
      </c>
      <c r="AO539">
        <v>0.34743366359376238</v>
      </c>
      <c r="AP539">
        <v>10.744335630061499</v>
      </c>
      <c r="AQ539">
        <v>2.7581096064340409</v>
      </c>
      <c r="AR539">
        <v>0.37879819141914822</v>
      </c>
      <c r="AS539">
        <v>2.232311226043282</v>
      </c>
      <c r="AT539" t="e">
        <v>#DIV/0!</v>
      </c>
      <c r="AU539" t="e">
        <v>#DIV/0!</v>
      </c>
      <c r="AV539"/>
      <c r="AW539"/>
      <c r="FY539" s="211">
        <v>534</v>
      </c>
      <c r="FZ539">
        <v>0.66709926183319757</v>
      </c>
      <c r="GA539">
        <v>8.725047411847664E-2</v>
      </c>
      <c r="GB539">
        <v>7.9203986612074825E-2</v>
      </c>
      <c r="GC539">
        <v>4.4138825651920163E-2</v>
      </c>
      <c r="GD539">
        <v>0</v>
      </c>
      <c r="GE539">
        <v>0</v>
      </c>
      <c r="GF539">
        <v>0.33021050058332063</v>
      </c>
      <c r="GG539">
        <v>0.29759236750664797</v>
      </c>
      <c r="GH539">
        <v>0</v>
      </c>
      <c r="GI539">
        <v>0.18231874894279873</v>
      </c>
      <c r="GJ539"/>
      <c r="GK539">
        <v>0.66848577068529602</v>
      </c>
      <c r="GL539">
        <v>7.3740509229249462E-2</v>
      </c>
      <c r="GM539">
        <v>0.13091770120800852</v>
      </c>
      <c r="GN539">
        <v>0.13091770120800852</v>
      </c>
      <c r="GO539">
        <v>0</v>
      </c>
      <c r="GP539">
        <v>0</v>
      </c>
      <c r="GQ539">
        <v>0.45369793096285549</v>
      </c>
      <c r="GR539">
        <v>0.45369793096285549</v>
      </c>
      <c r="GS539">
        <v>0</v>
      </c>
      <c r="GT539">
        <v>0.25062028057123203</v>
      </c>
      <c r="GU539"/>
      <c r="GV539"/>
      <c r="GW539"/>
      <c r="GX539"/>
      <c r="GY539"/>
      <c r="GZ539"/>
      <c r="HA539"/>
      <c r="HB539"/>
      <c r="HC539"/>
    </row>
    <row r="540" spans="1:211" s="7" customFormat="1">
      <c r="A540" s="4"/>
      <c r="B540" s="4"/>
      <c r="C540" s="63"/>
      <c r="D540" s="101"/>
      <c r="E540" s="63"/>
      <c r="F540" s="63"/>
      <c r="G540" s="101"/>
      <c r="H540" s="101" t="e">
        <f>E541-E539</f>
        <v>#DIV/0!</v>
      </c>
      <c r="I540" s="101">
        <f>AVERAGE(D539:D541)</f>
        <v>0.52083333333333326</v>
      </c>
      <c r="J540" s="101" t="e">
        <f>I540*H540</f>
        <v>#DIV/0!</v>
      </c>
      <c r="K540" s="61" t="e">
        <f>J540/(C541-C539)</f>
        <v>#DIV/0!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1.5572916666666667</v>
      </c>
      <c r="AO540">
        <v>0.23212145223224634</v>
      </c>
      <c r="AP540">
        <v>7.8773574639733344</v>
      </c>
      <c r="AQ540">
        <v>1.6955346950295427</v>
      </c>
      <c r="AR540">
        <v>0.25965338594832649</v>
      </c>
      <c r="AS540">
        <v>1.3733492987418319</v>
      </c>
      <c r="AT540" t="e">
        <v>#DIV/0!</v>
      </c>
      <c r="AU540" t="e">
        <v>#DIV/0!</v>
      </c>
      <c r="AV540"/>
      <c r="AW540"/>
      <c r="FY540" s="211">
        <v>535</v>
      </c>
      <c r="FZ540">
        <v>0.80400862060514833</v>
      </c>
      <c r="GA540">
        <v>0.38735017759921181</v>
      </c>
      <c r="GB540">
        <v>0.12565184548559416</v>
      </c>
      <c r="GC540">
        <v>0.10445782487688358</v>
      </c>
      <c r="GD540">
        <v>2.6724553773673727E-2</v>
      </c>
      <c r="GE540">
        <v>0</v>
      </c>
      <c r="GF540">
        <v>0</v>
      </c>
      <c r="GG540">
        <v>0</v>
      </c>
      <c r="GH540">
        <v>0</v>
      </c>
      <c r="GI540">
        <v>0.16544926652041891</v>
      </c>
      <c r="GJ540"/>
      <c r="GK540">
        <v>0.80734114668841683</v>
      </c>
      <c r="GL540">
        <v>0.33331521555783822</v>
      </c>
      <c r="GM540">
        <v>0.20987613046478273</v>
      </c>
      <c r="GN540">
        <v>0.31481419569717412</v>
      </c>
      <c r="GO540">
        <v>0.10493806523239137</v>
      </c>
      <c r="GP540">
        <v>0</v>
      </c>
      <c r="GQ540">
        <v>0</v>
      </c>
      <c r="GR540">
        <v>0</v>
      </c>
      <c r="GS540">
        <v>0</v>
      </c>
      <c r="GT540">
        <v>0.22443106847711819</v>
      </c>
      <c r="GU540"/>
      <c r="GV540"/>
      <c r="GW540"/>
      <c r="GX540"/>
      <c r="GY540"/>
      <c r="GZ540"/>
      <c r="HA540"/>
      <c r="HB540"/>
      <c r="HC540"/>
    </row>
    <row r="541" spans="1:211" s="7" customFormat="1">
      <c r="A541" s="4"/>
      <c r="B541" s="4"/>
      <c r="C541" s="117">
        <f>C9</f>
        <v>39799</v>
      </c>
      <c r="D541" s="101">
        <f>D75</f>
        <v>0</v>
      </c>
      <c r="E541" s="108" t="e">
        <f>E410</f>
        <v>#DIV/0!</v>
      </c>
      <c r="F541" s="102"/>
      <c r="G541" s="101" t="e">
        <f>D541*E541</f>
        <v>#DIV/0!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3.6520833333333336</v>
      </c>
      <c r="AO541">
        <v>0.51352135810523802</v>
      </c>
      <c r="AP541">
        <v>17.851612811745078</v>
      </c>
      <c r="AQ541">
        <v>4.1730925472755969</v>
      </c>
      <c r="AR541">
        <v>0.52877209718076146</v>
      </c>
      <c r="AS541">
        <v>2.7342156772044319</v>
      </c>
      <c r="AT541" t="e">
        <v>#DIV/0!</v>
      </c>
      <c r="AU541" t="e">
        <v>#DIV/0!</v>
      </c>
      <c r="AV541"/>
      <c r="AW541"/>
      <c r="FY541" s="211">
        <v>536</v>
      </c>
      <c r="FZ541">
        <v>0.98550845889749428</v>
      </c>
      <c r="GA541">
        <v>0.34900189647390656</v>
      </c>
      <c r="GB541">
        <v>0.18847776822839127</v>
      </c>
      <c r="GC541">
        <v>0.13927709983584477</v>
      </c>
      <c r="GD541">
        <v>2.6724553773673727E-2</v>
      </c>
      <c r="GE541">
        <v>0</v>
      </c>
      <c r="GF541">
        <v>0.66042100116664126</v>
      </c>
      <c r="GG541">
        <v>0.59518473501329594</v>
      </c>
      <c r="GH541">
        <v>0</v>
      </c>
      <c r="GI541">
        <v>0.33594104783094425</v>
      </c>
      <c r="GJ541"/>
      <c r="GK541">
        <v>0.9893887031432147</v>
      </c>
      <c r="GL541">
        <v>0.29496203691699785</v>
      </c>
      <c r="GM541">
        <v>0.31481419569717417</v>
      </c>
      <c r="GN541">
        <v>0.41975226092956547</v>
      </c>
      <c r="GO541">
        <v>0.10493806523239137</v>
      </c>
      <c r="GP541">
        <v>0</v>
      </c>
      <c r="GQ541">
        <v>0.90739586192571098</v>
      </c>
      <c r="GR541">
        <v>0.90739586192571098</v>
      </c>
      <c r="GS541">
        <v>0</v>
      </c>
      <c r="GT541">
        <v>0.46330736519969828</v>
      </c>
      <c r="GU541"/>
      <c r="GV541"/>
      <c r="GW541"/>
      <c r="GX541"/>
      <c r="GY541"/>
      <c r="GZ541"/>
      <c r="HA541"/>
      <c r="HB541"/>
      <c r="HC541"/>
    </row>
    <row r="542" spans="1:211" s="7" customFormat="1">
      <c r="A542" s="4"/>
      <c r="B542" s="4"/>
      <c r="C542" s="63"/>
      <c r="D542" s="101"/>
      <c r="E542" s="63"/>
      <c r="F542" s="63"/>
      <c r="G542" s="101"/>
      <c r="H542" s="101" t="e">
        <f>E543-E541</f>
        <v>#DIV/0!</v>
      </c>
      <c r="I542" s="101">
        <f>AVERAGE(D541:D543)</f>
        <v>0</v>
      </c>
      <c r="J542" s="101" t="e">
        <f>I542*H542</f>
        <v>#DIV/0!</v>
      </c>
      <c r="K542" s="61" t="e">
        <f>J542/(C543-C541)</f>
        <v>#DIV/0!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1.7708333333333335</v>
      </c>
      <c r="AO542">
        <v>0.23903171454933991</v>
      </c>
      <c r="AP542">
        <v>7.4871148318667506</v>
      </c>
      <c r="AQ542">
        <v>1.6264559789168191</v>
      </c>
      <c r="AR542">
        <v>0.2703008364722283</v>
      </c>
      <c r="AS542">
        <v>1.3678216639390015</v>
      </c>
      <c r="AT542" t="e">
        <v>#DIV/0!</v>
      </c>
      <c r="AU542" t="e">
        <v>#DIV/0!</v>
      </c>
      <c r="AV542"/>
      <c r="AW542"/>
      <c r="FY542" s="211">
        <v>537</v>
      </c>
      <c r="FZ542">
        <v>0.68696371755740615</v>
      </c>
      <c r="GA542">
        <v>8.725047411847664E-2</v>
      </c>
      <c r="GB542">
        <v>7.9203986612074825E-2</v>
      </c>
      <c r="GC542">
        <v>0.11377737556984255</v>
      </c>
      <c r="GD542">
        <v>5.3449107547347455E-2</v>
      </c>
      <c r="GE542">
        <v>0</v>
      </c>
      <c r="GF542">
        <v>0</v>
      </c>
      <c r="GG542">
        <v>0</v>
      </c>
      <c r="GH542">
        <v>0</v>
      </c>
      <c r="GI542">
        <v>0.15218475270655174</v>
      </c>
      <c r="GJ542"/>
      <c r="GK542">
        <v>0.68562723582721563</v>
      </c>
      <c r="GL542">
        <v>7.3740509229249462E-2</v>
      </c>
      <c r="GM542">
        <v>0.13091770120800852</v>
      </c>
      <c r="GN542">
        <v>0.34079383167279126</v>
      </c>
      <c r="GO542">
        <v>0.20987613046478273</v>
      </c>
      <c r="GP542">
        <v>0</v>
      </c>
      <c r="GQ542">
        <v>0</v>
      </c>
      <c r="GR542">
        <v>0</v>
      </c>
      <c r="GS542">
        <v>0</v>
      </c>
      <c r="GT542">
        <v>0.20528421350000142</v>
      </c>
      <c r="GU542"/>
      <c r="GV542"/>
      <c r="GW542"/>
      <c r="GX542"/>
      <c r="GY542"/>
      <c r="GZ542"/>
      <c r="HA542"/>
      <c r="HB542"/>
      <c r="HC542"/>
    </row>
    <row r="543" spans="1:211" s="7" customFormat="1">
      <c r="A543" s="4"/>
      <c r="B543" s="4"/>
      <c r="C543" s="117">
        <f>C10</f>
        <v>39847</v>
      </c>
      <c r="D543" s="101">
        <f>D76</f>
        <v>0</v>
      </c>
      <c r="E543" s="108" t="e">
        <f>E411</f>
        <v>#DIV/0!</v>
      </c>
      <c r="F543" s="102"/>
      <c r="G543" s="101" t="e">
        <f>D543*E543</f>
        <v>#DIV/0!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3.1052083333333331</v>
      </c>
      <c r="AO543">
        <v>0.65677705122407026</v>
      </c>
      <c r="AP543">
        <v>23.23062345720918</v>
      </c>
      <c r="AQ543">
        <v>5.2656777102593519</v>
      </c>
      <c r="AR543">
        <v>0.67529523968419491</v>
      </c>
      <c r="AS543">
        <v>3.1435518764488291</v>
      </c>
      <c r="AT543" t="e">
        <v>#DIV/0!</v>
      </c>
      <c r="AU543" t="e">
        <v>#DIV/0!</v>
      </c>
      <c r="AV543"/>
      <c r="AW543"/>
      <c r="FY543" s="211">
        <v>538</v>
      </c>
      <c r="FZ543">
        <v>1.1604821905273655</v>
      </c>
      <c r="GA543">
        <v>8.725047411847664E-2</v>
      </c>
      <c r="GB543">
        <v>0.22123389596694673</v>
      </c>
      <c r="GC543">
        <v>0.1579162012217627</v>
      </c>
      <c r="GD543">
        <v>2.6724553773673727E-2</v>
      </c>
      <c r="GE543">
        <v>0</v>
      </c>
      <c r="GF543">
        <v>0.66042100116664126</v>
      </c>
      <c r="GG543">
        <v>0.59518473501329594</v>
      </c>
      <c r="GH543">
        <v>0</v>
      </c>
      <c r="GI543">
        <v>0.36971578382217052</v>
      </c>
      <c r="GJ543"/>
      <c r="GK543">
        <v>1.1662038303058793</v>
      </c>
      <c r="GL543">
        <v>7.3740509229249462E-2</v>
      </c>
      <c r="GM543">
        <v>0.3667734676484084</v>
      </c>
      <c r="GN543">
        <v>0.47171153288079981</v>
      </c>
      <c r="GO543">
        <v>0.10493806523239137</v>
      </c>
      <c r="GP543">
        <v>0</v>
      </c>
      <c r="GQ543">
        <v>0.90739586192571098</v>
      </c>
      <c r="GR543">
        <v>0.90739586192571098</v>
      </c>
      <c r="GS543">
        <v>0</v>
      </c>
      <c r="GT543">
        <v>0.50906224502247799</v>
      </c>
      <c r="GU543"/>
      <c r="GV543"/>
      <c r="GW543"/>
      <c r="GX543"/>
      <c r="GY543"/>
      <c r="GZ543"/>
      <c r="HA543"/>
      <c r="HB543"/>
      <c r="HC543"/>
    </row>
    <row r="544" spans="1:211" s="7" customFormat="1">
      <c r="A544" s="4"/>
      <c r="B544" s="4"/>
      <c r="C544" s="63"/>
      <c r="D544" s="101"/>
      <c r="E544" s="63"/>
      <c r="F544" s="63"/>
      <c r="G544" s="101"/>
      <c r="H544" s="101" t="e">
        <f>E545-E543</f>
        <v>#DIV/0!</v>
      </c>
      <c r="I544" s="101">
        <f>AVERAGE(D543:D545)</f>
        <v>0.52083333333333326</v>
      </c>
      <c r="J544" s="101" t="e">
        <f>I544*H544</f>
        <v>#DIV/0!</v>
      </c>
      <c r="K544" s="61" t="e">
        <f>J544/(C545-C543)</f>
        <v>#DIV/0!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3.1197916666666661</v>
      </c>
      <c r="AO544">
        <v>0.29399170199568092</v>
      </c>
      <c r="AP544">
        <v>13.699712123304348</v>
      </c>
      <c r="AQ544">
        <v>1.9538043480830976</v>
      </c>
      <c r="AR544">
        <v>0.30164155761264938</v>
      </c>
      <c r="AS544">
        <v>1.8147156986192867</v>
      </c>
      <c r="AT544" t="e">
        <v>#DIV/0!</v>
      </c>
      <c r="AU544" t="e">
        <v>#DIV/0!</v>
      </c>
      <c r="AV544"/>
      <c r="AW544"/>
      <c r="FY544" s="211">
        <v>539</v>
      </c>
      <c r="FZ544">
        <v>1.2178932738690051</v>
      </c>
      <c r="GA544">
        <v>0.38735017759921181</v>
      </c>
      <c r="GB544">
        <v>0.14202990935487192</v>
      </c>
      <c r="GC544">
        <v>7.8958100610881349E-2</v>
      </c>
      <c r="GD544">
        <v>0</v>
      </c>
      <c r="GE544">
        <v>0</v>
      </c>
      <c r="GF544">
        <v>0.33021050058332063</v>
      </c>
      <c r="GG544">
        <v>0.29759236750664797</v>
      </c>
      <c r="GH544">
        <v>0</v>
      </c>
      <c r="GI544">
        <v>0.27922847963113007</v>
      </c>
      <c r="GJ544"/>
      <c r="GK544">
        <v>1.2257107187891101</v>
      </c>
      <c r="GL544">
        <v>0.33331521555783822</v>
      </c>
      <c r="GM544">
        <v>0.23585576644039991</v>
      </c>
      <c r="GN544">
        <v>0.23585576644039991</v>
      </c>
      <c r="GO544">
        <v>0</v>
      </c>
      <c r="GP544">
        <v>0</v>
      </c>
      <c r="GQ544">
        <v>0.45369793096285549</v>
      </c>
      <c r="GR544">
        <v>0.45369793096285549</v>
      </c>
      <c r="GS544">
        <v>0</v>
      </c>
      <c r="GT544">
        <v>0.38305288323847314</v>
      </c>
      <c r="GU544"/>
      <c r="GV544"/>
      <c r="GW544"/>
      <c r="GX544"/>
      <c r="GY544"/>
      <c r="GZ544"/>
      <c r="HA544"/>
      <c r="HB544"/>
      <c r="HC544"/>
    </row>
    <row r="545" spans="1:211" s="7" customFormat="1">
      <c r="A545" s="4"/>
      <c r="B545" s="4"/>
      <c r="C545" s="117">
        <f>C11</f>
        <v>39910</v>
      </c>
      <c r="D545" s="101">
        <f>D77</f>
        <v>1.0416666666666665</v>
      </c>
      <c r="E545" s="108">
        <f>E412</f>
        <v>0.87110002744868265</v>
      </c>
      <c r="F545" s="102"/>
      <c r="G545" s="101">
        <f>D545*E545</f>
        <v>0.90739586192571098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1.6645833333333333</v>
      </c>
      <c r="AO545">
        <v>0.2806241015293266</v>
      </c>
      <c r="AP545">
        <v>8.5639214635282599</v>
      </c>
      <c r="AQ545">
        <v>2.3560678742910977</v>
      </c>
      <c r="AR545">
        <v>0.3067582157184886</v>
      </c>
      <c r="AS545">
        <v>1.7442045799456269</v>
      </c>
      <c r="AT545" t="e">
        <v>#DIV/0!</v>
      </c>
      <c r="AU545" t="e">
        <v>#DIV/0!</v>
      </c>
      <c r="AV545"/>
      <c r="AW545"/>
      <c r="FY545" s="211">
        <v>540</v>
      </c>
      <c r="FZ545">
        <v>0.72516048916566678</v>
      </c>
      <c r="GA545">
        <v>0</v>
      </c>
      <c r="GB545">
        <v>7.9203986612074825E-2</v>
      </c>
      <c r="GC545">
        <v>7.8958100610881349E-2</v>
      </c>
      <c r="GD545">
        <v>2.6724553773673727E-2</v>
      </c>
      <c r="GE545">
        <v>0</v>
      </c>
      <c r="GF545">
        <v>0.33021050058332063</v>
      </c>
      <c r="GG545">
        <v>0.29759236750664797</v>
      </c>
      <c r="GH545">
        <v>0</v>
      </c>
      <c r="GI545">
        <v>0.20638492552989282</v>
      </c>
      <c r="GJ545"/>
      <c r="GK545">
        <v>0.72646082945913981</v>
      </c>
      <c r="GL545">
        <v>0</v>
      </c>
      <c r="GM545">
        <v>0.13091770120800852</v>
      </c>
      <c r="GN545">
        <v>0.23585576644039991</v>
      </c>
      <c r="GO545">
        <v>0.10493806523239137</v>
      </c>
      <c r="GP545">
        <v>0</v>
      </c>
      <c r="GQ545">
        <v>0.45369793096285549</v>
      </c>
      <c r="GR545">
        <v>0.45369793096285549</v>
      </c>
      <c r="GS545">
        <v>0</v>
      </c>
      <c r="GT545">
        <v>0.28320290537247905</v>
      </c>
      <c r="GU545"/>
      <c r="GV545"/>
      <c r="GW545"/>
      <c r="GX545"/>
      <c r="GY545"/>
      <c r="GZ545"/>
      <c r="HA545"/>
      <c r="HB545"/>
      <c r="HC545"/>
    </row>
    <row r="546" spans="1:211" s="7" customFormat="1">
      <c r="A546" s="4"/>
      <c r="B546" s="4"/>
      <c r="C546" s="63"/>
      <c r="D546" s="101"/>
      <c r="E546" s="63"/>
      <c r="F546" s="63"/>
      <c r="G546" s="101"/>
      <c r="H546" s="101" t="e">
        <f>E547-E545</f>
        <v>#DIV/0!</v>
      </c>
      <c r="I546" s="101">
        <f>AVERAGE(D545:D547)</f>
        <v>0.52083333333333326</v>
      </c>
      <c r="J546" s="101" t="e">
        <f>I546*H546</f>
        <v>#DIV/0!</v>
      </c>
      <c r="K546" s="61" t="e">
        <f>J546/(C547-C545)</f>
        <v>#DIV/0!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2.4145833333333342</v>
      </c>
      <c r="AO546">
        <v>0.38370673183287901</v>
      </c>
      <c r="AP546">
        <v>16.948417633975723</v>
      </c>
      <c r="AQ546">
        <v>2.9942436421228837</v>
      </c>
      <c r="AR546">
        <v>0.39774668506340977</v>
      </c>
      <c r="AS546">
        <v>1.9519978289570024</v>
      </c>
      <c r="AT546" t="e">
        <v>#DIV/0!</v>
      </c>
      <c r="AU546" t="e">
        <v>#DIV/0!</v>
      </c>
      <c r="AV546"/>
      <c r="AW546"/>
      <c r="FY546" s="211">
        <v>541</v>
      </c>
      <c r="FZ546">
        <v>1.151051463864726</v>
      </c>
      <c r="GA546">
        <v>0.17450094823695328</v>
      </c>
      <c r="GB546">
        <v>0.26768175484046608</v>
      </c>
      <c r="GC546">
        <v>0.18341592548776492</v>
      </c>
      <c r="GD546">
        <v>2.6724553773673727E-2</v>
      </c>
      <c r="GE546">
        <v>0</v>
      </c>
      <c r="GF546">
        <v>0.33021050058332063</v>
      </c>
      <c r="GG546">
        <v>0.29759236750664797</v>
      </c>
      <c r="GH546">
        <v>0</v>
      </c>
      <c r="GI546">
        <v>0.31566276398397602</v>
      </c>
      <c r="GJ546"/>
      <c r="GK546">
        <v>1.1598908437102216</v>
      </c>
      <c r="GL546">
        <v>0.14748101845849892</v>
      </c>
      <c r="GM546">
        <v>0.44573189690518267</v>
      </c>
      <c r="GN546">
        <v>0.55066996213757402</v>
      </c>
      <c r="GO546">
        <v>0.10493806523239137</v>
      </c>
      <c r="GP546">
        <v>0</v>
      </c>
      <c r="GQ546">
        <v>0.45369793096285549</v>
      </c>
      <c r="GR546">
        <v>0.45369793096285549</v>
      </c>
      <c r="GS546">
        <v>0</v>
      </c>
      <c r="GT546">
        <v>0.43285174736213022</v>
      </c>
      <c r="GU546"/>
      <c r="GV546"/>
      <c r="GW546"/>
      <c r="GX546"/>
      <c r="GY546"/>
      <c r="GZ546"/>
      <c r="HA546"/>
      <c r="HB546"/>
      <c r="HC546"/>
    </row>
    <row r="547" spans="1:211" s="7" customFormat="1">
      <c r="A547" s="4"/>
      <c r="B547" s="4"/>
      <c r="C547" s="117">
        <f>C12</f>
        <v>39949</v>
      </c>
      <c r="D547" s="101">
        <f>D78</f>
        <v>0</v>
      </c>
      <c r="E547" s="108" t="e">
        <f>E413</f>
        <v>#DIV/0!</v>
      </c>
      <c r="F547" s="102"/>
      <c r="G547" s="101" t="e">
        <f>D547*E547</f>
        <v>#DIV/0!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2.2999999999999998</v>
      </c>
      <c r="AO547">
        <v>0.2837217339706708</v>
      </c>
      <c r="AP547">
        <v>4.368058462649957</v>
      </c>
      <c r="AQ547">
        <v>2.2364583376166327</v>
      </c>
      <c r="AR547">
        <v>0.32640834700647009</v>
      </c>
      <c r="AS547">
        <v>1.8675244580862427</v>
      </c>
      <c r="AT547" t="e">
        <v>#DIV/0!</v>
      </c>
      <c r="AU547" t="e">
        <v>#DIV/0!</v>
      </c>
      <c r="AV547"/>
      <c r="AW547"/>
      <c r="FY547" s="211">
        <v>542</v>
      </c>
      <c r="FZ547">
        <v>0.84391881309790229</v>
      </c>
      <c r="GA547">
        <v>8.725047411847664E-2</v>
      </c>
      <c r="GB547">
        <v>7.9203986612074825E-2</v>
      </c>
      <c r="GC547">
        <v>4.4138825651920163E-2</v>
      </c>
      <c r="GD547">
        <v>0</v>
      </c>
      <c r="GE547">
        <v>0</v>
      </c>
      <c r="GF547">
        <v>0.33021050058332063</v>
      </c>
      <c r="GG547">
        <v>0.29759236750664797</v>
      </c>
      <c r="GH547">
        <v>0</v>
      </c>
      <c r="GI547">
        <v>0.20854764195686071</v>
      </c>
      <c r="GJ547"/>
      <c r="GK547">
        <v>0.84464480276210385</v>
      </c>
      <c r="GL547">
        <v>7.3740509229249462E-2</v>
      </c>
      <c r="GM547">
        <v>0.13091770120800852</v>
      </c>
      <c r="GN547">
        <v>0.13091770120800852</v>
      </c>
      <c r="GO547">
        <v>0</v>
      </c>
      <c r="GP547">
        <v>0</v>
      </c>
      <c r="GQ547">
        <v>0.45369793096285549</v>
      </c>
      <c r="GR547">
        <v>0.45369793096285549</v>
      </c>
      <c r="GS547">
        <v>0</v>
      </c>
      <c r="GT547">
        <v>0.28585208698659353</v>
      </c>
      <c r="GU547"/>
      <c r="GV547"/>
      <c r="GW547"/>
      <c r="GX547"/>
      <c r="GY547"/>
      <c r="GZ547"/>
      <c r="HA547"/>
      <c r="HB547"/>
      <c r="HC547"/>
    </row>
    <row r="548" spans="1:211" s="7" customFormat="1">
      <c r="A548" s="4"/>
      <c r="B548" s="4"/>
      <c r="C548" s="63"/>
      <c r="D548" s="101"/>
      <c r="E548" s="63"/>
      <c r="F548" s="63"/>
      <c r="G548" s="101"/>
      <c r="H548" s="101" t="e">
        <f>E549-E547</f>
        <v>#DIV/0!</v>
      </c>
      <c r="I548" s="101">
        <f>AVERAGE(D547:D549)</f>
        <v>0</v>
      </c>
      <c r="J548" s="101" t="e">
        <f>I548*H548</f>
        <v>#DIV/0!</v>
      </c>
      <c r="K548" s="61" t="e">
        <f>J548/(C549-C547)</f>
        <v>#DIV/0!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2.7656250000000004</v>
      </c>
      <c r="AO548">
        <v>0.39834304299437279</v>
      </c>
      <c r="AP548">
        <v>15.512321975722998</v>
      </c>
      <c r="AQ548">
        <v>2.93261545082074</v>
      </c>
      <c r="AR548">
        <v>0.43129328631445446</v>
      </c>
      <c r="AS548">
        <v>2.4434135524783787</v>
      </c>
      <c r="AT548" t="e">
        <v>#DIV/0!</v>
      </c>
      <c r="AU548" t="e">
        <v>#DIV/0!</v>
      </c>
      <c r="AV548"/>
      <c r="AW548"/>
      <c r="FY548" s="211">
        <v>543</v>
      </c>
      <c r="FZ548">
        <v>0.55264413376692523</v>
      </c>
      <c r="GA548">
        <v>0.17450094823695328</v>
      </c>
      <c r="GB548">
        <v>0.3141296137139854</v>
      </c>
      <c r="GC548">
        <v>0.2437349247127284</v>
      </c>
      <c r="GD548">
        <v>5.3449107547347455E-2</v>
      </c>
      <c r="GE548">
        <v>0</v>
      </c>
      <c r="GF548">
        <v>0.33021050058332063</v>
      </c>
      <c r="GG548">
        <v>0.29759236750664797</v>
      </c>
      <c r="GH548">
        <v>0</v>
      </c>
      <c r="GI548">
        <v>0.25421775098133303</v>
      </c>
      <c r="GJ548"/>
      <c r="GK548">
        <v>0.55177868506029881</v>
      </c>
      <c r="GL548">
        <v>0.14748101845849892</v>
      </c>
      <c r="GM548">
        <v>0.52469032616195688</v>
      </c>
      <c r="GN548">
        <v>0.73456645662673969</v>
      </c>
      <c r="GO548">
        <v>0.20987613046478273</v>
      </c>
      <c r="GP548">
        <v>0</v>
      </c>
      <c r="GQ548">
        <v>0.45369793096285549</v>
      </c>
      <c r="GR548">
        <v>0.45369793096285549</v>
      </c>
      <c r="GS548">
        <v>0</v>
      </c>
      <c r="GT548">
        <v>0.34800861452997883</v>
      </c>
      <c r="GU548"/>
      <c r="GV548"/>
      <c r="GW548"/>
      <c r="GX548"/>
      <c r="GY548"/>
      <c r="GZ548"/>
      <c r="HA548"/>
      <c r="HB548"/>
      <c r="HC548"/>
    </row>
    <row r="549" spans="1:211" s="7" customFormat="1">
      <c r="A549" s="4"/>
      <c r="B549" s="4"/>
      <c r="C549" s="117">
        <f>C13</f>
        <v>39987</v>
      </c>
      <c r="D549" s="101">
        <f>D79</f>
        <v>0</v>
      </c>
      <c r="E549" s="108" t="e">
        <f>E414</f>
        <v>#DIV/0!</v>
      </c>
      <c r="F549" s="102"/>
      <c r="G549" s="101" t="e">
        <f>D549*E549</f>
        <v>#DIV/0!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2.2479166666666663</v>
      </c>
      <c r="AO549">
        <v>0.28957800221107111</v>
      </c>
      <c r="AP549">
        <v>10.510894135914835</v>
      </c>
      <c r="AQ549">
        <v>2.3227720690016671</v>
      </c>
      <c r="AR549">
        <v>0.29553182732412508</v>
      </c>
      <c r="AS549">
        <v>1.6473728347296399</v>
      </c>
      <c r="AT549" t="e">
        <v>#DIV/0!</v>
      </c>
      <c r="AU549" t="e">
        <v>#DIV/0!</v>
      </c>
      <c r="AV549"/>
      <c r="AW549"/>
      <c r="FY549" s="211">
        <v>544</v>
      </c>
      <c r="FZ549">
        <v>1.0548667544036199</v>
      </c>
      <c r="GA549">
        <v>0.56185112583616514</v>
      </c>
      <c r="GB549">
        <v>6.282592274279708E-2</v>
      </c>
      <c r="GC549">
        <v>3.4819274958961192E-2</v>
      </c>
      <c r="GD549">
        <v>0</v>
      </c>
      <c r="GE549">
        <v>0</v>
      </c>
      <c r="GF549">
        <v>0</v>
      </c>
      <c r="GG549">
        <v>0</v>
      </c>
      <c r="GH549">
        <v>0</v>
      </c>
      <c r="GI549">
        <v>0.17164593213874957</v>
      </c>
      <c r="GJ549"/>
      <c r="GK549">
        <v>1.0606487973813805</v>
      </c>
      <c r="GL549">
        <v>0.48079623401633714</v>
      </c>
      <c r="GM549">
        <v>0.10493806523239137</v>
      </c>
      <c r="GN549">
        <v>0.10493806523239137</v>
      </c>
      <c r="GO549">
        <v>0</v>
      </c>
      <c r="GP549">
        <v>0</v>
      </c>
      <c r="GQ549">
        <v>0</v>
      </c>
      <c r="GR549">
        <v>0</v>
      </c>
      <c r="GS549">
        <v>0</v>
      </c>
      <c r="GT549">
        <v>0.23311737252275433</v>
      </c>
      <c r="GU549"/>
      <c r="GV549"/>
      <c r="GW549"/>
      <c r="GX549"/>
      <c r="GY549"/>
      <c r="GZ549"/>
      <c r="HA549"/>
      <c r="HB549"/>
      <c r="HC549"/>
    </row>
    <row r="550" spans="1:211" s="7" customFormat="1">
      <c r="A550" s="4"/>
      <c r="B550" s="4"/>
      <c r="C550" s="63"/>
      <c r="D550" s="101"/>
      <c r="E550" s="63"/>
      <c r="F550" s="63"/>
      <c r="G550" s="101"/>
      <c r="H550" s="101" t="e">
        <f>E551-E549</f>
        <v>#DIV/0!</v>
      </c>
      <c r="I550" s="101">
        <f>AVERAGE(D549:D551)</f>
        <v>0</v>
      </c>
      <c r="J550" s="101" t="e">
        <f>I550*H550</f>
        <v>#DIV/0!</v>
      </c>
      <c r="K550" s="61" t="e">
        <f>J550/(C551-C549)</f>
        <v>#DIV/0!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2.067708333333333</v>
      </c>
      <c r="AO550">
        <v>0.21620778248275055</v>
      </c>
      <c r="AP550">
        <v>7.9505720938277245</v>
      </c>
      <c r="AQ550">
        <v>1.6878141652484364</v>
      </c>
      <c r="AR550">
        <v>0.25062028057123203</v>
      </c>
      <c r="AS550">
        <v>1.4160051880588205</v>
      </c>
      <c r="AT550" t="e">
        <v>#DIV/0!</v>
      </c>
      <c r="AU550" t="e">
        <v>#DIV/0!</v>
      </c>
      <c r="AV550"/>
      <c r="AW550"/>
      <c r="FY550" s="211">
        <v>545</v>
      </c>
      <c r="FZ550">
        <v>1.0119926582079359</v>
      </c>
      <c r="GA550">
        <v>0.56185112583616514</v>
      </c>
      <c r="GB550">
        <v>0.14202990935487192</v>
      </c>
      <c r="GC550">
        <v>0.11377737556984255</v>
      </c>
      <c r="GD550">
        <v>2.6724553773673727E-2</v>
      </c>
      <c r="GE550">
        <v>0</v>
      </c>
      <c r="GF550">
        <v>0.66042100116664126</v>
      </c>
      <c r="GG550">
        <v>0.59518473501329594</v>
      </c>
      <c r="GH550">
        <v>0</v>
      </c>
      <c r="GI550">
        <v>0.328296033210079</v>
      </c>
      <c r="GJ550"/>
      <c r="GK550">
        <v>1.0179019398892883</v>
      </c>
      <c r="GL550">
        <v>0.48079623401633714</v>
      </c>
      <c r="GM550">
        <v>0.23585576644039991</v>
      </c>
      <c r="GN550">
        <v>0.34079383167279126</v>
      </c>
      <c r="GO550">
        <v>0.10493806523239137</v>
      </c>
      <c r="GP550">
        <v>0</v>
      </c>
      <c r="GQ550">
        <v>0.90739586192571098</v>
      </c>
      <c r="GR550">
        <v>0.90739586192571098</v>
      </c>
      <c r="GS550">
        <v>0</v>
      </c>
      <c r="GT550">
        <v>0.45321832669755813</v>
      </c>
      <c r="GU550"/>
      <c r="GV550"/>
      <c r="GW550"/>
      <c r="GX550"/>
      <c r="GY550"/>
      <c r="GZ550"/>
      <c r="HA550"/>
      <c r="HB550"/>
      <c r="HC550"/>
    </row>
    <row r="551" spans="1:211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2.1124999999999998</v>
      </c>
      <c r="AO551">
        <v>0.19947158221177216</v>
      </c>
      <c r="AP551">
        <v>4.4031742601794885</v>
      </c>
      <c r="AQ551">
        <v>1.6136422888609303</v>
      </c>
      <c r="AR551">
        <v>0.22443106847711822</v>
      </c>
      <c r="AS551">
        <v>1.4161653196912207</v>
      </c>
      <c r="AT551" t="e">
        <v>#DIV/0!</v>
      </c>
      <c r="AU551" t="e">
        <v>#DIV/0!</v>
      </c>
      <c r="AV551"/>
      <c r="AW551"/>
      <c r="FY551" s="211">
        <v>546</v>
      </c>
      <c r="FZ551">
        <v>0.54865595735170536</v>
      </c>
      <c r="GA551">
        <v>8.725047411847664E-2</v>
      </c>
      <c r="GB551">
        <v>0.12565184548559416</v>
      </c>
      <c r="GC551">
        <v>0.10445782487688358</v>
      </c>
      <c r="GD551">
        <v>2.6724553773673727E-2</v>
      </c>
      <c r="GE551">
        <v>0</v>
      </c>
      <c r="GF551">
        <v>0.33021050058332063</v>
      </c>
      <c r="GG551">
        <v>0.29759236750664797</v>
      </c>
      <c r="GH551">
        <v>0</v>
      </c>
      <c r="GI551">
        <v>0.19180759215851151</v>
      </c>
      <c r="GJ551"/>
      <c r="GK551">
        <v>0.54743093716907976</v>
      </c>
      <c r="GL551">
        <v>7.3740509229249462E-2</v>
      </c>
      <c r="GM551">
        <v>0.20987613046478273</v>
      </c>
      <c r="GN551">
        <v>0.31481419569717412</v>
      </c>
      <c r="GO551">
        <v>0.10493806523239137</v>
      </c>
      <c r="GP551">
        <v>0</v>
      </c>
      <c r="GQ551">
        <v>0.45369793096285549</v>
      </c>
      <c r="GR551">
        <v>0.45369793096285549</v>
      </c>
      <c r="GS551">
        <v>0</v>
      </c>
      <c r="GT551">
        <v>0.26318861276582184</v>
      </c>
      <c r="GU551"/>
      <c r="GV551"/>
      <c r="GW551"/>
      <c r="GX551"/>
      <c r="GY551"/>
      <c r="GZ551"/>
      <c r="HA551"/>
      <c r="HB551"/>
      <c r="HC551"/>
    </row>
    <row r="552" spans="1:211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2.854166666666667</v>
      </c>
      <c r="AO552">
        <v>0.44019543509704634</v>
      </c>
      <c r="AP552">
        <v>16.315299168981127</v>
      </c>
      <c r="AQ552">
        <v>3.2805365612201922</v>
      </c>
      <c r="AR552">
        <v>0.46330736519969828</v>
      </c>
      <c r="AS552">
        <v>2.3166582459717522</v>
      </c>
      <c r="AT552" t="e">
        <v>#DIV/0!</v>
      </c>
      <c r="AU552" t="e">
        <v>#DIV/0!</v>
      </c>
      <c r="AV552"/>
      <c r="AW552"/>
      <c r="FY552" s="211">
        <v>547</v>
      </c>
      <c r="FZ552">
        <v>0.91430138131631733</v>
      </c>
      <c r="GA552">
        <v>0</v>
      </c>
      <c r="GB552">
        <v>0.22123389596694673</v>
      </c>
      <c r="GC552">
        <v>0.1579162012217627</v>
      </c>
      <c r="GD552">
        <v>2.6724553773673727E-2</v>
      </c>
      <c r="GE552">
        <v>0</v>
      </c>
      <c r="GF552">
        <v>0.33021050058332063</v>
      </c>
      <c r="GG552">
        <v>0.29759236750664797</v>
      </c>
      <c r="GH552">
        <v>0</v>
      </c>
      <c r="GI552">
        <v>0.26930556727064831</v>
      </c>
      <c r="GJ552"/>
      <c r="GK552">
        <v>0.91480944347308357</v>
      </c>
      <c r="GL552">
        <v>0</v>
      </c>
      <c r="GM552">
        <v>0.3667734676484084</v>
      </c>
      <c r="GN552">
        <v>0.47171153288079981</v>
      </c>
      <c r="GO552">
        <v>0.10493806523239137</v>
      </c>
      <c r="GP552">
        <v>0</v>
      </c>
      <c r="GQ552">
        <v>0.45369793096285549</v>
      </c>
      <c r="GR552">
        <v>0.45369793096285549</v>
      </c>
      <c r="GS552">
        <v>0</v>
      </c>
      <c r="GT552">
        <v>0.36804378146334776</v>
      </c>
      <c r="GU552"/>
      <c r="GV552"/>
      <c r="GW552"/>
      <c r="GX552"/>
      <c r="GY552"/>
      <c r="GZ552"/>
      <c r="HA552"/>
      <c r="HB552"/>
      <c r="HC552"/>
    </row>
    <row r="553" spans="1:211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2.6197916666666665</v>
      </c>
      <c r="AO553">
        <v>0.16462396219020489</v>
      </c>
      <c r="AP553">
        <v>2.1507694076351385</v>
      </c>
      <c r="AQ553">
        <v>1.1728294141116993</v>
      </c>
      <c r="AR553">
        <v>0.20528421350000137</v>
      </c>
      <c r="AS553">
        <v>1.6091975420832207</v>
      </c>
      <c r="AT553" t="e">
        <v>#DIV/0!</v>
      </c>
      <c r="AU553" t="e">
        <v>#DIV/0!</v>
      </c>
      <c r="AV553"/>
      <c r="AW553"/>
      <c r="FY553" s="211">
        <v>548</v>
      </c>
      <c r="FZ553">
        <v>0.9321202540561645</v>
      </c>
      <c r="GA553">
        <v>0.47460065171768845</v>
      </c>
      <c r="GB553">
        <v>7.9203986612074825E-2</v>
      </c>
      <c r="GC553">
        <v>0.11377737556984255</v>
      </c>
      <c r="GD553">
        <v>5.3449107547347455E-2</v>
      </c>
      <c r="GE553">
        <v>0</v>
      </c>
      <c r="GF553">
        <v>0</v>
      </c>
      <c r="GG553">
        <v>0</v>
      </c>
      <c r="GH553">
        <v>0</v>
      </c>
      <c r="GI553">
        <v>0.18830678344157642</v>
      </c>
      <c r="GJ553"/>
      <c r="GK553">
        <v>0.93811707618719731</v>
      </c>
      <c r="GL553">
        <v>0.40705572478708768</v>
      </c>
      <c r="GM553">
        <v>0.13091770120800852</v>
      </c>
      <c r="GN553">
        <v>0.34079383167279126</v>
      </c>
      <c r="GO553">
        <v>0.20987613046478273</v>
      </c>
      <c r="GP553">
        <v>0</v>
      </c>
      <c r="GQ553">
        <v>0</v>
      </c>
      <c r="GR553">
        <v>0</v>
      </c>
      <c r="GS553">
        <v>0</v>
      </c>
      <c r="GT553">
        <v>0.25578218157199772</v>
      </c>
      <c r="GU553"/>
      <c r="GV553"/>
      <c r="GW553"/>
      <c r="GX553"/>
      <c r="GY553"/>
      <c r="GZ553"/>
      <c r="HA553"/>
      <c r="HB553"/>
      <c r="HC553"/>
    </row>
    <row r="554" spans="1:211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3.8229166666666665</v>
      </c>
      <c r="AO554">
        <v>0.4507221374170628</v>
      </c>
      <c r="AP554">
        <v>17.325962214036345</v>
      </c>
      <c r="AQ554">
        <v>3.278928835610333</v>
      </c>
      <c r="AR554">
        <v>0.5090622450224781</v>
      </c>
      <c r="AS554">
        <v>2.6976368494707268</v>
      </c>
      <c r="AT554" t="e">
        <v>#DIV/0!</v>
      </c>
      <c r="AU554" t="e">
        <v>#DIV/0!</v>
      </c>
      <c r="AV554"/>
      <c r="AW554"/>
      <c r="FY554" s="211">
        <v>549</v>
      </c>
      <c r="FZ554">
        <v>1.4375095041855348</v>
      </c>
      <c r="GA554">
        <v>0.47460065171768845</v>
      </c>
      <c r="GB554">
        <v>0.12565184548559416</v>
      </c>
      <c r="GC554">
        <v>6.9638549917922385E-2</v>
      </c>
      <c r="GD554">
        <v>0</v>
      </c>
      <c r="GE554">
        <v>0</v>
      </c>
      <c r="GF554">
        <v>0.33021050058332063</v>
      </c>
      <c r="GG554">
        <v>0.29759236750664797</v>
      </c>
      <c r="GH554">
        <v>0</v>
      </c>
      <c r="GI554">
        <v>0.30767021531613536</v>
      </c>
      <c r="GJ554"/>
      <c r="GK554">
        <v>1.4508955779581687</v>
      </c>
      <c r="GL554">
        <v>0.40705572478708768</v>
      </c>
      <c r="GM554">
        <v>0.20987613046478273</v>
      </c>
      <c r="GN554">
        <v>0.20987613046478273</v>
      </c>
      <c r="GO554">
        <v>0</v>
      </c>
      <c r="GP554">
        <v>0</v>
      </c>
      <c r="GQ554">
        <v>0.45369793096285549</v>
      </c>
      <c r="GR554">
        <v>0.45369793096285549</v>
      </c>
      <c r="GS554">
        <v>0</v>
      </c>
      <c r="GT554">
        <v>0.4228939278771614</v>
      </c>
      <c r="GU554"/>
      <c r="GV554"/>
      <c r="GW554"/>
      <c r="GX554"/>
      <c r="GY554"/>
      <c r="GZ554"/>
      <c r="HA554"/>
      <c r="HB554"/>
      <c r="HC554"/>
    </row>
    <row r="555" spans="1:211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2.9093750000000007</v>
      </c>
      <c r="AO555">
        <v>0.33211862123919322</v>
      </c>
      <c r="AP555">
        <v>11.411874603908958</v>
      </c>
      <c r="AQ555">
        <v>2.733262809155069</v>
      </c>
      <c r="AR555">
        <v>0.38305288323847314</v>
      </c>
      <c r="AS555">
        <v>2.0799135878472379</v>
      </c>
      <c r="AT555" t="e">
        <v>#DIV/0!</v>
      </c>
      <c r="AU555" t="e">
        <v>#DIV/0!</v>
      </c>
      <c r="AV555"/>
      <c r="AW555"/>
      <c r="FY555" s="211">
        <v>550</v>
      </c>
      <c r="FZ555">
        <v>1.3055463951659236</v>
      </c>
      <c r="GA555">
        <v>0.47460065171768845</v>
      </c>
      <c r="GB555">
        <v>0.14202990935487192</v>
      </c>
      <c r="GC555">
        <v>0.11377737556984255</v>
      </c>
      <c r="GD555">
        <v>2.6724553773673727E-2</v>
      </c>
      <c r="GE555">
        <v>0</v>
      </c>
      <c r="GF555">
        <v>0.33021050058332063</v>
      </c>
      <c r="GG555">
        <v>0.29759236750664797</v>
      </c>
      <c r="GH555">
        <v>0</v>
      </c>
      <c r="GI555">
        <v>0.30766388654328897</v>
      </c>
      <c r="GJ555"/>
      <c r="GK555">
        <v>1.3138555750828911</v>
      </c>
      <c r="GL555">
        <v>0.40705572478708768</v>
      </c>
      <c r="GM555">
        <v>0.23585576644039991</v>
      </c>
      <c r="GN555">
        <v>0.34079383167279126</v>
      </c>
      <c r="GO555">
        <v>0.10493806523239137</v>
      </c>
      <c r="GP555">
        <v>0</v>
      </c>
      <c r="GQ555">
        <v>0.45369793096285549</v>
      </c>
      <c r="GR555">
        <v>0.45369793096285549</v>
      </c>
      <c r="GS555">
        <v>0</v>
      </c>
      <c r="GT555">
        <v>0.42166946754370765</v>
      </c>
      <c r="GU555"/>
      <c r="GV555"/>
      <c r="GW555"/>
      <c r="GX555"/>
      <c r="GY555"/>
      <c r="GZ555"/>
      <c r="HA555"/>
      <c r="HB555"/>
      <c r="HC555"/>
    </row>
    <row r="556" spans="1:211" s="7" customFormat="1">
      <c r="A556" s="4"/>
      <c r="B556" s="4"/>
      <c r="C556" s="63"/>
      <c r="D556" s="63"/>
      <c r="E556" s="63" t="s">
        <v>24</v>
      </c>
      <c r="F556" s="18"/>
      <c r="G556" s="123" t="e">
        <f>AVERAGE(G531:G553)</f>
        <v>#DIV/0!</v>
      </c>
      <c r="H556" s="63" t="s">
        <v>103</v>
      </c>
      <c r="I556" s="123" t="e">
        <f>SUM(J532:J552)+G531</f>
        <v>#DIV/0!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2.5156249999999991</v>
      </c>
      <c r="AO556">
        <v>0.23887711296381292</v>
      </c>
      <c r="AP556">
        <v>7.8773574639733344</v>
      </c>
      <c r="AQ556">
        <v>1.7442349237821582</v>
      </c>
      <c r="AR556">
        <v>0.28320290537247905</v>
      </c>
      <c r="AS556">
        <v>1.6424143497891965</v>
      </c>
      <c r="AT556" t="e">
        <v>#DIV/0!</v>
      </c>
      <c r="AU556" t="e">
        <v>#DIV/0!</v>
      </c>
      <c r="AV556"/>
      <c r="AW556"/>
      <c r="FY556" s="211">
        <v>551</v>
      </c>
      <c r="FZ556">
        <v>1.2170084900115092</v>
      </c>
      <c r="GA556">
        <v>0.38735017759921181</v>
      </c>
      <c r="GB556">
        <v>0.22123389596694673</v>
      </c>
      <c r="GC556">
        <v>0.12309692626280153</v>
      </c>
      <c r="GD556">
        <v>0</v>
      </c>
      <c r="GE556">
        <v>0</v>
      </c>
      <c r="GF556">
        <v>0</v>
      </c>
      <c r="GG556">
        <v>0</v>
      </c>
      <c r="GH556">
        <v>0</v>
      </c>
      <c r="GI556">
        <v>0.23433953261344492</v>
      </c>
      <c r="GJ556"/>
      <c r="GK556">
        <v>1.227809699629413</v>
      </c>
      <c r="GL556">
        <v>0.33331521555783822</v>
      </c>
      <c r="GM556">
        <v>0.3667734676484084</v>
      </c>
      <c r="GN556">
        <v>0.3667734676484084</v>
      </c>
      <c r="GO556">
        <v>0</v>
      </c>
      <c r="GP556">
        <v>0</v>
      </c>
      <c r="GQ556">
        <v>0</v>
      </c>
      <c r="GR556">
        <v>0</v>
      </c>
      <c r="GS556">
        <v>0</v>
      </c>
      <c r="GT556">
        <v>0.31891663345556431</v>
      </c>
      <c r="GU556"/>
      <c r="GV556"/>
      <c r="GW556"/>
      <c r="GX556"/>
      <c r="GY556"/>
      <c r="GZ556"/>
      <c r="HA556"/>
      <c r="HB556"/>
      <c r="HC556"/>
    </row>
    <row r="557" spans="1:211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2.630208333333333</v>
      </c>
      <c r="AO557">
        <v>0.37489593957317091</v>
      </c>
      <c r="AP557">
        <v>11.676499600125771</v>
      </c>
      <c r="AQ557">
        <v>2.7468402782775287</v>
      </c>
      <c r="AR557">
        <v>0.43285174736213022</v>
      </c>
      <c r="AS557">
        <v>2.1956256256406377</v>
      </c>
      <c r="AT557" t="e">
        <v>#DIV/0!</v>
      </c>
      <c r="AU557" t="e">
        <v>#DIV/0!</v>
      </c>
      <c r="AV557"/>
      <c r="AW557"/>
      <c r="FY557" s="211">
        <v>552</v>
      </c>
      <c r="FZ557">
        <v>0.84063710193605967</v>
      </c>
      <c r="GA557">
        <v>0.17450094823695328</v>
      </c>
      <c r="GB557">
        <v>6.282592274279708E-2</v>
      </c>
      <c r="GC557">
        <v>0.10445782487688358</v>
      </c>
      <c r="GD557">
        <v>5.3449107547347455E-2</v>
      </c>
      <c r="GE557">
        <v>0</v>
      </c>
      <c r="GF557">
        <v>0.99063150174996206</v>
      </c>
      <c r="GG557">
        <v>0.89277710251994391</v>
      </c>
      <c r="GH557">
        <v>0</v>
      </c>
      <c r="GI557">
        <v>0.36324209579705402</v>
      </c>
      <c r="GJ557"/>
      <c r="GK557">
        <v>0.83915260875855624</v>
      </c>
      <c r="GL557">
        <v>0.14748101845849892</v>
      </c>
      <c r="GM557">
        <v>0.10493806523239137</v>
      </c>
      <c r="GN557">
        <v>0.31481419569717412</v>
      </c>
      <c r="GO557">
        <v>0.20987613046478273</v>
      </c>
      <c r="GP557">
        <v>0</v>
      </c>
      <c r="GQ557">
        <v>1.3610937928885667</v>
      </c>
      <c r="GR557">
        <v>1.3610937928885667</v>
      </c>
      <c r="GS557">
        <v>0</v>
      </c>
      <c r="GT557">
        <v>0.50301211946885938</v>
      </c>
      <c r="GU557"/>
      <c r="GV557"/>
      <c r="GW557"/>
      <c r="GX557"/>
      <c r="GY557"/>
      <c r="GZ557"/>
      <c r="HA557"/>
      <c r="HB557"/>
      <c r="HC557"/>
    </row>
    <row r="558" spans="1:211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3.255208333333333</v>
      </c>
      <c r="AO558">
        <v>0.2373468663319675</v>
      </c>
      <c r="AP558">
        <v>8.3025645907518477</v>
      </c>
      <c r="AQ558">
        <v>1.8908626095272032</v>
      </c>
      <c r="AR558">
        <v>0.28585208698659353</v>
      </c>
      <c r="AS558">
        <v>1.7910817653746702</v>
      </c>
      <c r="AT558" t="e">
        <v>#DIV/0!</v>
      </c>
      <c r="AU558" t="e">
        <v>#DIV/0!</v>
      </c>
      <c r="AV558"/>
      <c r="AW558"/>
      <c r="FY558" s="211">
        <v>553</v>
      </c>
      <c r="FZ558">
        <v>0.95905896167214288</v>
      </c>
      <c r="GA558">
        <v>0.38735017759921181</v>
      </c>
      <c r="GB558">
        <v>7.9203986612074825E-2</v>
      </c>
      <c r="GC558">
        <v>7.8958100610881349E-2</v>
      </c>
      <c r="GD558">
        <v>2.6724553773673727E-2</v>
      </c>
      <c r="GE558">
        <v>0</v>
      </c>
      <c r="GF558">
        <v>0.33021050058332063</v>
      </c>
      <c r="GG558">
        <v>0.29759236750664797</v>
      </c>
      <c r="GH558">
        <v>0</v>
      </c>
      <c r="GI558">
        <v>0.24092478456267497</v>
      </c>
      <c r="GJ558"/>
      <c r="GK558">
        <v>0.96476298003313543</v>
      </c>
      <c r="GL558">
        <v>0.33331521555783822</v>
      </c>
      <c r="GM558">
        <v>0.13091770120800852</v>
      </c>
      <c r="GN558">
        <v>0.23585576644039991</v>
      </c>
      <c r="GO558">
        <v>0.10493806523239137</v>
      </c>
      <c r="GP558">
        <v>0</v>
      </c>
      <c r="GQ558">
        <v>0.45369793096285549</v>
      </c>
      <c r="GR558">
        <v>0.45369793096285549</v>
      </c>
      <c r="GS558">
        <v>0</v>
      </c>
      <c r="GT558">
        <v>0.33086333548727814</v>
      </c>
      <c r="GU558"/>
      <c r="GV558"/>
      <c r="GW558"/>
      <c r="GX558"/>
      <c r="GY558"/>
      <c r="GZ558"/>
      <c r="HA558"/>
      <c r="HB558"/>
      <c r="HC558"/>
    </row>
    <row r="559" spans="1:211" s="7" customFormat="1">
      <c r="A559" s="4"/>
      <c r="B559" s="4"/>
      <c r="C559" s="63"/>
      <c r="D559" s="63"/>
      <c r="E559" s="63" t="s">
        <v>102</v>
      </c>
      <c r="F559" s="101" t="e">
        <f>I556/G556</f>
        <v>#DIV/0!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2.3749999999999991</v>
      </c>
      <c r="AO559">
        <v>0.34237970932279671</v>
      </c>
      <c r="AP559">
        <v>12.822223815090826</v>
      </c>
      <c r="AQ559">
        <v>2.2204793470492419</v>
      </c>
      <c r="AR559">
        <v>0.34800861452997883</v>
      </c>
      <c r="AS559">
        <v>2.151960924139928</v>
      </c>
      <c r="AT559" t="e">
        <v>#DIV/0!</v>
      </c>
      <c r="AU559" t="e">
        <v>#DIV/0!</v>
      </c>
      <c r="AV559"/>
      <c r="AW559"/>
      <c r="FY559" s="211">
        <v>554</v>
      </c>
      <c r="FZ559">
        <v>1.3739607975438362</v>
      </c>
      <c r="GA559">
        <v>0.77470035519842362</v>
      </c>
      <c r="GB559">
        <v>0.204855832097669</v>
      </c>
      <c r="GC559">
        <v>0.14859665052880375</v>
      </c>
      <c r="GD559">
        <v>2.6724553773673727E-2</v>
      </c>
      <c r="GE559">
        <v>0</v>
      </c>
      <c r="GF559">
        <v>0.66042100116664126</v>
      </c>
      <c r="GG559">
        <v>0.59518473501329594</v>
      </c>
      <c r="GH559">
        <v>0</v>
      </c>
      <c r="GI559">
        <v>0.39728746643258445</v>
      </c>
      <c r="GJ559"/>
      <c r="GK559">
        <v>1.3839074137659062</v>
      </c>
      <c r="GL559">
        <v>0.66663043111567644</v>
      </c>
      <c r="GM559">
        <v>0.34079383167279126</v>
      </c>
      <c r="GN559">
        <v>0.44573189690518267</v>
      </c>
      <c r="GO559">
        <v>0.10493806523239137</v>
      </c>
      <c r="GP559">
        <v>0</v>
      </c>
      <c r="GQ559">
        <v>0.90739586192571098</v>
      </c>
      <c r="GR559">
        <v>0.90739586192571098</v>
      </c>
      <c r="GS559">
        <v>0</v>
      </c>
      <c r="GT559">
        <v>0.54740703451936001</v>
      </c>
      <c r="GU559"/>
      <c r="GV559"/>
      <c r="GW559"/>
      <c r="GX559"/>
      <c r="GY559"/>
      <c r="GZ559"/>
      <c r="HA559"/>
      <c r="HB559"/>
      <c r="HC559"/>
    </row>
    <row r="560" spans="1:211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1.9041666666666668</v>
      </c>
      <c r="AO560">
        <v>0.1984438534385255</v>
      </c>
      <c r="AP560">
        <v>2.2841636598075041</v>
      </c>
      <c r="AQ560">
        <v>1.8860090100802926</v>
      </c>
      <c r="AR560">
        <v>0.23311737252275433</v>
      </c>
      <c r="AS560">
        <v>1.6569269081528886</v>
      </c>
      <c r="AT560" t="e">
        <v>#DIV/0!</v>
      </c>
      <c r="AU560" t="e">
        <v>#DIV/0!</v>
      </c>
      <c r="AV560"/>
      <c r="AW560"/>
      <c r="FY560" s="211">
        <v>555</v>
      </c>
      <c r="FZ560">
        <v>0.500280201637885</v>
      </c>
      <c r="GA560">
        <v>8.725047411847664E-2</v>
      </c>
      <c r="GB560">
        <v>0.15840797322414965</v>
      </c>
      <c r="GC560">
        <v>0.12309692626280153</v>
      </c>
      <c r="GD560">
        <v>2.6724553773673727E-2</v>
      </c>
      <c r="GE560">
        <v>0</v>
      </c>
      <c r="GF560">
        <v>0</v>
      </c>
      <c r="GG560">
        <v>0</v>
      </c>
      <c r="GH560">
        <v>0</v>
      </c>
      <c r="GI560">
        <v>0.12844613809620464</v>
      </c>
      <c r="GJ560"/>
      <c r="GK560">
        <v>0.49941160457709549</v>
      </c>
      <c r="GL560">
        <v>7.3740509229249462E-2</v>
      </c>
      <c r="GM560">
        <v>0.26183540241601705</v>
      </c>
      <c r="GN560">
        <v>0.3667734676484084</v>
      </c>
      <c r="GO560">
        <v>0.10493806523239137</v>
      </c>
      <c r="GP560">
        <v>0</v>
      </c>
      <c r="GQ560">
        <v>0</v>
      </c>
      <c r="GR560">
        <v>0</v>
      </c>
      <c r="GS560">
        <v>0</v>
      </c>
      <c r="GT560">
        <v>0.17323701444510078</v>
      </c>
      <c r="GU560"/>
      <c r="GV560"/>
      <c r="GW560"/>
      <c r="GX560"/>
      <c r="GY560"/>
      <c r="GZ560"/>
      <c r="HA560"/>
      <c r="HB560"/>
      <c r="HC560"/>
    </row>
    <row r="561" spans="1:211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2.4093750000000003</v>
      </c>
      <c r="AO561">
        <v>0.44482958878001877</v>
      </c>
      <c r="AP561">
        <v>16.258171504977931</v>
      </c>
      <c r="AQ561">
        <v>3.4402773921325061</v>
      </c>
      <c r="AR561">
        <v>0.45321832669755813</v>
      </c>
      <c r="AS561">
        <v>2.2590054708232272</v>
      </c>
      <c r="AT561" t="e">
        <v>#DIV/0!</v>
      </c>
      <c r="AU561" t="e">
        <v>#DIV/0!</v>
      </c>
      <c r="AV561"/>
      <c r="AW561"/>
      <c r="FY561" s="211">
        <v>556</v>
      </c>
      <c r="FZ561">
        <v>1.505627369417895</v>
      </c>
      <c r="GA561">
        <v>0.9492013034353769</v>
      </c>
      <c r="GB561">
        <v>0.15840797322414965</v>
      </c>
      <c r="GC561">
        <v>8.8277651303840327E-2</v>
      </c>
      <c r="GD561">
        <v>0</v>
      </c>
      <c r="GE561">
        <v>0</v>
      </c>
      <c r="GF561">
        <v>0</v>
      </c>
      <c r="GG561">
        <v>0</v>
      </c>
      <c r="GH561">
        <v>0</v>
      </c>
      <c r="GI561">
        <v>0.26169686226750916</v>
      </c>
      <c r="GJ561"/>
      <c r="GK561">
        <v>1.5152874785782511</v>
      </c>
      <c r="GL561">
        <v>0.81411144957417536</v>
      </c>
      <c r="GM561">
        <v>0.26183540241601705</v>
      </c>
      <c r="GN561">
        <v>0.26183540241601705</v>
      </c>
      <c r="GO561">
        <v>0</v>
      </c>
      <c r="GP561">
        <v>0</v>
      </c>
      <c r="GQ561">
        <v>0</v>
      </c>
      <c r="GR561">
        <v>0</v>
      </c>
      <c r="GS561">
        <v>0</v>
      </c>
      <c r="GT561">
        <v>0.35542457619885359</v>
      </c>
      <c r="GU561"/>
      <c r="GV561"/>
      <c r="GW561"/>
      <c r="GX561"/>
      <c r="GY561"/>
      <c r="GZ561"/>
      <c r="HA561"/>
      <c r="HB561"/>
      <c r="HC561"/>
    </row>
    <row r="562" spans="1:211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2.2499999999999996</v>
      </c>
      <c r="AO562">
        <v>0.24213843124842099</v>
      </c>
      <c r="AP562">
        <v>9.1332102499084904</v>
      </c>
      <c r="AQ562">
        <v>1.7123511158548137</v>
      </c>
      <c r="AR562">
        <v>0.26318861276582184</v>
      </c>
      <c r="AS562">
        <v>1.5974138477693824</v>
      </c>
      <c r="AT562" t="e">
        <v>#DIV/0!</v>
      </c>
      <c r="AU562" t="e">
        <v>#DIV/0!</v>
      </c>
      <c r="AV562"/>
      <c r="AW562"/>
      <c r="FY562" s="211">
        <v>557</v>
      </c>
      <c r="FZ562">
        <v>1.0985651855300169</v>
      </c>
      <c r="GA562">
        <v>0.38735017759921181</v>
      </c>
      <c r="GB562">
        <v>0.12565184548559416</v>
      </c>
      <c r="GC562">
        <v>6.9638549917922385E-2</v>
      </c>
      <c r="GD562">
        <v>0</v>
      </c>
      <c r="GE562">
        <v>0</v>
      </c>
      <c r="GF562">
        <v>0.66042100116664126</v>
      </c>
      <c r="GG562">
        <v>0.59518473501329594</v>
      </c>
      <c r="GH562">
        <v>0</v>
      </c>
      <c r="GI562">
        <v>0.32165690655027834</v>
      </c>
      <c r="GJ562"/>
      <c r="GK562">
        <v>1.1067548661131967</v>
      </c>
      <c r="GL562">
        <v>0.33331521555783822</v>
      </c>
      <c r="GM562">
        <v>0.20987613046478273</v>
      </c>
      <c r="GN562">
        <v>0.20987613046478273</v>
      </c>
      <c r="GO562">
        <v>0</v>
      </c>
      <c r="GP562">
        <v>0</v>
      </c>
      <c r="GQ562">
        <v>0.90739586192571098</v>
      </c>
      <c r="GR562">
        <v>0.90739586192571098</v>
      </c>
      <c r="GS562">
        <v>0</v>
      </c>
      <c r="GT562">
        <v>0.44480537170073808</v>
      </c>
      <c r="GU562"/>
      <c r="GV562"/>
      <c r="GW562"/>
      <c r="GX562"/>
      <c r="GY562"/>
      <c r="GZ562"/>
      <c r="HA562"/>
      <c r="HB562"/>
      <c r="HC562"/>
    </row>
    <row r="563" spans="1:211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3.916666666666667</v>
      </c>
      <c r="AO563">
        <v>0.31336721526237421</v>
      </c>
      <c r="AP563">
        <v>10.741735630388494</v>
      </c>
      <c r="AQ563">
        <v>2.2172844676393177</v>
      </c>
      <c r="AR563">
        <v>0.36804378146334787</v>
      </c>
      <c r="AS563">
        <v>2.2014011994384735</v>
      </c>
      <c r="AT563" t="e">
        <v>#DIV/0!</v>
      </c>
      <c r="AU563" t="e">
        <v>#DIV/0!</v>
      </c>
      <c r="AV563"/>
      <c r="AW563"/>
      <c r="FY563" s="211">
        <v>558</v>
      </c>
      <c r="FZ563">
        <v>0.43255064533589183</v>
      </c>
      <c r="GA563">
        <v>0</v>
      </c>
      <c r="GB563">
        <v>0.14202990935487192</v>
      </c>
      <c r="GC563">
        <v>7.8958100610881349E-2</v>
      </c>
      <c r="GD563">
        <v>0</v>
      </c>
      <c r="GE563">
        <v>0</v>
      </c>
      <c r="GF563">
        <v>0.66042100116664126</v>
      </c>
      <c r="GG563">
        <v>0.59518473501329594</v>
      </c>
      <c r="GH563">
        <v>0</v>
      </c>
      <c r="GI563">
        <v>0.2271491701339074</v>
      </c>
      <c r="GJ563"/>
      <c r="GK563">
        <v>0.43171544982068766</v>
      </c>
      <c r="GL563">
        <v>0</v>
      </c>
      <c r="GM563">
        <v>0.23585576644039991</v>
      </c>
      <c r="GN563">
        <v>0.23585576644039991</v>
      </c>
      <c r="GO563">
        <v>0</v>
      </c>
      <c r="GP563">
        <v>0</v>
      </c>
      <c r="GQ563">
        <v>0.90739586192571098</v>
      </c>
      <c r="GR563">
        <v>0.90739586192571098</v>
      </c>
      <c r="GS563">
        <v>0</v>
      </c>
      <c r="GT563">
        <v>0.31499341563735972</v>
      </c>
      <c r="GU563"/>
      <c r="GV563"/>
      <c r="GW563"/>
      <c r="GX563"/>
      <c r="GY563"/>
      <c r="GZ563"/>
      <c r="HA563"/>
      <c r="HB563"/>
      <c r="HC563"/>
    </row>
    <row r="564" spans="1:211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1.8885416666666663</v>
      </c>
      <c r="AO564">
        <v>0.22825426458918652</v>
      </c>
      <c r="AP564">
        <v>2.7834499004413895</v>
      </c>
      <c r="AQ564">
        <v>1.8414581589446943</v>
      </c>
      <c r="AR564">
        <v>0.25578218157199772</v>
      </c>
      <c r="AS564">
        <v>1.6593514787456771</v>
      </c>
      <c r="AT564" t="e">
        <v>#DIV/0!</v>
      </c>
      <c r="AU564" t="e">
        <v>#DIV/0!</v>
      </c>
      <c r="AV564"/>
      <c r="AW564"/>
      <c r="FY564" s="211">
        <v>559</v>
      </c>
      <c r="FZ564">
        <v>1.2512142971963807</v>
      </c>
      <c r="GA564">
        <v>0.86195082931690026</v>
      </c>
      <c r="GB564">
        <v>0.23761195983622446</v>
      </c>
      <c r="GC564">
        <v>0.16723575191472168</v>
      </c>
      <c r="GD564">
        <v>2.6724553773673727E-2</v>
      </c>
      <c r="GE564">
        <v>0</v>
      </c>
      <c r="GF564">
        <v>0.33021050058332063</v>
      </c>
      <c r="GG564">
        <v>0.29759236750664797</v>
      </c>
      <c r="GH564">
        <v>0</v>
      </c>
      <c r="GI564">
        <v>0.32290647000250333</v>
      </c>
      <c r="GJ564"/>
      <c r="GK564">
        <v>1.2613756925717228</v>
      </c>
      <c r="GL564">
        <v>0.7403709403449259</v>
      </c>
      <c r="GM564">
        <v>0.39275310362402555</v>
      </c>
      <c r="GN564">
        <v>0.4976911688564169</v>
      </c>
      <c r="GO564">
        <v>0.10493806523239137</v>
      </c>
      <c r="GP564">
        <v>0</v>
      </c>
      <c r="GQ564">
        <v>0.45369793096285549</v>
      </c>
      <c r="GR564">
        <v>0.45369793096285549</v>
      </c>
      <c r="GS564">
        <v>0</v>
      </c>
      <c r="GT564">
        <v>0.44255295847819909</v>
      </c>
      <c r="GU564"/>
      <c r="GV564"/>
      <c r="GW564"/>
      <c r="GX564"/>
      <c r="GY564"/>
      <c r="GZ564"/>
      <c r="HA564"/>
      <c r="HB564"/>
      <c r="HC564"/>
    </row>
    <row r="565" spans="1:211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1.7791666666666663</v>
      </c>
      <c r="AO565">
        <v>0.36079933534776942</v>
      </c>
      <c r="AP565">
        <v>9.4882355860168879</v>
      </c>
      <c r="AQ565">
        <v>3.0428736347128438</v>
      </c>
      <c r="AR565">
        <v>0.4228939278771614</v>
      </c>
      <c r="AS565">
        <v>2.1184549436104381</v>
      </c>
      <c r="AT565" t="e">
        <v>#DIV/0!</v>
      </c>
      <c r="AU565" t="e">
        <v>#DIV/0!</v>
      </c>
      <c r="AV565"/>
      <c r="AW565"/>
      <c r="FY565" s="211">
        <v>560</v>
      </c>
      <c r="FZ565">
        <v>1.0200840927075423</v>
      </c>
      <c r="GA565">
        <v>0.77470035519842362</v>
      </c>
      <c r="GB565">
        <v>6.282592274279708E-2</v>
      </c>
      <c r="GC565">
        <v>6.9638549917922385E-2</v>
      </c>
      <c r="GD565">
        <v>2.6724553773673727E-2</v>
      </c>
      <c r="GE565">
        <v>0</v>
      </c>
      <c r="GF565">
        <v>0</v>
      </c>
      <c r="GG565">
        <v>0</v>
      </c>
      <c r="GH565">
        <v>0</v>
      </c>
      <c r="GI565">
        <v>0.18187920760347676</v>
      </c>
      <c r="GJ565"/>
      <c r="GK565">
        <v>1.0281812402253843</v>
      </c>
      <c r="GL565">
        <v>0.66663043111567644</v>
      </c>
      <c r="GM565">
        <v>0.10493806523239137</v>
      </c>
      <c r="GN565">
        <v>0.20987613046478273</v>
      </c>
      <c r="GO565">
        <v>0.10493806523239137</v>
      </c>
      <c r="GP565">
        <v>0</v>
      </c>
      <c r="GQ565">
        <v>0</v>
      </c>
      <c r="GR565">
        <v>0</v>
      </c>
      <c r="GS565">
        <v>0</v>
      </c>
      <c r="GT565">
        <v>0.24761147413803342</v>
      </c>
      <c r="GU565"/>
      <c r="GV565"/>
      <c r="GW565"/>
      <c r="GX565"/>
      <c r="GY565"/>
      <c r="GZ565"/>
      <c r="HA565"/>
      <c r="HB565"/>
      <c r="HC565"/>
    </row>
    <row r="566" spans="1:211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2.4406249999999998</v>
      </c>
      <c r="AO566">
        <v>0.37315642926849796</v>
      </c>
      <c r="AP566">
        <v>10.387373831036058</v>
      </c>
      <c r="AQ566">
        <v>2.9981456402152578</v>
      </c>
      <c r="AR566">
        <v>0.42166946754370754</v>
      </c>
      <c r="AS566">
        <v>2.2373967731140723</v>
      </c>
      <c r="AT566" t="e">
        <v>#DIV/0!</v>
      </c>
      <c r="AU566" t="e">
        <v>#DIV/0!</v>
      </c>
      <c r="AV566"/>
      <c r="AW566"/>
      <c r="FY566" s="211">
        <v>561</v>
      </c>
      <c r="FZ566">
        <v>1.3951460631258867</v>
      </c>
      <c r="GA566">
        <v>0.38735017759921181</v>
      </c>
      <c r="GB566">
        <v>0.204855832097669</v>
      </c>
      <c r="GC566">
        <v>0.18341592548776492</v>
      </c>
      <c r="GD566">
        <v>5.3449107547347455E-2</v>
      </c>
      <c r="GE566">
        <v>0</v>
      </c>
      <c r="GF566">
        <v>0.66042100116664126</v>
      </c>
      <c r="GG566">
        <v>0.59518473501329594</v>
      </c>
      <c r="GH566">
        <v>0</v>
      </c>
      <c r="GI566">
        <v>0.41586970870115925</v>
      </c>
      <c r="GJ566"/>
      <c r="GK566">
        <v>1.4056133634435726</v>
      </c>
      <c r="GL566">
        <v>0.33331521555783822</v>
      </c>
      <c r="GM566">
        <v>0.34079383167279126</v>
      </c>
      <c r="GN566">
        <v>0.55066996213757402</v>
      </c>
      <c r="GO566">
        <v>0.20987613046478273</v>
      </c>
      <c r="GP566">
        <v>0</v>
      </c>
      <c r="GQ566">
        <v>0.90739586192571098</v>
      </c>
      <c r="GR566">
        <v>0.90739586192571098</v>
      </c>
      <c r="GS566">
        <v>0</v>
      </c>
      <c r="GT566">
        <v>0.57273583750137158</v>
      </c>
      <c r="GU566"/>
      <c r="GV566"/>
      <c r="GW566"/>
      <c r="GX566"/>
      <c r="GY566"/>
      <c r="GZ566"/>
      <c r="HA566"/>
      <c r="HB566"/>
      <c r="HC566"/>
    </row>
    <row r="567" spans="1:211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2.5187499999999998</v>
      </c>
      <c r="AO567">
        <v>0.26135884839396323</v>
      </c>
      <c r="AP567">
        <v>6.3479460125739715</v>
      </c>
      <c r="AQ567">
        <v>2.1830290224539142</v>
      </c>
      <c r="AR567">
        <v>0.31891663345556431</v>
      </c>
      <c r="AS567">
        <v>1.7119946711352758</v>
      </c>
      <c r="AT567" t="e">
        <v>#DIV/0!</v>
      </c>
      <c r="AU567" t="e">
        <v>#DIV/0!</v>
      </c>
      <c r="AV567"/>
      <c r="AW567"/>
      <c r="FY567" s="211">
        <v>562</v>
      </c>
      <c r="FZ567">
        <v>1.2138418605188332</v>
      </c>
      <c r="GA567">
        <v>0.86195082931690026</v>
      </c>
      <c r="GB567">
        <v>0.204855832097669</v>
      </c>
      <c r="GC567">
        <v>0.11377737556984255</v>
      </c>
      <c r="GD567">
        <v>0</v>
      </c>
      <c r="GE567">
        <v>0</v>
      </c>
      <c r="GF567">
        <v>0</v>
      </c>
      <c r="GG567">
        <v>0</v>
      </c>
      <c r="GH567">
        <v>0</v>
      </c>
      <c r="GI567">
        <v>0.22994538497022776</v>
      </c>
      <c r="GJ567"/>
      <c r="GK567">
        <v>1.2239013101795229</v>
      </c>
      <c r="GL567">
        <v>0.7403709403449259</v>
      </c>
      <c r="GM567">
        <v>0.34079383167279126</v>
      </c>
      <c r="GN567">
        <v>0.34079383167279126</v>
      </c>
      <c r="GO567">
        <v>0</v>
      </c>
      <c r="GP567">
        <v>0</v>
      </c>
      <c r="GQ567">
        <v>0</v>
      </c>
      <c r="GR567">
        <v>0</v>
      </c>
      <c r="GS567">
        <v>0</v>
      </c>
      <c r="GT567">
        <v>0.31293902837046284</v>
      </c>
      <c r="GU567"/>
      <c r="GV567"/>
      <c r="GW567"/>
      <c r="GX567"/>
      <c r="GY567"/>
      <c r="GZ567"/>
      <c r="HA567"/>
      <c r="HB567"/>
      <c r="HC567"/>
    </row>
    <row r="568" spans="1:211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3.208333333333333</v>
      </c>
      <c r="AO568">
        <v>0.48414617238573959</v>
      </c>
      <c r="AP568">
        <v>20.371987287431942</v>
      </c>
      <c r="AQ568">
        <v>3.4825216054070012</v>
      </c>
      <c r="AR568">
        <v>0.50301211946885938</v>
      </c>
      <c r="AS568">
        <v>2.6832354076410367</v>
      </c>
      <c r="AT568" t="e">
        <v>#DIV/0!</v>
      </c>
      <c r="AU568" t="e">
        <v>#DIV/0!</v>
      </c>
      <c r="AV568"/>
      <c r="AW568"/>
      <c r="FY568" s="211">
        <v>563</v>
      </c>
      <c r="FZ568">
        <v>1.2937142646706046</v>
      </c>
      <c r="GA568">
        <v>0.77470035519842362</v>
      </c>
      <c r="GB568">
        <v>7.9203986612074825E-2</v>
      </c>
      <c r="GC568">
        <v>7.8958100610881349E-2</v>
      </c>
      <c r="GD568">
        <v>2.6724553773673727E-2</v>
      </c>
      <c r="GE568">
        <v>0</v>
      </c>
      <c r="GF568">
        <v>1.3208420023332825</v>
      </c>
      <c r="GG568">
        <v>1.1903694700265919</v>
      </c>
      <c r="GH568">
        <v>0</v>
      </c>
      <c r="GI568">
        <v>0.4826246691881394</v>
      </c>
      <c r="GJ568"/>
      <c r="GK568">
        <v>1.3036861738816139</v>
      </c>
      <c r="GL568">
        <v>0.66663043111567644</v>
      </c>
      <c r="GM568">
        <v>0.13091770120800852</v>
      </c>
      <c r="GN568">
        <v>0.23585576644039991</v>
      </c>
      <c r="GO568">
        <v>0.10493806523239137</v>
      </c>
      <c r="GP568">
        <v>0</v>
      </c>
      <c r="GQ568">
        <v>1.814791723851422</v>
      </c>
      <c r="GR568">
        <v>1.814791723851422</v>
      </c>
      <c r="GS568">
        <v>0</v>
      </c>
      <c r="GT568">
        <v>0.67086673283468712</v>
      </c>
      <c r="GU568"/>
      <c r="GV568"/>
      <c r="GW568"/>
      <c r="GX568"/>
      <c r="GY568"/>
      <c r="GZ568"/>
      <c r="HA568"/>
      <c r="HB568"/>
      <c r="HC568"/>
    </row>
    <row r="569" spans="1:211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2.2218749999999998</v>
      </c>
      <c r="AO569">
        <v>0.30080489258847626</v>
      </c>
      <c r="AP569">
        <v>9.7599386161966848</v>
      </c>
      <c r="AQ569">
        <v>2.4000234329206283</v>
      </c>
      <c r="AR569">
        <v>0.33086333548727814</v>
      </c>
      <c r="AS569">
        <v>1.8400207368001711</v>
      </c>
      <c r="AT569" t="e">
        <v>#DIV/0!</v>
      </c>
      <c r="AU569" t="e">
        <v>#DIV/0!</v>
      </c>
      <c r="AV569"/>
      <c r="AW569"/>
      <c r="FY569" s="211">
        <v>564</v>
      </c>
      <c r="FZ569">
        <v>0.97518998593714101</v>
      </c>
      <c r="GA569">
        <v>0.47460065171768845</v>
      </c>
      <c r="GB569">
        <v>6.282592274279708E-2</v>
      </c>
      <c r="GC569">
        <v>3.4819274958961192E-2</v>
      </c>
      <c r="GD569">
        <v>0</v>
      </c>
      <c r="GE569">
        <v>0</v>
      </c>
      <c r="GF569">
        <v>0.33021050058332063</v>
      </c>
      <c r="GG569">
        <v>0.29759236750664797</v>
      </c>
      <c r="GH569">
        <v>0</v>
      </c>
      <c r="GI569">
        <v>0.22390271064422784</v>
      </c>
      <c r="GJ569"/>
      <c r="GK569">
        <v>0.98119943687003774</v>
      </c>
      <c r="GL569">
        <v>0.40705572478708768</v>
      </c>
      <c r="GM569">
        <v>0.10493806523239137</v>
      </c>
      <c r="GN569">
        <v>0.10493806523239137</v>
      </c>
      <c r="GO569">
        <v>0</v>
      </c>
      <c r="GP569">
        <v>0</v>
      </c>
      <c r="GQ569">
        <v>0.45369793096285549</v>
      </c>
      <c r="GR569">
        <v>0.45369793096285549</v>
      </c>
      <c r="GS569">
        <v>0</v>
      </c>
      <c r="GT569">
        <v>0.30796708661305694</v>
      </c>
      <c r="GU569"/>
      <c r="GV569"/>
      <c r="GW569"/>
      <c r="GX569"/>
      <c r="GY569"/>
      <c r="GZ569"/>
      <c r="HA569"/>
      <c r="HB569"/>
      <c r="HC569"/>
    </row>
    <row r="570" spans="1:211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3.0218750000000001</v>
      </c>
      <c r="AO570">
        <v>0.53042003970627294</v>
      </c>
      <c r="AP570">
        <v>19.344844535265999</v>
      </c>
      <c r="AQ570">
        <v>4.1817313917549281</v>
      </c>
      <c r="AR570">
        <v>0.54740703451936001</v>
      </c>
      <c r="AS570">
        <v>2.682011192108821</v>
      </c>
      <c r="AT570" t="e">
        <v>#DIV/0!</v>
      </c>
      <c r="AU570" t="e">
        <v>#DIV/0!</v>
      </c>
      <c r="AV570"/>
      <c r="AW570"/>
      <c r="FY570" s="211">
        <v>565</v>
      </c>
      <c r="FZ570">
        <v>0.7859166950361498</v>
      </c>
      <c r="GA570">
        <v>8.725047411847664E-2</v>
      </c>
      <c r="GB570">
        <v>0.14202990935487192</v>
      </c>
      <c r="GC570">
        <v>0.11377737556984255</v>
      </c>
      <c r="GD570">
        <v>2.6724553773673727E-2</v>
      </c>
      <c r="GE570">
        <v>0</v>
      </c>
      <c r="GF570">
        <v>0.33021050058332063</v>
      </c>
      <c r="GG570">
        <v>0.29759236750664797</v>
      </c>
      <c r="GH570">
        <v>0</v>
      </c>
      <c r="GI570">
        <v>0.23076646402221399</v>
      </c>
      <c r="GJ570"/>
      <c r="GK570">
        <v>0.78997698038371345</v>
      </c>
      <c r="GL570">
        <v>7.3740509229249462E-2</v>
      </c>
      <c r="GM570">
        <v>0.23585576644039991</v>
      </c>
      <c r="GN570">
        <v>0.34079383167279126</v>
      </c>
      <c r="GO570">
        <v>0.10493806523239137</v>
      </c>
      <c r="GP570">
        <v>0</v>
      </c>
      <c r="GQ570">
        <v>0.45369793096285549</v>
      </c>
      <c r="GR570">
        <v>0.45369793096285549</v>
      </c>
      <c r="GS570">
        <v>0</v>
      </c>
      <c r="GT570">
        <v>0.31689374860387204</v>
      </c>
      <c r="GU570"/>
      <c r="GV570"/>
      <c r="GW570"/>
      <c r="GX570"/>
      <c r="GY570"/>
      <c r="GZ570"/>
      <c r="HA570"/>
      <c r="HB570"/>
      <c r="HC570"/>
    </row>
    <row r="571" spans="1:211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1.9791666666666665</v>
      </c>
      <c r="AO571">
        <v>0.14799360635482625</v>
      </c>
      <c r="AP571">
        <v>3.4641034929867827</v>
      </c>
      <c r="AQ571">
        <v>1.0242062671131913</v>
      </c>
      <c r="AR571">
        <v>0.17323701444510078</v>
      </c>
      <c r="AS571">
        <v>1.3818038117652656</v>
      </c>
      <c r="AT571" t="e">
        <v>#DIV/0!</v>
      </c>
      <c r="AU571" t="e">
        <v>#DIV/0!</v>
      </c>
      <c r="AV571"/>
      <c r="AW571"/>
      <c r="FY571" s="211">
        <v>566</v>
      </c>
      <c r="FZ571">
        <v>1.0425454135176739</v>
      </c>
      <c r="GA571">
        <v>0.56185112583616514</v>
      </c>
      <c r="GB571">
        <v>0.28405981870974384</v>
      </c>
      <c r="GC571">
        <v>0.1927354761807239</v>
      </c>
      <c r="GD571">
        <v>2.6724553773673727E-2</v>
      </c>
      <c r="GE571">
        <v>0</v>
      </c>
      <c r="GF571">
        <v>0.33021050058332063</v>
      </c>
      <c r="GG571">
        <v>0.29759236750664797</v>
      </c>
      <c r="GH571">
        <v>0</v>
      </c>
      <c r="GI571">
        <v>0.30361241562568048</v>
      </c>
      <c r="GJ571"/>
      <c r="GK571">
        <v>1.0484592154442445</v>
      </c>
      <c r="GL571">
        <v>0.48079623401633714</v>
      </c>
      <c r="GM571">
        <v>0.47171153288079981</v>
      </c>
      <c r="GN571">
        <v>0.57664959811319116</v>
      </c>
      <c r="GO571">
        <v>0.10493806523239137</v>
      </c>
      <c r="GP571">
        <v>0</v>
      </c>
      <c r="GQ571">
        <v>0.45369793096285549</v>
      </c>
      <c r="GR571">
        <v>0.45369793096285549</v>
      </c>
      <c r="GS571">
        <v>0</v>
      </c>
      <c r="GT571">
        <v>0.41576134890405825</v>
      </c>
      <c r="GU571"/>
      <c r="GV571"/>
      <c r="GW571"/>
      <c r="GX571"/>
      <c r="GY571"/>
      <c r="GZ571"/>
      <c r="HA571"/>
      <c r="HB571"/>
      <c r="HC571"/>
    </row>
    <row r="572" spans="1:211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3.5062500000000001</v>
      </c>
      <c r="AO572">
        <v>0.3208494309183314</v>
      </c>
      <c r="AP572">
        <v>5.4671910130997938</v>
      </c>
      <c r="AQ572">
        <v>2.9632111596487709</v>
      </c>
      <c r="AR572">
        <v>0.35542457619885359</v>
      </c>
      <c r="AS572">
        <v>2.1687746095724685</v>
      </c>
      <c r="AT572" t="e">
        <v>#DIV/0!</v>
      </c>
      <c r="AU572" t="e">
        <v>#DIV/0!</v>
      </c>
      <c r="AV572"/>
      <c r="AW572"/>
      <c r="FY572" s="211">
        <v>567</v>
      </c>
      <c r="FZ572">
        <v>1.4202533057479871</v>
      </c>
      <c r="GA572">
        <v>0.9492013034353769</v>
      </c>
      <c r="GB572">
        <v>0.18847776822839127</v>
      </c>
      <c r="GC572">
        <v>0.174096374794806</v>
      </c>
      <c r="GD572">
        <v>5.3449107547347455E-2</v>
      </c>
      <c r="GE572">
        <v>0</v>
      </c>
      <c r="GF572">
        <v>0.66042100116664126</v>
      </c>
      <c r="GG572">
        <v>0.59518473501329594</v>
      </c>
      <c r="GH572">
        <v>0</v>
      </c>
      <c r="GI572">
        <v>0.41565907707102168</v>
      </c>
      <c r="GJ572"/>
      <c r="GK572">
        <v>1.4302301397762678</v>
      </c>
      <c r="GL572">
        <v>0.81411144957417536</v>
      </c>
      <c r="GM572">
        <v>0.31481419569717417</v>
      </c>
      <c r="GN572">
        <v>0.52469032616195688</v>
      </c>
      <c r="GO572">
        <v>0.20987613046478273</v>
      </c>
      <c r="GP572">
        <v>0</v>
      </c>
      <c r="GQ572">
        <v>0.90739586192571098</v>
      </c>
      <c r="GR572">
        <v>0.90739586192571098</v>
      </c>
      <c r="GS572">
        <v>0</v>
      </c>
      <c r="GT572">
        <v>0.57246326557278715</v>
      </c>
      <c r="GU572"/>
      <c r="GV572"/>
      <c r="GW572"/>
      <c r="GX572"/>
      <c r="GY572"/>
      <c r="GZ572"/>
      <c r="HA572"/>
      <c r="HB572"/>
      <c r="HC572"/>
    </row>
    <row r="573" spans="1:211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2.4145833333333337</v>
      </c>
      <c r="AO573">
        <v>0.41194194381527599</v>
      </c>
      <c r="AP573">
        <v>17.080006588005102</v>
      </c>
      <c r="AQ573">
        <v>3.2584684012629612</v>
      </c>
      <c r="AR573">
        <v>0.44480537170073808</v>
      </c>
      <c r="AS573">
        <v>2.0364685304673666</v>
      </c>
      <c r="AT573" t="e">
        <v>#DIV/0!</v>
      </c>
      <c r="AU573" t="e">
        <v>#DIV/0!</v>
      </c>
      <c r="AV573"/>
      <c r="AW573"/>
      <c r="FY573" s="211">
        <v>568</v>
      </c>
      <c r="FZ573">
        <v>0.92579704761548409</v>
      </c>
      <c r="GA573">
        <v>8.725047411847664E-2</v>
      </c>
      <c r="GB573">
        <v>0</v>
      </c>
      <c r="GC573">
        <v>3.4819274958961192E-2</v>
      </c>
      <c r="GD573">
        <v>2.6724553773673727E-2</v>
      </c>
      <c r="GE573">
        <v>0</v>
      </c>
      <c r="GF573">
        <v>0.33021050058332063</v>
      </c>
      <c r="GG573">
        <v>0.29759236750664797</v>
      </c>
      <c r="GH573">
        <v>0</v>
      </c>
      <c r="GI573">
        <v>0.21656366613960026</v>
      </c>
      <c r="GJ573"/>
      <c r="GK573">
        <v>0.93240524264597602</v>
      </c>
      <c r="GL573">
        <v>7.3740509229249462E-2</v>
      </c>
      <c r="GM573">
        <v>0</v>
      </c>
      <c r="GN573">
        <v>0.10493806523239137</v>
      </c>
      <c r="GO573">
        <v>0.10493806523239137</v>
      </c>
      <c r="GP573">
        <v>0</v>
      </c>
      <c r="GQ573">
        <v>0.45369793096285549</v>
      </c>
      <c r="GR573">
        <v>0.45369793096285549</v>
      </c>
      <c r="GS573">
        <v>0</v>
      </c>
      <c r="GT573">
        <v>0.29820824776824456</v>
      </c>
      <c r="GU573"/>
      <c r="GV573"/>
      <c r="GW573"/>
      <c r="GX573"/>
      <c r="GY573"/>
      <c r="GZ573"/>
      <c r="HA573"/>
      <c r="HB573"/>
      <c r="HC573"/>
    </row>
    <row r="574" spans="1:211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1.7552083333333333</v>
      </c>
      <c r="AO574">
        <v>0.30332121221902691</v>
      </c>
      <c r="AP574">
        <v>15.187067124026395</v>
      </c>
      <c r="AQ574">
        <v>2.1362935616154899</v>
      </c>
      <c r="AR574">
        <v>0.31499341563735972</v>
      </c>
      <c r="AS574">
        <v>1.7600654293235916</v>
      </c>
      <c r="AT574" t="e">
        <v>#DIV/0!</v>
      </c>
      <c r="AU574" t="e">
        <v>#DIV/0!</v>
      </c>
      <c r="AV574"/>
      <c r="AW574"/>
      <c r="FY574" s="211">
        <v>569</v>
      </c>
      <c r="FZ574">
        <v>0.71584914626847818</v>
      </c>
      <c r="GA574">
        <v>8.725047411847664E-2</v>
      </c>
      <c r="GB574">
        <v>0.12565184548559416</v>
      </c>
      <c r="GC574">
        <v>0.13927709983584477</v>
      </c>
      <c r="GD574">
        <v>5.3449107547347455E-2</v>
      </c>
      <c r="GE574">
        <v>0</v>
      </c>
      <c r="GF574">
        <v>0.99063150174996206</v>
      </c>
      <c r="GG574">
        <v>0.89277710251994391</v>
      </c>
      <c r="GH574">
        <v>0</v>
      </c>
      <c r="GI574">
        <v>0.36012645174502322</v>
      </c>
      <c r="GJ574"/>
      <c r="GK574">
        <v>0.7169414794594815</v>
      </c>
      <c r="GL574">
        <v>7.3740509229249462E-2</v>
      </c>
      <c r="GM574">
        <v>0.20987613046478273</v>
      </c>
      <c r="GN574">
        <v>0.41975226092956547</v>
      </c>
      <c r="GO574">
        <v>0.20987613046478273</v>
      </c>
      <c r="GP574">
        <v>0</v>
      </c>
      <c r="GQ574">
        <v>1.3610937928885667</v>
      </c>
      <c r="GR574">
        <v>1.3610937928885667</v>
      </c>
      <c r="GS574">
        <v>0</v>
      </c>
      <c r="GT574">
        <v>0.49955750665552273</v>
      </c>
      <c r="GU574"/>
      <c r="GV574"/>
      <c r="GW574"/>
      <c r="GX574"/>
      <c r="GY574"/>
      <c r="GZ574"/>
      <c r="HA574"/>
      <c r="HB574"/>
      <c r="HC574"/>
    </row>
    <row r="575" spans="1:211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3.0427083333333327</v>
      </c>
      <c r="AO575">
        <v>0.43470777910333924</v>
      </c>
      <c r="AP575">
        <v>13.185739493157458</v>
      </c>
      <c r="AQ575">
        <v>3.4954467301303733</v>
      </c>
      <c r="AR575">
        <v>0.44255295847819914</v>
      </c>
      <c r="AS575">
        <v>2.2865131327716153</v>
      </c>
      <c r="AT575" t="e">
        <v>#DIV/0!</v>
      </c>
      <c r="AU575" t="e">
        <v>#DIV/0!</v>
      </c>
      <c r="AV575"/>
      <c r="AW575"/>
      <c r="FY575" s="211">
        <v>570</v>
      </c>
      <c r="FZ575">
        <v>0.74539907361133539</v>
      </c>
      <c r="GA575">
        <v>8.725047411847664E-2</v>
      </c>
      <c r="GB575">
        <v>7.9203986612074825E-2</v>
      </c>
      <c r="GC575">
        <v>4.4138825651920163E-2</v>
      </c>
      <c r="GD575">
        <v>0</v>
      </c>
      <c r="GE575">
        <v>0</v>
      </c>
      <c r="GF575">
        <v>0.33021050058332063</v>
      </c>
      <c r="GG575">
        <v>0.29759236750664797</v>
      </c>
      <c r="GH575">
        <v>0</v>
      </c>
      <c r="GI575">
        <v>0.19400604387283782</v>
      </c>
      <c r="GJ575"/>
      <c r="GK575">
        <v>0.74403867078326069</v>
      </c>
      <c r="GL575">
        <v>7.3740509229249462E-2</v>
      </c>
      <c r="GM575">
        <v>0.13091770120800852</v>
      </c>
      <c r="GN575">
        <v>0.13091770120800852</v>
      </c>
      <c r="GO575">
        <v>0</v>
      </c>
      <c r="GP575">
        <v>0</v>
      </c>
      <c r="GQ575">
        <v>0.45369793096285549</v>
      </c>
      <c r="GR575">
        <v>0.45369793096285549</v>
      </c>
      <c r="GS575">
        <v>0</v>
      </c>
      <c r="GT575">
        <v>0.26573086059082496</v>
      </c>
      <c r="GU575"/>
      <c r="GV575"/>
      <c r="GW575"/>
      <c r="GX575"/>
      <c r="GY575"/>
      <c r="GZ575"/>
      <c r="HA575"/>
      <c r="HB575"/>
      <c r="HC575"/>
    </row>
    <row r="576" spans="1:211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1.5166666666666666</v>
      </c>
      <c r="AO576">
        <v>0.23621754064086592</v>
      </c>
      <c r="AP576">
        <v>3.3071284365255504</v>
      </c>
      <c r="AQ576">
        <v>2.1358526819438359</v>
      </c>
      <c r="AR576">
        <v>0.24761147413803342</v>
      </c>
      <c r="AS576">
        <v>1.4365828204435298</v>
      </c>
      <c r="AT576" t="e">
        <v>#DIV/0!</v>
      </c>
      <c r="AU576" t="e">
        <v>#DIV/0!</v>
      </c>
      <c r="AV576"/>
      <c r="AW576"/>
      <c r="FY576" s="211">
        <v>571</v>
      </c>
      <c r="FZ576">
        <v>1.3075664057406409</v>
      </c>
      <c r="GA576">
        <v>0.77470035519842362</v>
      </c>
      <c r="GB576">
        <v>6.282592274279708E-2</v>
      </c>
      <c r="GC576">
        <v>0.10445782487688358</v>
      </c>
      <c r="GD576">
        <v>5.3449107547347455E-2</v>
      </c>
      <c r="GE576">
        <v>0</v>
      </c>
      <c r="GF576">
        <v>0.33021050058332063</v>
      </c>
      <c r="GG576">
        <v>0.29759236750664797</v>
      </c>
      <c r="GH576">
        <v>0</v>
      </c>
      <c r="GI576">
        <v>0.3039511636966406</v>
      </c>
      <c r="GJ576"/>
      <c r="GK576">
        <v>1.3180905209461455</v>
      </c>
      <c r="GL576">
        <v>0.66663043111567644</v>
      </c>
      <c r="GM576">
        <v>0.10493806523239137</v>
      </c>
      <c r="GN576">
        <v>0.31481419569717412</v>
      </c>
      <c r="GO576">
        <v>0.20987613046478273</v>
      </c>
      <c r="GP576">
        <v>0</v>
      </c>
      <c r="GQ576">
        <v>0.45369793096285549</v>
      </c>
      <c r="GR576">
        <v>0.45369793096285549</v>
      </c>
      <c r="GS576">
        <v>0</v>
      </c>
      <c r="GT576">
        <v>0.41732052952123505</v>
      </c>
      <c r="GU576"/>
      <c r="GV576"/>
      <c r="GW576"/>
      <c r="GX576"/>
      <c r="GY576"/>
      <c r="GZ576"/>
      <c r="HA576"/>
      <c r="HB576"/>
      <c r="HC576"/>
    </row>
    <row r="577" spans="1:211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3.0552083333333337</v>
      </c>
      <c r="AO577">
        <v>0.5227796064629352</v>
      </c>
      <c r="AP577">
        <v>18.953791409169057</v>
      </c>
      <c r="AQ577">
        <v>3.895692550738977</v>
      </c>
      <c r="AR577">
        <v>0.57273583750137158</v>
      </c>
      <c r="AS577">
        <v>2.8445726197908332</v>
      </c>
      <c r="AT577" t="e">
        <v>#DIV/0!</v>
      </c>
      <c r="AU577" t="e">
        <v>#DIV/0!</v>
      </c>
      <c r="AV577"/>
      <c r="AW577"/>
      <c r="FY577" s="211">
        <v>572</v>
      </c>
      <c r="FZ577">
        <v>0.67519069633280393</v>
      </c>
      <c r="GA577">
        <v>0.47460065171768845</v>
      </c>
      <c r="GB577">
        <v>0.12565184548559416</v>
      </c>
      <c r="GC577">
        <v>6.9638549917922385E-2</v>
      </c>
      <c r="GD577">
        <v>0</v>
      </c>
      <c r="GE577">
        <v>0</v>
      </c>
      <c r="GF577">
        <v>0.99063150174996206</v>
      </c>
      <c r="GG577">
        <v>0.89277710251994391</v>
      </c>
      <c r="GH577">
        <v>0</v>
      </c>
      <c r="GI577">
        <v>0.32311162266745186</v>
      </c>
      <c r="GJ577"/>
      <c r="GK577">
        <v>0.67876507102139205</v>
      </c>
      <c r="GL577">
        <v>0.40705572478708768</v>
      </c>
      <c r="GM577">
        <v>0.20987613046478273</v>
      </c>
      <c r="GN577">
        <v>0.20987613046478273</v>
      </c>
      <c r="GO577">
        <v>0</v>
      </c>
      <c r="GP577">
        <v>0</v>
      </c>
      <c r="GQ577">
        <v>1.3610937928885667</v>
      </c>
      <c r="GR577">
        <v>1.3610937928885667</v>
      </c>
      <c r="GS577">
        <v>0</v>
      </c>
      <c r="GT577">
        <v>0.44994699887494827</v>
      </c>
      <c r="GU577"/>
      <c r="GV577"/>
      <c r="GW577"/>
      <c r="GX577"/>
      <c r="GY577"/>
      <c r="GZ577"/>
      <c r="HA577"/>
      <c r="HB577"/>
      <c r="HC577"/>
    </row>
    <row r="578" spans="1:211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2.7197916666666666</v>
      </c>
      <c r="AO578">
        <v>0.29587989422404942</v>
      </c>
      <c r="AP578">
        <v>6.4036294973444026</v>
      </c>
      <c r="AQ578">
        <v>2.6243712824734731</v>
      </c>
      <c r="AR578">
        <v>0.31293902837046284</v>
      </c>
      <c r="AS578">
        <v>1.7229460769517415</v>
      </c>
      <c r="AT578" t="e">
        <v>#DIV/0!</v>
      </c>
      <c r="AU578" t="e">
        <v>#DIV/0!</v>
      </c>
      <c r="AV578"/>
      <c r="AW578"/>
      <c r="FY578" s="211">
        <v>573</v>
      </c>
      <c r="FZ578">
        <v>1.5932028991389058</v>
      </c>
      <c r="GA578">
        <v>0.9492013034353769</v>
      </c>
      <c r="GB578">
        <v>7.9203986612074825E-2</v>
      </c>
      <c r="GC578">
        <v>7.8958100610881349E-2</v>
      </c>
      <c r="GD578">
        <v>2.6724553773673727E-2</v>
      </c>
      <c r="GE578">
        <v>0</v>
      </c>
      <c r="GF578">
        <v>0</v>
      </c>
      <c r="GG578">
        <v>0</v>
      </c>
      <c r="GH578">
        <v>0</v>
      </c>
      <c r="GI578">
        <v>0.27056001698116194</v>
      </c>
      <c r="GJ578"/>
      <c r="GK578">
        <v>1.6086558967527638</v>
      </c>
      <c r="GL578">
        <v>0.81411144957417536</v>
      </c>
      <c r="GM578">
        <v>0.13091770120800852</v>
      </c>
      <c r="GN578">
        <v>0.23585576644039991</v>
      </c>
      <c r="GO578">
        <v>0.10493806523239137</v>
      </c>
      <c r="GP578">
        <v>0</v>
      </c>
      <c r="GQ578">
        <v>0</v>
      </c>
      <c r="GR578">
        <v>0</v>
      </c>
      <c r="GS578">
        <v>0</v>
      </c>
      <c r="GT578">
        <v>0.3689023326386327</v>
      </c>
      <c r="GU578"/>
      <c r="GV578"/>
      <c r="GW578"/>
      <c r="GX578"/>
      <c r="GY578"/>
      <c r="GZ578"/>
      <c r="HA578"/>
      <c r="HB578"/>
      <c r="HC578"/>
    </row>
    <row r="579" spans="1:211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3.1468749999999996</v>
      </c>
      <c r="AO579">
        <v>0.67424783184156223</v>
      </c>
      <c r="AP579">
        <v>29.317052057247814</v>
      </c>
      <c r="AQ579">
        <v>5.2471374024136725</v>
      </c>
      <c r="AR579">
        <v>0.67086673283468712</v>
      </c>
      <c r="AS579">
        <v>2.9109383527011699</v>
      </c>
      <c r="AT579" t="e">
        <v>#DIV/0!</v>
      </c>
      <c r="AU579" t="e">
        <v>#DIV/0!</v>
      </c>
      <c r="AV579"/>
      <c r="AW579"/>
      <c r="FY579" s="211">
        <v>574</v>
      </c>
      <c r="FZ579">
        <v>1.0466529736983445</v>
      </c>
      <c r="GA579">
        <v>0.56185112583616514</v>
      </c>
      <c r="GB579">
        <v>7.9203986612074825E-2</v>
      </c>
      <c r="GC579">
        <v>4.4138825651920163E-2</v>
      </c>
      <c r="GD579">
        <v>0</v>
      </c>
      <c r="GE579">
        <v>0</v>
      </c>
      <c r="GF579">
        <v>0</v>
      </c>
      <c r="GG579">
        <v>0</v>
      </c>
      <c r="GH579">
        <v>0</v>
      </c>
      <c r="GI579">
        <v>0.17445887940173663</v>
      </c>
      <c r="GJ579"/>
      <c r="GK579">
        <v>1.049600599931463</v>
      </c>
      <c r="GL579">
        <v>0.48079623401633714</v>
      </c>
      <c r="GM579">
        <v>0.13091770120800852</v>
      </c>
      <c r="GN579">
        <v>0.13091770120800852</v>
      </c>
      <c r="GO579">
        <v>0</v>
      </c>
      <c r="GP579">
        <v>0</v>
      </c>
      <c r="GQ579">
        <v>0</v>
      </c>
      <c r="GR579">
        <v>0</v>
      </c>
      <c r="GS579">
        <v>0</v>
      </c>
      <c r="GT579">
        <v>0.23610366022789428</v>
      </c>
      <c r="GU579"/>
      <c r="GV579"/>
      <c r="GW579"/>
      <c r="GX579"/>
      <c r="GY579"/>
      <c r="GZ579"/>
      <c r="HA579"/>
      <c r="HB579"/>
      <c r="HC579"/>
    </row>
    <row r="580" spans="1:211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1.7270833333333335</v>
      </c>
      <c r="AO580">
        <v>0.28134942406606755</v>
      </c>
      <c r="AP580">
        <v>8.6196963031883698</v>
      </c>
      <c r="AQ580">
        <v>2.3991414140907841</v>
      </c>
      <c r="AR580">
        <v>0.30796708661305694</v>
      </c>
      <c r="AS580">
        <v>1.6528592598137788</v>
      </c>
      <c r="AT580" t="e">
        <v>#DIV/0!</v>
      </c>
      <c r="AU580" t="e">
        <v>#DIV/0!</v>
      </c>
      <c r="AV580"/>
      <c r="AW580"/>
      <c r="FY580" s="211">
        <v>575</v>
      </c>
      <c r="FZ580">
        <v>1.7429613965819633</v>
      </c>
      <c r="GA580">
        <v>1.1620505327976354</v>
      </c>
      <c r="GB580">
        <v>0.204855832097669</v>
      </c>
      <c r="GC580">
        <v>0.14859665052880375</v>
      </c>
      <c r="GD580">
        <v>2.6724553773673727E-2</v>
      </c>
      <c r="GE580">
        <v>0</v>
      </c>
      <c r="GF580">
        <v>0</v>
      </c>
      <c r="GG580">
        <v>0</v>
      </c>
      <c r="GH580">
        <v>0</v>
      </c>
      <c r="GI580">
        <v>0.32370300883300629</v>
      </c>
      <c r="GJ580"/>
      <c r="GK580">
        <v>1.7574001278698117</v>
      </c>
      <c r="GL580">
        <v>0.9999456466735146</v>
      </c>
      <c r="GM580">
        <v>0.34079383167279126</v>
      </c>
      <c r="GN580">
        <v>0.44573189690518267</v>
      </c>
      <c r="GO580">
        <v>0.10493806523239137</v>
      </c>
      <c r="GP580">
        <v>0</v>
      </c>
      <c r="GQ580">
        <v>0</v>
      </c>
      <c r="GR580">
        <v>0</v>
      </c>
      <c r="GS580">
        <v>0</v>
      </c>
      <c r="GT580">
        <v>0.44062640495499888</v>
      </c>
      <c r="GU580"/>
      <c r="GV580"/>
      <c r="GW580"/>
      <c r="GX580"/>
      <c r="GY580"/>
      <c r="GZ580"/>
      <c r="HA580"/>
      <c r="HB580"/>
      <c r="HC580"/>
    </row>
    <row r="581" spans="1:211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1.859375</v>
      </c>
      <c r="AO581">
        <v>0.27695947634881291</v>
      </c>
      <c r="AP581">
        <v>9.1325501481303739</v>
      </c>
      <c r="AQ581">
        <v>2.0142683399651973</v>
      </c>
      <c r="AR581">
        <v>0.31689374860387209</v>
      </c>
      <c r="AS581">
        <v>1.7849682834356941</v>
      </c>
      <c r="AT581" t="e">
        <v>#DIV/0!</v>
      </c>
      <c r="AU581" t="e">
        <v>#DIV/0!</v>
      </c>
      <c r="AV581"/>
      <c r="AW581"/>
      <c r="FY581" s="211">
        <v>576</v>
      </c>
      <c r="FZ581">
        <v>1.4468178846425053</v>
      </c>
      <c r="GA581">
        <v>0.86195082931690026</v>
      </c>
      <c r="GB581">
        <v>7.9203986612074825E-2</v>
      </c>
      <c r="GC581">
        <v>4.4138825651920163E-2</v>
      </c>
      <c r="GD581">
        <v>0</v>
      </c>
      <c r="GE581">
        <v>0</v>
      </c>
      <c r="GF581">
        <v>0</v>
      </c>
      <c r="GG581">
        <v>0</v>
      </c>
      <c r="GH581">
        <v>0</v>
      </c>
      <c r="GI581">
        <v>0.23357676441882394</v>
      </c>
      <c r="GJ581"/>
      <c r="GK581">
        <v>1.4564396674400049</v>
      </c>
      <c r="GL581">
        <v>0.7403709403449259</v>
      </c>
      <c r="GM581">
        <v>0.13091770120800852</v>
      </c>
      <c r="GN581">
        <v>0.13091770120800852</v>
      </c>
      <c r="GO581">
        <v>0</v>
      </c>
      <c r="GP581">
        <v>0</v>
      </c>
      <c r="GQ581">
        <v>0</v>
      </c>
      <c r="GR581">
        <v>0</v>
      </c>
      <c r="GS581">
        <v>0</v>
      </c>
      <c r="GT581">
        <v>0.31747147372960266</v>
      </c>
      <c r="GU581"/>
      <c r="GV581"/>
      <c r="GW581"/>
      <c r="GX581"/>
      <c r="GY581"/>
      <c r="GZ581"/>
      <c r="HA581"/>
      <c r="HB581"/>
      <c r="HC581"/>
    </row>
    <row r="582" spans="1:211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3.0083333333333329</v>
      </c>
      <c r="AO582">
        <v>0.40057118565167327</v>
      </c>
      <c r="AP582">
        <v>13.188045550652216</v>
      </c>
      <c r="AQ582">
        <v>3.0393316717336298</v>
      </c>
      <c r="AR582">
        <v>0.41576134890405825</v>
      </c>
      <c r="AS582">
        <v>2.230456087623593</v>
      </c>
      <c r="AT582" t="e">
        <v>#DIV/0!</v>
      </c>
      <c r="AU582" t="e">
        <v>#DIV/0!</v>
      </c>
      <c r="AV582"/>
      <c r="AW582"/>
      <c r="FY582" s="211">
        <v>577</v>
      </c>
      <c r="FZ582">
        <v>0.62074351669409444</v>
      </c>
      <c r="GA582">
        <v>0.38735017759921181</v>
      </c>
      <c r="GB582">
        <v>0.15840797322414965</v>
      </c>
      <c r="GC582">
        <v>0.12309692626280153</v>
      </c>
      <c r="GD582">
        <v>2.6724553773673727E-2</v>
      </c>
      <c r="GE582">
        <v>0</v>
      </c>
      <c r="GF582">
        <v>0</v>
      </c>
      <c r="GG582">
        <v>0</v>
      </c>
      <c r="GH582">
        <v>0</v>
      </c>
      <c r="GI582">
        <v>0.14615938725006211</v>
      </c>
      <c r="GJ582"/>
      <c r="GK582">
        <v>0.62470138395656627</v>
      </c>
      <c r="GL582">
        <v>0.33331521555783822</v>
      </c>
      <c r="GM582">
        <v>0.26183540241601705</v>
      </c>
      <c r="GN582">
        <v>0.3667734676484084</v>
      </c>
      <c r="GO582">
        <v>0.10493806523239137</v>
      </c>
      <c r="GP582">
        <v>0</v>
      </c>
      <c r="GQ582">
        <v>0</v>
      </c>
      <c r="GR582">
        <v>0</v>
      </c>
      <c r="GS582">
        <v>0</v>
      </c>
      <c r="GT582">
        <v>0.19829497032099497</v>
      </c>
      <c r="GU582"/>
      <c r="GV582"/>
      <c r="GW582"/>
      <c r="GX582"/>
      <c r="GY582"/>
      <c r="GZ582"/>
      <c r="HA582"/>
      <c r="HB582"/>
      <c r="HC582"/>
    </row>
    <row r="583" spans="1:211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3.1729166666666666</v>
      </c>
      <c r="AO583">
        <v>0.56809772310985651</v>
      </c>
      <c r="AP583">
        <v>18.299059749678079</v>
      </c>
      <c r="AQ583">
        <v>4.4567426730048672</v>
      </c>
      <c r="AR583">
        <v>0.57246326557278715</v>
      </c>
      <c r="AS583">
        <v>2.768426199206119</v>
      </c>
      <c r="AT583" t="e">
        <v>#DIV/0!</v>
      </c>
      <c r="AU583" t="e">
        <v>#DIV/0!</v>
      </c>
      <c r="AV583"/>
      <c r="AW583"/>
      <c r="FY583" s="211">
        <v>578</v>
      </c>
      <c r="FZ583">
        <v>0.75455657301277446</v>
      </c>
      <c r="GA583">
        <v>0</v>
      </c>
      <c r="GB583">
        <v>0.15840797322414965</v>
      </c>
      <c r="GC583">
        <v>0.12309692626280153</v>
      </c>
      <c r="GD583">
        <v>2.6724553773673727E-2</v>
      </c>
      <c r="GE583">
        <v>0</v>
      </c>
      <c r="GF583">
        <v>0</v>
      </c>
      <c r="GG583">
        <v>0</v>
      </c>
      <c r="GH583">
        <v>0</v>
      </c>
      <c r="GI583">
        <v>0.16609082321181148</v>
      </c>
      <c r="GJ583"/>
      <c r="GK583">
        <v>0.75523971606890139</v>
      </c>
      <c r="GL583">
        <v>0</v>
      </c>
      <c r="GM583">
        <v>0.26183540241601705</v>
      </c>
      <c r="GN583">
        <v>0.3667734676484084</v>
      </c>
      <c r="GO583">
        <v>0.10493806523239137</v>
      </c>
      <c r="GP583">
        <v>0</v>
      </c>
      <c r="GQ583">
        <v>0</v>
      </c>
      <c r="GR583">
        <v>0</v>
      </c>
      <c r="GS583">
        <v>0</v>
      </c>
      <c r="GT583">
        <v>0.22440263674346198</v>
      </c>
      <c r="GU583"/>
      <c r="GV583"/>
      <c r="GW583"/>
      <c r="GX583"/>
      <c r="GY583"/>
      <c r="GZ583"/>
      <c r="HA583"/>
      <c r="HB583"/>
      <c r="HC583"/>
    </row>
    <row r="584" spans="1:211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1.3958333333333335</v>
      </c>
      <c r="AO584">
        <v>0.24216259920339636</v>
      </c>
      <c r="AP584">
        <v>7.4871148318667506</v>
      </c>
      <c r="AQ584">
        <v>1.9189578846961646</v>
      </c>
      <c r="AR584">
        <v>0.29820824776824456</v>
      </c>
      <c r="AS584">
        <v>1.5867470650709621</v>
      </c>
      <c r="AT584" t="e">
        <v>#DIV/0!</v>
      </c>
      <c r="AU584" t="e">
        <v>#DIV/0!</v>
      </c>
      <c r="AV584"/>
      <c r="AW584"/>
      <c r="FY584" s="211">
        <v>579</v>
      </c>
      <c r="FZ584">
        <v>1.6241297831701043</v>
      </c>
      <c r="GA584">
        <v>0.9492013034353769</v>
      </c>
      <c r="GB584">
        <v>0.14202990935487192</v>
      </c>
      <c r="GC584">
        <v>0.11377737556984255</v>
      </c>
      <c r="GD584">
        <v>2.6724553773673727E-2</v>
      </c>
      <c r="GE584">
        <v>0</v>
      </c>
      <c r="GF584">
        <v>0.33021050058332063</v>
      </c>
      <c r="GG584">
        <v>0.29759236750664797</v>
      </c>
      <c r="GH584">
        <v>0</v>
      </c>
      <c r="GI584">
        <v>0.35467336170886332</v>
      </c>
      <c r="GJ584"/>
      <c r="GK584">
        <v>1.6396495484899212</v>
      </c>
      <c r="GL584">
        <v>0.81411144957417536</v>
      </c>
      <c r="GM584">
        <v>0.23585576644039991</v>
      </c>
      <c r="GN584">
        <v>0.34079383167279126</v>
      </c>
      <c r="GO584">
        <v>0.10493806523239137</v>
      </c>
      <c r="GP584">
        <v>0</v>
      </c>
      <c r="GQ584">
        <v>0.45369793096285549</v>
      </c>
      <c r="GR584">
        <v>0.45369793096285549</v>
      </c>
      <c r="GS584">
        <v>0</v>
      </c>
      <c r="GT584">
        <v>0.48682826222511361</v>
      </c>
      <c r="GU584"/>
      <c r="GV584"/>
      <c r="GW584"/>
      <c r="GX584"/>
      <c r="GY584"/>
      <c r="GZ584"/>
      <c r="HA584"/>
      <c r="HB584"/>
      <c r="HC584"/>
    </row>
    <row r="585" spans="1:211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2.65625</v>
      </c>
      <c r="AO585">
        <v>0.48519316029805182</v>
      </c>
      <c r="AP585">
        <v>21.465780104066532</v>
      </c>
      <c r="AQ585">
        <v>3.3650127292706706</v>
      </c>
      <c r="AR585">
        <v>0.49955750665552268</v>
      </c>
      <c r="AS585">
        <v>2.4179376266411472</v>
      </c>
      <c r="AT585" t="e">
        <v>#DIV/0!</v>
      </c>
      <c r="AU585" t="e">
        <v>#DIV/0!</v>
      </c>
      <c r="AV585"/>
      <c r="AW585"/>
      <c r="FY585" s="211">
        <v>580</v>
      </c>
      <c r="FZ585">
        <v>0.69067866671142564</v>
      </c>
      <c r="GA585">
        <v>8.725047411847664E-2</v>
      </c>
      <c r="GB585">
        <v>0.12565184548559416</v>
      </c>
      <c r="GC585">
        <v>6.9638549917922385E-2</v>
      </c>
      <c r="GD585">
        <v>0</v>
      </c>
      <c r="GE585">
        <v>0</v>
      </c>
      <c r="GF585">
        <v>0</v>
      </c>
      <c r="GG585">
        <v>0</v>
      </c>
      <c r="GH585">
        <v>0</v>
      </c>
      <c r="GI585">
        <v>0.13316816371072668</v>
      </c>
      <c r="GJ585"/>
      <c r="GK585">
        <v>0.69486304240841801</v>
      </c>
      <c r="GL585">
        <v>7.3740509229249462E-2</v>
      </c>
      <c r="GM585">
        <v>0.20987613046478273</v>
      </c>
      <c r="GN585">
        <v>0.20987613046478273</v>
      </c>
      <c r="GO585">
        <v>0</v>
      </c>
      <c r="GP585">
        <v>0</v>
      </c>
      <c r="GQ585">
        <v>0</v>
      </c>
      <c r="GR585">
        <v>0</v>
      </c>
      <c r="GS585">
        <v>0</v>
      </c>
      <c r="GT585">
        <v>0.18094783457464014</v>
      </c>
      <c r="GU585"/>
      <c r="GV585"/>
      <c r="GW585"/>
      <c r="GX585"/>
      <c r="GY585"/>
      <c r="GZ585"/>
      <c r="HA585"/>
      <c r="HB585"/>
      <c r="HC585"/>
    </row>
    <row r="586" spans="1:211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2.630208333333333</v>
      </c>
      <c r="AO586">
        <v>0.22527413049450634</v>
      </c>
      <c r="AP586">
        <v>8.1341091167003299</v>
      </c>
      <c r="AQ586">
        <v>1.7778012719566134</v>
      </c>
      <c r="AR586">
        <v>0.2657308605908249</v>
      </c>
      <c r="AS586">
        <v>1.5984489049676169</v>
      </c>
      <c r="AT586" t="e">
        <v>#DIV/0!</v>
      </c>
      <c r="AU586" t="e">
        <v>#DIV/0!</v>
      </c>
      <c r="AV586"/>
      <c r="AW586"/>
      <c r="FY586" s="211">
        <v>581</v>
      </c>
      <c r="FZ586">
        <v>1.3329325209829856</v>
      </c>
      <c r="GA586">
        <v>0.86195082931690026</v>
      </c>
      <c r="GB586">
        <v>0.15840797322414965</v>
      </c>
      <c r="GC586">
        <v>0.12309692626280153</v>
      </c>
      <c r="GD586">
        <v>2.6724553773673727E-2</v>
      </c>
      <c r="GE586">
        <v>0</v>
      </c>
      <c r="GF586">
        <v>0.33021050058332063</v>
      </c>
      <c r="GG586">
        <v>0.29759236750664797</v>
      </c>
      <c r="GH586">
        <v>0</v>
      </c>
      <c r="GI586">
        <v>0.31569171564028375</v>
      </c>
      <c r="GJ586"/>
      <c r="GK586">
        <v>1.3405044611879573</v>
      </c>
      <c r="GL586">
        <v>0.7403709403449259</v>
      </c>
      <c r="GM586">
        <v>0.26183540241601705</v>
      </c>
      <c r="GN586">
        <v>0.3667734676484084</v>
      </c>
      <c r="GO586">
        <v>0.10493806523239137</v>
      </c>
      <c r="GP586">
        <v>0</v>
      </c>
      <c r="GQ586">
        <v>0.45369793096285549</v>
      </c>
      <c r="GR586">
        <v>0.45369793096285549</v>
      </c>
      <c r="GS586">
        <v>0</v>
      </c>
      <c r="GT586">
        <v>0.4321951719598443</v>
      </c>
      <c r="GU586"/>
      <c r="GV586"/>
      <c r="GW586"/>
      <c r="GX586"/>
      <c r="GY586"/>
      <c r="GZ586"/>
      <c r="HA586"/>
      <c r="HB586"/>
      <c r="HC586"/>
    </row>
    <row r="587" spans="1:211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1.9333333333333329</v>
      </c>
      <c r="AO587">
        <v>0.39390657349031166</v>
      </c>
      <c r="AP587">
        <v>9.5635017471896546</v>
      </c>
      <c r="AQ587">
        <v>3.2347536478927021</v>
      </c>
      <c r="AR587">
        <v>0.41732052952123505</v>
      </c>
      <c r="AS587">
        <v>2.0894916125240801</v>
      </c>
      <c r="AT587" t="e">
        <v>#DIV/0!</v>
      </c>
      <c r="AU587" t="e">
        <v>#DIV/0!</v>
      </c>
      <c r="AV587"/>
      <c r="AW587"/>
      <c r="FY587" s="211">
        <v>582</v>
      </c>
      <c r="FZ587">
        <v>0.70010939337406497</v>
      </c>
      <c r="GA587">
        <v>8.725047411847664E-2</v>
      </c>
      <c r="GB587">
        <v>0.14202990935487192</v>
      </c>
      <c r="GC587">
        <v>7.8958100610881349E-2</v>
      </c>
      <c r="GD587">
        <v>0</v>
      </c>
      <c r="GE587">
        <v>0</v>
      </c>
      <c r="GF587">
        <v>0</v>
      </c>
      <c r="GG587">
        <v>0</v>
      </c>
      <c r="GH587">
        <v>0</v>
      </c>
      <c r="GI587">
        <v>0.13860487012827127</v>
      </c>
      <c r="GJ587"/>
      <c r="GK587">
        <v>0.70117602900407561</v>
      </c>
      <c r="GL587">
        <v>7.3740509229249462E-2</v>
      </c>
      <c r="GM587">
        <v>0.23585576644039991</v>
      </c>
      <c r="GN587">
        <v>0.23585576644039991</v>
      </c>
      <c r="GO587">
        <v>0</v>
      </c>
      <c r="GP587">
        <v>0</v>
      </c>
      <c r="GQ587">
        <v>0</v>
      </c>
      <c r="GR587">
        <v>0</v>
      </c>
      <c r="GS587">
        <v>0</v>
      </c>
      <c r="GT587">
        <v>0.18740635908889514</v>
      </c>
      <c r="GU587"/>
      <c r="GV587"/>
      <c r="GW587"/>
      <c r="GX587"/>
      <c r="GY587"/>
      <c r="GZ587"/>
      <c r="HA587"/>
      <c r="HB587"/>
      <c r="HC587"/>
    </row>
    <row r="588" spans="1:211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2.0708333333333329</v>
      </c>
      <c r="AO588">
        <v>0.46777076413901264</v>
      </c>
      <c r="AP588">
        <v>22.470991264010422</v>
      </c>
      <c r="AQ588">
        <v>3.5516019703913666</v>
      </c>
      <c r="AR588">
        <v>0.44994699887494832</v>
      </c>
      <c r="AS588">
        <v>1.9594271760080137</v>
      </c>
      <c r="AT588" t="e">
        <v>#DIV/0!</v>
      </c>
      <c r="AU588" t="e">
        <v>#DIV/0!</v>
      </c>
      <c r="AV588"/>
      <c r="AW588"/>
      <c r="FY588" s="211">
        <v>583</v>
      </c>
      <c r="FZ588">
        <v>0.63067071828386279</v>
      </c>
      <c r="GA588">
        <v>8.725047411847664E-2</v>
      </c>
      <c r="GB588">
        <v>0.22123389596694673</v>
      </c>
      <c r="GC588">
        <v>0.1927354761807239</v>
      </c>
      <c r="GD588">
        <v>5.3449107547347455E-2</v>
      </c>
      <c r="GE588">
        <v>0</v>
      </c>
      <c r="GF588">
        <v>0</v>
      </c>
      <c r="GG588">
        <v>0</v>
      </c>
      <c r="GH588">
        <v>0</v>
      </c>
      <c r="GI588">
        <v>0.17861686542450367</v>
      </c>
      <c r="GJ588"/>
      <c r="GK588">
        <v>0.63221964384824658</v>
      </c>
      <c r="GL588">
        <v>7.3740509229249462E-2</v>
      </c>
      <c r="GM588">
        <v>0.3667734676484084</v>
      </c>
      <c r="GN588">
        <v>0.57664959811319116</v>
      </c>
      <c r="GO588">
        <v>0.20987613046478273</v>
      </c>
      <c r="GP588">
        <v>0</v>
      </c>
      <c r="GQ588">
        <v>0</v>
      </c>
      <c r="GR588">
        <v>0</v>
      </c>
      <c r="GS588">
        <v>0</v>
      </c>
      <c r="GT588">
        <v>0.24177384839228755</v>
      </c>
      <c r="GU588"/>
      <c r="GV588"/>
      <c r="GW588"/>
      <c r="GX588"/>
      <c r="GY588"/>
      <c r="GZ588"/>
      <c r="HA588"/>
      <c r="HB588"/>
      <c r="HC588"/>
    </row>
    <row r="589" spans="1:211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2.0218749999999996</v>
      </c>
      <c r="AO589">
        <v>0.32633812118463712</v>
      </c>
      <c r="AP589">
        <v>2.4458015599430203</v>
      </c>
      <c r="AQ589">
        <v>2.9978508605520746</v>
      </c>
      <c r="AR589">
        <v>0.3689023326386327</v>
      </c>
      <c r="AS589">
        <v>1.9891746132331571</v>
      </c>
      <c r="AT589" t="e">
        <v>#DIV/0!</v>
      </c>
      <c r="AU589" t="e">
        <v>#DIV/0!</v>
      </c>
      <c r="AV589"/>
      <c r="AW589"/>
      <c r="FY589" s="211">
        <v>584</v>
      </c>
      <c r="FZ589">
        <v>0.49079036570452861</v>
      </c>
      <c r="GA589">
        <v>8.725047411847664E-2</v>
      </c>
      <c r="GB589">
        <v>0.22123389596694673</v>
      </c>
      <c r="GC589">
        <v>0.12309692626280153</v>
      </c>
      <c r="GD589">
        <v>0</v>
      </c>
      <c r="GE589">
        <v>0</v>
      </c>
      <c r="GF589">
        <v>0.99063150174996206</v>
      </c>
      <c r="GG589">
        <v>0.89277710251994391</v>
      </c>
      <c r="GH589">
        <v>0</v>
      </c>
      <c r="GI589">
        <v>0.31926450744888801</v>
      </c>
      <c r="GJ589"/>
      <c r="GK589">
        <v>0.48979138158598423</v>
      </c>
      <c r="GL589">
        <v>7.3740509229249462E-2</v>
      </c>
      <c r="GM589">
        <v>0.3667734676484084</v>
      </c>
      <c r="GN589">
        <v>0.3667734676484084</v>
      </c>
      <c r="GO589">
        <v>0</v>
      </c>
      <c r="GP589">
        <v>0</v>
      </c>
      <c r="GQ589">
        <v>1.3610937928885667</v>
      </c>
      <c r="GR589">
        <v>1.3610937928885667</v>
      </c>
      <c r="GS589">
        <v>0</v>
      </c>
      <c r="GT589">
        <v>0.44353172842459188</v>
      </c>
      <c r="GU589"/>
      <c r="GV589"/>
      <c r="GW589"/>
      <c r="GX589"/>
      <c r="GY589"/>
      <c r="GZ589"/>
      <c r="HA589"/>
      <c r="HB589"/>
      <c r="HC589"/>
    </row>
    <row r="590" spans="1:211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2.7010416666666663</v>
      </c>
      <c r="AO590">
        <v>0.20283358965917114</v>
      </c>
      <c r="AP590">
        <v>2.9839616433439229</v>
      </c>
      <c r="AQ590">
        <v>1.9063057912002412</v>
      </c>
      <c r="AR590">
        <v>0.23610366022789428</v>
      </c>
      <c r="AS590">
        <v>1.8176225738480201</v>
      </c>
      <c r="AT590" t="e">
        <v>#DIV/0!</v>
      </c>
      <c r="AU590" t="e">
        <v>#DIV/0!</v>
      </c>
      <c r="AV590"/>
      <c r="AW590"/>
      <c r="FY590" s="211">
        <v>585</v>
      </c>
      <c r="FZ590">
        <v>1.423930590376699</v>
      </c>
      <c r="GA590">
        <v>0.56185112583616514</v>
      </c>
      <c r="GB590">
        <v>0.204855832097669</v>
      </c>
      <c r="GC590">
        <v>0.14859665052880375</v>
      </c>
      <c r="GD590">
        <v>2.6724553773673727E-2</v>
      </c>
      <c r="GE590">
        <v>0</v>
      </c>
      <c r="GF590">
        <v>0.33021050058332063</v>
      </c>
      <c r="GG590">
        <v>0.29759236750664797</v>
      </c>
      <c r="GH590">
        <v>0</v>
      </c>
      <c r="GI590">
        <v>0.34068780181171476</v>
      </c>
      <c r="GJ590"/>
      <c r="GK590">
        <v>1.431603172203654</v>
      </c>
      <c r="GL590">
        <v>0.48079623401633714</v>
      </c>
      <c r="GM590">
        <v>0.34079383167279126</v>
      </c>
      <c r="GN590">
        <v>0.44573189690518267</v>
      </c>
      <c r="GO590">
        <v>0.10493806523239137</v>
      </c>
      <c r="GP590">
        <v>0</v>
      </c>
      <c r="GQ590">
        <v>0.45369793096285549</v>
      </c>
      <c r="GR590">
        <v>0.45369793096285549</v>
      </c>
      <c r="GS590">
        <v>0</v>
      </c>
      <c r="GT590">
        <v>0.46620660001433845</v>
      </c>
      <c r="GU590"/>
      <c r="GV590"/>
      <c r="GW590"/>
      <c r="GX590"/>
      <c r="GY590"/>
      <c r="GZ590"/>
      <c r="HA590"/>
      <c r="HB590"/>
      <c r="HC590"/>
    </row>
    <row r="591" spans="1:211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3.2489583333333329</v>
      </c>
      <c r="AO591">
        <v>0.40894359733086905</v>
      </c>
      <c r="AP591">
        <v>7.8115992064688564</v>
      </c>
      <c r="AQ591">
        <v>3.6088919746127512</v>
      </c>
      <c r="AR591">
        <v>0.44062640495499883</v>
      </c>
      <c r="AS591">
        <v>2.3713155376535409</v>
      </c>
      <c r="AT591" t="e">
        <v>#DIV/0!</v>
      </c>
      <c r="AU591" t="e">
        <v>#DIV/0!</v>
      </c>
      <c r="AV591"/>
      <c r="AW591"/>
      <c r="FY591" s="211">
        <v>586</v>
      </c>
      <c r="FZ591">
        <v>1.3602453573204243</v>
      </c>
      <c r="GA591">
        <v>0.9492013034353769</v>
      </c>
      <c r="GB591">
        <v>0</v>
      </c>
      <c r="GC591">
        <v>6.9638549917922385E-2</v>
      </c>
      <c r="GD591">
        <v>5.3449107547347455E-2</v>
      </c>
      <c r="GE591">
        <v>0</v>
      </c>
      <c r="GF591">
        <v>0.33021050058332063</v>
      </c>
      <c r="GG591">
        <v>0.29759236750664797</v>
      </c>
      <c r="GH591">
        <v>0</v>
      </c>
      <c r="GI591">
        <v>0.29639623508324414</v>
      </c>
      <c r="GJ591"/>
      <c r="GK591">
        <v>1.3675867412160967</v>
      </c>
      <c r="GL591">
        <v>0.81411144957417536</v>
      </c>
      <c r="GM591">
        <v>0</v>
      </c>
      <c r="GN591">
        <v>0.20987613046478273</v>
      </c>
      <c r="GO591">
        <v>0.20987613046478273</v>
      </c>
      <c r="GP591">
        <v>0</v>
      </c>
      <c r="GQ591">
        <v>0.45369793096285549</v>
      </c>
      <c r="GR591">
        <v>0.45369793096285549</v>
      </c>
      <c r="GS591">
        <v>0</v>
      </c>
      <c r="GT591">
        <v>0.406232160528747</v>
      </c>
      <c r="GU591"/>
      <c r="GV591"/>
      <c r="GW591"/>
      <c r="GX591"/>
      <c r="GY591"/>
      <c r="GZ591"/>
      <c r="HA591"/>
      <c r="HB591"/>
      <c r="HC591"/>
    </row>
    <row r="592" spans="1:211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3.3031250000000001</v>
      </c>
      <c r="AO592">
        <v>0.27761174839305508</v>
      </c>
      <c r="AP592">
        <v>4.3453851369252732</v>
      </c>
      <c r="AQ592">
        <v>2.6656882906422243</v>
      </c>
      <c r="AR592">
        <v>0.31747147372960272</v>
      </c>
      <c r="AS592">
        <v>1.8775117963341197</v>
      </c>
      <c r="AT592" t="e">
        <v>#DIV/0!</v>
      </c>
      <c r="AU592" t="e">
        <v>#DIV/0!</v>
      </c>
      <c r="AV592"/>
      <c r="AW592"/>
      <c r="FY592" s="211">
        <v>587</v>
      </c>
      <c r="FZ592">
        <v>1.0244676681575822</v>
      </c>
      <c r="GA592">
        <v>0.47460065171768845</v>
      </c>
      <c r="GB592">
        <v>7.9203986612074825E-2</v>
      </c>
      <c r="GC592">
        <v>0.11377737556984255</v>
      </c>
      <c r="GD592">
        <v>5.3449107547347455E-2</v>
      </c>
      <c r="GE592">
        <v>0</v>
      </c>
      <c r="GF592">
        <v>0.66042100116664126</v>
      </c>
      <c r="GG592">
        <v>0.59518473501329594</v>
      </c>
      <c r="GH592">
        <v>0</v>
      </c>
      <c r="GI592">
        <v>0.33023448156871354</v>
      </c>
      <c r="GJ592"/>
      <c r="GK592">
        <v>1.0273544188210146</v>
      </c>
      <c r="GL592">
        <v>0.40705572478708768</v>
      </c>
      <c r="GM592">
        <v>0.13091770120800852</v>
      </c>
      <c r="GN592">
        <v>0.34079383167279126</v>
      </c>
      <c r="GO592">
        <v>0.20987613046478273</v>
      </c>
      <c r="GP592">
        <v>0</v>
      </c>
      <c r="GQ592">
        <v>0.90739586192571098</v>
      </c>
      <c r="GR592">
        <v>0.90739586192571098</v>
      </c>
      <c r="GS592">
        <v>0</v>
      </c>
      <c r="GT592">
        <v>0.45510882248390339</v>
      </c>
      <c r="GU592"/>
      <c r="GV592"/>
      <c r="GW592"/>
      <c r="GX592"/>
      <c r="GY592"/>
      <c r="GZ592"/>
      <c r="HA592"/>
      <c r="HB592"/>
      <c r="HC592"/>
    </row>
    <row r="593" spans="1:211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1.51875</v>
      </c>
      <c r="AO593">
        <v>0.18898585051322164</v>
      </c>
      <c r="AP593">
        <v>4.4260767392691944</v>
      </c>
      <c r="AQ593">
        <v>1.4624825348039934</v>
      </c>
      <c r="AR593">
        <v>0.19829497032099497</v>
      </c>
      <c r="AS593">
        <v>1.2531486747485709</v>
      </c>
      <c r="AT593" t="e">
        <v>#DIV/0!</v>
      </c>
      <c r="AU593" t="e">
        <v>#DIV/0!</v>
      </c>
      <c r="AV593"/>
      <c r="AW593"/>
      <c r="FY593" s="211">
        <v>588</v>
      </c>
      <c r="FZ593">
        <v>0.500280201637885</v>
      </c>
      <c r="GA593">
        <v>8.725047411847664E-2</v>
      </c>
      <c r="GB593">
        <v>0</v>
      </c>
      <c r="GC593">
        <v>3.4819274958961192E-2</v>
      </c>
      <c r="GD593">
        <v>2.6724553773673727E-2</v>
      </c>
      <c r="GE593">
        <v>0</v>
      </c>
      <c r="GF593">
        <v>0</v>
      </c>
      <c r="GG593">
        <v>0</v>
      </c>
      <c r="GH593">
        <v>0</v>
      </c>
      <c r="GI593">
        <v>8.9637945855846418E-2</v>
      </c>
      <c r="GJ593"/>
      <c r="GK593">
        <v>0.49941160457709549</v>
      </c>
      <c r="GL593">
        <v>7.3740509229249462E-2</v>
      </c>
      <c r="GM593">
        <v>0</v>
      </c>
      <c r="GN593">
        <v>0.10493806523239137</v>
      </c>
      <c r="GO593">
        <v>0.10493806523239137</v>
      </c>
      <c r="GP593">
        <v>0</v>
      </c>
      <c r="GQ593">
        <v>0</v>
      </c>
      <c r="GR593">
        <v>0</v>
      </c>
      <c r="GS593">
        <v>0</v>
      </c>
      <c r="GT593">
        <v>0.12086993396189738</v>
      </c>
      <c r="GU593"/>
      <c r="GV593"/>
      <c r="GW593"/>
      <c r="GX593"/>
      <c r="GY593"/>
      <c r="GZ593"/>
      <c r="HA593"/>
      <c r="HB593"/>
      <c r="HC593"/>
    </row>
    <row r="594" spans="1:211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3.3125</v>
      </c>
      <c r="AO594">
        <v>0.17131892881091804</v>
      </c>
      <c r="AP594">
        <v>3.2708554281718722</v>
      </c>
      <c r="AQ594">
        <v>1.2288768494852109</v>
      </c>
      <c r="AR594">
        <v>0.22440263674346198</v>
      </c>
      <c r="AS594">
        <v>1.7039086319909253</v>
      </c>
      <c r="AT594" t="e">
        <v>#DIV/0!</v>
      </c>
      <c r="AU594" t="e">
        <v>#DIV/0!</v>
      </c>
      <c r="AV594"/>
      <c r="AW594"/>
      <c r="FY594" s="211">
        <v>589</v>
      </c>
      <c r="FZ594">
        <v>0.60278811753967154</v>
      </c>
      <c r="GA594">
        <v>8.725047411847664E-2</v>
      </c>
      <c r="GB594">
        <v>0.14202990935487192</v>
      </c>
      <c r="GC594">
        <v>7.8958100610881349E-2</v>
      </c>
      <c r="GD594">
        <v>0</v>
      </c>
      <c r="GE594">
        <v>0</v>
      </c>
      <c r="GF594">
        <v>0.66042100116664126</v>
      </c>
      <c r="GG594">
        <v>0.59518473501329594</v>
      </c>
      <c r="GH594">
        <v>0</v>
      </c>
      <c r="GI594">
        <v>0.25231161050795115</v>
      </c>
      <c r="GJ594"/>
      <c r="GK594">
        <v>0.60436548444715787</v>
      </c>
      <c r="GL594">
        <v>7.3740509229249462E-2</v>
      </c>
      <c r="GM594">
        <v>0.23585576644039991</v>
      </c>
      <c r="GN594">
        <v>0.23585576644039991</v>
      </c>
      <c r="GO594">
        <v>0</v>
      </c>
      <c r="GP594">
        <v>0</v>
      </c>
      <c r="GQ594">
        <v>0.90739586192571098</v>
      </c>
      <c r="GR594">
        <v>0.90739586192571098</v>
      </c>
      <c r="GS594">
        <v>0</v>
      </c>
      <c r="GT594">
        <v>0.34952342256265378</v>
      </c>
      <c r="GU594"/>
      <c r="GV594"/>
      <c r="GW594"/>
      <c r="GX594"/>
      <c r="GY594"/>
      <c r="GZ594"/>
      <c r="HA594"/>
      <c r="HB594"/>
      <c r="HC594"/>
    </row>
    <row r="595" spans="1:211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2.2510416666666657</v>
      </c>
      <c r="AO595">
        <v>0.45295727855605039</v>
      </c>
      <c r="AP595">
        <v>9.8586201878902013</v>
      </c>
      <c r="AQ595">
        <v>3.8383391551027013</v>
      </c>
      <c r="AR595">
        <v>0.48682826222511361</v>
      </c>
      <c r="AS595">
        <v>2.3613762772511855</v>
      </c>
      <c r="AT595" t="e">
        <v>#DIV/0!</v>
      </c>
      <c r="AU595" t="e">
        <v>#DIV/0!</v>
      </c>
      <c r="AV595"/>
      <c r="AW595"/>
      <c r="FY595" s="211">
        <v>590</v>
      </c>
      <c r="FZ595">
        <v>1.3240124494563821</v>
      </c>
      <c r="GA595">
        <v>0.86195082931690026</v>
      </c>
      <c r="GB595">
        <v>0.14202990935487192</v>
      </c>
      <c r="GC595">
        <v>0.21823520044672612</v>
      </c>
      <c r="GD595">
        <v>0.10689821509469491</v>
      </c>
      <c r="GE595">
        <v>0</v>
      </c>
      <c r="GF595">
        <v>0</v>
      </c>
      <c r="GG595">
        <v>0</v>
      </c>
      <c r="GH595">
        <v>0</v>
      </c>
      <c r="GI595">
        <v>0.29271921675265222</v>
      </c>
      <c r="GJ595"/>
      <c r="GK595">
        <v>1.3316561175697954</v>
      </c>
      <c r="GL595">
        <v>0.7403709403449259</v>
      </c>
      <c r="GM595">
        <v>0.23585576644039991</v>
      </c>
      <c r="GN595">
        <v>0.65560802736996526</v>
      </c>
      <c r="GO595">
        <v>0.41975226092956547</v>
      </c>
      <c r="GP595">
        <v>0</v>
      </c>
      <c r="GQ595">
        <v>0</v>
      </c>
      <c r="GR595">
        <v>0</v>
      </c>
      <c r="GS595">
        <v>0</v>
      </c>
      <c r="GT595">
        <v>0.3974528289879522</v>
      </c>
      <c r="GU595"/>
      <c r="GV595"/>
      <c r="GW595"/>
      <c r="GX595"/>
      <c r="GY595"/>
      <c r="GZ595"/>
      <c r="HA595"/>
      <c r="HB595"/>
      <c r="HC595"/>
    </row>
    <row r="596" spans="1:211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1.2708333333333328</v>
      </c>
      <c r="AO596">
        <v>0.13693036471418729</v>
      </c>
      <c r="AP596">
        <v>2.5633117906332585</v>
      </c>
      <c r="AQ596">
        <v>1.1063876999441455</v>
      </c>
      <c r="AR596">
        <v>0.18094783457464014</v>
      </c>
      <c r="AS596">
        <v>1.1764883544668177</v>
      </c>
      <c r="AT596" t="e">
        <v>#DIV/0!</v>
      </c>
      <c r="AU596" t="e">
        <v>#DIV/0!</v>
      </c>
      <c r="AV596"/>
      <c r="AW596"/>
      <c r="FY596" s="211">
        <v>591</v>
      </c>
      <c r="FZ596">
        <v>1.6267236858158092</v>
      </c>
      <c r="GA596">
        <v>0.77470035519842362</v>
      </c>
      <c r="GB596">
        <v>0.14202990935487192</v>
      </c>
      <c r="GC596">
        <v>0.11377737556984255</v>
      </c>
      <c r="GD596">
        <v>2.6724553773673727E-2</v>
      </c>
      <c r="GE596">
        <v>0</v>
      </c>
      <c r="GF596">
        <v>0.66042100116664126</v>
      </c>
      <c r="GG596">
        <v>0.59518473501329594</v>
      </c>
      <c r="GH596">
        <v>0</v>
      </c>
      <c r="GI596">
        <v>0.41923300698725641</v>
      </c>
      <c r="GJ596"/>
      <c r="GK596">
        <v>1.6388107980490394</v>
      </c>
      <c r="GL596">
        <v>0.66663043111567644</v>
      </c>
      <c r="GM596">
        <v>0.23585576644039991</v>
      </c>
      <c r="GN596">
        <v>0.34079383167279126</v>
      </c>
      <c r="GO596">
        <v>0.10493806523239137</v>
      </c>
      <c r="GP596">
        <v>0</v>
      </c>
      <c r="GQ596">
        <v>0.90739586192571098</v>
      </c>
      <c r="GR596">
        <v>0.90739586192571098</v>
      </c>
      <c r="GS596">
        <v>0</v>
      </c>
      <c r="GT596">
        <v>0.57740009832950834</v>
      </c>
      <c r="GU596"/>
      <c r="GV596"/>
      <c r="GW596"/>
      <c r="GX596"/>
      <c r="GY596"/>
      <c r="GZ596"/>
      <c r="HA596"/>
      <c r="HB596"/>
      <c r="HC596"/>
    </row>
    <row r="597" spans="1:211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3.1937500000000001</v>
      </c>
      <c r="AO597">
        <v>0.41540133707152549</v>
      </c>
      <c r="AP597">
        <v>11.915277885405441</v>
      </c>
      <c r="AQ597">
        <v>3.4466073872907632</v>
      </c>
      <c r="AR597">
        <v>0.43219517195984425</v>
      </c>
      <c r="AS597">
        <v>2.4302585912383527</v>
      </c>
      <c r="AT597" t="e">
        <v>#DIV/0!</v>
      </c>
      <c r="AU597" t="e">
        <v>#DIV/0!</v>
      </c>
      <c r="AV597"/>
      <c r="AW597"/>
      <c r="FY597" s="211">
        <v>592</v>
      </c>
      <c r="FZ597">
        <v>1.1732509496143952</v>
      </c>
      <c r="GA597">
        <v>0.47460065171768845</v>
      </c>
      <c r="GB597">
        <v>6.282592274279708E-2</v>
      </c>
      <c r="GC597">
        <v>3.4819274958961192E-2</v>
      </c>
      <c r="GD597">
        <v>0</v>
      </c>
      <c r="GE597">
        <v>0</v>
      </c>
      <c r="GF597">
        <v>0.66042100116664126</v>
      </c>
      <c r="GG597">
        <v>0.59518473501329594</v>
      </c>
      <c r="GH597">
        <v>0</v>
      </c>
      <c r="GI597">
        <v>0.31735988185658448</v>
      </c>
      <c r="GJ597"/>
      <c r="GK597">
        <v>1.1783963945021432</v>
      </c>
      <c r="GL597">
        <v>0.40705572478708768</v>
      </c>
      <c r="GM597">
        <v>0.10493806523239137</v>
      </c>
      <c r="GN597">
        <v>0.10493806523239137</v>
      </c>
      <c r="GO597">
        <v>0</v>
      </c>
      <c r="GP597">
        <v>0</v>
      </c>
      <c r="GQ597">
        <v>0.90739586192571098</v>
      </c>
      <c r="GR597">
        <v>0.90739586192571098</v>
      </c>
      <c r="GS597">
        <v>0</v>
      </c>
      <c r="GT597">
        <v>0.43814606433204917</v>
      </c>
      <c r="GU597"/>
      <c r="GV597"/>
      <c r="GW597"/>
      <c r="GX597"/>
      <c r="GY597"/>
      <c r="GZ597"/>
      <c r="HA597"/>
      <c r="HB597"/>
      <c r="HC597"/>
    </row>
    <row r="598" spans="1:211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2.5677083333333335</v>
      </c>
      <c r="AO598">
        <v>0.143403443020302</v>
      </c>
      <c r="AP598">
        <v>3.1966805658207278</v>
      </c>
      <c r="AQ598">
        <v>1.1469527475865662</v>
      </c>
      <c r="AR598">
        <v>0.18740635908889514</v>
      </c>
      <c r="AS598">
        <v>1.2840357647166134</v>
      </c>
      <c r="AT598" t="e">
        <v>#DIV/0!</v>
      </c>
      <c r="AU598" t="e">
        <v>#DIV/0!</v>
      </c>
      <c r="AV598"/>
      <c r="AW598"/>
      <c r="FY598" s="211">
        <v>593</v>
      </c>
      <c r="FZ598">
        <v>0.98283400223566364</v>
      </c>
      <c r="GA598">
        <v>0.38735017759921181</v>
      </c>
      <c r="GB598">
        <v>0.22123389596694673</v>
      </c>
      <c r="GC598">
        <v>0.1927354761807239</v>
      </c>
      <c r="GD598">
        <v>5.3449107547347455E-2</v>
      </c>
      <c r="GE598">
        <v>0</v>
      </c>
      <c r="GF598">
        <v>0</v>
      </c>
      <c r="GG598">
        <v>0</v>
      </c>
      <c r="GH598">
        <v>0</v>
      </c>
      <c r="GI598">
        <v>0.23060725675866436</v>
      </c>
      <c r="GJ598"/>
      <c r="GK598">
        <v>0.99147575494700568</v>
      </c>
      <c r="GL598">
        <v>0.33331521555783822</v>
      </c>
      <c r="GM598">
        <v>0.3667734676484084</v>
      </c>
      <c r="GN598">
        <v>0.57664959811319116</v>
      </c>
      <c r="GO598">
        <v>0.20987613046478273</v>
      </c>
      <c r="GP598">
        <v>0</v>
      </c>
      <c r="GQ598">
        <v>0</v>
      </c>
      <c r="GR598">
        <v>0</v>
      </c>
      <c r="GS598">
        <v>0</v>
      </c>
      <c r="GT598">
        <v>0.31362507061203937</v>
      </c>
      <c r="GU598"/>
      <c r="GV598"/>
      <c r="GW598"/>
      <c r="GX598"/>
      <c r="GY598"/>
      <c r="GZ598"/>
      <c r="HA598"/>
      <c r="HB598"/>
      <c r="HC598"/>
    </row>
    <row r="599" spans="1:211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2.2083333333333335</v>
      </c>
      <c r="AO599">
        <v>0.21010331976961658</v>
      </c>
      <c r="AP599">
        <v>4.6659425988834657</v>
      </c>
      <c r="AQ599">
        <v>1.3639565375218614</v>
      </c>
      <c r="AR599">
        <v>0.24177384839228758</v>
      </c>
      <c r="AS599">
        <v>1.7041659955768458</v>
      </c>
      <c r="AT599" t="e">
        <v>#DIV/0!</v>
      </c>
      <c r="AU599" t="e">
        <v>#DIV/0!</v>
      </c>
      <c r="AV599"/>
      <c r="AW599"/>
      <c r="FY599" s="211">
        <v>594</v>
      </c>
      <c r="FZ599">
        <v>1.0938850729344245</v>
      </c>
      <c r="GA599">
        <v>0.77470035519842362</v>
      </c>
      <c r="GB599">
        <v>0.36326380532181862</v>
      </c>
      <c r="GC599">
        <v>0.20205502687368287</v>
      </c>
      <c r="GD599">
        <v>0</v>
      </c>
      <c r="GE599">
        <v>0</v>
      </c>
      <c r="GF599">
        <v>0</v>
      </c>
      <c r="GG599">
        <v>0</v>
      </c>
      <c r="GH599">
        <v>0</v>
      </c>
      <c r="GI599">
        <v>0.25103255676932446</v>
      </c>
      <c r="GJ599"/>
      <c r="GK599">
        <v>1.1019217494546338</v>
      </c>
      <c r="GL599">
        <v>0.66663043111567644</v>
      </c>
      <c r="GM599">
        <v>0.60262923408880831</v>
      </c>
      <c r="GN599">
        <v>0.60262923408880831</v>
      </c>
      <c r="GO599">
        <v>0</v>
      </c>
      <c r="GP599">
        <v>0</v>
      </c>
      <c r="GQ599">
        <v>0</v>
      </c>
      <c r="GR599">
        <v>0</v>
      </c>
      <c r="GS599">
        <v>0</v>
      </c>
      <c r="GT599">
        <v>0.34091019670868844</v>
      </c>
      <c r="GU599"/>
      <c r="GV599"/>
      <c r="GW599"/>
      <c r="GX599"/>
      <c r="GY599"/>
      <c r="GZ599"/>
      <c r="HA599"/>
      <c r="HB599"/>
      <c r="HC599"/>
    </row>
    <row r="600" spans="1:211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2.3854166666666665</v>
      </c>
      <c r="AO600">
        <v>0.44627981403137762</v>
      </c>
      <c r="AP600">
        <v>23.126465039231107</v>
      </c>
      <c r="AQ600">
        <v>3.1250447737715472</v>
      </c>
      <c r="AR600">
        <v>0.44353172842459188</v>
      </c>
      <c r="AS600">
        <v>2.3286532894304419</v>
      </c>
      <c r="AT600" t="e">
        <v>#DIV/0!</v>
      </c>
      <c r="AU600" t="e">
        <v>#DIV/0!</v>
      </c>
      <c r="AV600"/>
      <c r="AW600"/>
      <c r="FY600" s="211">
        <v>595</v>
      </c>
      <c r="FZ600">
        <v>0.76492706513939179</v>
      </c>
      <c r="GA600">
        <v>0.38735017759921181</v>
      </c>
      <c r="GB600">
        <v>0</v>
      </c>
      <c r="GC600">
        <v>6.9638549917922385E-2</v>
      </c>
      <c r="GD600">
        <v>5.3449107547347455E-2</v>
      </c>
      <c r="GE600">
        <v>0</v>
      </c>
      <c r="GF600">
        <v>0</v>
      </c>
      <c r="GG600">
        <v>0</v>
      </c>
      <c r="GH600">
        <v>0</v>
      </c>
      <c r="GI600">
        <v>0.14418867740051339</v>
      </c>
      <c r="GJ600"/>
      <c r="GK600">
        <v>0.76860653389679556</v>
      </c>
      <c r="GL600">
        <v>0.33331521555783822</v>
      </c>
      <c r="GM600">
        <v>0</v>
      </c>
      <c r="GN600">
        <v>0.20987613046478273</v>
      </c>
      <c r="GO600">
        <v>0.20987613046478273</v>
      </c>
      <c r="GP600">
        <v>0</v>
      </c>
      <c r="GQ600">
        <v>0</v>
      </c>
      <c r="GR600">
        <v>0</v>
      </c>
      <c r="GS600">
        <v>0</v>
      </c>
      <c r="GT600">
        <v>0.19569653287231567</v>
      </c>
      <c r="GU600"/>
      <c r="GV600"/>
      <c r="GW600"/>
      <c r="GX600"/>
      <c r="GY600"/>
      <c r="GZ600"/>
      <c r="HA600"/>
      <c r="HB600"/>
      <c r="HC600"/>
    </row>
    <row r="601" spans="1:211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3.7218749999999994</v>
      </c>
      <c r="AO601">
        <v>0.41774656619704054</v>
      </c>
      <c r="AP601">
        <v>12.078638195737277</v>
      </c>
      <c r="AQ601">
        <v>3.3344494225146941</v>
      </c>
      <c r="AR601">
        <v>0.46620660001433839</v>
      </c>
      <c r="AS601">
        <v>2.4664310454672882</v>
      </c>
      <c r="AT601" t="e">
        <v>#DIV/0!</v>
      </c>
      <c r="AU601" t="e">
        <v>#DIV/0!</v>
      </c>
      <c r="AV601"/>
      <c r="AW601"/>
      <c r="FY601" s="211">
        <v>596</v>
      </c>
      <c r="FZ601">
        <v>1.1343017928989789</v>
      </c>
      <c r="GA601">
        <v>0.86195082931690026</v>
      </c>
      <c r="GB601">
        <v>0.14202990935487192</v>
      </c>
      <c r="GC601">
        <v>0.11377737556984255</v>
      </c>
      <c r="GD601">
        <v>2.6724553773673727E-2</v>
      </c>
      <c r="GE601">
        <v>0</v>
      </c>
      <c r="GF601">
        <v>0</v>
      </c>
      <c r="GG601">
        <v>0</v>
      </c>
      <c r="GH601">
        <v>0</v>
      </c>
      <c r="GI601">
        <v>0.21820937435339344</v>
      </c>
      <c r="GJ601"/>
      <c r="GK601">
        <v>1.1425356241829023</v>
      </c>
      <c r="GL601">
        <v>0.7403709403449259</v>
      </c>
      <c r="GM601">
        <v>0.23585576644039991</v>
      </c>
      <c r="GN601">
        <v>0.34079383167279126</v>
      </c>
      <c r="GO601">
        <v>0.10493806523239137</v>
      </c>
      <c r="GP601">
        <v>0</v>
      </c>
      <c r="GQ601">
        <v>0</v>
      </c>
      <c r="GR601">
        <v>0</v>
      </c>
      <c r="GS601">
        <v>0</v>
      </c>
      <c r="GT601">
        <v>0.29666589117113873</v>
      </c>
      <c r="GU601"/>
      <c r="GV601"/>
      <c r="GW601"/>
      <c r="GX601"/>
      <c r="GY601"/>
      <c r="GZ601"/>
      <c r="HA601"/>
      <c r="HB601"/>
      <c r="HC601"/>
    </row>
    <row r="602" spans="1:211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2.9645833333333331</v>
      </c>
      <c r="AO602">
        <v>0.39150784741742956</v>
      </c>
      <c r="AP602">
        <v>11.079905374845715</v>
      </c>
      <c r="AQ602">
        <v>3.3567334213942837</v>
      </c>
      <c r="AR602">
        <v>0.406232160528747</v>
      </c>
      <c r="AS602">
        <v>2.1881041744949621</v>
      </c>
      <c r="AT602" t="e">
        <v>#DIV/0!</v>
      </c>
      <c r="AU602" t="e">
        <v>#DIV/0!</v>
      </c>
      <c r="AV602"/>
      <c r="AW602"/>
      <c r="FY602" s="211">
        <v>597</v>
      </c>
      <c r="FZ602">
        <v>0.53727850959397228</v>
      </c>
      <c r="GA602">
        <v>8.725047411847664E-2</v>
      </c>
      <c r="GB602">
        <v>0.25130369097118832</v>
      </c>
      <c r="GC602">
        <v>0.13927709983584477</v>
      </c>
      <c r="GD602">
        <v>0</v>
      </c>
      <c r="GE602">
        <v>0</v>
      </c>
      <c r="GF602">
        <v>0.33021050058332063</v>
      </c>
      <c r="GG602">
        <v>0.29759236750664797</v>
      </c>
      <c r="GH602">
        <v>0</v>
      </c>
      <c r="GI602">
        <v>0.20556685270544023</v>
      </c>
      <c r="GJ602"/>
      <c r="GK602">
        <v>0.53644961078709441</v>
      </c>
      <c r="GL602">
        <v>7.3740509229249462E-2</v>
      </c>
      <c r="GM602">
        <v>0.41975226092956547</v>
      </c>
      <c r="GN602">
        <v>0.41975226092956547</v>
      </c>
      <c r="GO602">
        <v>0</v>
      </c>
      <c r="GP602">
        <v>0</v>
      </c>
      <c r="GQ602">
        <v>0.45369793096285549</v>
      </c>
      <c r="GR602">
        <v>0.45369793096285549</v>
      </c>
      <c r="GS602">
        <v>0</v>
      </c>
      <c r="GT602">
        <v>0.28197996053590307</v>
      </c>
      <c r="GU602"/>
      <c r="GV602"/>
      <c r="GW602"/>
      <c r="GX602"/>
      <c r="GY602"/>
      <c r="GZ602"/>
      <c r="HA602"/>
      <c r="HB602"/>
      <c r="HC602"/>
    </row>
    <row r="603" spans="1:211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3.6177083333333337</v>
      </c>
      <c r="AO603">
        <v>0.43858983532890106</v>
      </c>
      <c r="AP603">
        <v>16.115240916115866</v>
      </c>
      <c r="AQ603">
        <v>3.3313390073531863</v>
      </c>
      <c r="AR603">
        <v>0.45510882248390339</v>
      </c>
      <c r="AS603">
        <v>2.240516083648195</v>
      </c>
      <c r="AT603" t="e">
        <v>#DIV/0!</v>
      </c>
      <c r="AU603" t="e">
        <v>#DIV/0!</v>
      </c>
      <c r="AV603"/>
      <c r="AW603"/>
      <c r="FY603" s="211">
        <v>598</v>
      </c>
      <c r="FZ603">
        <v>1.0135061413108524</v>
      </c>
      <c r="GA603">
        <v>0.47460065171768845</v>
      </c>
      <c r="GB603">
        <v>0.12565184548559416</v>
      </c>
      <c r="GC603">
        <v>6.9638549917922385E-2</v>
      </c>
      <c r="GD603">
        <v>0</v>
      </c>
      <c r="GE603">
        <v>0</v>
      </c>
      <c r="GF603">
        <v>0.33021050058332063</v>
      </c>
      <c r="GG603">
        <v>0.29759236750664797</v>
      </c>
      <c r="GH603">
        <v>0</v>
      </c>
      <c r="GI603">
        <v>0.24505995301396627</v>
      </c>
      <c r="GJ603"/>
      <c r="GK603">
        <v>1.0188266670979611</v>
      </c>
      <c r="GL603">
        <v>0.40705572478708768</v>
      </c>
      <c r="GM603">
        <v>0.20987613046478273</v>
      </c>
      <c r="GN603">
        <v>0.20987613046478273</v>
      </c>
      <c r="GO603">
        <v>0</v>
      </c>
      <c r="GP603">
        <v>0</v>
      </c>
      <c r="GQ603">
        <v>0.45369793096285549</v>
      </c>
      <c r="GR603">
        <v>0.45369793096285549</v>
      </c>
      <c r="GS603">
        <v>0</v>
      </c>
      <c r="GT603">
        <v>0.33648014570511986</v>
      </c>
      <c r="GU603"/>
      <c r="GV603"/>
      <c r="GW603"/>
      <c r="GX603"/>
      <c r="GY603"/>
      <c r="GZ603"/>
      <c r="HA603"/>
      <c r="HB603"/>
      <c r="HC603"/>
    </row>
    <row r="604" spans="1:211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1.40625</v>
      </c>
      <c r="AO604">
        <v>9.0389817823302493E-2</v>
      </c>
      <c r="AP604">
        <v>1.4749039601315399</v>
      </c>
      <c r="AQ604">
        <v>0.73871245034484301</v>
      </c>
      <c r="AR604">
        <v>0.12086993396189738</v>
      </c>
      <c r="AS604">
        <v>1.1019382796255721</v>
      </c>
      <c r="AT604" t="e">
        <v>#DIV/0!</v>
      </c>
      <c r="AU604" t="e">
        <v>#DIV/0!</v>
      </c>
      <c r="AV604"/>
      <c r="AW604"/>
      <c r="FY604" s="211">
        <v>599</v>
      </c>
      <c r="FZ604">
        <v>1.4088758579902541</v>
      </c>
      <c r="GA604">
        <v>0.86195082931690026</v>
      </c>
      <c r="GB604">
        <v>7.9203986612074825E-2</v>
      </c>
      <c r="GC604">
        <v>0.14859665052880378</v>
      </c>
      <c r="GD604">
        <v>8.0173661321021189E-2</v>
      </c>
      <c r="GE604">
        <v>0</v>
      </c>
      <c r="GF604">
        <v>0.33021050058332063</v>
      </c>
      <c r="GG604">
        <v>0.29759236750664797</v>
      </c>
      <c r="GH604">
        <v>0</v>
      </c>
      <c r="GI604">
        <v>0.33837648988504254</v>
      </c>
      <c r="GJ604"/>
      <c r="GK604">
        <v>1.4192488133942827</v>
      </c>
      <c r="GL604">
        <v>0.7403709403449259</v>
      </c>
      <c r="GM604">
        <v>0.13091770120800852</v>
      </c>
      <c r="GN604">
        <v>0.44573189690518267</v>
      </c>
      <c r="GO604">
        <v>0.31481419569717417</v>
      </c>
      <c r="GP604">
        <v>0</v>
      </c>
      <c r="GQ604">
        <v>0.45369793096285549</v>
      </c>
      <c r="GR604">
        <v>0.45369793096285549</v>
      </c>
      <c r="GS604">
        <v>0</v>
      </c>
      <c r="GT604">
        <v>0.46373572825246417</v>
      </c>
      <c r="GU604"/>
      <c r="GV604"/>
      <c r="GW604"/>
      <c r="GX604"/>
      <c r="GY604"/>
      <c r="GZ604"/>
      <c r="HA604"/>
      <c r="HB604"/>
      <c r="HC604"/>
    </row>
    <row r="605" spans="1:211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2.109375</v>
      </c>
      <c r="AO605">
        <v>0.33141326729712828</v>
      </c>
      <c r="AP605">
        <v>15.385952854552773</v>
      </c>
      <c r="AQ605">
        <v>2.41894394831179</v>
      </c>
      <c r="AR605">
        <v>0.34952342256265378</v>
      </c>
      <c r="AS605">
        <v>1.6299704632458489</v>
      </c>
      <c r="AT605" t="e">
        <v>#DIV/0!</v>
      </c>
      <c r="AU605" t="e">
        <v>#DIV/0!</v>
      </c>
      <c r="AV605"/>
      <c r="AW605"/>
      <c r="FY605" s="211">
        <v>600</v>
      </c>
      <c r="FZ605">
        <v>0.81090868155703466</v>
      </c>
      <c r="GA605">
        <v>8.725047411847664E-2</v>
      </c>
      <c r="GB605">
        <v>6.282592274279708E-2</v>
      </c>
      <c r="GC605">
        <v>3.4819274958961192E-2</v>
      </c>
      <c r="GD605">
        <v>0</v>
      </c>
      <c r="GE605">
        <v>0</v>
      </c>
      <c r="GF605">
        <v>0.33021050058332063</v>
      </c>
      <c r="GG605">
        <v>0.29759236750664797</v>
      </c>
      <c r="GH605">
        <v>0</v>
      </c>
      <c r="GI605">
        <v>0.19969851883866846</v>
      </c>
      <c r="GJ605"/>
      <c r="GK605">
        <v>0.81195454444332404</v>
      </c>
      <c r="GL605">
        <v>7.3740509229249462E-2</v>
      </c>
      <c r="GM605">
        <v>0.10493806523239137</v>
      </c>
      <c r="GN605">
        <v>0.10493806523239137</v>
      </c>
      <c r="GO605">
        <v>0</v>
      </c>
      <c r="GP605">
        <v>0</v>
      </c>
      <c r="GQ605">
        <v>0.45369793096285549</v>
      </c>
      <c r="GR605">
        <v>0.45369793096285549</v>
      </c>
      <c r="GS605">
        <v>0</v>
      </c>
      <c r="GT605">
        <v>0.2741181081277142</v>
      </c>
      <c r="GU605"/>
      <c r="GV605"/>
      <c r="GW605"/>
      <c r="GX605"/>
      <c r="GY605"/>
      <c r="GZ605"/>
      <c r="HA605"/>
      <c r="HB605"/>
      <c r="HC605"/>
    </row>
    <row r="606" spans="1:211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3.0010416666666666</v>
      </c>
      <c r="AO606">
        <v>0.37806959416426045</v>
      </c>
      <c r="AP606">
        <v>5.3038953400116089</v>
      </c>
      <c r="AQ606">
        <v>2.9458458204222278</v>
      </c>
      <c r="AR606">
        <v>0.3974528289879522</v>
      </c>
      <c r="AS606">
        <v>2.5512494669191694</v>
      </c>
      <c r="AT606" t="e">
        <v>#DIV/0!</v>
      </c>
      <c r="AU606" t="e">
        <v>#DIV/0!</v>
      </c>
      <c r="AV606"/>
      <c r="AW606"/>
      <c r="FY606" s="211">
        <v>601</v>
      </c>
      <c r="FZ606">
        <v>2.0855615551207842</v>
      </c>
      <c r="GA606">
        <v>1.1620505327976354</v>
      </c>
      <c r="GB606">
        <v>0</v>
      </c>
      <c r="GC606">
        <v>0</v>
      </c>
      <c r="GD606">
        <v>0</v>
      </c>
      <c r="GE606">
        <v>0</v>
      </c>
      <c r="GF606">
        <v>0.66042100116664126</v>
      </c>
      <c r="GG606">
        <v>0.59518473501329594</v>
      </c>
      <c r="GH606">
        <v>0</v>
      </c>
      <c r="GI606">
        <v>0.43663589303686845</v>
      </c>
      <c r="GJ606"/>
      <c r="GK606">
        <v>2.1074694099005327</v>
      </c>
      <c r="GL606">
        <v>0.9999456466735146</v>
      </c>
      <c r="GM606">
        <v>0</v>
      </c>
      <c r="GN606">
        <v>0</v>
      </c>
      <c r="GO606">
        <v>0</v>
      </c>
      <c r="GP606">
        <v>0</v>
      </c>
      <c r="GQ606">
        <v>0.90739586192571098</v>
      </c>
      <c r="GR606">
        <v>0.90739586192571098</v>
      </c>
      <c r="GS606">
        <v>0</v>
      </c>
      <c r="GT606">
        <v>0.60297305436524873</v>
      </c>
      <c r="GU606"/>
      <c r="GV606"/>
      <c r="GW606"/>
      <c r="GX606"/>
      <c r="GY606"/>
      <c r="GZ606"/>
      <c r="HA606"/>
      <c r="HB606"/>
      <c r="HC606"/>
    </row>
    <row r="607" spans="1:211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3.5322916666666671</v>
      </c>
      <c r="AO607">
        <v>0.53792207146912285</v>
      </c>
      <c r="AP607">
        <v>18.581783961483872</v>
      </c>
      <c r="AQ607">
        <v>4.3587946228798149</v>
      </c>
      <c r="AR607">
        <v>0.57740009832950834</v>
      </c>
      <c r="AS607">
        <v>2.7733217130939347</v>
      </c>
      <c r="AT607" t="e">
        <v>#DIV/0!</v>
      </c>
      <c r="AU607" t="e">
        <v>#DIV/0!</v>
      </c>
      <c r="AV607"/>
      <c r="AW607"/>
      <c r="FY607" s="211">
        <v>602</v>
      </c>
      <c r="FZ607">
        <v>1.5616644585114119</v>
      </c>
      <c r="GA607">
        <v>0.86195082931690026</v>
      </c>
      <c r="GB607">
        <v>7.9203986612074825E-2</v>
      </c>
      <c r="GC607">
        <v>0.11377737556984255</v>
      </c>
      <c r="GD607">
        <v>5.3449107547347455E-2</v>
      </c>
      <c r="GE607">
        <v>0</v>
      </c>
      <c r="GF607">
        <v>0</v>
      </c>
      <c r="GG607">
        <v>0</v>
      </c>
      <c r="GH607">
        <v>0</v>
      </c>
      <c r="GI607">
        <v>0.28140890765536342</v>
      </c>
      <c r="GJ607"/>
      <c r="GK607">
        <v>1.5748731671659262</v>
      </c>
      <c r="GL607">
        <v>0.7403709403449259</v>
      </c>
      <c r="GM607">
        <v>0.13091770120800852</v>
      </c>
      <c r="GN607">
        <v>0.34079383167279126</v>
      </c>
      <c r="GO607">
        <v>0.20987613046478273</v>
      </c>
      <c r="GP607">
        <v>0</v>
      </c>
      <c r="GQ607">
        <v>0</v>
      </c>
      <c r="GR607">
        <v>0</v>
      </c>
      <c r="GS607">
        <v>0</v>
      </c>
      <c r="GT607">
        <v>0.38313339976774352</v>
      </c>
      <c r="GU607"/>
      <c r="GV607"/>
      <c r="GW607"/>
      <c r="GX607"/>
      <c r="GY607"/>
      <c r="GZ607"/>
      <c r="HA607"/>
      <c r="HB607"/>
      <c r="HC607"/>
    </row>
    <row r="608" spans="1:211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3.0916666666666668</v>
      </c>
      <c r="AO608">
        <v>0.40482660379374852</v>
      </c>
      <c r="AP608">
        <v>15.621298521220648</v>
      </c>
      <c r="AQ608">
        <v>3.3184624170703638</v>
      </c>
      <c r="AR608">
        <v>0.43814606433204906</v>
      </c>
      <c r="AS608">
        <v>2.3414904320007115</v>
      </c>
      <c r="AT608" t="e">
        <v>#DIV/0!</v>
      </c>
      <c r="AU608" t="e">
        <v>#DIV/0!</v>
      </c>
      <c r="AV608"/>
      <c r="AW608"/>
      <c r="FY608" s="211">
        <v>603</v>
      </c>
      <c r="FZ608">
        <v>1.1381575705638585</v>
      </c>
      <c r="GA608">
        <v>0.64910159995464167</v>
      </c>
      <c r="GB608">
        <v>0</v>
      </c>
      <c r="GC608">
        <v>0</v>
      </c>
      <c r="GD608">
        <v>0</v>
      </c>
      <c r="GE608">
        <v>0</v>
      </c>
      <c r="GF608">
        <v>0.66042100116664126</v>
      </c>
      <c r="GG608">
        <v>0.59518473501329594</v>
      </c>
      <c r="GH608">
        <v>0</v>
      </c>
      <c r="GI608">
        <v>0.29667982112706326</v>
      </c>
      <c r="GJ608"/>
      <c r="GK608">
        <v>1.1440095296017412</v>
      </c>
      <c r="GL608">
        <v>0.55453674324558655</v>
      </c>
      <c r="GM608">
        <v>0</v>
      </c>
      <c r="GN608">
        <v>0</v>
      </c>
      <c r="GO608">
        <v>0</v>
      </c>
      <c r="GP608">
        <v>0</v>
      </c>
      <c r="GQ608">
        <v>0.90739586192571098</v>
      </c>
      <c r="GR608">
        <v>0.90739586192571098</v>
      </c>
      <c r="GS608">
        <v>0</v>
      </c>
      <c r="GT608">
        <v>0.41028107830549043</v>
      </c>
      <c r="GU608"/>
      <c r="GV608"/>
      <c r="GW608"/>
      <c r="GX608"/>
      <c r="GY608"/>
      <c r="GZ608"/>
      <c r="HA608"/>
      <c r="HB608"/>
      <c r="HC608"/>
    </row>
    <row r="609" spans="1:211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1.9979166666666668</v>
      </c>
      <c r="AO609">
        <v>0.27917152373432658</v>
      </c>
      <c r="AP609">
        <v>5.9522081323376321</v>
      </c>
      <c r="AQ609">
        <v>2.0682099162885579</v>
      </c>
      <c r="AR609">
        <v>0.31362507061203937</v>
      </c>
      <c r="AS609">
        <v>1.7400725923187548</v>
      </c>
      <c r="AT609" t="e">
        <v>#DIV/0!</v>
      </c>
      <c r="AU609" t="e">
        <v>#DIV/0!</v>
      </c>
      <c r="AV609"/>
      <c r="AW609"/>
      <c r="FY609" s="211">
        <v>604</v>
      </c>
      <c r="FZ609">
        <v>0.79990536252076172</v>
      </c>
      <c r="GA609">
        <v>8.725047411847664E-2</v>
      </c>
      <c r="GB609">
        <v>0.23761195983622446</v>
      </c>
      <c r="GC609">
        <v>0.20205502687368287</v>
      </c>
      <c r="GD609">
        <v>5.3449107547347455E-2</v>
      </c>
      <c r="GE609">
        <v>0</v>
      </c>
      <c r="GF609">
        <v>0.33021050058332063</v>
      </c>
      <c r="GG609">
        <v>0.29759236750664797</v>
      </c>
      <c r="GH609">
        <v>0</v>
      </c>
      <c r="GI609">
        <v>0.2717236841208952</v>
      </c>
      <c r="GJ609"/>
      <c r="GK609">
        <v>0.80140959424353997</v>
      </c>
      <c r="GL609">
        <v>7.3740509229249462E-2</v>
      </c>
      <c r="GM609">
        <v>0.39275310362402555</v>
      </c>
      <c r="GN609">
        <v>0.60262923408880831</v>
      </c>
      <c r="GO609">
        <v>0.20987613046478273</v>
      </c>
      <c r="GP609">
        <v>0</v>
      </c>
      <c r="GQ609">
        <v>0.45369793096285549</v>
      </c>
      <c r="GR609">
        <v>0.45369793096285549</v>
      </c>
      <c r="GS609">
        <v>0</v>
      </c>
      <c r="GT609">
        <v>0.37154735185904081</v>
      </c>
      <c r="GU609"/>
      <c r="GV609"/>
      <c r="GW609"/>
      <c r="GX609"/>
      <c r="GY609"/>
      <c r="GZ609"/>
      <c r="HA609"/>
      <c r="HB609"/>
      <c r="HC609"/>
    </row>
    <row r="610" spans="1:211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2.5010416666666666</v>
      </c>
      <c r="AO610">
        <v>0.33147208454566152</v>
      </c>
      <c r="AP610">
        <v>9.1701914360741092</v>
      </c>
      <c r="AQ610">
        <v>2.684936817097674</v>
      </c>
      <c r="AR610">
        <v>0.34091019670868844</v>
      </c>
      <c r="AS610">
        <v>2.1538881698541652</v>
      </c>
      <c r="AT610" t="e">
        <v>#DIV/0!</v>
      </c>
      <c r="AU610" t="e">
        <v>#DIV/0!</v>
      </c>
      <c r="AV610"/>
      <c r="AW610"/>
      <c r="FY610" s="211">
        <v>605</v>
      </c>
      <c r="FZ610">
        <v>1.4762945225057393</v>
      </c>
      <c r="GA610">
        <v>0.56185112583616514</v>
      </c>
      <c r="GB610">
        <v>6.282592274279708E-2</v>
      </c>
      <c r="GC610">
        <v>6.9638549917922385E-2</v>
      </c>
      <c r="GD610">
        <v>2.6724553773673727E-2</v>
      </c>
      <c r="GE610">
        <v>0</v>
      </c>
      <c r="GF610">
        <v>0.99063150174996206</v>
      </c>
      <c r="GG610">
        <v>0.89277710251994391</v>
      </c>
      <c r="GH610">
        <v>0</v>
      </c>
      <c r="GI610">
        <v>0.4417353785890164</v>
      </c>
      <c r="GJ610"/>
      <c r="GK610">
        <v>1.4839702526868574</v>
      </c>
      <c r="GL610">
        <v>0.48079623401633714</v>
      </c>
      <c r="GM610">
        <v>0.10493806523239137</v>
      </c>
      <c r="GN610">
        <v>0.20987613046478273</v>
      </c>
      <c r="GO610">
        <v>0.10493806523239137</v>
      </c>
      <c r="GP610">
        <v>0</v>
      </c>
      <c r="GQ610">
        <v>1.3610937928885667</v>
      </c>
      <c r="GR610">
        <v>1.3610937928885667</v>
      </c>
      <c r="GS610">
        <v>0</v>
      </c>
      <c r="GT610">
        <v>0.61098803520804146</v>
      </c>
      <c r="GU610"/>
      <c r="GV610"/>
      <c r="GW610"/>
      <c r="GX610"/>
      <c r="GY610"/>
      <c r="GZ610"/>
      <c r="HA610"/>
      <c r="HB610"/>
      <c r="HC610"/>
    </row>
    <row r="611" spans="1:211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1.4354166666666663</v>
      </c>
      <c r="AO611">
        <v>0.17173705432565151</v>
      </c>
      <c r="AP611">
        <v>4.0374031917709958</v>
      </c>
      <c r="AQ611">
        <v>1.4195535776043871</v>
      </c>
      <c r="AR611">
        <v>0.19569653287231567</v>
      </c>
      <c r="AS611">
        <v>1.1889816845886274</v>
      </c>
      <c r="AT611" t="e">
        <v>#DIV/0!</v>
      </c>
      <c r="AU611" t="e">
        <v>#DIV/0!</v>
      </c>
      <c r="AV611"/>
      <c r="AW611"/>
      <c r="FY611" s="211">
        <v>606</v>
      </c>
      <c r="FZ611">
        <v>0.73710770133015235</v>
      </c>
      <c r="GA611">
        <v>8.725047411847664E-2</v>
      </c>
      <c r="GB611">
        <v>7.9203986612074825E-2</v>
      </c>
      <c r="GC611">
        <v>0.11377737556984255</v>
      </c>
      <c r="GD611">
        <v>5.3449107547347455E-2</v>
      </c>
      <c r="GE611">
        <v>0</v>
      </c>
      <c r="GF611">
        <v>0.66042100116664126</v>
      </c>
      <c r="GG611">
        <v>0.59518473501329594</v>
      </c>
      <c r="GH611">
        <v>0</v>
      </c>
      <c r="GI611">
        <v>0.28769268279040572</v>
      </c>
      <c r="GJ611"/>
      <c r="GK611">
        <v>0.73821403521407458</v>
      </c>
      <c r="GL611">
        <v>7.3740509229249462E-2</v>
      </c>
      <c r="GM611">
        <v>0.13091770120800852</v>
      </c>
      <c r="GN611">
        <v>0.34079383167279126</v>
      </c>
      <c r="GO611">
        <v>0.20987613046478273</v>
      </c>
      <c r="GP611">
        <v>0</v>
      </c>
      <c r="GQ611">
        <v>0.90739586192571098</v>
      </c>
      <c r="GR611">
        <v>0.90739586192571098</v>
      </c>
      <c r="GS611">
        <v>0</v>
      </c>
      <c r="GT611">
        <v>0.39728074576251537</v>
      </c>
      <c r="GU611"/>
      <c r="GV611"/>
      <c r="GW611"/>
      <c r="GX611"/>
      <c r="GY611"/>
      <c r="GZ611"/>
      <c r="HA611"/>
      <c r="HB611"/>
      <c r="HC611"/>
    </row>
    <row r="612" spans="1:211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1.9697916666666664</v>
      </c>
      <c r="AO612">
        <v>0.2861160119044549</v>
      </c>
      <c r="AP612">
        <v>4.5865927003335942</v>
      </c>
      <c r="AQ612">
        <v>2.4969938352676611</v>
      </c>
      <c r="AR612">
        <v>0.29666589117113873</v>
      </c>
      <c r="AS612">
        <v>1.7991370196929353</v>
      </c>
      <c r="AT612" t="e">
        <v>#DIV/0!</v>
      </c>
      <c r="AU612" t="e">
        <v>#DIV/0!</v>
      </c>
      <c r="AV612"/>
      <c r="AW612"/>
      <c r="FY612" s="211">
        <v>607</v>
      </c>
      <c r="FZ612">
        <v>0.78776251467098357</v>
      </c>
      <c r="GA612">
        <v>0.26175142235542992</v>
      </c>
      <c r="GB612">
        <v>0</v>
      </c>
      <c r="GC612">
        <v>0</v>
      </c>
      <c r="GD612">
        <v>0</v>
      </c>
      <c r="GE612">
        <v>0</v>
      </c>
      <c r="GF612">
        <v>0</v>
      </c>
      <c r="GG612">
        <v>0</v>
      </c>
      <c r="GH612">
        <v>0</v>
      </c>
      <c r="GI612">
        <v>0.11672136570403249</v>
      </c>
      <c r="GJ612"/>
      <c r="GK612">
        <v>0.78932088529785682</v>
      </c>
      <c r="GL612">
        <v>0.22122152768774839</v>
      </c>
      <c r="GM612">
        <v>0</v>
      </c>
      <c r="GN612">
        <v>0</v>
      </c>
      <c r="GO612">
        <v>0</v>
      </c>
      <c r="GP612">
        <v>0</v>
      </c>
      <c r="GQ612">
        <v>0</v>
      </c>
      <c r="GR612">
        <v>0</v>
      </c>
      <c r="GS612">
        <v>0</v>
      </c>
      <c r="GT612">
        <v>0.15786417705957137</v>
      </c>
      <c r="GU612"/>
      <c r="GV612"/>
      <c r="GW612"/>
      <c r="GX612"/>
      <c r="GY612"/>
      <c r="GZ612"/>
      <c r="HA612"/>
      <c r="HB612"/>
      <c r="HC612"/>
    </row>
    <row r="613" spans="1:211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1.9270833333333328</v>
      </c>
      <c r="AO613">
        <v>0.26390704643370888</v>
      </c>
      <c r="AP613">
        <v>11.525568256621348</v>
      </c>
      <c r="AQ613">
        <v>1.8484794953148906</v>
      </c>
      <c r="AR613">
        <v>0.28197996053590307</v>
      </c>
      <c r="AS613">
        <v>1.6810226225289129</v>
      </c>
      <c r="AT613" t="e">
        <v>#DIV/0!</v>
      </c>
      <c r="AU613" t="e">
        <v>#DIV/0!</v>
      </c>
      <c r="AV613"/>
      <c r="AW613"/>
      <c r="FY613" s="211">
        <v>608</v>
      </c>
      <c r="FZ613">
        <v>1.1302617717495442</v>
      </c>
      <c r="GA613">
        <v>0.26175142235542992</v>
      </c>
      <c r="GB613">
        <v>0.12565184548559416</v>
      </c>
      <c r="GC613">
        <v>6.9638549917922385E-2</v>
      </c>
      <c r="GD613">
        <v>0</v>
      </c>
      <c r="GE613">
        <v>0</v>
      </c>
      <c r="GF613">
        <v>0.66042100116664126</v>
      </c>
      <c r="GG613">
        <v>0.59518473501329594</v>
      </c>
      <c r="GH613">
        <v>0</v>
      </c>
      <c r="GI613">
        <v>0.3264847889598898</v>
      </c>
      <c r="GJ613"/>
      <c r="GK613">
        <v>1.1340657324563934</v>
      </c>
      <c r="GL613">
        <v>0.22122152768774839</v>
      </c>
      <c r="GM613">
        <v>0.20987613046478273</v>
      </c>
      <c r="GN613">
        <v>0.20987613046478273</v>
      </c>
      <c r="GO613">
        <v>0</v>
      </c>
      <c r="GP613">
        <v>0</v>
      </c>
      <c r="GQ613">
        <v>0.90739586192571098</v>
      </c>
      <c r="GR613">
        <v>0.90739586192571098</v>
      </c>
      <c r="GS613">
        <v>0</v>
      </c>
      <c r="GT613">
        <v>0.45026754496937738</v>
      </c>
      <c r="GU613"/>
      <c r="GV613"/>
      <c r="GW613"/>
      <c r="GX613"/>
      <c r="GY613"/>
      <c r="GZ613"/>
      <c r="HA613"/>
      <c r="HB613"/>
      <c r="HC613"/>
    </row>
    <row r="614" spans="1:211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2.7166666666666668</v>
      </c>
      <c r="AO614">
        <v>0.30895106604454448</v>
      </c>
      <c r="AP614">
        <v>10.492195803184318</v>
      </c>
      <c r="AQ614">
        <v>2.5562600095359924</v>
      </c>
      <c r="AR614">
        <v>0.33648014570511986</v>
      </c>
      <c r="AS614">
        <v>2.0383650523026406</v>
      </c>
      <c r="AT614" t="e">
        <v>#DIV/0!</v>
      </c>
      <c r="AU614" t="e">
        <v>#DIV/0!</v>
      </c>
      <c r="AV614"/>
      <c r="AW614"/>
      <c r="FY614" s="211">
        <v>609</v>
      </c>
      <c r="FZ614">
        <v>1.702370485677525</v>
      </c>
      <c r="GA614">
        <v>1.0364517775538535</v>
      </c>
      <c r="GB614">
        <v>0.22123389596694673</v>
      </c>
      <c r="GC614">
        <v>0.1579162012217627</v>
      </c>
      <c r="GD614">
        <v>2.6724553773673727E-2</v>
      </c>
      <c r="GE614">
        <v>0</v>
      </c>
      <c r="GF614">
        <v>0.33021050058332063</v>
      </c>
      <c r="GG614">
        <v>0.29759236750664797</v>
      </c>
      <c r="GH614">
        <v>0</v>
      </c>
      <c r="GI614">
        <v>0.38585197693096202</v>
      </c>
      <c r="GJ614"/>
      <c r="GK614">
        <v>1.711895212192432</v>
      </c>
      <c r="GL614">
        <v>0.88785195880342482</v>
      </c>
      <c r="GM614">
        <v>0.3667734676484084</v>
      </c>
      <c r="GN614">
        <v>0.47171153288079981</v>
      </c>
      <c r="GO614">
        <v>0.10493806523239137</v>
      </c>
      <c r="GP614">
        <v>0</v>
      </c>
      <c r="GQ614">
        <v>0.45369793096285549</v>
      </c>
      <c r="GR614">
        <v>0.45369793096285549</v>
      </c>
      <c r="GS614">
        <v>0</v>
      </c>
      <c r="GT614">
        <v>0.52746093520721749</v>
      </c>
      <c r="GU614"/>
      <c r="GV614"/>
      <c r="GW614"/>
      <c r="GX614"/>
      <c r="GY614"/>
      <c r="GZ614"/>
      <c r="HA614"/>
      <c r="HB614"/>
      <c r="HC614"/>
    </row>
    <row r="615" spans="1:211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2.5739583333333327</v>
      </c>
      <c r="AO615">
        <v>0.44222151377277485</v>
      </c>
      <c r="AP615">
        <v>9.8801609773106822</v>
      </c>
      <c r="AQ615">
        <v>3.5449803437440655</v>
      </c>
      <c r="AR615">
        <v>0.46373572825246417</v>
      </c>
      <c r="AS615">
        <v>2.5895969263483729</v>
      </c>
      <c r="AT615" t="e">
        <v>#DIV/0!</v>
      </c>
      <c r="AU615" t="e">
        <v>#DIV/0!</v>
      </c>
      <c r="AV615"/>
      <c r="AW615"/>
      <c r="FY615" s="211">
        <v>610</v>
      </c>
      <c r="FZ615">
        <v>1.0584808020973795</v>
      </c>
      <c r="GA615">
        <v>0.47460065171768845</v>
      </c>
      <c r="GB615">
        <v>0.204855832097669</v>
      </c>
      <c r="GC615">
        <v>0.21823520044672617</v>
      </c>
      <c r="GD615">
        <v>8.0173661321021189E-2</v>
      </c>
      <c r="GE615">
        <v>0</v>
      </c>
      <c r="GF615">
        <v>0</v>
      </c>
      <c r="GG615">
        <v>0</v>
      </c>
      <c r="GH615">
        <v>0</v>
      </c>
      <c r="GI615">
        <v>0.25340657070698952</v>
      </c>
      <c r="GJ615"/>
      <c r="GK615">
        <v>1.0645601690903985</v>
      </c>
      <c r="GL615">
        <v>0.40705572478708768</v>
      </c>
      <c r="GM615">
        <v>0.34079383167279126</v>
      </c>
      <c r="GN615">
        <v>0.65560802736996537</v>
      </c>
      <c r="GO615">
        <v>0.31481419569717417</v>
      </c>
      <c r="GP615">
        <v>0</v>
      </c>
      <c r="GQ615">
        <v>0</v>
      </c>
      <c r="GR615">
        <v>0</v>
      </c>
      <c r="GS615">
        <v>0</v>
      </c>
      <c r="GT615">
        <v>0.34403363929207276</v>
      </c>
      <c r="GU615"/>
      <c r="GV615"/>
      <c r="GW615"/>
      <c r="GX615"/>
      <c r="GY615"/>
      <c r="GZ615"/>
      <c r="HA615"/>
      <c r="HB615"/>
      <c r="HC615"/>
    </row>
    <row r="616" spans="1:211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2.5833333333333326</v>
      </c>
      <c r="AO616">
        <v>0.22770851541907816</v>
      </c>
      <c r="AP616">
        <v>7.9170706153033139</v>
      </c>
      <c r="AQ616">
        <v>1.8233057403059065</v>
      </c>
      <c r="AR616">
        <v>0.2741181081277142</v>
      </c>
      <c r="AS616">
        <v>1.5698368255172124</v>
      </c>
      <c r="AT616" t="e">
        <v>#DIV/0!</v>
      </c>
      <c r="AU616" t="e">
        <v>#DIV/0!</v>
      </c>
      <c r="AV616"/>
      <c r="AW616"/>
      <c r="FY616" s="211">
        <v>611</v>
      </c>
      <c r="FZ616">
        <v>1.1537188304221038</v>
      </c>
      <c r="GA616">
        <v>0.73635207407311842</v>
      </c>
      <c r="GB616">
        <v>0.12565184548559416</v>
      </c>
      <c r="GC616">
        <v>0.13927709983584477</v>
      </c>
      <c r="GD616">
        <v>5.3449107547347455E-2</v>
      </c>
      <c r="GE616">
        <v>0</v>
      </c>
      <c r="GF616">
        <v>0.33021050058332063</v>
      </c>
      <c r="GG616">
        <v>0.29759236750664797</v>
      </c>
      <c r="GH616">
        <v>0</v>
      </c>
      <c r="GI616">
        <v>0.29673927117000931</v>
      </c>
      <c r="GJ616"/>
      <c r="GK616">
        <v>1.159674107065694</v>
      </c>
      <c r="GL616">
        <v>0.62827725247483612</v>
      </c>
      <c r="GM616">
        <v>0.20987613046478273</v>
      </c>
      <c r="GN616">
        <v>0.41975226092956547</v>
      </c>
      <c r="GO616">
        <v>0.20987613046478273</v>
      </c>
      <c r="GP616">
        <v>0</v>
      </c>
      <c r="GQ616">
        <v>0.45369793096285549</v>
      </c>
      <c r="GR616">
        <v>0.45369793096285549</v>
      </c>
      <c r="GS616">
        <v>0</v>
      </c>
      <c r="GT616">
        <v>0.40662485979162299</v>
      </c>
      <c r="GU616"/>
      <c r="GV616"/>
      <c r="GW616"/>
      <c r="GX616"/>
      <c r="GY616"/>
      <c r="GZ616"/>
      <c r="HA616"/>
      <c r="HB616"/>
      <c r="HC616"/>
    </row>
    <row r="617" spans="1:211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2.3479166666666669</v>
      </c>
      <c r="AO617">
        <v>0.55251798347907177</v>
      </c>
      <c r="AP617">
        <v>15.339191492297136</v>
      </c>
      <c r="AQ617">
        <v>4.9398537171352253</v>
      </c>
      <c r="AR617">
        <v>0.60297305436524873</v>
      </c>
      <c r="AS617">
        <v>2.6100078707417507</v>
      </c>
      <c r="AT617" t="e">
        <v>#DIV/0!</v>
      </c>
      <c r="AU617" t="e">
        <v>#DIV/0!</v>
      </c>
      <c r="AV617"/>
      <c r="AW617"/>
      <c r="FY617" s="211">
        <v>612</v>
      </c>
      <c r="FZ617">
        <v>0.99568314090677013</v>
      </c>
      <c r="GA617">
        <v>0.47460065171768845</v>
      </c>
      <c r="GB617">
        <v>0.12565184548559416</v>
      </c>
      <c r="GC617">
        <v>0.13927709983584477</v>
      </c>
      <c r="GD617">
        <v>5.3449107547347455E-2</v>
      </c>
      <c r="GE617">
        <v>0</v>
      </c>
      <c r="GF617">
        <v>0.33021050058332063</v>
      </c>
      <c r="GG617">
        <v>0.29759236750664797</v>
      </c>
      <c r="GH617">
        <v>0</v>
      </c>
      <c r="GI617">
        <v>0.27332225788856984</v>
      </c>
      <c r="GJ617"/>
      <c r="GK617">
        <v>1.001364610060933</v>
      </c>
      <c r="GL617">
        <v>0.40705572478708768</v>
      </c>
      <c r="GM617">
        <v>0.20987613046478273</v>
      </c>
      <c r="GN617">
        <v>0.41975226092956547</v>
      </c>
      <c r="GO617">
        <v>0.20987613046478273</v>
      </c>
      <c r="GP617">
        <v>0</v>
      </c>
      <c r="GQ617">
        <v>0.45369793096285549</v>
      </c>
      <c r="GR617">
        <v>0.45369793096285549</v>
      </c>
      <c r="GS617">
        <v>0</v>
      </c>
      <c r="GT617">
        <v>0.37496296039067084</v>
      </c>
      <c r="GU617"/>
      <c r="GV617"/>
      <c r="GW617"/>
      <c r="GX617"/>
      <c r="GY617"/>
      <c r="GZ617"/>
      <c r="HA617"/>
      <c r="HB617"/>
      <c r="HC617"/>
    </row>
    <row r="618" spans="1:211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2.0947916666666666</v>
      </c>
      <c r="AO618">
        <v>0.33799651706241784</v>
      </c>
      <c r="AP618">
        <v>3.1080496166243092</v>
      </c>
      <c r="AQ618">
        <v>2.9514546652129408</v>
      </c>
      <c r="AR618">
        <v>0.38313339976774352</v>
      </c>
      <c r="AS618">
        <v>2.3325131161888892</v>
      </c>
      <c r="AT618" t="e">
        <v>#DIV/0!</v>
      </c>
      <c r="AU618" t="e">
        <v>#DIV/0!</v>
      </c>
      <c r="AV618"/>
      <c r="AW618"/>
      <c r="FY618" s="211">
        <v>613</v>
      </c>
      <c r="FZ618">
        <v>1.2506659775350371</v>
      </c>
      <c r="GA618">
        <v>0.47460065171768845</v>
      </c>
      <c r="GB618">
        <v>0.204855832097669</v>
      </c>
      <c r="GC618">
        <v>0.18341592548776492</v>
      </c>
      <c r="GD618">
        <v>5.3449107547347455E-2</v>
      </c>
      <c r="GE618">
        <v>0</v>
      </c>
      <c r="GF618">
        <v>0</v>
      </c>
      <c r="GG618">
        <v>0</v>
      </c>
      <c r="GH618">
        <v>0</v>
      </c>
      <c r="GI618">
        <v>0.26645673156450711</v>
      </c>
      <c r="GJ618"/>
      <c r="GK618">
        <v>1.2560482754404108</v>
      </c>
      <c r="GL618">
        <v>0.40705572478708768</v>
      </c>
      <c r="GM618">
        <v>0.34079383167279126</v>
      </c>
      <c r="GN618">
        <v>0.55066996213757402</v>
      </c>
      <c r="GO618">
        <v>0.20987613046478273</v>
      </c>
      <c r="GP618">
        <v>0</v>
      </c>
      <c r="GQ618">
        <v>0</v>
      </c>
      <c r="GR618">
        <v>0</v>
      </c>
      <c r="GS618">
        <v>0</v>
      </c>
      <c r="GT618">
        <v>0.361343647515597</v>
      </c>
      <c r="GU618"/>
      <c r="GV618"/>
      <c r="GW618"/>
      <c r="GX618"/>
      <c r="GY618"/>
      <c r="GZ618"/>
      <c r="HA618"/>
      <c r="HB618"/>
      <c r="HC618"/>
    </row>
    <row r="619" spans="1:211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2.1854166666666672</v>
      </c>
      <c r="AO619">
        <v>0.39236190750042399</v>
      </c>
      <c r="AP619">
        <v>13.232309992844428</v>
      </c>
      <c r="AQ619">
        <v>3.3395447278255004</v>
      </c>
      <c r="AR619">
        <v>0.41028107830549043</v>
      </c>
      <c r="AS619">
        <v>2.2736704855162966</v>
      </c>
      <c r="AT619" t="e">
        <v>#DIV/0!</v>
      </c>
      <c r="AU619" t="e">
        <v>#DIV/0!</v>
      </c>
      <c r="AV619"/>
      <c r="AW619"/>
      <c r="FY619" s="211">
        <v>614</v>
      </c>
      <c r="FZ619">
        <v>0.84214645737474114</v>
      </c>
      <c r="GA619">
        <v>0.56185112583616514</v>
      </c>
      <c r="GB619">
        <v>0.15840797322414965</v>
      </c>
      <c r="GC619">
        <v>0.12309692626280153</v>
      </c>
      <c r="GD619">
        <v>2.6724553773673727E-2</v>
      </c>
      <c r="GE619">
        <v>0</v>
      </c>
      <c r="GF619">
        <v>0.33021050058332063</v>
      </c>
      <c r="GG619">
        <v>0.29759236750664797</v>
      </c>
      <c r="GH619">
        <v>0</v>
      </c>
      <c r="GI619">
        <v>0.24305629069475226</v>
      </c>
      <c r="GJ619"/>
      <c r="GK619">
        <v>0.84592291164431477</v>
      </c>
      <c r="GL619">
        <v>0.48079623401633714</v>
      </c>
      <c r="GM619">
        <v>0.26183540241601705</v>
      </c>
      <c r="GN619">
        <v>0.3667734676484084</v>
      </c>
      <c r="GO619">
        <v>0.10493806523239137</v>
      </c>
      <c r="GP619">
        <v>0</v>
      </c>
      <c r="GQ619">
        <v>0.45369793096285549</v>
      </c>
      <c r="GR619">
        <v>0.45369793096285549</v>
      </c>
      <c r="GS619">
        <v>0</v>
      </c>
      <c r="GT619">
        <v>0.33327886205111573</v>
      </c>
      <c r="GU619"/>
      <c r="GV619"/>
      <c r="GW619"/>
      <c r="GX619"/>
      <c r="GY619"/>
      <c r="GZ619"/>
      <c r="HA619"/>
      <c r="HB619"/>
      <c r="HC619"/>
    </row>
    <row r="620" spans="1:211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2.8072916666666661</v>
      </c>
      <c r="AO620">
        <v>0.33593517854351573</v>
      </c>
      <c r="AP620">
        <v>11.235246919756337</v>
      </c>
      <c r="AQ620">
        <v>2.2797984831073572</v>
      </c>
      <c r="AR620">
        <v>0.37154735185904081</v>
      </c>
      <c r="AS620">
        <v>2.1640224233309757</v>
      </c>
      <c r="AT620" t="e">
        <v>#DIV/0!</v>
      </c>
      <c r="AU620" t="e">
        <v>#DIV/0!</v>
      </c>
      <c r="AV620"/>
      <c r="AW620"/>
      <c r="FY620" s="211">
        <v>615</v>
      </c>
      <c r="FZ620">
        <v>0.46082451745066821</v>
      </c>
      <c r="GA620">
        <v>8.725047411847664E-2</v>
      </c>
      <c r="GB620">
        <v>0</v>
      </c>
      <c r="GC620">
        <v>3.4819274958961192E-2</v>
      </c>
      <c r="GD620">
        <v>2.6724553773673727E-2</v>
      </c>
      <c r="GE620">
        <v>0</v>
      </c>
      <c r="GF620">
        <v>0</v>
      </c>
      <c r="GG620">
        <v>0</v>
      </c>
      <c r="GH620">
        <v>0</v>
      </c>
      <c r="GI620">
        <v>8.378114796928951E-2</v>
      </c>
      <c r="GJ620"/>
      <c r="GK620">
        <v>0.46024061560327306</v>
      </c>
      <c r="GL620">
        <v>7.3740509229249462E-2</v>
      </c>
      <c r="GM620">
        <v>0</v>
      </c>
      <c r="GN620">
        <v>0.10493806523239137</v>
      </c>
      <c r="GO620">
        <v>0.10493806523239137</v>
      </c>
      <c r="GP620">
        <v>0</v>
      </c>
      <c r="GQ620">
        <v>0</v>
      </c>
      <c r="GR620">
        <v>0</v>
      </c>
      <c r="GS620">
        <v>0</v>
      </c>
      <c r="GT620">
        <v>0.11303573616713289</v>
      </c>
      <c r="GU620"/>
      <c r="GV620"/>
      <c r="GW620"/>
      <c r="GX620"/>
      <c r="GY620"/>
      <c r="GZ620"/>
      <c r="HA620"/>
      <c r="HB620"/>
      <c r="HC620"/>
    </row>
    <row r="621" spans="1:211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3.6124999999999998</v>
      </c>
      <c r="AO621">
        <v>0.57176943686179349</v>
      </c>
      <c r="AP621">
        <v>21.596061988629295</v>
      </c>
      <c r="AQ621">
        <v>4.5224786576352205</v>
      </c>
      <c r="AR621">
        <v>0.61098803520804135</v>
      </c>
      <c r="AS621">
        <v>2.9831749384882702</v>
      </c>
      <c r="AT621" t="e">
        <v>#DIV/0!</v>
      </c>
      <c r="AU621" t="e">
        <v>#DIV/0!</v>
      </c>
      <c r="AV621"/>
      <c r="AW621"/>
      <c r="FY621" s="211">
        <v>616</v>
      </c>
      <c r="FZ621">
        <v>0.88368538907162708</v>
      </c>
      <c r="GA621">
        <v>0.38735017759921181</v>
      </c>
      <c r="GB621">
        <v>0.15840797322414965</v>
      </c>
      <c r="GC621">
        <v>8.8277651303840327E-2</v>
      </c>
      <c r="GD621">
        <v>0</v>
      </c>
      <c r="GE621">
        <v>0</v>
      </c>
      <c r="GF621">
        <v>0.33021050058332063</v>
      </c>
      <c r="GG621">
        <v>0.29759236750664797</v>
      </c>
      <c r="GH621">
        <v>0</v>
      </c>
      <c r="GI621">
        <v>0.2337758994884894</v>
      </c>
      <c r="GJ621"/>
      <c r="GK621">
        <v>0.88679050719975949</v>
      </c>
      <c r="GL621">
        <v>0.33331521555783822</v>
      </c>
      <c r="GM621">
        <v>0.26183540241601705</v>
      </c>
      <c r="GN621">
        <v>0.26183540241601705</v>
      </c>
      <c r="GO621">
        <v>0</v>
      </c>
      <c r="GP621">
        <v>0</v>
      </c>
      <c r="GQ621">
        <v>0.45369793096285549</v>
      </c>
      <c r="GR621">
        <v>0.45369793096285549</v>
      </c>
      <c r="GS621">
        <v>0</v>
      </c>
      <c r="GT621">
        <v>0.32046476811572638</v>
      </c>
      <c r="GU621"/>
      <c r="GV621"/>
      <c r="GW621"/>
      <c r="GX621"/>
      <c r="GY621"/>
      <c r="GZ621"/>
      <c r="HA621"/>
      <c r="HB621"/>
      <c r="HC621"/>
    </row>
    <row r="622" spans="1:211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2.973958333333333</v>
      </c>
      <c r="AO622">
        <v>0.37056146774028437</v>
      </c>
      <c r="AP622">
        <v>14.579600650779541</v>
      </c>
      <c r="AQ622">
        <v>2.614087064148237</v>
      </c>
      <c r="AR622">
        <v>0.39728074576251537</v>
      </c>
      <c r="AS622">
        <v>1.9766424146951449</v>
      </c>
      <c r="AT622" t="e">
        <v>#DIV/0!</v>
      </c>
      <c r="AU622" t="e">
        <v>#DIV/0!</v>
      </c>
      <c r="AV622"/>
      <c r="AW622"/>
      <c r="FY622" s="211">
        <v>617</v>
      </c>
      <c r="FZ622">
        <v>0.73710770133015235</v>
      </c>
      <c r="GA622">
        <v>0</v>
      </c>
      <c r="GB622">
        <v>0</v>
      </c>
      <c r="GC622">
        <v>6.9638549917922385E-2</v>
      </c>
      <c r="GD622">
        <v>5.3449107547347455E-2</v>
      </c>
      <c r="GE622">
        <v>0</v>
      </c>
      <c r="GF622">
        <v>0.33021050058332063</v>
      </c>
      <c r="GG622">
        <v>0.29759236750664797</v>
      </c>
      <c r="GH622">
        <v>0</v>
      </c>
      <c r="GI622">
        <v>0.20421486564146743</v>
      </c>
      <c r="GJ622"/>
      <c r="GK622">
        <v>0.73821403521407458</v>
      </c>
      <c r="GL622">
        <v>0</v>
      </c>
      <c r="GM622">
        <v>0</v>
      </c>
      <c r="GN622">
        <v>0.20987613046478273</v>
      </c>
      <c r="GO622">
        <v>0.20987613046478273</v>
      </c>
      <c r="GP622">
        <v>0</v>
      </c>
      <c r="GQ622">
        <v>0.45369793096285549</v>
      </c>
      <c r="GR622">
        <v>0.45369793096285549</v>
      </c>
      <c r="GS622">
        <v>0</v>
      </c>
      <c r="GT622">
        <v>0.28035761932834258</v>
      </c>
      <c r="GU622"/>
      <c r="GV622"/>
      <c r="GW622"/>
      <c r="GX622"/>
      <c r="GY622"/>
      <c r="GZ622"/>
      <c r="HA622"/>
      <c r="HB622"/>
      <c r="HC622"/>
    </row>
    <row r="623" spans="1:211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1.6875</v>
      </c>
      <c r="AO623">
        <v>0.11684065900451768</v>
      </c>
      <c r="AP623">
        <v>2.9755433078358755E-2</v>
      </c>
      <c r="AQ623">
        <v>1.166235302730446</v>
      </c>
      <c r="AR623">
        <v>0.15786417705957137</v>
      </c>
      <c r="AS623">
        <v>1.2576619925821784</v>
      </c>
      <c r="AT623" t="e">
        <v>#DIV/0!</v>
      </c>
      <c r="AU623" t="e">
        <v>#DIV/0!</v>
      </c>
      <c r="AV623"/>
      <c r="AW623"/>
      <c r="FY623" s="211">
        <v>618</v>
      </c>
      <c r="FZ623">
        <v>1.2689955054109199</v>
      </c>
      <c r="GA623">
        <v>0.86195082931690026</v>
      </c>
      <c r="GB623">
        <v>0.25130369097118832</v>
      </c>
      <c r="GC623">
        <v>0.20891564975376717</v>
      </c>
      <c r="GD623">
        <v>5.3449107547347455E-2</v>
      </c>
      <c r="GE623">
        <v>0</v>
      </c>
      <c r="GF623">
        <v>0.33021050058332063</v>
      </c>
      <c r="GG623">
        <v>0.29759236750664797</v>
      </c>
      <c r="GH623">
        <v>0</v>
      </c>
      <c r="GI623">
        <v>0.34468591074351662</v>
      </c>
      <c r="GJ623"/>
      <c r="GK623">
        <v>1.2768205511320203</v>
      </c>
      <c r="GL623">
        <v>0.7403709403449259</v>
      </c>
      <c r="GM623">
        <v>0.41975226092956547</v>
      </c>
      <c r="GN623">
        <v>0.62962839139434823</v>
      </c>
      <c r="GO623">
        <v>0.20987613046478273</v>
      </c>
      <c r="GP623">
        <v>0</v>
      </c>
      <c r="GQ623">
        <v>0.45369793096285549</v>
      </c>
      <c r="GR623">
        <v>0.45369793096285549</v>
      </c>
      <c r="GS623">
        <v>0</v>
      </c>
      <c r="GT623">
        <v>0.47202937469784484</v>
      </c>
      <c r="GU623"/>
      <c r="GV623"/>
      <c r="GW623"/>
      <c r="GX623"/>
      <c r="GY623"/>
      <c r="GZ623"/>
      <c r="HA623"/>
      <c r="HB623"/>
      <c r="HC623"/>
    </row>
    <row r="624" spans="1:211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2.5833333333333335</v>
      </c>
      <c r="AO624">
        <v>0.40400987898945068</v>
      </c>
      <c r="AP624">
        <v>14.974229663733501</v>
      </c>
      <c r="AQ624">
        <v>3.1693941146483176</v>
      </c>
      <c r="AR624">
        <v>0.45026754496937738</v>
      </c>
      <c r="AS624">
        <v>2.394853475596693</v>
      </c>
      <c r="AT624" t="e">
        <v>#DIV/0!</v>
      </c>
      <c r="AU624" t="e">
        <v>#DIV/0!</v>
      </c>
      <c r="AV624"/>
      <c r="AW624"/>
      <c r="FY624" s="211">
        <v>619</v>
      </c>
      <c r="FZ624">
        <v>1.1034381458027327</v>
      </c>
      <c r="GA624">
        <v>0.38735017759921181</v>
      </c>
      <c r="GB624">
        <v>0.204855832097669</v>
      </c>
      <c r="GC624">
        <v>0.21823520044672617</v>
      </c>
      <c r="GD624">
        <v>8.0173661321021189E-2</v>
      </c>
      <c r="GE624">
        <v>0</v>
      </c>
      <c r="GF624">
        <v>0</v>
      </c>
      <c r="GG624">
        <v>0</v>
      </c>
      <c r="GH624">
        <v>0</v>
      </c>
      <c r="GI624">
        <v>0.26008563393675638</v>
      </c>
      <c r="GJ624"/>
      <c r="GK624">
        <v>1.1090036331641131</v>
      </c>
      <c r="GL624">
        <v>0.33331521555783822</v>
      </c>
      <c r="GM624">
        <v>0.34079383167279126</v>
      </c>
      <c r="GN624">
        <v>0.65560802736996537</v>
      </c>
      <c r="GO624">
        <v>0.31481419569717417</v>
      </c>
      <c r="GP624">
        <v>0</v>
      </c>
      <c r="GQ624">
        <v>0</v>
      </c>
      <c r="GR624">
        <v>0</v>
      </c>
      <c r="GS624">
        <v>0</v>
      </c>
      <c r="GT624">
        <v>0.35292233210681567</v>
      </c>
      <c r="GU624"/>
      <c r="GV624"/>
      <c r="GW624"/>
      <c r="GX624"/>
      <c r="GY624"/>
      <c r="GZ624"/>
      <c r="HA624"/>
      <c r="HB624"/>
      <c r="HC624"/>
    </row>
    <row r="625" spans="1:211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4.3916666666666675</v>
      </c>
      <c r="AO625">
        <v>0.49780270338903848</v>
      </c>
      <c r="AP625">
        <v>13.224677102827517</v>
      </c>
      <c r="AQ625">
        <v>4.1583517592146926</v>
      </c>
      <c r="AR625">
        <v>0.52746093520721749</v>
      </c>
      <c r="AS625">
        <v>2.9301995967517014</v>
      </c>
      <c r="AT625" t="e">
        <v>#DIV/0!</v>
      </c>
      <c r="AU625" t="e">
        <v>#DIV/0!</v>
      </c>
      <c r="AV625"/>
      <c r="AW625"/>
      <c r="FY625" s="211">
        <v>620</v>
      </c>
      <c r="FZ625">
        <v>1.1542080408127304</v>
      </c>
      <c r="GA625">
        <v>0.77470035519842362</v>
      </c>
      <c r="GB625">
        <v>0.15840797322414965</v>
      </c>
      <c r="GC625">
        <v>8.8277651303840327E-2</v>
      </c>
      <c r="GD625">
        <v>0</v>
      </c>
      <c r="GE625">
        <v>0</v>
      </c>
      <c r="GF625">
        <v>0.33021050058332063</v>
      </c>
      <c r="GG625">
        <v>0.29759236750664797</v>
      </c>
      <c r="GH625">
        <v>0</v>
      </c>
      <c r="GI625">
        <v>0.27374510514301764</v>
      </c>
      <c r="GJ625"/>
      <c r="GK625">
        <v>1.1616942878015526</v>
      </c>
      <c r="GL625">
        <v>0.66663043111567644</v>
      </c>
      <c r="GM625">
        <v>0.26183540241601705</v>
      </c>
      <c r="GN625">
        <v>0.26183540241601705</v>
      </c>
      <c r="GO625">
        <v>0</v>
      </c>
      <c r="GP625">
        <v>0</v>
      </c>
      <c r="GQ625">
        <v>0.45369793096285549</v>
      </c>
      <c r="GR625">
        <v>0.45369793096285549</v>
      </c>
      <c r="GS625">
        <v>0</v>
      </c>
      <c r="GT625">
        <v>0.37544552423608507</v>
      </c>
      <c r="GU625"/>
      <c r="GV625"/>
      <c r="GW625"/>
      <c r="GX625"/>
      <c r="GY625"/>
      <c r="GZ625"/>
      <c r="HA625"/>
      <c r="HB625"/>
      <c r="HC625"/>
    </row>
    <row r="626" spans="1:211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2.4197916666666663</v>
      </c>
      <c r="AO626">
        <v>0.31268655879094898</v>
      </c>
      <c r="AP626">
        <v>5.41027920582449</v>
      </c>
      <c r="AQ626">
        <v>2.289752718387474</v>
      </c>
      <c r="AR626">
        <v>0.34403363929207276</v>
      </c>
      <c r="AS626">
        <v>2.0704963339783271</v>
      </c>
      <c r="AT626" t="e">
        <v>#DIV/0!</v>
      </c>
      <c r="AU626" t="e">
        <v>#DIV/0!</v>
      </c>
      <c r="AV626"/>
      <c r="AW626"/>
      <c r="FY626" s="211">
        <v>621</v>
      </c>
      <c r="FZ626">
        <v>0.49383464899153573</v>
      </c>
      <c r="GA626">
        <v>0.17450094823695328</v>
      </c>
      <c r="GB626">
        <v>6.282592274279708E-2</v>
      </c>
      <c r="GC626">
        <v>0.10445782487688358</v>
      </c>
      <c r="GD626">
        <v>5.3449107547347455E-2</v>
      </c>
      <c r="GE626">
        <v>0</v>
      </c>
      <c r="GF626">
        <v>0.33021050058332063</v>
      </c>
      <c r="GG626">
        <v>0.29759236750664797</v>
      </c>
      <c r="GH626">
        <v>0</v>
      </c>
      <c r="GI626">
        <v>0.18367211882038972</v>
      </c>
      <c r="GJ626"/>
      <c r="GK626">
        <v>0.49293087392205287</v>
      </c>
      <c r="GL626">
        <v>0.14748101845849892</v>
      </c>
      <c r="GM626">
        <v>0.10493806523239137</v>
      </c>
      <c r="GN626">
        <v>0.31481419569717412</v>
      </c>
      <c r="GO626">
        <v>0.20987613046478273</v>
      </c>
      <c r="GP626">
        <v>0</v>
      </c>
      <c r="GQ626">
        <v>0.45369793096285549</v>
      </c>
      <c r="GR626">
        <v>0.45369793096285549</v>
      </c>
      <c r="GS626">
        <v>0</v>
      </c>
      <c r="GT626">
        <v>0.25228860011641646</v>
      </c>
      <c r="GU626"/>
      <c r="GV626"/>
      <c r="GW626"/>
      <c r="GX626"/>
      <c r="GY626"/>
      <c r="GZ626"/>
      <c r="HA626"/>
      <c r="HB626"/>
      <c r="HC626"/>
    </row>
    <row r="627" spans="1:211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2.6333333333333329</v>
      </c>
      <c r="AO627">
        <v>0.39414766031169945</v>
      </c>
      <c r="AP627">
        <v>9.4566201228711577</v>
      </c>
      <c r="AQ627">
        <v>3.1329910966239867</v>
      </c>
      <c r="AR627">
        <v>0.40662485979162299</v>
      </c>
      <c r="AS627">
        <v>2.2604324894652001</v>
      </c>
      <c r="AT627" t="e">
        <v>#DIV/0!</v>
      </c>
      <c r="AU627" t="e">
        <v>#DIV/0!</v>
      </c>
      <c r="AV627"/>
      <c r="AW627"/>
      <c r="FY627" s="211">
        <v>622</v>
      </c>
      <c r="FZ627">
        <v>1.0993867324525608</v>
      </c>
      <c r="GA627">
        <v>0.77470035519842362</v>
      </c>
      <c r="GB627">
        <v>0</v>
      </c>
      <c r="GC627">
        <v>0.10445782487688361</v>
      </c>
      <c r="GD627">
        <v>8.0173661321021189E-2</v>
      </c>
      <c r="GE627">
        <v>0</v>
      </c>
      <c r="GF627">
        <v>0.33021050058332063</v>
      </c>
      <c r="GG627">
        <v>0.29759236750664797</v>
      </c>
      <c r="GH627">
        <v>0</v>
      </c>
      <c r="GI627">
        <v>0.27317366238886553</v>
      </c>
      <c r="GJ627"/>
      <c r="GK627">
        <v>1.1071942245545259</v>
      </c>
      <c r="GL627">
        <v>0.66663043111567644</v>
      </c>
      <c r="GM627">
        <v>0</v>
      </c>
      <c r="GN627">
        <v>0.31481419569717417</v>
      </c>
      <c r="GO627">
        <v>0.31481419569717417</v>
      </c>
      <c r="GP627">
        <v>0</v>
      </c>
      <c r="GQ627">
        <v>0.45369793096285549</v>
      </c>
      <c r="GR627">
        <v>0.45369793096285549</v>
      </c>
      <c r="GS627">
        <v>0</v>
      </c>
      <c r="GT627">
        <v>0.37514127024291111</v>
      </c>
      <c r="GU627"/>
      <c r="GV627"/>
      <c r="GW627"/>
      <c r="GX627"/>
      <c r="GY627"/>
      <c r="GZ627"/>
      <c r="HA627"/>
      <c r="HB627"/>
      <c r="HC627"/>
    </row>
    <row r="628" spans="1:211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2.7583333333333333</v>
      </c>
      <c r="AO628">
        <v>0.35302836790235331</v>
      </c>
      <c r="AP628">
        <v>10.389734038013863</v>
      </c>
      <c r="AQ628">
        <v>2.6897869714717837</v>
      </c>
      <c r="AR628">
        <v>0.37496296039067084</v>
      </c>
      <c r="AS628">
        <v>1.9521848089796738</v>
      </c>
      <c r="AT628" t="e">
        <v>#DIV/0!</v>
      </c>
      <c r="AU628" t="e">
        <v>#DIV/0!</v>
      </c>
      <c r="AV628"/>
      <c r="AW628"/>
      <c r="FY628" s="211">
        <v>623</v>
      </c>
      <c r="FZ628">
        <v>0.92752052104464888</v>
      </c>
      <c r="GA628">
        <v>0.47460065171768845</v>
      </c>
      <c r="GB628">
        <v>7.9203986612074825E-2</v>
      </c>
      <c r="GC628">
        <v>4.4138825651920163E-2</v>
      </c>
      <c r="GD628">
        <v>0</v>
      </c>
      <c r="GE628">
        <v>0</v>
      </c>
      <c r="GF628">
        <v>0.33021050058332063</v>
      </c>
      <c r="GG628">
        <v>0.29759236750664797</v>
      </c>
      <c r="GH628">
        <v>0</v>
      </c>
      <c r="GI628">
        <v>0.22085886002065797</v>
      </c>
      <c r="GJ628"/>
      <c r="GK628">
        <v>0.93098025044629784</v>
      </c>
      <c r="GL628">
        <v>0.40705572478708768</v>
      </c>
      <c r="GM628">
        <v>0.13091770120800852</v>
      </c>
      <c r="GN628">
        <v>0.13091770120800852</v>
      </c>
      <c r="GO628">
        <v>0</v>
      </c>
      <c r="GP628">
        <v>0</v>
      </c>
      <c r="GQ628">
        <v>0.45369793096285549</v>
      </c>
      <c r="GR628">
        <v>0.45369793096285549</v>
      </c>
      <c r="GS628">
        <v>0</v>
      </c>
      <c r="GT628">
        <v>0.3031191765234324</v>
      </c>
      <c r="GU628"/>
      <c r="GV628"/>
      <c r="GW628"/>
      <c r="GX628"/>
      <c r="GY628"/>
      <c r="GZ628"/>
      <c r="HA628"/>
      <c r="HB628"/>
      <c r="HC628"/>
    </row>
    <row r="629" spans="1:211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3.4927083333333337</v>
      </c>
      <c r="AO629">
        <v>0.31257875720182438</v>
      </c>
      <c r="AP629">
        <v>6.166063933763537</v>
      </c>
      <c r="AQ629">
        <v>2.433444225950014</v>
      </c>
      <c r="AR629">
        <v>0.36134364751559694</v>
      </c>
      <c r="AS629">
        <v>2.2281010340822682</v>
      </c>
      <c r="AT629" t="e">
        <v>#DIV/0!</v>
      </c>
      <c r="AU629" t="e">
        <v>#DIV/0!</v>
      </c>
      <c r="AV629"/>
      <c r="AW629"/>
      <c r="FY629" s="211">
        <v>624</v>
      </c>
      <c r="FZ629">
        <v>0.67501650539292024</v>
      </c>
      <c r="GA629">
        <v>8.725047411847664E-2</v>
      </c>
      <c r="GB629">
        <v>7.9203986612074825E-2</v>
      </c>
      <c r="GC629">
        <v>0.14859665052880378</v>
      </c>
      <c r="GD629">
        <v>8.0173661321021189E-2</v>
      </c>
      <c r="GE629">
        <v>0</v>
      </c>
      <c r="GF629">
        <v>0</v>
      </c>
      <c r="GG629">
        <v>0</v>
      </c>
      <c r="GH629">
        <v>0</v>
      </c>
      <c r="GI629">
        <v>0.16586553169101662</v>
      </c>
      <c r="GJ629"/>
      <c r="GK629">
        <v>0.67387403007228097</v>
      </c>
      <c r="GL629">
        <v>7.3740509229249462E-2</v>
      </c>
      <c r="GM629">
        <v>0.13091770120800852</v>
      </c>
      <c r="GN629">
        <v>0.44573189690518267</v>
      </c>
      <c r="GO629">
        <v>0.31481419569717417</v>
      </c>
      <c r="GP629">
        <v>0</v>
      </c>
      <c r="GQ629">
        <v>0</v>
      </c>
      <c r="GR629">
        <v>0</v>
      </c>
      <c r="GS629">
        <v>0</v>
      </c>
      <c r="GT629">
        <v>0.22392118539549272</v>
      </c>
      <c r="GU629"/>
      <c r="GV629"/>
      <c r="GW629"/>
      <c r="GX629"/>
      <c r="GY629"/>
      <c r="GZ629"/>
      <c r="HA629"/>
      <c r="HB629"/>
      <c r="HC629"/>
    </row>
    <row r="630" spans="1:211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2.2166666666666659</v>
      </c>
      <c r="AO630">
        <v>0.33009408049342948</v>
      </c>
      <c r="AP630">
        <v>10.324138849586927</v>
      </c>
      <c r="AQ630">
        <v>2.5830861952562523</v>
      </c>
      <c r="AR630">
        <v>0.33327886205111573</v>
      </c>
      <c r="AS630">
        <v>1.9864116431845338</v>
      </c>
      <c r="AT630" t="e">
        <v>#DIV/0!</v>
      </c>
      <c r="AU630" t="e">
        <v>#DIV/0!</v>
      </c>
      <c r="AV630"/>
      <c r="AW630"/>
      <c r="FY630" s="211">
        <v>625</v>
      </c>
      <c r="FZ630">
        <v>0.69067866671142564</v>
      </c>
      <c r="GA630">
        <v>8.725047411847664E-2</v>
      </c>
      <c r="GB630">
        <v>0</v>
      </c>
      <c r="GC630">
        <v>6.9638549917922385E-2</v>
      </c>
      <c r="GD630">
        <v>5.3449107547347455E-2</v>
      </c>
      <c r="GE630">
        <v>0</v>
      </c>
      <c r="GF630">
        <v>0.33021050058332063</v>
      </c>
      <c r="GG630">
        <v>0.29759236750664797</v>
      </c>
      <c r="GH630">
        <v>0</v>
      </c>
      <c r="GI630">
        <v>0.19724188473948587</v>
      </c>
      <c r="GJ630"/>
      <c r="GK630">
        <v>0.69486304240841801</v>
      </c>
      <c r="GL630">
        <v>7.3740509229249462E-2</v>
      </c>
      <c r="GM630">
        <v>0</v>
      </c>
      <c r="GN630">
        <v>0.20987613046478273</v>
      </c>
      <c r="GO630">
        <v>0.20987613046478273</v>
      </c>
      <c r="GP630">
        <v>0</v>
      </c>
      <c r="GQ630">
        <v>0.45369793096285549</v>
      </c>
      <c r="GR630">
        <v>0.45369793096285549</v>
      </c>
      <c r="GS630">
        <v>0</v>
      </c>
      <c r="GT630">
        <v>0.27168742076721125</v>
      </c>
      <c r="GU630"/>
      <c r="GV630"/>
      <c r="GW630"/>
      <c r="GX630"/>
      <c r="GY630"/>
      <c r="GZ630"/>
      <c r="HA630"/>
      <c r="HB630"/>
      <c r="HC630"/>
    </row>
    <row r="631" spans="1:211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1.15625</v>
      </c>
      <c r="AO631">
        <v>8.5689299146443826E-2</v>
      </c>
      <c r="AP631">
        <v>1.3807099539671328</v>
      </c>
      <c r="AQ631">
        <v>0.69339996827106931</v>
      </c>
      <c r="AR631">
        <v>0.11303573616713292</v>
      </c>
      <c r="AS631">
        <v>0.88824783645458394</v>
      </c>
      <c r="AT631" t="e">
        <v>#DIV/0!</v>
      </c>
      <c r="AU631" t="e">
        <v>#DIV/0!</v>
      </c>
      <c r="AV631"/>
      <c r="AW631"/>
      <c r="FY631" s="211">
        <v>626</v>
      </c>
      <c r="FZ631">
        <v>0.86692845356937753</v>
      </c>
      <c r="GA631">
        <v>8.725047411847664E-2</v>
      </c>
      <c r="GB631">
        <v>6.282592274279708E-2</v>
      </c>
      <c r="GC631">
        <v>3.4819274958961192E-2</v>
      </c>
      <c r="GD631">
        <v>0</v>
      </c>
      <c r="GE631">
        <v>0</v>
      </c>
      <c r="GF631">
        <v>0</v>
      </c>
      <c r="GG631">
        <v>0</v>
      </c>
      <c r="GH631">
        <v>0</v>
      </c>
      <c r="GI631">
        <v>0.14386116755421549</v>
      </c>
      <c r="GJ631"/>
      <c r="GK631">
        <v>0.87025019511227619</v>
      </c>
      <c r="GL631">
        <v>7.3740509229249462E-2</v>
      </c>
      <c r="GM631">
        <v>0.10493806523239137</v>
      </c>
      <c r="GN631">
        <v>0.10493806523239137</v>
      </c>
      <c r="GO631">
        <v>0</v>
      </c>
      <c r="GP631">
        <v>0</v>
      </c>
      <c r="GQ631">
        <v>0</v>
      </c>
      <c r="GR631">
        <v>0</v>
      </c>
      <c r="GS631">
        <v>0</v>
      </c>
      <c r="GT631">
        <v>0.19503765206893353</v>
      </c>
      <c r="GU631"/>
      <c r="GV631"/>
      <c r="GW631"/>
      <c r="GX631"/>
      <c r="GY631"/>
      <c r="GZ631"/>
      <c r="HA631"/>
      <c r="HB631"/>
      <c r="HC631"/>
    </row>
    <row r="632" spans="1:211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2.6437499999999998</v>
      </c>
      <c r="AO632">
        <v>0.29716371576310691</v>
      </c>
      <c r="AP632">
        <v>11.205379977040952</v>
      </c>
      <c r="AQ632">
        <v>2.3792999587772869</v>
      </c>
      <c r="AR632">
        <v>0.32046476811572638</v>
      </c>
      <c r="AS632">
        <v>1.9295518901304309</v>
      </c>
      <c r="AT632" t="e">
        <v>#DIV/0!</v>
      </c>
      <c r="AU632" t="e">
        <v>#DIV/0!</v>
      </c>
      <c r="AV632"/>
      <c r="AW632"/>
      <c r="FY632" s="211">
        <v>627</v>
      </c>
      <c r="FZ632">
        <v>1.7937803483180061</v>
      </c>
      <c r="GA632">
        <v>0.9492013034353769</v>
      </c>
      <c r="GB632">
        <v>7.9203986612074825E-2</v>
      </c>
      <c r="GC632">
        <v>7.8958100610881349E-2</v>
      </c>
      <c r="GD632">
        <v>2.6724553773673727E-2</v>
      </c>
      <c r="GE632">
        <v>0</v>
      </c>
      <c r="GF632">
        <v>0.99063150174996206</v>
      </c>
      <c r="GG632">
        <v>0.89277710251994391</v>
      </c>
      <c r="GH632">
        <v>0</v>
      </c>
      <c r="GI632">
        <v>0.49245124096920656</v>
      </c>
      <c r="GJ632"/>
      <c r="GK632">
        <v>1.8112930735441461</v>
      </c>
      <c r="GL632">
        <v>0.81411144957417536</v>
      </c>
      <c r="GM632">
        <v>0.13091770120800852</v>
      </c>
      <c r="GN632">
        <v>0.23585576644039991</v>
      </c>
      <c r="GO632">
        <v>0.10493806523239137</v>
      </c>
      <c r="GP632">
        <v>0</v>
      </c>
      <c r="GQ632">
        <v>1.3610937928885667</v>
      </c>
      <c r="GR632">
        <v>1.3610937928885667</v>
      </c>
      <c r="GS632">
        <v>0</v>
      </c>
      <c r="GT632">
        <v>0.6816485265746226</v>
      </c>
      <c r="GU632"/>
      <c r="GV632"/>
      <c r="GW632"/>
      <c r="GX632"/>
      <c r="GY632"/>
      <c r="GZ632"/>
      <c r="HA632"/>
      <c r="HB632"/>
      <c r="HC632"/>
    </row>
    <row r="633" spans="1:211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2.46875</v>
      </c>
      <c r="AO633">
        <v>0.23457197773976937</v>
      </c>
      <c r="AP633">
        <v>8.7687707271833801</v>
      </c>
      <c r="AQ633">
        <v>1.6922130925268581</v>
      </c>
      <c r="AR633">
        <v>0.28035761932834258</v>
      </c>
      <c r="AS633">
        <v>1.518881967163888</v>
      </c>
      <c r="AT633" t="e">
        <v>#DIV/0!</v>
      </c>
      <c r="AU633" t="e">
        <v>#DIV/0!</v>
      </c>
      <c r="AV633"/>
      <c r="AW633"/>
      <c r="FY633" s="211">
        <v>628</v>
      </c>
      <c r="FZ633">
        <v>1.1908913293180747</v>
      </c>
      <c r="GA633">
        <v>0.86195082931690026</v>
      </c>
      <c r="GB633">
        <v>0</v>
      </c>
      <c r="GC633">
        <v>3.4819274958961192E-2</v>
      </c>
      <c r="GD633">
        <v>2.6724553773673727E-2</v>
      </c>
      <c r="GE633">
        <v>0</v>
      </c>
      <c r="GF633">
        <v>0.33021050058332063</v>
      </c>
      <c r="GG633">
        <v>0.29759236750664797</v>
      </c>
      <c r="GH633">
        <v>0</v>
      </c>
      <c r="GI633">
        <v>0.2557364429606343</v>
      </c>
      <c r="GJ633"/>
      <c r="GK633">
        <v>1.201603154224804</v>
      </c>
      <c r="GL633">
        <v>0.7403709403449259</v>
      </c>
      <c r="GM633">
        <v>0</v>
      </c>
      <c r="GN633">
        <v>0.10493806523239137</v>
      </c>
      <c r="GO633">
        <v>0.10493806523239137</v>
      </c>
      <c r="GP633">
        <v>0</v>
      </c>
      <c r="GQ633">
        <v>0.45369793096285549</v>
      </c>
      <c r="GR633">
        <v>0.45369793096285549</v>
      </c>
      <c r="GS633">
        <v>0</v>
      </c>
      <c r="GT633">
        <v>0.35204783008401019</v>
      </c>
      <c r="GU633"/>
      <c r="GV633"/>
      <c r="GW633"/>
      <c r="GX633"/>
      <c r="GY633"/>
      <c r="GZ633"/>
      <c r="HA633"/>
      <c r="HB633"/>
      <c r="HC633"/>
    </row>
    <row r="634" spans="1:211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2.6937499999999996</v>
      </c>
      <c r="AO634">
        <v>0.46558735108891991</v>
      </c>
      <c r="AP634">
        <v>13.368795633504662</v>
      </c>
      <c r="AQ634">
        <v>3.6171035618336087</v>
      </c>
      <c r="AR634">
        <v>0.47202937469784484</v>
      </c>
      <c r="AS634">
        <v>2.5770572317394822</v>
      </c>
      <c r="AT634" t="e">
        <v>#DIV/0!</v>
      </c>
      <c r="AU634" t="e">
        <v>#DIV/0!</v>
      </c>
      <c r="AV634"/>
      <c r="AW634"/>
      <c r="FY634" s="211">
        <v>629</v>
      </c>
      <c r="FZ634">
        <v>1.5670266291747543</v>
      </c>
      <c r="GA634">
        <v>1.1620505327976354</v>
      </c>
      <c r="GB634">
        <v>6.282592274279708E-2</v>
      </c>
      <c r="GC634">
        <v>0.13927709983584477</v>
      </c>
      <c r="GD634">
        <v>8.0173661321021189E-2</v>
      </c>
      <c r="GE634">
        <v>0</v>
      </c>
      <c r="GF634">
        <v>0.66042100116664126</v>
      </c>
      <c r="GG634">
        <v>0.59518473501329594</v>
      </c>
      <c r="GH634">
        <v>0</v>
      </c>
      <c r="GI634">
        <v>0.42189419147349794</v>
      </c>
      <c r="GJ634"/>
      <c r="GK634">
        <v>1.5791421149527012</v>
      </c>
      <c r="GL634">
        <v>0.9999456466735146</v>
      </c>
      <c r="GM634">
        <v>0.10493806523239137</v>
      </c>
      <c r="GN634">
        <v>0.41975226092956547</v>
      </c>
      <c r="GO634">
        <v>0.31481419569717417</v>
      </c>
      <c r="GP634">
        <v>0</v>
      </c>
      <c r="GQ634">
        <v>0.90739586192571098</v>
      </c>
      <c r="GR634">
        <v>0.90739586192571098</v>
      </c>
      <c r="GS634">
        <v>0</v>
      </c>
      <c r="GT634">
        <v>0.58125804756159549</v>
      </c>
      <c r="GU634"/>
      <c r="GV634"/>
      <c r="GW634"/>
      <c r="GX634"/>
      <c r="GY634"/>
      <c r="GZ634"/>
      <c r="HA634"/>
      <c r="HB634"/>
      <c r="HC634"/>
    </row>
    <row r="635" spans="1:211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2.9406249999999998</v>
      </c>
      <c r="AO635">
        <v>0.31064572355686981</v>
      </c>
      <c r="AP635">
        <v>6.4483008135275872</v>
      </c>
      <c r="AQ635">
        <v>2.254138651204117</v>
      </c>
      <c r="AR635">
        <v>0.35292233210681567</v>
      </c>
      <c r="AS635">
        <v>2.1754450145324569</v>
      </c>
      <c r="AT635" t="e">
        <v>#DIV/0!</v>
      </c>
      <c r="AU635" t="e">
        <v>#DIV/0!</v>
      </c>
      <c r="AV635"/>
      <c r="AW635"/>
      <c r="FY635" s="211">
        <v>630</v>
      </c>
      <c r="FZ635">
        <v>0.78827316980701934</v>
      </c>
      <c r="GA635">
        <v>8.725047411847664E-2</v>
      </c>
      <c r="GB635">
        <v>0.12565184548559416</v>
      </c>
      <c r="GC635">
        <v>6.9638549917922385E-2</v>
      </c>
      <c r="GD635">
        <v>0</v>
      </c>
      <c r="GE635">
        <v>0</v>
      </c>
      <c r="GF635">
        <v>0.99063150174996206</v>
      </c>
      <c r="GG635">
        <v>0.89277710251994391</v>
      </c>
      <c r="GH635">
        <v>0</v>
      </c>
      <c r="GI635">
        <v>0.34002304974087305</v>
      </c>
      <c r="GJ635"/>
      <c r="GK635">
        <v>0.78678552827535286</v>
      </c>
      <c r="GL635">
        <v>7.3740509229249462E-2</v>
      </c>
      <c r="GM635">
        <v>0.20987613046478273</v>
      </c>
      <c r="GN635">
        <v>0.20987613046478273</v>
      </c>
      <c r="GO635">
        <v>0</v>
      </c>
      <c r="GP635">
        <v>0</v>
      </c>
      <c r="GQ635">
        <v>1.3610937928885667</v>
      </c>
      <c r="GR635">
        <v>1.3610937928885667</v>
      </c>
      <c r="GS635">
        <v>0</v>
      </c>
      <c r="GT635">
        <v>0.47155109032574044</v>
      </c>
      <c r="GU635"/>
      <c r="GV635"/>
      <c r="GW635"/>
      <c r="GX635"/>
      <c r="GY635"/>
      <c r="GZ635"/>
      <c r="HA635"/>
      <c r="HB635"/>
      <c r="HC635"/>
    </row>
    <row r="636" spans="1:211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2.7249999999999996</v>
      </c>
      <c r="AO636">
        <v>0.36348369099110589</v>
      </c>
      <c r="AP636">
        <v>11.863892649507168</v>
      </c>
      <c r="AQ636">
        <v>3.0771419937721305</v>
      </c>
      <c r="AR636">
        <v>0.37544552423608507</v>
      </c>
      <c r="AS636">
        <v>2.1932336800411818</v>
      </c>
      <c r="AT636" t="e">
        <v>#DIV/0!</v>
      </c>
      <c r="AU636" t="e">
        <v>#DIV/0!</v>
      </c>
      <c r="AV636"/>
      <c r="AW636"/>
      <c r="FY636" s="211">
        <v>631</v>
      </c>
      <c r="FZ636">
        <v>0.92561559213909839</v>
      </c>
      <c r="GA636">
        <v>0.47460065171768845</v>
      </c>
      <c r="GB636">
        <v>7.9203986612074825E-2</v>
      </c>
      <c r="GC636">
        <v>7.8958100610881349E-2</v>
      </c>
      <c r="GD636">
        <v>2.6724553773673727E-2</v>
      </c>
      <c r="GE636">
        <v>0</v>
      </c>
      <c r="GF636">
        <v>0.66042100116664126</v>
      </c>
      <c r="GG636">
        <v>0.59518473501329594</v>
      </c>
      <c r="GH636">
        <v>0</v>
      </c>
      <c r="GI636">
        <v>0.30012967878243157</v>
      </c>
      <c r="GJ636"/>
      <c r="GK636">
        <v>0.92832910913670097</v>
      </c>
      <c r="GL636">
        <v>0.40705572478708768</v>
      </c>
      <c r="GM636">
        <v>0.13091770120800852</v>
      </c>
      <c r="GN636">
        <v>0.23585576644039991</v>
      </c>
      <c r="GO636">
        <v>0.10493806523239137</v>
      </c>
      <c r="GP636">
        <v>0</v>
      </c>
      <c r="GQ636">
        <v>0.90739586192571098</v>
      </c>
      <c r="GR636">
        <v>0.90739586192571098</v>
      </c>
      <c r="GS636">
        <v>0</v>
      </c>
      <c r="GT636">
        <v>0.41431614750056239</v>
      </c>
      <c r="GU636"/>
      <c r="GV636"/>
      <c r="GW636"/>
      <c r="GX636"/>
      <c r="GY636"/>
      <c r="GZ636"/>
      <c r="HA636"/>
      <c r="HB636"/>
      <c r="HC636"/>
    </row>
    <row r="637" spans="1:211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2.1041666666666665</v>
      </c>
      <c r="AO637">
        <v>0.24297247458170274</v>
      </c>
      <c r="AP637">
        <v>7.8356152840575541</v>
      </c>
      <c r="AQ637">
        <v>1.7005434393058756</v>
      </c>
      <c r="AR637">
        <v>0.25228860011641652</v>
      </c>
      <c r="AS637">
        <v>1.3688047817286251</v>
      </c>
      <c r="AT637" t="e">
        <v>#DIV/0!</v>
      </c>
      <c r="AU637" t="e">
        <v>#DIV/0!</v>
      </c>
      <c r="AV637"/>
      <c r="AW637"/>
      <c r="FY637" s="211">
        <v>632</v>
      </c>
      <c r="FZ637">
        <v>0.84733722510636944</v>
      </c>
      <c r="GA637">
        <v>0.17450094823695328</v>
      </c>
      <c r="GB637">
        <v>0.15840797322414965</v>
      </c>
      <c r="GC637">
        <v>8.8277651303840327E-2</v>
      </c>
      <c r="GD637">
        <v>0</v>
      </c>
      <c r="GE637">
        <v>0</v>
      </c>
      <c r="GF637">
        <v>0</v>
      </c>
      <c r="GG637">
        <v>0</v>
      </c>
      <c r="GH637">
        <v>0</v>
      </c>
      <c r="GI637">
        <v>0.1643800638762011</v>
      </c>
      <c r="GJ637"/>
      <c r="GK637">
        <v>0.84822067128037348</v>
      </c>
      <c r="GL637">
        <v>0.14748101845849892</v>
      </c>
      <c r="GM637">
        <v>0.26183540241601705</v>
      </c>
      <c r="GN637">
        <v>0.26183540241601705</v>
      </c>
      <c r="GO637">
        <v>0</v>
      </c>
      <c r="GP637">
        <v>0</v>
      </c>
      <c r="GQ637">
        <v>0</v>
      </c>
      <c r="GR637">
        <v>0</v>
      </c>
      <c r="GS637">
        <v>0</v>
      </c>
      <c r="GT637">
        <v>0.22201121473927812</v>
      </c>
      <c r="GU637"/>
      <c r="GV637"/>
      <c r="GW637"/>
      <c r="GX637"/>
      <c r="GY637"/>
      <c r="GZ637"/>
      <c r="HA637"/>
      <c r="HB637"/>
      <c r="HC637"/>
    </row>
    <row r="638" spans="1:211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2.2458333333333331</v>
      </c>
      <c r="AO638">
        <v>0.36859901792331728</v>
      </c>
      <c r="AP638">
        <v>12.513146743664697</v>
      </c>
      <c r="AQ638">
        <v>2.9596951043277238</v>
      </c>
      <c r="AR638">
        <v>0.37514127024291111</v>
      </c>
      <c r="AS638">
        <v>1.9483785610198154</v>
      </c>
      <c r="AT638" t="e">
        <v>#DIV/0!</v>
      </c>
      <c r="AU638" t="e">
        <v>#DIV/0!</v>
      </c>
      <c r="AV638"/>
      <c r="AW638"/>
      <c r="FY638" s="211">
        <v>633</v>
      </c>
      <c r="FZ638">
        <v>0.86016509346411585</v>
      </c>
      <c r="GA638">
        <v>0.47460065171768845</v>
      </c>
      <c r="GB638">
        <v>0.18847776822839127</v>
      </c>
      <c r="GC638">
        <v>0.10445782487688361</v>
      </c>
      <c r="GD638">
        <v>0</v>
      </c>
      <c r="GE638">
        <v>0</v>
      </c>
      <c r="GF638">
        <v>0.66042100116664126</v>
      </c>
      <c r="GG638">
        <v>0.59518473501329594</v>
      </c>
      <c r="GH638">
        <v>0</v>
      </c>
      <c r="GI638">
        <v>0.30191401022869002</v>
      </c>
      <c r="GJ638"/>
      <c r="GK638">
        <v>0.863720471872091</v>
      </c>
      <c r="GL638">
        <v>0.40705572478708768</v>
      </c>
      <c r="GM638">
        <v>0.31481419569717417</v>
      </c>
      <c r="GN638">
        <v>0.31481419569717417</v>
      </c>
      <c r="GO638">
        <v>0</v>
      </c>
      <c r="GP638">
        <v>0</v>
      </c>
      <c r="GQ638">
        <v>0.90739586192571098</v>
      </c>
      <c r="GR638">
        <v>0.90739586192571098</v>
      </c>
      <c r="GS638">
        <v>0</v>
      </c>
      <c r="GT638">
        <v>0.41718610589899524</v>
      </c>
      <c r="GU638"/>
      <c r="GV638"/>
      <c r="GW638"/>
      <c r="GX638"/>
      <c r="GY638"/>
      <c r="GZ638"/>
      <c r="HA638"/>
      <c r="HB638"/>
      <c r="HC638"/>
    </row>
    <row r="639" spans="1:211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2.2739583333333329</v>
      </c>
      <c r="AO639">
        <v>0.28103864160985459</v>
      </c>
      <c r="AP639">
        <v>9.1546624007843853</v>
      </c>
      <c r="AQ639">
        <v>2.3741257131369591</v>
      </c>
      <c r="AR639">
        <v>0.30311917652343234</v>
      </c>
      <c r="AS639">
        <v>1.7086217337504257</v>
      </c>
      <c r="AT639" t="e">
        <v>#DIV/0!</v>
      </c>
      <c r="AU639" t="e">
        <v>#DIV/0!</v>
      </c>
      <c r="AV639"/>
      <c r="AW639"/>
      <c r="FY639" s="211">
        <v>634</v>
      </c>
      <c r="FZ639">
        <v>1.0501894298161965</v>
      </c>
      <c r="GA639">
        <v>0.47460065171768845</v>
      </c>
      <c r="GB639">
        <v>7.9203986612074825E-2</v>
      </c>
      <c r="GC639">
        <v>4.4138825651920163E-2</v>
      </c>
      <c r="GD639">
        <v>0</v>
      </c>
      <c r="GE639">
        <v>0</v>
      </c>
      <c r="GF639">
        <v>0.33021050058332063</v>
      </c>
      <c r="GG639">
        <v>0.29759236750664797</v>
      </c>
      <c r="GH639">
        <v>0</v>
      </c>
      <c r="GI639">
        <v>0.23889135636779241</v>
      </c>
      <c r="GJ639"/>
      <c r="GK639">
        <v>1.0587355335212125</v>
      </c>
      <c r="GL639">
        <v>0.40705572478708768</v>
      </c>
      <c r="GM639">
        <v>0.13091770120800852</v>
      </c>
      <c r="GN639">
        <v>0.13091770120800852</v>
      </c>
      <c r="GO639">
        <v>0</v>
      </c>
      <c r="GP639">
        <v>0</v>
      </c>
      <c r="GQ639">
        <v>0.45369793096285549</v>
      </c>
      <c r="GR639">
        <v>0.45369793096285549</v>
      </c>
      <c r="GS639">
        <v>0</v>
      </c>
      <c r="GT639">
        <v>0.32867023313841531</v>
      </c>
      <c r="GU639"/>
      <c r="GV639"/>
      <c r="GW639"/>
      <c r="GX639"/>
      <c r="GY639"/>
      <c r="GZ639"/>
      <c r="HA639"/>
      <c r="HB639"/>
      <c r="HC639"/>
    </row>
    <row r="640" spans="1:211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2.609375</v>
      </c>
      <c r="AO640">
        <v>0.18629995185073886</v>
      </c>
      <c r="AP640">
        <v>2.1833297774663598</v>
      </c>
      <c r="AQ640">
        <v>1.2361068096643133</v>
      </c>
      <c r="AR640">
        <v>0.22392118539549272</v>
      </c>
      <c r="AS640">
        <v>1.5241035127306377</v>
      </c>
      <c r="AT640" t="e">
        <v>#DIV/0!</v>
      </c>
      <c r="AU640" t="e">
        <v>#DIV/0!</v>
      </c>
      <c r="AV640"/>
      <c r="AW640"/>
      <c r="FY640" s="211">
        <v>635</v>
      </c>
      <c r="FZ640">
        <v>0.77391037360094728</v>
      </c>
      <c r="GA640">
        <v>8.725047411847664E-2</v>
      </c>
      <c r="GB640">
        <v>0.15840797322414965</v>
      </c>
      <c r="GC640">
        <v>8.8277651303840327E-2</v>
      </c>
      <c r="GD640">
        <v>0</v>
      </c>
      <c r="GE640">
        <v>0</v>
      </c>
      <c r="GF640">
        <v>0.33021050058332063</v>
      </c>
      <c r="GG640">
        <v>0.29759236750664797</v>
      </c>
      <c r="GH640">
        <v>0</v>
      </c>
      <c r="GI640">
        <v>0.21756634047441062</v>
      </c>
      <c r="GJ640"/>
      <c r="GK640">
        <v>0.77491653823332518</v>
      </c>
      <c r="GL640">
        <v>7.3740509229249462E-2</v>
      </c>
      <c r="GM640">
        <v>0.26183540241601705</v>
      </c>
      <c r="GN640">
        <v>0.26183540241601705</v>
      </c>
      <c r="GO640">
        <v>0</v>
      </c>
      <c r="GP640">
        <v>0</v>
      </c>
      <c r="GQ640">
        <v>0.45369793096285549</v>
      </c>
      <c r="GR640">
        <v>0.45369793096285549</v>
      </c>
      <c r="GS640">
        <v>0</v>
      </c>
      <c r="GT640">
        <v>0.29808997432243955</v>
      </c>
      <c r="GU640"/>
      <c r="GV640"/>
      <c r="GW640"/>
      <c r="GX640"/>
      <c r="GY640"/>
      <c r="GZ640"/>
      <c r="HA640"/>
      <c r="HB640"/>
      <c r="HC640"/>
    </row>
    <row r="641" spans="1:211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1.3854166666666665</v>
      </c>
      <c r="AO641">
        <v>0.23674390952601554</v>
      </c>
      <c r="AP641">
        <v>8.7687707271833801</v>
      </c>
      <c r="AQ641">
        <v>1.7260615511246267</v>
      </c>
      <c r="AR641">
        <v>0.27168742076721125</v>
      </c>
      <c r="AS641">
        <v>1.4253330346446014</v>
      </c>
      <c r="AT641" t="e">
        <v>#DIV/0!</v>
      </c>
      <c r="AU641" t="e">
        <v>#DIV/0!</v>
      </c>
      <c r="AV641"/>
      <c r="AW641"/>
      <c r="FY641" s="211">
        <v>636</v>
      </c>
      <c r="FZ641">
        <v>0.95318317343254633</v>
      </c>
      <c r="GA641">
        <v>0.56185112583616514</v>
      </c>
      <c r="GB641">
        <v>6.282592274279708E-2</v>
      </c>
      <c r="GC641">
        <v>6.9638549917922385E-2</v>
      </c>
      <c r="GD641">
        <v>2.6724553773673727E-2</v>
      </c>
      <c r="GE641">
        <v>0</v>
      </c>
      <c r="GF641">
        <v>0</v>
      </c>
      <c r="GG641">
        <v>0</v>
      </c>
      <c r="GH641">
        <v>0</v>
      </c>
      <c r="GI641">
        <v>0.17202849330387537</v>
      </c>
      <c r="GJ641"/>
      <c r="GK641">
        <v>0.95905412875104212</v>
      </c>
      <c r="GL641">
        <v>0.48079623401633714</v>
      </c>
      <c r="GM641">
        <v>0.10493806523239137</v>
      </c>
      <c r="GN641">
        <v>0.20987613046478273</v>
      </c>
      <c r="GO641">
        <v>0.10493806523239137</v>
      </c>
      <c r="GP641">
        <v>0</v>
      </c>
      <c r="GQ641">
        <v>0</v>
      </c>
      <c r="GR641">
        <v>0</v>
      </c>
      <c r="GS641">
        <v>0</v>
      </c>
      <c r="GT641">
        <v>0.23378605184316498</v>
      </c>
      <c r="GU641"/>
      <c r="GV641"/>
      <c r="GW641"/>
      <c r="GX641"/>
      <c r="GY641"/>
      <c r="GZ641"/>
      <c r="HA641"/>
      <c r="HB641"/>
      <c r="HC641"/>
    </row>
    <row r="642" spans="1:211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2.65625</v>
      </c>
      <c r="AO642">
        <v>0.1348904486875242</v>
      </c>
      <c r="AP642">
        <v>1.7499233757117776</v>
      </c>
      <c r="AQ642">
        <v>1.1956852929438277</v>
      </c>
      <c r="AR642">
        <v>0.19503765206893353</v>
      </c>
      <c r="AS642">
        <v>1.3403949900981291</v>
      </c>
      <c r="AT642" t="e">
        <v>#DIV/0!</v>
      </c>
      <c r="AU642" t="e">
        <v>#DIV/0!</v>
      </c>
      <c r="AV642"/>
      <c r="AW642"/>
      <c r="FY642" s="211">
        <v>637</v>
      </c>
      <c r="FZ642">
        <v>0.55170024063871237</v>
      </c>
      <c r="GA642">
        <v>0.17450094823695328</v>
      </c>
      <c r="GB642">
        <v>7.9203986612074825E-2</v>
      </c>
      <c r="GC642">
        <v>0.11377737556984255</v>
      </c>
      <c r="GD642">
        <v>5.3449107547347455E-2</v>
      </c>
      <c r="GE642">
        <v>0</v>
      </c>
      <c r="GF642">
        <v>0</v>
      </c>
      <c r="GG642">
        <v>0</v>
      </c>
      <c r="GH642">
        <v>0</v>
      </c>
      <c r="GI642">
        <v>0.13212899009498191</v>
      </c>
      <c r="GJ642"/>
      <c r="GK642">
        <v>0.55057042950514834</v>
      </c>
      <c r="GL642">
        <v>0.14748101845849892</v>
      </c>
      <c r="GM642">
        <v>0.13091770120800852</v>
      </c>
      <c r="GN642">
        <v>0.34079383167279126</v>
      </c>
      <c r="GO642">
        <v>0.20987613046478273</v>
      </c>
      <c r="GP642">
        <v>0</v>
      </c>
      <c r="GQ642">
        <v>0</v>
      </c>
      <c r="GR642">
        <v>0</v>
      </c>
      <c r="GS642">
        <v>0</v>
      </c>
      <c r="GT642">
        <v>0.17827285223558792</v>
      </c>
      <c r="GU642"/>
      <c r="GV642"/>
      <c r="GW642"/>
      <c r="GX642"/>
      <c r="GY642"/>
      <c r="GZ642"/>
      <c r="HA642"/>
      <c r="HB642"/>
      <c r="HC642"/>
    </row>
    <row r="643" spans="1:211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2.6156249999999996</v>
      </c>
      <c r="AO643">
        <v>0.65009521683508775</v>
      </c>
      <c r="AP643">
        <v>21.269280402775131</v>
      </c>
      <c r="AQ643">
        <v>5.3037281379891255</v>
      </c>
      <c r="AR643">
        <v>0.68164852657462249</v>
      </c>
      <c r="AS643">
        <v>2.902997896834647</v>
      </c>
      <c r="AT643" t="e">
        <v>#DIV/0!</v>
      </c>
      <c r="AU643" t="e">
        <v>#DIV/0!</v>
      </c>
      <c r="AV643"/>
      <c r="AW643"/>
      <c r="FY643" s="211">
        <v>638</v>
      </c>
      <c r="FZ643">
        <v>0.80237988140101613</v>
      </c>
      <c r="GA643">
        <v>8.725047411847664E-2</v>
      </c>
      <c r="GB643">
        <v>0.12565184548559416</v>
      </c>
      <c r="GC643">
        <v>0.10445782487688358</v>
      </c>
      <c r="GD643">
        <v>2.6724553773673727E-2</v>
      </c>
      <c r="GE643">
        <v>0</v>
      </c>
      <c r="GF643">
        <v>0.66042100116664126</v>
      </c>
      <c r="GG643">
        <v>0.59518473501329594</v>
      </c>
      <c r="GH643">
        <v>0</v>
      </c>
      <c r="GI643">
        <v>0.2934124732879223</v>
      </c>
      <c r="GJ643"/>
      <c r="GK643">
        <v>0.80377720720665913</v>
      </c>
      <c r="GL643">
        <v>7.3740509229249462E-2</v>
      </c>
      <c r="GM643">
        <v>0.20987613046478273</v>
      </c>
      <c r="GN643">
        <v>0.31481419569717412</v>
      </c>
      <c r="GO643">
        <v>0.10493806523239137</v>
      </c>
      <c r="GP643">
        <v>0</v>
      </c>
      <c r="GQ643">
        <v>0.90739586192571098</v>
      </c>
      <c r="GR643">
        <v>0.90739586192571098</v>
      </c>
      <c r="GS643">
        <v>0</v>
      </c>
      <c r="GT643">
        <v>0.40519745296590881</v>
      </c>
      <c r="GU643"/>
      <c r="GV643"/>
      <c r="GW643"/>
      <c r="GX643"/>
      <c r="GY643"/>
      <c r="GZ643"/>
      <c r="HA643"/>
      <c r="HB643"/>
      <c r="HC643"/>
    </row>
    <row r="644" spans="1:211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1.5583333333333333</v>
      </c>
      <c r="AO644">
        <v>0.3411293917044233</v>
      </c>
      <c r="AP644">
        <v>8.8670099064827923</v>
      </c>
      <c r="AQ644">
        <v>2.9979252984182128</v>
      </c>
      <c r="AR644">
        <v>0.35204783008401019</v>
      </c>
      <c r="AS644">
        <v>1.6083269213038025</v>
      </c>
      <c r="AT644" t="e">
        <v>#DIV/0!</v>
      </c>
      <c r="AU644" t="e">
        <v>#DIV/0!</v>
      </c>
      <c r="AV644"/>
      <c r="AW644"/>
      <c r="FY644" s="211">
        <v>639</v>
      </c>
      <c r="FZ644">
        <v>1.8626636136424115</v>
      </c>
      <c r="GA644">
        <v>1.2493010069161121</v>
      </c>
      <c r="GB644">
        <v>0.22123389596694673</v>
      </c>
      <c r="GC644">
        <v>0.2623740260986463</v>
      </c>
      <c r="GD644">
        <v>0.10689821509469491</v>
      </c>
      <c r="GE644">
        <v>0</v>
      </c>
      <c r="GF644">
        <v>0</v>
      </c>
      <c r="GG644">
        <v>0</v>
      </c>
      <c r="GH644">
        <v>0</v>
      </c>
      <c r="GI644">
        <v>0.39177414214170569</v>
      </c>
      <c r="GJ644"/>
      <c r="GK644">
        <v>1.8767923567279263</v>
      </c>
      <c r="GL644">
        <v>1.073686155902764</v>
      </c>
      <c r="GM644">
        <v>0.3667734676484084</v>
      </c>
      <c r="GN644">
        <v>0.78652572857797387</v>
      </c>
      <c r="GO644">
        <v>0.41975226092956547</v>
      </c>
      <c r="GP644">
        <v>0</v>
      </c>
      <c r="GQ644">
        <v>0</v>
      </c>
      <c r="GR644">
        <v>0</v>
      </c>
      <c r="GS644">
        <v>0</v>
      </c>
      <c r="GT644">
        <v>0.53266361706118004</v>
      </c>
      <c r="GU644"/>
      <c r="GV644"/>
      <c r="GW644"/>
      <c r="GX644"/>
      <c r="GY644"/>
      <c r="GZ644"/>
      <c r="HA644"/>
      <c r="HB644"/>
      <c r="HC644"/>
    </row>
    <row r="645" spans="1:211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2.6812499999999999</v>
      </c>
      <c r="AO645">
        <v>0.58146420548983646</v>
      </c>
      <c r="AP645">
        <v>16.773010524942237</v>
      </c>
      <c r="AQ645">
        <v>4.6888537735254872</v>
      </c>
      <c r="AR645">
        <v>0.58125804756159549</v>
      </c>
      <c r="AS645">
        <v>2.8590113002323179</v>
      </c>
      <c r="AT645" t="e">
        <v>#DIV/0!</v>
      </c>
      <c r="AU645" t="e">
        <v>#DIV/0!</v>
      </c>
      <c r="AV645"/>
      <c r="AW645"/>
      <c r="FY645" s="211">
        <v>640</v>
      </c>
      <c r="FZ645">
        <v>1.4354404368847724</v>
      </c>
      <c r="GA645">
        <v>0.77470035519842362</v>
      </c>
      <c r="GB645">
        <v>0.15840797322414965</v>
      </c>
      <c r="GC645">
        <v>0.12309692626280153</v>
      </c>
      <c r="GD645">
        <v>2.6724553773673727E-2</v>
      </c>
      <c r="GE645">
        <v>0</v>
      </c>
      <c r="GF645">
        <v>0</v>
      </c>
      <c r="GG645">
        <v>0</v>
      </c>
      <c r="GH645">
        <v>0</v>
      </c>
      <c r="GI645">
        <v>0.26674012108593181</v>
      </c>
      <c r="GJ645"/>
      <c r="GK645">
        <v>1.4454583410580195</v>
      </c>
      <c r="GL645">
        <v>0.66663043111567644</v>
      </c>
      <c r="GM645">
        <v>0.26183540241601705</v>
      </c>
      <c r="GN645">
        <v>0.3667734676484084</v>
      </c>
      <c r="GO645">
        <v>0.10493806523239137</v>
      </c>
      <c r="GP645">
        <v>0</v>
      </c>
      <c r="GQ645">
        <v>0</v>
      </c>
      <c r="GR645">
        <v>0</v>
      </c>
      <c r="GS645">
        <v>0</v>
      </c>
      <c r="GT645">
        <v>0.36244636174128564</v>
      </c>
      <c r="GU645"/>
      <c r="GV645"/>
      <c r="GW645"/>
      <c r="GX645"/>
      <c r="GY645"/>
      <c r="GZ645"/>
      <c r="HA645"/>
      <c r="HB645"/>
      <c r="HC645"/>
    </row>
    <row r="646" spans="1:211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2.9270833333333335</v>
      </c>
      <c r="AO646">
        <v>0.44740169745370417</v>
      </c>
      <c r="AP646">
        <v>21.623609583796753</v>
      </c>
      <c r="AQ646">
        <v>3.2942456933397914</v>
      </c>
      <c r="AR646">
        <v>0.47155109032574044</v>
      </c>
      <c r="AS646">
        <v>2.4770798092809998</v>
      </c>
      <c r="AT646" t="e">
        <v>#DIV/0!</v>
      </c>
      <c r="AU646" t="e">
        <v>#DIV/0!</v>
      </c>
      <c r="AV646"/>
      <c r="AW646"/>
      <c r="FY646" s="211">
        <v>641</v>
      </c>
      <c r="FZ646">
        <v>0.59329828160631526</v>
      </c>
      <c r="GA646">
        <v>0</v>
      </c>
      <c r="GB646">
        <v>0.23761195983622446</v>
      </c>
      <c r="GC646">
        <v>0.16723575191472168</v>
      </c>
      <c r="GD646">
        <v>2.6724553773673727E-2</v>
      </c>
      <c r="GE646">
        <v>0</v>
      </c>
      <c r="GF646">
        <v>0</v>
      </c>
      <c r="GG646">
        <v>0</v>
      </c>
      <c r="GH646">
        <v>0</v>
      </c>
      <c r="GI646">
        <v>0.16156956695719674</v>
      </c>
      <c r="GJ646"/>
      <c r="GK646">
        <v>0.59474526145604667</v>
      </c>
      <c r="GL646">
        <v>0</v>
      </c>
      <c r="GM646">
        <v>0.39275310362402555</v>
      </c>
      <c r="GN646">
        <v>0.4976911688564169</v>
      </c>
      <c r="GO646">
        <v>0.10493806523239137</v>
      </c>
      <c r="GP646">
        <v>0</v>
      </c>
      <c r="GQ646">
        <v>0</v>
      </c>
      <c r="GR646">
        <v>0</v>
      </c>
      <c r="GS646">
        <v>0</v>
      </c>
      <c r="GT646">
        <v>0.21848728606249271</v>
      </c>
      <c r="GU646"/>
      <c r="GV646"/>
      <c r="GW646"/>
      <c r="GX646"/>
      <c r="GY646"/>
      <c r="GZ646"/>
      <c r="HA646"/>
      <c r="HB646"/>
      <c r="HC646"/>
    </row>
    <row r="647" spans="1:211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3.4406250000000007</v>
      </c>
      <c r="AO647">
        <v>0.40362042381565733</v>
      </c>
      <c r="AP647">
        <v>15.990774596723872</v>
      </c>
      <c r="AQ647">
        <v>3.1408382998157856</v>
      </c>
      <c r="AR647">
        <v>0.41431614750056239</v>
      </c>
      <c r="AS647">
        <v>2.1307157299947281</v>
      </c>
      <c r="AT647" t="e">
        <v>#DIV/0!</v>
      </c>
      <c r="AU647" t="e">
        <v>#DIV/0!</v>
      </c>
      <c r="AV647"/>
      <c r="AW647"/>
      <c r="FY647" s="211">
        <v>642</v>
      </c>
      <c r="FZ647">
        <v>1.1668645062387628</v>
      </c>
      <c r="GA647">
        <v>0.38735017759921181</v>
      </c>
      <c r="GB647">
        <v>6.282592274279708E-2</v>
      </c>
      <c r="GC647">
        <v>0.10445782487688358</v>
      </c>
      <c r="GD647">
        <v>5.3449107547347455E-2</v>
      </c>
      <c r="GE647">
        <v>0</v>
      </c>
      <c r="GF647">
        <v>0.33021050058332063</v>
      </c>
      <c r="GG647">
        <v>0.29759236750664797</v>
      </c>
      <c r="GH647">
        <v>0</v>
      </c>
      <c r="GI647">
        <v>0.28315938859172884</v>
      </c>
      <c r="GJ647"/>
      <c r="GK647">
        <v>1.175222900242554</v>
      </c>
      <c r="GL647">
        <v>0.33331521555783822</v>
      </c>
      <c r="GM647">
        <v>0.10493806523239137</v>
      </c>
      <c r="GN647">
        <v>0.31481419569717412</v>
      </c>
      <c r="GO647">
        <v>0.20987613046478273</v>
      </c>
      <c r="GP647">
        <v>0</v>
      </c>
      <c r="GQ647">
        <v>0.45369793096285549</v>
      </c>
      <c r="GR647">
        <v>0.45369793096285549</v>
      </c>
      <c r="GS647">
        <v>0</v>
      </c>
      <c r="GT647">
        <v>0.38874700538051671</v>
      </c>
      <c r="GU647"/>
      <c r="GV647"/>
      <c r="GW647"/>
      <c r="GX647"/>
      <c r="GY647"/>
      <c r="GZ647"/>
      <c r="HA647"/>
      <c r="HB647"/>
      <c r="HC647"/>
    </row>
    <row r="648" spans="1:211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3.40625</v>
      </c>
      <c r="AO648">
        <v>0.17413837093101844</v>
      </c>
      <c r="AP648">
        <v>3.6036078744869462</v>
      </c>
      <c r="AQ648">
        <v>1.4329038617475138</v>
      </c>
      <c r="AR648">
        <v>0.22201121473927812</v>
      </c>
      <c r="AS648">
        <v>1.5720049008194341</v>
      </c>
      <c r="AT648" t="e">
        <v>#DIV/0!</v>
      </c>
      <c r="AU648" t="e">
        <v>#DIV/0!</v>
      </c>
      <c r="AV648"/>
      <c r="AW648"/>
      <c r="FY648" s="211">
        <v>643</v>
      </c>
      <c r="FZ648">
        <v>1.017242535210281</v>
      </c>
      <c r="GA648">
        <v>8.725047411847664E-2</v>
      </c>
      <c r="GB648">
        <v>0.15840797322414965</v>
      </c>
      <c r="GC648">
        <v>8.8277651303840327E-2</v>
      </c>
      <c r="GD648">
        <v>0</v>
      </c>
      <c r="GE648">
        <v>0</v>
      </c>
      <c r="GF648">
        <v>0.33021050058332063</v>
      </c>
      <c r="GG648">
        <v>0.29759236750664797</v>
      </c>
      <c r="GH648">
        <v>0</v>
      </c>
      <c r="GI648">
        <v>0.25347927073171711</v>
      </c>
      <c r="GJ648"/>
      <c r="GK648">
        <v>1.0235069359208007</v>
      </c>
      <c r="GL648">
        <v>7.3740509229249462E-2</v>
      </c>
      <c r="GM648">
        <v>0.26183540241601705</v>
      </c>
      <c r="GN648">
        <v>0.26183540241601705</v>
      </c>
      <c r="GO648">
        <v>0</v>
      </c>
      <c r="GP648">
        <v>0</v>
      </c>
      <c r="GQ648">
        <v>0.45369793096285549</v>
      </c>
      <c r="GR648">
        <v>0.45369793096285549</v>
      </c>
      <c r="GS648">
        <v>0</v>
      </c>
      <c r="GT648">
        <v>0.34780805385993468</v>
      </c>
      <c r="GU648"/>
      <c r="GV648"/>
      <c r="GW648"/>
      <c r="GX648"/>
      <c r="GY648"/>
      <c r="GZ648"/>
      <c r="HA648"/>
      <c r="HB648"/>
      <c r="HC648"/>
    </row>
    <row r="649" spans="1:211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2.0708333333333333</v>
      </c>
      <c r="AO649">
        <v>0.41323824178039442</v>
      </c>
      <c r="AP649">
        <v>17.450594808204535</v>
      </c>
      <c r="AQ649">
        <v>3.1852210846957068</v>
      </c>
      <c r="AR649">
        <v>0.41718610589899524</v>
      </c>
      <c r="AS649">
        <v>2.0480274454620595</v>
      </c>
      <c r="AT649" t="e">
        <v>#DIV/0!</v>
      </c>
      <c r="AU649" t="e">
        <v>#DIV/0!</v>
      </c>
      <c r="AV649"/>
      <c r="AW649"/>
      <c r="FY649" s="211">
        <v>644</v>
      </c>
      <c r="FZ649">
        <v>0.52898713731278935</v>
      </c>
      <c r="GA649">
        <v>0</v>
      </c>
      <c r="GB649">
        <v>0.12565184548559416</v>
      </c>
      <c r="GC649">
        <v>6.9638549917922385E-2</v>
      </c>
      <c r="GD649">
        <v>0</v>
      </c>
      <c r="GE649">
        <v>0</v>
      </c>
      <c r="GF649">
        <v>0</v>
      </c>
      <c r="GG649">
        <v>0</v>
      </c>
      <c r="GH649">
        <v>0</v>
      </c>
      <c r="GI649">
        <v>0.10927641913305264</v>
      </c>
      <c r="GJ649"/>
      <c r="GK649">
        <v>0.53062497521790841</v>
      </c>
      <c r="GL649">
        <v>0</v>
      </c>
      <c r="GM649">
        <v>0.20987613046478273</v>
      </c>
      <c r="GN649">
        <v>0.20987613046478273</v>
      </c>
      <c r="GO649">
        <v>0</v>
      </c>
      <c r="GP649">
        <v>0</v>
      </c>
      <c r="GQ649">
        <v>0</v>
      </c>
      <c r="GR649">
        <v>0</v>
      </c>
      <c r="GS649">
        <v>0</v>
      </c>
      <c r="GT649">
        <v>0.14810022113653826</v>
      </c>
      <c r="GU649"/>
      <c r="GV649"/>
      <c r="GW649"/>
      <c r="GX649"/>
      <c r="GY649"/>
      <c r="GZ649"/>
      <c r="HA649"/>
      <c r="HB649"/>
      <c r="HC649"/>
    </row>
    <row r="650" spans="1:211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1.9614583333333333</v>
      </c>
      <c r="AO650">
        <v>0.2963692755788444</v>
      </c>
      <c r="AP650">
        <v>8.8618977959568284</v>
      </c>
      <c r="AQ650">
        <v>2.5148271182556408</v>
      </c>
      <c r="AR650">
        <v>0.32867023313841526</v>
      </c>
      <c r="AS650">
        <v>1.5710218857174882</v>
      </c>
      <c r="AT650" t="e">
        <v>#DIV/0!</v>
      </c>
      <c r="AU650" t="e">
        <v>#DIV/0!</v>
      </c>
      <c r="AV650"/>
      <c r="AW650"/>
      <c r="FY650" s="211">
        <v>645</v>
      </c>
      <c r="FZ650">
        <v>1.475032821918614</v>
      </c>
      <c r="GA650">
        <v>0.9492013034353769</v>
      </c>
      <c r="GB650">
        <v>7.9203986612074825E-2</v>
      </c>
      <c r="GC650">
        <v>7.8958100610881349E-2</v>
      </c>
      <c r="GD650">
        <v>2.6724553773673727E-2</v>
      </c>
      <c r="GE650">
        <v>0</v>
      </c>
      <c r="GF650">
        <v>0.33021050058332063</v>
      </c>
      <c r="GG650">
        <v>0.29759236750664797</v>
      </c>
      <c r="GH650">
        <v>0</v>
      </c>
      <c r="GI650">
        <v>0.31734747578751543</v>
      </c>
      <c r="GJ650"/>
      <c r="GK650">
        <v>1.4827130045465644</v>
      </c>
      <c r="GL650">
        <v>0.81411144957417536</v>
      </c>
      <c r="GM650">
        <v>0.13091770120800852</v>
      </c>
      <c r="GN650">
        <v>0.23585576644039991</v>
      </c>
      <c r="GO650">
        <v>0.10493806523239137</v>
      </c>
      <c r="GP650">
        <v>0</v>
      </c>
      <c r="GQ650">
        <v>0.45369793096285549</v>
      </c>
      <c r="GR650">
        <v>0.45369793096285549</v>
      </c>
      <c r="GS650">
        <v>0</v>
      </c>
      <c r="GT650">
        <v>0.43445334038996397</v>
      </c>
      <c r="GU650"/>
      <c r="GV650"/>
      <c r="GW650"/>
      <c r="GX650"/>
      <c r="GY650"/>
      <c r="GZ650"/>
      <c r="HA650"/>
      <c r="HB650"/>
      <c r="HC650"/>
    </row>
    <row r="651" spans="1:211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2.979166666666667</v>
      </c>
      <c r="AO651">
        <v>0.25778136885427594</v>
      </c>
      <c r="AP651">
        <v>9.6484711290386009</v>
      </c>
      <c r="AQ651">
        <v>1.9532156808117933</v>
      </c>
      <c r="AR651">
        <v>0.29808997432243955</v>
      </c>
      <c r="AS651">
        <v>1.8292708237128421</v>
      </c>
      <c r="AT651" t="e">
        <v>#DIV/0!</v>
      </c>
      <c r="AU651" t="e">
        <v>#DIV/0!</v>
      </c>
      <c r="AV651"/>
      <c r="AW651"/>
      <c r="FY651" s="211">
        <v>646</v>
      </c>
      <c r="FZ651">
        <v>0.84828111823458219</v>
      </c>
      <c r="GA651">
        <v>0.17450094823695328</v>
      </c>
      <c r="GB651">
        <v>0.204855832097669</v>
      </c>
      <c r="GC651">
        <v>0.11377737556984255</v>
      </c>
      <c r="GD651">
        <v>0</v>
      </c>
      <c r="GE651">
        <v>0</v>
      </c>
      <c r="GF651">
        <v>0</v>
      </c>
      <c r="GG651">
        <v>0</v>
      </c>
      <c r="GH651">
        <v>0</v>
      </c>
      <c r="GI651">
        <v>0.17602288090946511</v>
      </c>
      <c r="GJ651"/>
      <c r="GK651">
        <v>0.84942892683552418</v>
      </c>
      <c r="GL651">
        <v>0.14748101845849892</v>
      </c>
      <c r="GM651">
        <v>0.34079383167279126</v>
      </c>
      <c r="GN651">
        <v>0.34079383167279126</v>
      </c>
      <c r="GO651">
        <v>0</v>
      </c>
      <c r="GP651">
        <v>0</v>
      </c>
      <c r="GQ651">
        <v>0</v>
      </c>
      <c r="GR651">
        <v>0</v>
      </c>
      <c r="GS651">
        <v>0</v>
      </c>
      <c r="GT651">
        <v>0.23804455170166308</v>
      </c>
      <c r="GU651"/>
      <c r="GV651"/>
      <c r="GW651"/>
      <c r="GX651"/>
      <c r="GY651"/>
      <c r="GZ651"/>
      <c r="HA651"/>
      <c r="HB651"/>
      <c r="HC651"/>
    </row>
    <row r="652" spans="1:211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2.0812499999999998</v>
      </c>
      <c r="AO652">
        <v>0.20933886755401102</v>
      </c>
      <c r="AP652">
        <v>2.4247280519728891</v>
      </c>
      <c r="AQ652">
        <v>1.8462518190069801</v>
      </c>
      <c r="AR652">
        <v>0.23378605184316498</v>
      </c>
      <c r="AS652">
        <v>1.3201833743385496</v>
      </c>
      <c r="AT652" t="e">
        <v>#DIV/0!</v>
      </c>
      <c r="AU652" t="e">
        <v>#DIV/0!</v>
      </c>
      <c r="AV652"/>
      <c r="AW652"/>
      <c r="FY652" s="211">
        <v>647</v>
      </c>
      <c r="FZ652">
        <v>0.55592584492876784</v>
      </c>
      <c r="GA652">
        <v>0</v>
      </c>
      <c r="GB652">
        <v>0.14202990935487192</v>
      </c>
      <c r="GC652">
        <v>7.8958100610881349E-2</v>
      </c>
      <c r="GD652">
        <v>0</v>
      </c>
      <c r="GE652">
        <v>0</v>
      </c>
      <c r="GF652">
        <v>0</v>
      </c>
      <c r="GG652">
        <v>0</v>
      </c>
      <c r="GH652">
        <v>0</v>
      </c>
      <c r="GI652">
        <v>0.11722479534557106</v>
      </c>
      <c r="GJ652"/>
      <c r="GK652">
        <v>0.55727087906384654</v>
      </c>
      <c r="GL652">
        <v>0</v>
      </c>
      <c r="GM652">
        <v>0.23585576644039991</v>
      </c>
      <c r="GN652">
        <v>0.23585576644039991</v>
      </c>
      <c r="GO652">
        <v>0</v>
      </c>
      <c r="GP652">
        <v>0</v>
      </c>
      <c r="GQ652">
        <v>0</v>
      </c>
      <c r="GR652">
        <v>0</v>
      </c>
      <c r="GS652">
        <v>0</v>
      </c>
      <c r="GT652">
        <v>0.15862532910084931</v>
      </c>
      <c r="GU652"/>
      <c r="GV652"/>
      <c r="GW652"/>
      <c r="GX652"/>
      <c r="GY652"/>
      <c r="GZ652"/>
      <c r="HA652"/>
      <c r="HB652"/>
      <c r="HC652"/>
    </row>
    <row r="653" spans="1:211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2.598958333333333</v>
      </c>
      <c r="AO653">
        <v>0.15579119635448174</v>
      </c>
      <c r="AP653">
        <v>2.2218231321050501</v>
      </c>
      <c r="AQ653">
        <v>1.1047606486999124</v>
      </c>
      <c r="AR653">
        <v>0.17827285223558792</v>
      </c>
      <c r="AS653">
        <v>1.2605581837135467</v>
      </c>
      <c r="AT653" t="e">
        <v>#DIV/0!</v>
      </c>
      <c r="AU653" t="e">
        <v>#DIV/0!</v>
      </c>
      <c r="AV653"/>
      <c r="AW653"/>
      <c r="FY653" s="211">
        <v>648</v>
      </c>
      <c r="FZ653">
        <v>0.69682768221222247</v>
      </c>
      <c r="GA653">
        <v>0.17450094823695328</v>
      </c>
      <c r="GB653">
        <v>0.22123389596694673</v>
      </c>
      <c r="GC653">
        <v>0.12309692626280153</v>
      </c>
      <c r="GD653">
        <v>0</v>
      </c>
      <c r="GE653">
        <v>0</v>
      </c>
      <c r="GF653">
        <v>0.33021050058332063</v>
      </c>
      <c r="GG653">
        <v>0.29759236750664797</v>
      </c>
      <c r="GH653">
        <v>0</v>
      </c>
      <c r="GI653">
        <v>0.22166157235573566</v>
      </c>
      <c r="GJ653"/>
      <c r="GK653">
        <v>0.69568383500052811</v>
      </c>
      <c r="GL653">
        <v>0.14748101845849892</v>
      </c>
      <c r="GM653">
        <v>0.3667734676484084</v>
      </c>
      <c r="GN653">
        <v>0.3667734676484084</v>
      </c>
      <c r="GO653">
        <v>0</v>
      </c>
      <c r="GP653">
        <v>0</v>
      </c>
      <c r="GQ653">
        <v>0.45369793096285549</v>
      </c>
      <c r="GR653">
        <v>0.45369793096285549</v>
      </c>
      <c r="GS653">
        <v>0</v>
      </c>
      <c r="GT653">
        <v>0.3032310467223584</v>
      </c>
      <c r="GU653"/>
      <c r="GV653"/>
      <c r="GW653"/>
      <c r="GX653"/>
      <c r="GY653"/>
      <c r="GZ653"/>
      <c r="HA653"/>
      <c r="HB653"/>
      <c r="HC653"/>
    </row>
    <row r="654" spans="1:211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2.6770833333333335</v>
      </c>
      <c r="AO654">
        <v>0.3727135284647588</v>
      </c>
      <c r="AP654">
        <v>15.308205278830172</v>
      </c>
      <c r="AQ654">
        <v>2.6954827891235031</v>
      </c>
      <c r="AR654">
        <v>0.40519745296590881</v>
      </c>
      <c r="AS654">
        <v>2.0250893985547722</v>
      </c>
      <c r="AT654" t="e">
        <v>#DIV/0!</v>
      </c>
      <c r="AU654" t="e">
        <v>#DIV/0!</v>
      </c>
      <c r="AV654"/>
      <c r="AW654"/>
      <c r="FY654" s="211">
        <v>649</v>
      </c>
      <c r="FZ654">
        <v>0.86934403761096402</v>
      </c>
      <c r="GA654">
        <v>8.725047411847664E-2</v>
      </c>
      <c r="GB654">
        <v>7.9203986612074825E-2</v>
      </c>
      <c r="GC654">
        <v>7.8958100610881349E-2</v>
      </c>
      <c r="GD654">
        <v>2.6724553773673727E-2</v>
      </c>
      <c r="GE654">
        <v>0</v>
      </c>
      <c r="GF654">
        <v>0.33021050058332063</v>
      </c>
      <c r="GG654">
        <v>0.29759236750664797</v>
      </c>
      <c r="GH654">
        <v>0</v>
      </c>
      <c r="GI654">
        <v>0.22776500031259303</v>
      </c>
      <c r="GJ654"/>
      <c r="GK654">
        <v>0.87036597939936899</v>
      </c>
      <c r="GL654">
        <v>7.3740509229249462E-2</v>
      </c>
      <c r="GM654">
        <v>0.13091770120800852</v>
      </c>
      <c r="GN654">
        <v>0.23585576644039991</v>
      </c>
      <c r="GO654">
        <v>0.10493806523239137</v>
      </c>
      <c r="GP654">
        <v>0</v>
      </c>
      <c r="GQ654">
        <v>0.45369793096285549</v>
      </c>
      <c r="GR654">
        <v>0.45369793096285549</v>
      </c>
      <c r="GS654">
        <v>0</v>
      </c>
      <c r="GT654">
        <v>0.31198393536052488</v>
      </c>
      <c r="GU654"/>
      <c r="GV654"/>
      <c r="GW654"/>
      <c r="GX654"/>
      <c r="GY654"/>
      <c r="GZ654"/>
      <c r="HA654"/>
      <c r="HB654"/>
      <c r="HC654"/>
    </row>
    <row r="655" spans="1:211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3.9937500000000008</v>
      </c>
      <c r="AO655">
        <v>0.50561935868478192</v>
      </c>
      <c r="AP655">
        <v>7.9994587587160702</v>
      </c>
      <c r="AQ655">
        <v>4.0942448998605174</v>
      </c>
      <c r="AR655">
        <v>0.53266361706117993</v>
      </c>
      <c r="AS655">
        <v>2.9869378462864042</v>
      </c>
      <c r="AT655" t="e">
        <v>#DIV/0!</v>
      </c>
      <c r="AU655" t="e">
        <v>#DIV/0!</v>
      </c>
      <c r="AV655"/>
      <c r="AW655"/>
      <c r="FY655" s="211">
        <v>650</v>
      </c>
      <c r="FZ655">
        <v>1.0147260497084347</v>
      </c>
      <c r="GA655">
        <v>8.725047411847664E-2</v>
      </c>
      <c r="GB655">
        <v>0.3168159464482993</v>
      </c>
      <c r="GC655">
        <v>0.21137457756664185</v>
      </c>
      <c r="GD655">
        <v>2.6724553773673727E-2</v>
      </c>
      <c r="GE655">
        <v>0</v>
      </c>
      <c r="GF655">
        <v>0.66042100116664126</v>
      </c>
      <c r="GG655">
        <v>0.59518473501329594</v>
      </c>
      <c r="GH655">
        <v>0</v>
      </c>
      <c r="GI655">
        <v>0.37153198089077422</v>
      </c>
      <c r="GJ655"/>
      <c r="GK655">
        <v>1.0180667167615236</v>
      </c>
      <c r="GL655">
        <v>7.3740509229249462E-2</v>
      </c>
      <c r="GM655">
        <v>0.5236708048320341</v>
      </c>
      <c r="GN655">
        <v>0.62860887006442545</v>
      </c>
      <c r="GO655">
        <v>0.10493806523239137</v>
      </c>
      <c r="GP655">
        <v>0</v>
      </c>
      <c r="GQ655">
        <v>0.90739586192571098</v>
      </c>
      <c r="GR655">
        <v>0.90739586192571098</v>
      </c>
      <c r="GS655">
        <v>0</v>
      </c>
      <c r="GT655">
        <v>0.51081428975033205</v>
      </c>
      <c r="GU655"/>
      <c r="GV655"/>
      <c r="GW655"/>
      <c r="GX655"/>
      <c r="GY655"/>
      <c r="GZ655"/>
      <c r="HA655"/>
      <c r="HB655"/>
      <c r="HC655"/>
    </row>
    <row r="656" spans="1:211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3.1624999999999996</v>
      </c>
      <c r="AO656">
        <v>0.32080820692117984</v>
      </c>
      <c r="AP656">
        <v>6.2485276845985585</v>
      </c>
      <c r="AQ656">
        <v>2.7851103664297527</v>
      </c>
      <c r="AR656">
        <v>0.36244636174128564</v>
      </c>
      <c r="AS656">
        <v>2.1136620437859537</v>
      </c>
      <c r="AT656" t="e">
        <v>#DIV/0!</v>
      </c>
      <c r="AU656" t="e">
        <v>#DIV/0!</v>
      </c>
      <c r="AV656"/>
      <c r="AW656"/>
      <c r="FY656" s="211">
        <v>651</v>
      </c>
      <c r="FZ656">
        <v>0.7510749240693555</v>
      </c>
      <c r="GA656">
        <v>0.38735017759921181</v>
      </c>
      <c r="GB656">
        <v>0</v>
      </c>
      <c r="GC656">
        <v>6.9638549917922385E-2</v>
      </c>
      <c r="GD656">
        <v>5.3449107547347455E-2</v>
      </c>
      <c r="GE656">
        <v>0</v>
      </c>
      <c r="GF656">
        <v>0.33021050058332063</v>
      </c>
      <c r="GG656">
        <v>0.29759236750664797</v>
      </c>
      <c r="GH656">
        <v>0</v>
      </c>
      <c r="GI656">
        <v>0.20622545993053329</v>
      </c>
      <c r="GJ656"/>
      <c r="GK656">
        <v>0.75420218683226392</v>
      </c>
      <c r="GL656">
        <v>0.33331521555783822</v>
      </c>
      <c r="GM656">
        <v>0</v>
      </c>
      <c r="GN656">
        <v>0.20987613046478273</v>
      </c>
      <c r="GO656">
        <v>0.20987613046478273</v>
      </c>
      <c r="GP656">
        <v>0</v>
      </c>
      <c r="GQ656">
        <v>0.45369793096285549</v>
      </c>
      <c r="GR656">
        <v>0.45369793096285549</v>
      </c>
      <c r="GS656">
        <v>0</v>
      </c>
      <c r="GT656">
        <v>0.28355524965198042</v>
      </c>
      <c r="GU656"/>
      <c r="GV656"/>
      <c r="GW656"/>
      <c r="GX656"/>
      <c r="GY656"/>
      <c r="GZ656"/>
      <c r="HA656"/>
      <c r="HB656"/>
      <c r="HC656"/>
    </row>
    <row r="657" spans="1:211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2.411458333333333</v>
      </c>
      <c r="AO657">
        <v>0.18086148852313733</v>
      </c>
      <c r="AP657">
        <v>4.8698123289205313</v>
      </c>
      <c r="AQ657">
        <v>1.186440114088132</v>
      </c>
      <c r="AR657">
        <v>0.21848728606249274</v>
      </c>
      <c r="AS657">
        <v>1.4741612217233899</v>
      </c>
      <c r="AT657" t="e">
        <v>#DIV/0!</v>
      </c>
      <c r="AU657" t="e">
        <v>#DIV/0!</v>
      </c>
      <c r="AV657"/>
      <c r="AW657"/>
      <c r="FY657" s="211">
        <v>652</v>
      </c>
      <c r="FZ657">
        <v>0.87938219320566413</v>
      </c>
      <c r="GA657">
        <v>0.38735017759921181</v>
      </c>
      <c r="GB657">
        <v>0.12565184548559416</v>
      </c>
      <c r="GC657">
        <v>6.9638549917922385E-2</v>
      </c>
      <c r="GD657">
        <v>0</v>
      </c>
      <c r="GE657">
        <v>0</v>
      </c>
      <c r="GF657">
        <v>0</v>
      </c>
      <c r="GG657">
        <v>0</v>
      </c>
      <c r="GH657">
        <v>0</v>
      </c>
      <c r="GI657">
        <v>0.161087432498565</v>
      </c>
      <c r="GJ657"/>
      <c r="GK657">
        <v>0.88531361952179277</v>
      </c>
      <c r="GL657">
        <v>0.33331521555783822</v>
      </c>
      <c r="GM657">
        <v>0.20987613046478273</v>
      </c>
      <c r="GN657">
        <v>0.20987613046478273</v>
      </c>
      <c r="GO657">
        <v>0</v>
      </c>
      <c r="GP657">
        <v>0</v>
      </c>
      <c r="GQ657">
        <v>0</v>
      </c>
      <c r="GR657">
        <v>0</v>
      </c>
      <c r="GS657">
        <v>0</v>
      </c>
      <c r="GT657">
        <v>0.21903794999731507</v>
      </c>
      <c r="GU657"/>
      <c r="GV657"/>
      <c r="GW657"/>
      <c r="GX657"/>
      <c r="GY657"/>
      <c r="GZ657"/>
      <c r="HA657"/>
      <c r="HB657"/>
      <c r="HC657"/>
    </row>
    <row r="658" spans="1:211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2.1645833333333333</v>
      </c>
      <c r="AO658">
        <v>0.3434309374500969</v>
      </c>
      <c r="AP658">
        <v>9.4423160490206257</v>
      </c>
      <c r="AQ658">
        <v>2.6859097956867002</v>
      </c>
      <c r="AR658">
        <v>0.38874700538051671</v>
      </c>
      <c r="AS658">
        <v>1.8911181798094456</v>
      </c>
      <c r="AT658" t="e">
        <v>#DIV/0!</v>
      </c>
      <c r="AU658" t="e">
        <v>#DIV/0!</v>
      </c>
      <c r="AV658"/>
      <c r="AW658"/>
      <c r="FY658" s="211">
        <v>653</v>
      </c>
      <c r="FZ658">
        <v>1.0233701059656688</v>
      </c>
      <c r="GA658">
        <v>0.56185112583616514</v>
      </c>
      <c r="GB658">
        <v>0.14202990935487192</v>
      </c>
      <c r="GC658">
        <v>7.8958100610881349E-2</v>
      </c>
      <c r="GD658">
        <v>0</v>
      </c>
      <c r="GE658">
        <v>0</v>
      </c>
      <c r="GF658">
        <v>0</v>
      </c>
      <c r="GG658">
        <v>0</v>
      </c>
      <c r="GH658">
        <v>0</v>
      </c>
      <c r="GI658">
        <v>0.18638933060563184</v>
      </c>
      <c r="GJ658"/>
      <c r="GK658">
        <v>1.0288832662712735</v>
      </c>
      <c r="GL658">
        <v>0.48079623401633714</v>
      </c>
      <c r="GM658">
        <v>0.23585576644039991</v>
      </c>
      <c r="GN658">
        <v>0.23585576644039991</v>
      </c>
      <c r="GO658">
        <v>0</v>
      </c>
      <c r="GP658">
        <v>0</v>
      </c>
      <c r="GQ658">
        <v>0</v>
      </c>
      <c r="GR658">
        <v>0</v>
      </c>
      <c r="GS658">
        <v>0</v>
      </c>
      <c r="GT658">
        <v>0.25294780654233467</v>
      </c>
      <c r="GU658"/>
      <c r="GV658"/>
      <c r="GW658"/>
      <c r="GX658"/>
      <c r="GY658"/>
      <c r="GZ658"/>
      <c r="HA658"/>
      <c r="HB658"/>
      <c r="HC658"/>
    </row>
    <row r="659" spans="1:211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2.4791666666666665</v>
      </c>
      <c r="AO659">
        <v>0.28761221657677299</v>
      </c>
      <c r="AP659">
        <v>9.2213730020039399</v>
      </c>
      <c r="AQ659">
        <v>2.2324607726784333</v>
      </c>
      <c r="AR659">
        <v>0.34780805385993468</v>
      </c>
      <c r="AS659">
        <v>1.8724154419531558</v>
      </c>
      <c r="AT659" t="e">
        <v>#DIV/0!</v>
      </c>
      <c r="AU659" t="e">
        <v>#DIV/0!</v>
      </c>
      <c r="AV659"/>
      <c r="AW659"/>
      <c r="FY659" s="211">
        <v>654</v>
      </c>
      <c r="FZ659">
        <v>1.0986427771059246</v>
      </c>
      <c r="GA659">
        <v>0.73635207407311842</v>
      </c>
      <c r="GB659">
        <v>0.204855832097669</v>
      </c>
      <c r="GC659">
        <v>0.18341592548776492</v>
      </c>
      <c r="GD659">
        <v>5.3449107547347455E-2</v>
      </c>
      <c r="GE659">
        <v>0</v>
      </c>
      <c r="GF659">
        <v>0.66042100116664126</v>
      </c>
      <c r="GG659">
        <v>0.59518473501329594</v>
      </c>
      <c r="GH659">
        <v>0</v>
      </c>
      <c r="GI659">
        <v>0.37214397396500309</v>
      </c>
      <c r="GJ659"/>
      <c r="GK659">
        <v>1.1015313042324653</v>
      </c>
      <c r="GL659">
        <v>0.62827725247483612</v>
      </c>
      <c r="GM659">
        <v>0.34079383167279126</v>
      </c>
      <c r="GN659">
        <v>0.55066996213757402</v>
      </c>
      <c r="GO659">
        <v>0.20987613046478273</v>
      </c>
      <c r="GP659">
        <v>0</v>
      </c>
      <c r="GQ659">
        <v>0.90739586192571098</v>
      </c>
      <c r="GR659">
        <v>0.90739586192571098</v>
      </c>
      <c r="GS659">
        <v>0</v>
      </c>
      <c r="GT659">
        <v>0.51191942565915005</v>
      </c>
      <c r="GU659"/>
      <c r="GV659"/>
      <c r="GW659"/>
      <c r="GX659"/>
      <c r="GY659"/>
      <c r="GZ659"/>
      <c r="HA659"/>
      <c r="HB659"/>
      <c r="HC659"/>
    </row>
    <row r="660" spans="1:211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1.4791666666666665</v>
      </c>
      <c r="AO660">
        <v>0.10984774572840121</v>
      </c>
      <c r="AP660">
        <v>2.5633117906332585</v>
      </c>
      <c r="AQ660">
        <v>0.83355395184935854</v>
      </c>
      <c r="AR660">
        <v>0.14810022113653826</v>
      </c>
      <c r="AS660">
        <v>0.9708553776407125</v>
      </c>
      <c r="AT660" t="e">
        <v>#DIV/0!</v>
      </c>
      <c r="AU660" t="e">
        <v>#DIV/0!</v>
      </c>
      <c r="AV660"/>
      <c r="AW660"/>
      <c r="FY660" s="211">
        <v>655</v>
      </c>
      <c r="FZ660">
        <v>0.75703126632507778</v>
      </c>
      <c r="GA660">
        <v>8.725047411847664E-2</v>
      </c>
      <c r="GB660">
        <v>0.15840797322414965</v>
      </c>
      <c r="GC660">
        <v>8.8277651303840327E-2</v>
      </c>
      <c r="GD660">
        <v>0</v>
      </c>
      <c r="GE660">
        <v>0</v>
      </c>
      <c r="GF660">
        <v>0.33021050058332063</v>
      </c>
      <c r="GG660">
        <v>0.29759236750664797</v>
      </c>
      <c r="GH660">
        <v>0</v>
      </c>
      <c r="GI660">
        <v>0.21504592807002015</v>
      </c>
      <c r="GJ660"/>
      <c r="GK660">
        <v>0.7586627367514478</v>
      </c>
      <c r="GL660">
        <v>7.3740509229249462E-2</v>
      </c>
      <c r="GM660">
        <v>0.26183540241601705</v>
      </c>
      <c r="GN660">
        <v>0.26183540241601705</v>
      </c>
      <c r="GO660">
        <v>0</v>
      </c>
      <c r="GP660">
        <v>0</v>
      </c>
      <c r="GQ660">
        <v>0.45369793096285549</v>
      </c>
      <c r="GR660">
        <v>0.45369793096285549</v>
      </c>
      <c r="GS660">
        <v>0</v>
      </c>
      <c r="GT660">
        <v>0.29483921402606411</v>
      </c>
      <c r="GU660"/>
      <c r="GV660"/>
      <c r="GW660"/>
      <c r="GX660"/>
      <c r="GY660"/>
      <c r="GZ660"/>
      <c r="HA660"/>
      <c r="HB660"/>
      <c r="HC660"/>
    </row>
    <row r="661" spans="1:211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2.8864583333333327</v>
      </c>
      <c r="AO661">
        <v>0.41103851893172144</v>
      </c>
      <c r="AP661">
        <v>9.874296920759722</v>
      </c>
      <c r="AQ661">
        <v>3.5542711102281053</v>
      </c>
      <c r="AR661">
        <v>0.43445334038996392</v>
      </c>
      <c r="AS661">
        <v>2.5334976442145791</v>
      </c>
      <c r="AT661" t="e">
        <v>#DIV/0!</v>
      </c>
      <c r="AU661" t="e">
        <v>#DIV/0!</v>
      </c>
      <c r="AV661"/>
      <c r="AW661"/>
      <c r="FY661" s="211">
        <v>656</v>
      </c>
      <c r="FZ661">
        <v>1.4667414496374309</v>
      </c>
      <c r="GA661">
        <v>0.9492013034353769</v>
      </c>
      <c r="GB661">
        <v>0.12565184548559416</v>
      </c>
      <c r="GC661">
        <v>0.10445782487688358</v>
      </c>
      <c r="GD661">
        <v>2.6724553773673727E-2</v>
      </c>
      <c r="GE661">
        <v>0</v>
      </c>
      <c r="GF661">
        <v>0.33021050058332063</v>
      </c>
      <c r="GG661">
        <v>0.29759236750664797</v>
      </c>
      <c r="GH661">
        <v>0</v>
      </c>
      <c r="GI661">
        <v>0.32755629755614496</v>
      </c>
      <c r="GJ661"/>
      <c r="GK661">
        <v>1.4768883689773782</v>
      </c>
      <c r="GL661">
        <v>0.81411144957417536</v>
      </c>
      <c r="GM661">
        <v>0.20987613046478273</v>
      </c>
      <c r="GN661">
        <v>0.31481419569717412</v>
      </c>
      <c r="GO661">
        <v>0.10493806523239137</v>
      </c>
      <c r="GP661">
        <v>0</v>
      </c>
      <c r="GQ661">
        <v>0.45369793096285549</v>
      </c>
      <c r="GR661">
        <v>0.45369793096285549</v>
      </c>
      <c r="GS661">
        <v>0</v>
      </c>
      <c r="GT661">
        <v>0.44908009912748154</v>
      </c>
      <c r="GU661"/>
      <c r="GV661"/>
      <c r="GW661"/>
      <c r="GX661"/>
      <c r="GY661"/>
      <c r="GZ661"/>
      <c r="HA661"/>
      <c r="HB661"/>
      <c r="HC661"/>
    </row>
    <row r="662" spans="1:211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2.723958333333333</v>
      </c>
      <c r="AO662">
        <v>0.19165421603412686</v>
      </c>
      <c r="AP662">
        <v>4.3787795345762284</v>
      </c>
      <c r="AQ662">
        <v>1.5174381550485121</v>
      </c>
      <c r="AR662">
        <v>0.23804455170166308</v>
      </c>
      <c r="AS662">
        <v>1.6592457499560835</v>
      </c>
      <c r="AT662" t="e">
        <v>#DIV/0!</v>
      </c>
      <c r="AU662" t="e">
        <v>#DIV/0!</v>
      </c>
      <c r="AV662"/>
      <c r="AW662"/>
      <c r="FY662" s="211">
        <v>657</v>
      </c>
      <c r="FZ662">
        <v>0.8804064659179538</v>
      </c>
      <c r="GA662">
        <v>8.725047411847664E-2</v>
      </c>
      <c r="GB662">
        <v>0.26768175484046608</v>
      </c>
      <c r="GC662">
        <v>0.21823520044672617</v>
      </c>
      <c r="GD662">
        <v>5.3449107547347455E-2</v>
      </c>
      <c r="GE662">
        <v>0</v>
      </c>
      <c r="GF662">
        <v>0.33021050058332063</v>
      </c>
      <c r="GG662">
        <v>0.29759236750664797</v>
      </c>
      <c r="GH662">
        <v>0</v>
      </c>
      <c r="GI662">
        <v>0.29115193725956956</v>
      </c>
      <c r="GJ662"/>
      <c r="GK662">
        <v>0.88421816599460668</v>
      </c>
      <c r="GL662">
        <v>7.3740509229249462E-2</v>
      </c>
      <c r="GM662">
        <v>0.44573189690518267</v>
      </c>
      <c r="GN662">
        <v>0.65560802736996537</v>
      </c>
      <c r="GO662">
        <v>0.20987613046478273</v>
      </c>
      <c r="GP662">
        <v>0</v>
      </c>
      <c r="GQ662">
        <v>0.45369793096285549</v>
      </c>
      <c r="GR662">
        <v>0.45369793096285549</v>
      </c>
      <c r="GS662">
        <v>0</v>
      </c>
      <c r="GT662">
        <v>0.39870482486548553</v>
      </c>
      <c r="GU662"/>
      <c r="GV662"/>
      <c r="GW662"/>
      <c r="GX662"/>
      <c r="GY662"/>
      <c r="GZ662"/>
      <c r="HA662"/>
      <c r="HB662"/>
      <c r="HC662"/>
    </row>
    <row r="663" spans="1:211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2.0885416666666665</v>
      </c>
      <c r="AO663">
        <v>0.11876077410454958</v>
      </c>
      <c r="AP663">
        <v>2.7761492509261529</v>
      </c>
      <c r="AQ663">
        <v>0.8941386502400922</v>
      </c>
      <c r="AR663">
        <v>0.15862532910084931</v>
      </c>
      <c r="AS663">
        <v>1.1575870112818933</v>
      </c>
      <c r="AT663" t="e">
        <v>#DIV/0!</v>
      </c>
      <c r="AU663" t="e">
        <v>#DIV/0!</v>
      </c>
      <c r="AV663"/>
      <c r="AW663"/>
      <c r="FY663" s="211">
        <v>658</v>
      </c>
      <c r="FZ663">
        <v>1.1382726522330249</v>
      </c>
      <c r="GA663">
        <v>0.77470035519842362</v>
      </c>
      <c r="GB663">
        <v>0.14202990935487192</v>
      </c>
      <c r="GC663">
        <v>0.11377737556984255</v>
      </c>
      <c r="GD663">
        <v>2.6724553773673727E-2</v>
      </c>
      <c r="GE663">
        <v>0</v>
      </c>
      <c r="GF663">
        <v>0</v>
      </c>
      <c r="GG663">
        <v>0</v>
      </c>
      <c r="GH663">
        <v>0</v>
      </c>
      <c r="GI663">
        <v>0.21882494619626916</v>
      </c>
      <c r="GJ663"/>
      <c r="GK663">
        <v>1.1455933341553988</v>
      </c>
      <c r="GL663">
        <v>0.66663043111567644</v>
      </c>
      <c r="GM663">
        <v>0.23585576644039991</v>
      </c>
      <c r="GN663">
        <v>0.34079383167279126</v>
      </c>
      <c r="GO663">
        <v>0.10493806523239137</v>
      </c>
      <c r="GP663">
        <v>0</v>
      </c>
      <c r="GQ663">
        <v>0</v>
      </c>
      <c r="GR663">
        <v>0</v>
      </c>
      <c r="GS663">
        <v>0</v>
      </c>
      <c r="GT663">
        <v>0.29727743316563798</v>
      </c>
      <c r="GU663"/>
      <c r="GV663"/>
      <c r="GW663"/>
      <c r="GX663"/>
      <c r="GY663"/>
      <c r="GZ663"/>
      <c r="HA663"/>
      <c r="HB663"/>
      <c r="HC663"/>
    </row>
    <row r="664" spans="1:211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2.6354166666666665</v>
      </c>
      <c r="AO664">
        <v>0.27873386974039127</v>
      </c>
      <c r="AP664">
        <v>10.7594001026015</v>
      </c>
      <c r="AQ664">
        <v>2.0651238931246283</v>
      </c>
      <c r="AR664">
        <v>0.3032310467223584</v>
      </c>
      <c r="AS664">
        <v>1.9695504593479738</v>
      </c>
      <c r="AT664" t="e">
        <v>#DIV/0!</v>
      </c>
      <c r="AU664" t="e">
        <v>#DIV/0!</v>
      </c>
      <c r="AV664"/>
      <c r="AW664"/>
      <c r="FY664" s="211">
        <v>659</v>
      </c>
      <c r="FZ664">
        <v>0.86396176185827833</v>
      </c>
      <c r="GA664">
        <v>8.725047411847664E-2</v>
      </c>
      <c r="GB664">
        <v>0.15840797322414965</v>
      </c>
      <c r="GC664">
        <v>0.1579162012217627</v>
      </c>
      <c r="GD664">
        <v>5.3449107547347455E-2</v>
      </c>
      <c r="GE664">
        <v>0</v>
      </c>
      <c r="GF664">
        <v>0.66042100116664126</v>
      </c>
      <c r="GG664">
        <v>0.59518473501329594</v>
      </c>
      <c r="GH664">
        <v>0</v>
      </c>
      <c r="GI664">
        <v>0.32599393508536867</v>
      </c>
      <c r="GJ664"/>
      <c r="GK664">
        <v>0.86188714089547624</v>
      </c>
      <c r="GL664">
        <v>7.3740509229249462E-2</v>
      </c>
      <c r="GM664">
        <v>0.26183540241601705</v>
      </c>
      <c r="GN664">
        <v>0.47171153288079981</v>
      </c>
      <c r="GO664">
        <v>0.20987613046478273</v>
      </c>
      <c r="GP664">
        <v>0</v>
      </c>
      <c r="GQ664">
        <v>0.90739586192571098</v>
      </c>
      <c r="GR664">
        <v>0.90739586192571098</v>
      </c>
      <c r="GS664">
        <v>0</v>
      </c>
      <c r="GT664">
        <v>0.44819890714039745</v>
      </c>
      <c r="GU664"/>
      <c r="GV664"/>
      <c r="GW664"/>
      <c r="GX664"/>
      <c r="GY664"/>
      <c r="GZ664"/>
      <c r="HA664"/>
      <c r="HB664"/>
      <c r="HC664"/>
    </row>
    <row r="665" spans="1:211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2.9947916666666665</v>
      </c>
      <c r="AO665">
        <v>0.26351978187956543</v>
      </c>
      <c r="AP665">
        <v>8.3217135998265679</v>
      </c>
      <c r="AQ665">
        <v>1.997049021128632</v>
      </c>
      <c r="AR665">
        <v>0.31198393536052488</v>
      </c>
      <c r="AS665">
        <v>1.8050829446088057</v>
      </c>
      <c r="AT665" t="e">
        <v>#DIV/0!</v>
      </c>
      <c r="AU665" t="e">
        <v>#DIV/0!</v>
      </c>
      <c r="AV665"/>
      <c r="AW665"/>
      <c r="FY665" s="211">
        <v>660</v>
      </c>
      <c r="FZ665">
        <v>1.3704791486004169</v>
      </c>
      <c r="GA665">
        <v>1.1620505327976354</v>
      </c>
      <c r="GB665">
        <v>0.14202990935487192</v>
      </c>
      <c r="GC665">
        <v>0.11377737556984255</v>
      </c>
      <c r="GD665">
        <v>2.6724553773673727E-2</v>
      </c>
      <c r="GE665">
        <v>0</v>
      </c>
      <c r="GF665">
        <v>0.33021050058332063</v>
      </c>
      <c r="GG665">
        <v>0.29759236750664797</v>
      </c>
      <c r="GH665">
        <v>0</v>
      </c>
      <c r="GI665">
        <v>0.31716803811792749</v>
      </c>
      <c r="GJ665"/>
      <c r="GK665">
        <v>1.3828698845292684</v>
      </c>
      <c r="GL665">
        <v>0.9999456466735146</v>
      </c>
      <c r="GM665">
        <v>0.23585576644039991</v>
      </c>
      <c r="GN665">
        <v>0.34079383167279126</v>
      </c>
      <c r="GO665">
        <v>0.10493806523239137</v>
      </c>
      <c r="GP665">
        <v>0</v>
      </c>
      <c r="GQ665">
        <v>0.45369793096285549</v>
      </c>
      <c r="GR665">
        <v>0.45369793096285549</v>
      </c>
      <c r="GS665">
        <v>0</v>
      </c>
      <c r="GT665">
        <v>0.43547232943298309</v>
      </c>
      <c r="GU665"/>
      <c r="GV665"/>
      <c r="GW665"/>
      <c r="GX665"/>
      <c r="GY665"/>
      <c r="GZ665"/>
      <c r="HA665"/>
      <c r="HB665"/>
      <c r="HC665"/>
    </row>
    <row r="666" spans="1:211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4.28125</v>
      </c>
      <c r="AO666">
        <v>0.46746309797213781</v>
      </c>
      <c r="AP666">
        <v>19.358693112108821</v>
      </c>
      <c r="AQ666">
        <v>3.2840293186862377</v>
      </c>
      <c r="AR666">
        <v>0.51081428975033205</v>
      </c>
      <c r="AS666">
        <v>2.735812770176973</v>
      </c>
      <c r="AT666" t="e">
        <v>#DIV/0!</v>
      </c>
      <c r="AU666" t="e">
        <v>#DIV/0!</v>
      </c>
      <c r="AV666"/>
      <c r="AW666"/>
      <c r="FY666" s="211">
        <v>661</v>
      </c>
      <c r="FZ666">
        <v>1.0462012534009768</v>
      </c>
      <c r="GA666">
        <v>0.38735017759921181</v>
      </c>
      <c r="GB666">
        <v>0.204855832097669</v>
      </c>
      <c r="GC666">
        <v>0.11377737556984255</v>
      </c>
      <c r="GD666">
        <v>0</v>
      </c>
      <c r="GE666">
        <v>0</v>
      </c>
      <c r="GF666">
        <v>0.33021050058332063</v>
      </c>
      <c r="GG666">
        <v>0.29759236750664797</v>
      </c>
      <c r="GH666">
        <v>0</v>
      </c>
      <c r="GI666">
        <v>0.26922564319362663</v>
      </c>
      <c r="GJ666"/>
      <c r="GK666">
        <v>1.0543877856299932</v>
      </c>
      <c r="GL666">
        <v>0.33331521555783822</v>
      </c>
      <c r="GM666">
        <v>0.34079383167279126</v>
      </c>
      <c r="GN666">
        <v>0.34079383167279126</v>
      </c>
      <c r="GO666">
        <v>0</v>
      </c>
      <c r="GP666">
        <v>0</v>
      </c>
      <c r="GQ666">
        <v>0.45369793096285549</v>
      </c>
      <c r="GR666">
        <v>0.45369793096285549</v>
      </c>
      <c r="GS666">
        <v>0</v>
      </c>
      <c r="GT666">
        <v>0.36977590965312807</v>
      </c>
      <c r="GU666"/>
      <c r="GV666"/>
      <c r="GW666"/>
      <c r="GX666"/>
      <c r="GY666"/>
      <c r="GZ666"/>
      <c r="HA666"/>
      <c r="HB666"/>
      <c r="HC666"/>
    </row>
    <row r="667" spans="1:211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2.3624999999999998</v>
      </c>
      <c r="AO667">
        <v>0.26982207748973586</v>
      </c>
      <c r="AP667">
        <v>10.689145585789944</v>
      </c>
      <c r="AQ667">
        <v>2.0955410871543392</v>
      </c>
      <c r="AR667">
        <v>0.28355524965198042</v>
      </c>
      <c r="AS667">
        <v>1.5520437752224026</v>
      </c>
      <c r="AT667" t="e">
        <v>#DIV/0!</v>
      </c>
      <c r="AU667" t="e">
        <v>#DIV/0!</v>
      </c>
      <c r="AV667"/>
      <c r="AW667"/>
      <c r="FY667" s="211">
        <v>662</v>
      </c>
      <c r="FZ667">
        <v>1.5177069803327212</v>
      </c>
      <c r="GA667">
        <v>1.2493010069161121</v>
      </c>
      <c r="GB667">
        <v>0.14202990935487192</v>
      </c>
      <c r="GC667">
        <v>7.8958100610881349E-2</v>
      </c>
      <c r="GD667">
        <v>0</v>
      </c>
      <c r="GE667">
        <v>0</v>
      </c>
      <c r="GF667">
        <v>0.33021050058332063</v>
      </c>
      <c r="GG667">
        <v>0.29759236750664797</v>
      </c>
      <c r="GH667">
        <v>0</v>
      </c>
      <c r="GI667">
        <v>0.32353913574567816</v>
      </c>
      <c r="GJ667"/>
      <c r="GK667">
        <v>1.5299145268055663</v>
      </c>
      <c r="GL667">
        <v>1.073686155902764</v>
      </c>
      <c r="GM667">
        <v>0.23585576644039991</v>
      </c>
      <c r="GN667">
        <v>0.23585576644039991</v>
      </c>
      <c r="GO667">
        <v>0</v>
      </c>
      <c r="GP667">
        <v>0</v>
      </c>
      <c r="GQ667">
        <v>0.45369793096285549</v>
      </c>
      <c r="GR667">
        <v>0.45369793096285549</v>
      </c>
      <c r="GS667">
        <v>0</v>
      </c>
      <c r="GT667">
        <v>0.44389364484176436</v>
      </c>
      <c r="GU667"/>
      <c r="GV667"/>
      <c r="GW667"/>
      <c r="GX667"/>
      <c r="GY667"/>
      <c r="GZ667"/>
      <c r="HA667"/>
      <c r="HB667"/>
      <c r="HC667"/>
    </row>
    <row r="668" spans="1:211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1.7479166666666663</v>
      </c>
      <c r="AO668">
        <v>0.18574190460065115</v>
      </c>
      <c r="AP668">
        <v>4.2916912028032437</v>
      </c>
      <c r="AQ668">
        <v>1.6231101987069574</v>
      </c>
      <c r="AR668">
        <v>0.21903794999731507</v>
      </c>
      <c r="AS668">
        <v>1.2329362997223057</v>
      </c>
      <c r="AT668" t="e">
        <v>#DIV/0!</v>
      </c>
      <c r="AU668" t="e">
        <v>#DIV/0!</v>
      </c>
      <c r="AV668"/>
      <c r="AW668"/>
      <c r="FY668" s="211">
        <v>663</v>
      </c>
      <c r="FZ668">
        <v>1.0269841536594286</v>
      </c>
      <c r="GA668">
        <v>0.56185112583616514</v>
      </c>
      <c r="GB668">
        <v>0</v>
      </c>
      <c r="GC668">
        <v>6.9638549917922385E-2</v>
      </c>
      <c r="GD668">
        <v>5.3449107547347455E-2</v>
      </c>
      <c r="GE668">
        <v>0</v>
      </c>
      <c r="GF668">
        <v>0</v>
      </c>
      <c r="GG668">
        <v>0</v>
      </c>
      <c r="GH668">
        <v>0</v>
      </c>
      <c r="GI668">
        <v>0.18296955410918569</v>
      </c>
      <c r="GJ668"/>
      <c r="GK668">
        <v>1.0327946379802917</v>
      </c>
      <c r="GL668">
        <v>0.48079623401633714</v>
      </c>
      <c r="GM668">
        <v>0</v>
      </c>
      <c r="GN668">
        <v>0.20987613046478273</v>
      </c>
      <c r="GO668">
        <v>0.20987613046478273</v>
      </c>
      <c r="GP668">
        <v>0</v>
      </c>
      <c r="GQ668">
        <v>0</v>
      </c>
      <c r="GR668">
        <v>0</v>
      </c>
      <c r="GS668">
        <v>0</v>
      </c>
      <c r="GT668">
        <v>0.24853415368901488</v>
      </c>
      <c r="GU668"/>
      <c r="GV668"/>
      <c r="GW668"/>
      <c r="GX668"/>
      <c r="GY668"/>
      <c r="GZ668"/>
      <c r="HA668"/>
      <c r="HB668"/>
      <c r="HC668"/>
    </row>
    <row r="669" spans="1:211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2.5031249999999998</v>
      </c>
      <c r="AO669">
        <v>0.2234338839710745</v>
      </c>
      <c r="AP669">
        <v>4.0588022087582676</v>
      </c>
      <c r="AQ669">
        <v>1.9925985723732189</v>
      </c>
      <c r="AR669">
        <v>0.25294780654233467</v>
      </c>
      <c r="AS669">
        <v>1.6843343355271587</v>
      </c>
      <c r="AT669" t="e">
        <v>#DIV/0!</v>
      </c>
      <c r="AU669" t="e">
        <v>#DIV/0!</v>
      </c>
      <c r="AV669"/>
      <c r="AW669"/>
      <c r="FY669" s="211">
        <v>664</v>
      </c>
      <c r="FZ669">
        <v>1.3684591380256994</v>
      </c>
      <c r="GA669">
        <v>0.77470035519842362</v>
      </c>
      <c r="GB669">
        <v>0.204855832097669</v>
      </c>
      <c r="GC669">
        <v>0.21823520044672617</v>
      </c>
      <c r="GD669">
        <v>8.0173661321021189E-2</v>
      </c>
      <c r="GE669">
        <v>0</v>
      </c>
      <c r="GF669">
        <v>0.33021050058332063</v>
      </c>
      <c r="GG669">
        <v>0.29759236750664797</v>
      </c>
      <c r="GH669">
        <v>0</v>
      </c>
      <c r="GI669">
        <v>0.36330629527683383</v>
      </c>
      <c r="GJ669"/>
      <c r="GK669">
        <v>1.3786349386660139</v>
      </c>
      <c r="GL669">
        <v>0.66663043111567644</v>
      </c>
      <c r="GM669">
        <v>0.34079383167279126</v>
      </c>
      <c r="GN669">
        <v>0.65560802736996537</v>
      </c>
      <c r="GO669">
        <v>0.31481419569717417</v>
      </c>
      <c r="GP669">
        <v>0</v>
      </c>
      <c r="GQ669">
        <v>0.45369793096285549</v>
      </c>
      <c r="GR669">
        <v>0.45369793096285549</v>
      </c>
      <c r="GS669">
        <v>0</v>
      </c>
      <c r="GT669">
        <v>0.49758817939976696</v>
      </c>
      <c r="GU669"/>
      <c r="GV669"/>
      <c r="GW669"/>
      <c r="GX669"/>
      <c r="GY669"/>
      <c r="GZ669"/>
      <c r="HA669"/>
      <c r="HB669"/>
      <c r="HC669"/>
    </row>
    <row r="670" spans="1:211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3.9718749999999998</v>
      </c>
      <c r="AO670">
        <v>0.51578596304930224</v>
      </c>
      <c r="AP670">
        <v>18.186169624772184</v>
      </c>
      <c r="AQ670">
        <v>3.9044654264567651</v>
      </c>
      <c r="AR670">
        <v>0.51191942565915005</v>
      </c>
      <c r="AS670">
        <v>2.7465372034737312</v>
      </c>
      <c r="AT670" t="e">
        <v>#DIV/0!</v>
      </c>
      <c r="AU670" t="e">
        <v>#DIV/0!</v>
      </c>
      <c r="AV670"/>
      <c r="AW670"/>
      <c r="FY670" s="211">
        <v>665</v>
      </c>
      <c r="FZ670">
        <v>0.70959922930742136</v>
      </c>
      <c r="GA670">
        <v>8.725047411847664E-2</v>
      </c>
      <c r="GB670">
        <v>0</v>
      </c>
      <c r="GC670">
        <v>0.10445782487688361</v>
      </c>
      <c r="GD670">
        <v>8.0173661321021189E-2</v>
      </c>
      <c r="GE670">
        <v>0</v>
      </c>
      <c r="GF670">
        <v>0.33021050058332063</v>
      </c>
      <c r="GG670">
        <v>0.29759236750664797</v>
      </c>
      <c r="GH670">
        <v>0</v>
      </c>
      <c r="GI670">
        <v>0.2155921039866642</v>
      </c>
      <c r="GJ670"/>
      <c r="GK670">
        <v>0.71079625199518703</v>
      </c>
      <c r="GL670">
        <v>7.3740509229249462E-2</v>
      </c>
      <c r="GM670">
        <v>0</v>
      </c>
      <c r="GN670">
        <v>0.31481419569717417</v>
      </c>
      <c r="GO670">
        <v>0.31481419569717417</v>
      </c>
      <c r="GP670">
        <v>0</v>
      </c>
      <c r="GQ670">
        <v>0.45369793096285549</v>
      </c>
      <c r="GR670">
        <v>0.45369793096285549</v>
      </c>
      <c r="GS670">
        <v>0</v>
      </c>
      <c r="GT670">
        <v>0.29586167573104333</v>
      </c>
      <c r="GU670"/>
      <c r="GV670"/>
      <c r="GW670"/>
      <c r="GX670"/>
      <c r="GY670"/>
      <c r="GZ670"/>
      <c r="HA670"/>
      <c r="HB670"/>
      <c r="HC670"/>
    </row>
    <row r="671" spans="1:211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2.166666666666667</v>
      </c>
      <c r="AO671">
        <v>0.25583091267645064</v>
      </c>
      <c r="AP671">
        <v>9.2773866621393815</v>
      </c>
      <c r="AQ671">
        <v>1.933816161131533</v>
      </c>
      <c r="AR671">
        <v>0.29483921402606406</v>
      </c>
      <c r="AS671">
        <v>1.7263635868583569</v>
      </c>
      <c r="AT671" t="e">
        <v>#DIV/0!</v>
      </c>
      <c r="AU671" t="e">
        <v>#DIV/0!</v>
      </c>
      <c r="AV671"/>
      <c r="AW671"/>
      <c r="FY671" s="211">
        <v>666</v>
      </c>
      <c r="FZ671">
        <v>1.0275539180661812</v>
      </c>
      <c r="GA671">
        <v>0.47460065171768845</v>
      </c>
      <c r="GB671">
        <v>6.282592274279708E-2</v>
      </c>
      <c r="GC671">
        <v>0.10445782487688358</v>
      </c>
      <c r="GD671">
        <v>5.3449107547347455E-2</v>
      </c>
      <c r="GE671">
        <v>0</v>
      </c>
      <c r="GF671">
        <v>0.33021050058332063</v>
      </c>
      <c r="GG671">
        <v>0.29759236750664797</v>
      </c>
      <c r="GH671">
        <v>0</v>
      </c>
      <c r="GI671">
        <v>0.26257916430851802</v>
      </c>
      <c r="GJ671"/>
      <c r="GK671">
        <v>1.0335665173532411</v>
      </c>
      <c r="GL671">
        <v>0.40705572478708768</v>
      </c>
      <c r="GM671">
        <v>0.10493806523239137</v>
      </c>
      <c r="GN671">
        <v>0.31481419569717412</v>
      </c>
      <c r="GO671">
        <v>0.20987613046478273</v>
      </c>
      <c r="GP671">
        <v>0</v>
      </c>
      <c r="GQ671">
        <v>0.45369793096285549</v>
      </c>
      <c r="GR671">
        <v>0.45369793096285549</v>
      </c>
      <c r="GS671">
        <v>0</v>
      </c>
      <c r="GT671">
        <v>0.36041572880265416</v>
      </c>
      <c r="GU671"/>
      <c r="GV671"/>
      <c r="GW671"/>
      <c r="GX671"/>
      <c r="GY671"/>
      <c r="GZ671"/>
      <c r="HA671"/>
      <c r="HB671"/>
      <c r="HC671"/>
    </row>
    <row r="672" spans="1:211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2.8291666666666662</v>
      </c>
      <c r="AO672">
        <v>0.42771041709990942</v>
      </c>
      <c r="AP672">
        <v>10.770788013412243</v>
      </c>
      <c r="AQ672">
        <v>3.6281361428550731</v>
      </c>
      <c r="AR672">
        <v>0.44908009912748159</v>
      </c>
      <c r="AS672">
        <v>2.3393165854901419</v>
      </c>
      <c r="AT672" t="e">
        <v>#DIV/0!</v>
      </c>
      <c r="AU672" t="e">
        <v>#DIV/0!</v>
      </c>
      <c r="AV672"/>
      <c r="AW672"/>
      <c r="FY672" s="211">
        <v>667</v>
      </c>
      <c r="FZ672">
        <v>0.57584940992369316</v>
      </c>
      <c r="GA672">
        <v>8.725047411847664E-2</v>
      </c>
      <c r="GB672">
        <v>7.9203986612074825E-2</v>
      </c>
      <c r="GC672">
        <v>7.8958100610881349E-2</v>
      </c>
      <c r="GD672">
        <v>2.6724553773673727E-2</v>
      </c>
      <c r="GE672">
        <v>0</v>
      </c>
      <c r="GF672">
        <v>0.33021050058332063</v>
      </c>
      <c r="GG672">
        <v>0.29759236750664797</v>
      </c>
      <c r="GH672">
        <v>0</v>
      </c>
      <c r="GI672">
        <v>0.18423620177874336</v>
      </c>
      <c r="GJ672"/>
      <c r="GK672">
        <v>0.57771958060121975</v>
      </c>
      <c r="GL672">
        <v>7.3740509229249462E-2</v>
      </c>
      <c r="GM672">
        <v>0.13091770120800852</v>
      </c>
      <c r="GN672">
        <v>0.23585576644039991</v>
      </c>
      <c r="GO672">
        <v>0.10493806523239137</v>
      </c>
      <c r="GP672">
        <v>0</v>
      </c>
      <c r="GQ672">
        <v>0.45369793096285549</v>
      </c>
      <c r="GR672">
        <v>0.45369793096285549</v>
      </c>
      <c r="GS672">
        <v>0</v>
      </c>
      <c r="GT672">
        <v>0.25345465560089503</v>
      </c>
      <c r="GU672"/>
      <c r="GV672"/>
      <c r="GW672"/>
      <c r="GX672"/>
      <c r="GY672"/>
      <c r="GZ672"/>
      <c r="HA672"/>
      <c r="HB672"/>
      <c r="HC672"/>
    </row>
    <row r="673" spans="1:211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3.0156249999999996</v>
      </c>
      <c r="AO673">
        <v>0.35752754167549838</v>
      </c>
      <c r="AP673">
        <v>11.948612347968748</v>
      </c>
      <c r="AQ673">
        <v>2.4259778082205088</v>
      </c>
      <c r="AR673">
        <v>0.39870482486548553</v>
      </c>
      <c r="AS673">
        <v>2.1479123178599662</v>
      </c>
      <c r="AT673" t="e">
        <v>#DIV/0!</v>
      </c>
      <c r="AU673" t="e">
        <v>#DIV/0!</v>
      </c>
      <c r="AV673"/>
      <c r="AW673"/>
      <c r="FY673" s="211">
        <v>668</v>
      </c>
      <c r="FZ673">
        <v>1.2137267788496664</v>
      </c>
      <c r="GA673">
        <v>0.56185112583616514</v>
      </c>
      <c r="GB673">
        <v>0.14202990935487192</v>
      </c>
      <c r="GC673">
        <v>0.11377737556984255</v>
      </c>
      <c r="GD673">
        <v>2.6724553773673727E-2</v>
      </c>
      <c r="GE673">
        <v>0</v>
      </c>
      <c r="GF673">
        <v>0.33021050058332063</v>
      </c>
      <c r="GG673">
        <v>0.29759236750664797</v>
      </c>
      <c r="GH673">
        <v>0</v>
      </c>
      <c r="GI673">
        <v>0.29404545020866041</v>
      </c>
      <c r="GJ673"/>
      <c r="GK673">
        <v>1.2223175056258655</v>
      </c>
      <c r="GL673">
        <v>0.48079623401633714</v>
      </c>
      <c r="GM673">
        <v>0.23585576644039991</v>
      </c>
      <c r="GN673">
        <v>0.34079383167279126</v>
      </c>
      <c r="GO673">
        <v>0.10493806523239137</v>
      </c>
      <c r="GP673">
        <v>0</v>
      </c>
      <c r="GQ673">
        <v>0.45369793096285549</v>
      </c>
      <c r="GR673">
        <v>0.45369793096285549</v>
      </c>
      <c r="GS673">
        <v>0</v>
      </c>
      <c r="GT673">
        <v>0.40336185365230243</v>
      </c>
      <c r="GU673"/>
      <c r="GV673"/>
      <c r="GW673"/>
      <c r="GX673"/>
      <c r="GY673"/>
      <c r="GZ673"/>
      <c r="HA673"/>
      <c r="HB673"/>
      <c r="HC673"/>
    </row>
    <row r="674" spans="1:211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2.8656250000000001</v>
      </c>
      <c r="AO674">
        <v>0.27910888617822954</v>
      </c>
      <c r="AP674">
        <v>5.7723624567952649</v>
      </c>
      <c r="AQ674">
        <v>2.4143297923261056</v>
      </c>
      <c r="AR674">
        <v>0.29727743316563798</v>
      </c>
      <c r="AS674">
        <v>1.8697504587551117</v>
      </c>
      <c r="AT674" t="e">
        <v>#DIV/0!</v>
      </c>
      <c r="AU674" t="e">
        <v>#DIV/0!</v>
      </c>
      <c r="AV674"/>
      <c r="AW674"/>
      <c r="FY674" s="211">
        <v>669</v>
      </c>
      <c r="FZ674">
        <v>0.81527098669371456</v>
      </c>
      <c r="GA674">
        <v>0.17450094823695328</v>
      </c>
      <c r="GB674">
        <v>0.23761195983622446</v>
      </c>
      <c r="GC674">
        <v>0.16723575191472168</v>
      </c>
      <c r="GD674">
        <v>2.6724553773673727E-2</v>
      </c>
      <c r="GE674">
        <v>0</v>
      </c>
      <c r="GF674">
        <v>0</v>
      </c>
      <c r="GG674">
        <v>0</v>
      </c>
      <c r="GH674">
        <v>0</v>
      </c>
      <c r="GI674">
        <v>0.19447123093559163</v>
      </c>
      <c r="GJ674"/>
      <c r="GK674">
        <v>0.81673866851674437</v>
      </c>
      <c r="GL674">
        <v>0.14748101845849892</v>
      </c>
      <c r="GM674">
        <v>0.39275310362402555</v>
      </c>
      <c r="GN674">
        <v>0.4976911688564169</v>
      </c>
      <c r="GO674">
        <v>0.10493806523239137</v>
      </c>
      <c r="GP674">
        <v>0</v>
      </c>
      <c r="GQ674">
        <v>0</v>
      </c>
      <c r="GR674">
        <v>0</v>
      </c>
      <c r="GS674">
        <v>0</v>
      </c>
      <c r="GT674">
        <v>0.26288596747463233</v>
      </c>
      <c r="GU674"/>
      <c r="GV674"/>
      <c r="GW674"/>
      <c r="GX674"/>
      <c r="GY674"/>
      <c r="GZ674"/>
      <c r="HA674"/>
      <c r="HB674"/>
      <c r="HC674"/>
    </row>
    <row r="675" spans="1:211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4.0104166666666661</v>
      </c>
      <c r="AO675">
        <v>0.41420413468781447</v>
      </c>
      <c r="AP675">
        <v>16.37692038970318</v>
      </c>
      <c r="AQ675">
        <v>2.9025851892353209</v>
      </c>
      <c r="AR675">
        <v>0.44819890714039745</v>
      </c>
      <c r="AS675">
        <v>2.8029241093277584</v>
      </c>
      <c r="AT675" t="e">
        <v>#DIV/0!</v>
      </c>
      <c r="AU675" t="e">
        <v>#DIV/0!</v>
      </c>
      <c r="AV675"/>
      <c r="AW675"/>
      <c r="FY675" s="211">
        <v>670</v>
      </c>
      <c r="FZ675">
        <v>1.025411561285795</v>
      </c>
      <c r="GA675">
        <v>0.47460065171768845</v>
      </c>
      <c r="GB675">
        <v>7.9203986612074825E-2</v>
      </c>
      <c r="GC675">
        <v>0.11377737556984255</v>
      </c>
      <c r="GD675">
        <v>5.3449107547347455E-2</v>
      </c>
      <c r="GE675">
        <v>0</v>
      </c>
      <c r="GF675">
        <v>0</v>
      </c>
      <c r="GG675">
        <v>0</v>
      </c>
      <c r="GH675">
        <v>0</v>
      </c>
      <c r="GI675">
        <v>0.20221913744841974</v>
      </c>
      <c r="GJ675"/>
      <c r="GK675">
        <v>1.0285626743761653</v>
      </c>
      <c r="GL675">
        <v>0.40705572478708768</v>
      </c>
      <c r="GM675">
        <v>0.13091770120800852</v>
      </c>
      <c r="GN675">
        <v>0.34079383167279126</v>
      </c>
      <c r="GO675">
        <v>0.20987613046478273</v>
      </c>
      <c r="GP675">
        <v>0</v>
      </c>
      <c r="GQ675">
        <v>0</v>
      </c>
      <c r="GR675">
        <v>0</v>
      </c>
      <c r="GS675">
        <v>0</v>
      </c>
      <c r="GT675">
        <v>0.27387130120979131</v>
      </c>
      <c r="GU675"/>
      <c r="GV675"/>
      <c r="GW675"/>
      <c r="GX675"/>
      <c r="GY675"/>
      <c r="GZ675"/>
      <c r="HA675"/>
      <c r="HB675"/>
      <c r="HC675"/>
    </row>
    <row r="676" spans="1:211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2.1864583333333329</v>
      </c>
      <c r="AO676">
        <v>0.44072713859070589</v>
      </c>
      <c r="AP676">
        <v>11.8727275874033</v>
      </c>
      <c r="AQ676">
        <v>3.7600324263043365</v>
      </c>
      <c r="AR676">
        <v>0.43547232943298309</v>
      </c>
      <c r="AS676">
        <v>2.0629923154951384</v>
      </c>
      <c r="AT676" t="e">
        <v>#DIV/0!</v>
      </c>
      <c r="AU676" t="e">
        <v>#DIV/0!</v>
      </c>
      <c r="AV676"/>
      <c r="AW676"/>
      <c r="FY676" s="211">
        <v>671</v>
      </c>
      <c r="FZ676">
        <v>1.831051883535294</v>
      </c>
      <c r="GA676">
        <v>1.1237022516723303</v>
      </c>
      <c r="GB676">
        <v>0.18847776822839127</v>
      </c>
      <c r="GC676">
        <v>0.13927709983584477</v>
      </c>
      <c r="GD676">
        <v>2.6724553773673727E-2</v>
      </c>
      <c r="GE676">
        <v>0</v>
      </c>
      <c r="GF676">
        <v>0</v>
      </c>
      <c r="GG676">
        <v>0</v>
      </c>
      <c r="GH676">
        <v>0</v>
      </c>
      <c r="GI676">
        <v>0.33287418884961473</v>
      </c>
      <c r="GJ676"/>
      <c r="GK676">
        <v>1.8434430210641621</v>
      </c>
      <c r="GL676">
        <v>0.96159246803267429</v>
      </c>
      <c r="GM676">
        <v>0.31481419569717417</v>
      </c>
      <c r="GN676">
        <v>0.41975226092956547</v>
      </c>
      <c r="GO676">
        <v>0.10493806523239137</v>
      </c>
      <c r="GP676">
        <v>0</v>
      </c>
      <c r="GQ676">
        <v>0</v>
      </c>
      <c r="GR676">
        <v>0</v>
      </c>
      <c r="GS676">
        <v>0</v>
      </c>
      <c r="GT676">
        <v>0.45263905639874547</v>
      </c>
      <c r="GU676"/>
      <c r="GV676"/>
      <c r="GW676"/>
      <c r="GX676"/>
      <c r="GY676"/>
      <c r="GZ676"/>
      <c r="HA676"/>
      <c r="HB676"/>
      <c r="HC676"/>
    </row>
    <row r="677" spans="1:211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2.5239583333333333</v>
      </c>
      <c r="AO677">
        <v>0.3346462436112253</v>
      </c>
      <c r="AP677">
        <v>12.298286405085875</v>
      </c>
      <c r="AQ677">
        <v>2.6492131499512954</v>
      </c>
      <c r="AR677">
        <v>0.36977590965312801</v>
      </c>
      <c r="AS677">
        <v>1.8937983428025404</v>
      </c>
      <c r="AT677" t="e">
        <v>#DIV/0!</v>
      </c>
      <c r="AU677" t="e">
        <v>#DIV/0!</v>
      </c>
      <c r="AV677"/>
      <c r="AW677"/>
      <c r="FY677" s="211">
        <v>672</v>
      </c>
      <c r="FZ677">
        <v>0.79831132540171934</v>
      </c>
      <c r="GA677">
        <v>0.47460065171768845</v>
      </c>
      <c r="GB677">
        <v>0.28405981870974384</v>
      </c>
      <c r="GC677">
        <v>0.1927354761807239</v>
      </c>
      <c r="GD677">
        <v>2.6724553773673727E-2</v>
      </c>
      <c r="GE677">
        <v>0</v>
      </c>
      <c r="GF677">
        <v>0.66042100116664126</v>
      </c>
      <c r="GG677">
        <v>0.59518473501329594</v>
      </c>
      <c r="GH677">
        <v>0</v>
      </c>
      <c r="GI677">
        <v>0.33155777028738237</v>
      </c>
      <c r="GJ677"/>
      <c r="GK677">
        <v>0.80173316839777642</v>
      </c>
      <c r="GL677">
        <v>0.40705572478708768</v>
      </c>
      <c r="GM677">
        <v>0.47171153288079981</v>
      </c>
      <c r="GN677">
        <v>0.57664959811319116</v>
      </c>
      <c r="GO677">
        <v>0.10493806523239137</v>
      </c>
      <c r="GP677">
        <v>0</v>
      </c>
      <c r="GQ677">
        <v>0.90739586192571098</v>
      </c>
      <c r="GR677">
        <v>0.90739586192571098</v>
      </c>
      <c r="GS677">
        <v>0</v>
      </c>
      <c r="GT677">
        <v>0.45715572568733576</v>
      </c>
      <c r="GU677"/>
      <c r="GV677"/>
      <c r="GW677"/>
      <c r="GX677"/>
      <c r="GY677"/>
      <c r="GZ677"/>
      <c r="HA677"/>
      <c r="HB677"/>
      <c r="HC677"/>
    </row>
    <row r="678" spans="1:211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2.7385416666666669</v>
      </c>
      <c r="AO678">
        <v>0.44266017223566045</v>
      </c>
      <c r="AP678">
        <v>11.957937517315761</v>
      </c>
      <c r="AQ678">
        <v>3.9393380010502335</v>
      </c>
      <c r="AR678">
        <v>0.44389364484176436</v>
      </c>
      <c r="AS678">
        <v>2.2028472816324927</v>
      </c>
      <c r="AT678" t="e">
        <v>#DIV/0!</v>
      </c>
      <c r="AU678" t="e">
        <v>#DIV/0!</v>
      </c>
      <c r="AV678"/>
      <c r="AW678"/>
      <c r="FY678" s="211">
        <v>673</v>
      </c>
      <c r="FZ678">
        <v>1.2162574445604195</v>
      </c>
      <c r="GA678">
        <v>0.86195082931690026</v>
      </c>
      <c r="GB678">
        <v>7.9203986612074825E-2</v>
      </c>
      <c r="GC678">
        <v>4.4138825651920163E-2</v>
      </c>
      <c r="GD678">
        <v>0</v>
      </c>
      <c r="GE678">
        <v>0</v>
      </c>
      <c r="GF678">
        <v>0.66042100116664126</v>
      </c>
      <c r="GG678">
        <v>0.59518473501329594</v>
      </c>
      <c r="GH678">
        <v>0</v>
      </c>
      <c r="GI678">
        <v>0.32760402742096684</v>
      </c>
      <c r="GJ678"/>
      <c r="GK678">
        <v>1.2240170944666158</v>
      </c>
      <c r="GL678">
        <v>0.7403709403449259</v>
      </c>
      <c r="GM678">
        <v>0.13091770120800852</v>
      </c>
      <c r="GN678">
        <v>0.13091770120800852</v>
      </c>
      <c r="GO678">
        <v>0</v>
      </c>
      <c r="GP678">
        <v>0</v>
      </c>
      <c r="GQ678">
        <v>0.90739586192571098</v>
      </c>
      <c r="GR678">
        <v>0.90739586192571098</v>
      </c>
      <c r="GS678">
        <v>0</v>
      </c>
      <c r="GT678">
        <v>0.45246613152006709</v>
      </c>
      <c r="GU678"/>
      <c r="GV678"/>
      <c r="GW678"/>
      <c r="GX678"/>
      <c r="GY678"/>
      <c r="GZ678"/>
      <c r="HA678"/>
      <c r="HB678"/>
      <c r="HC678"/>
    </row>
    <row r="679" spans="1:211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2.2062500000000003</v>
      </c>
      <c r="AO679">
        <v>0.21818772866152089</v>
      </c>
      <c r="AP679">
        <v>3.7495414113650476</v>
      </c>
      <c r="AQ679">
        <v>1.8948924910700495</v>
      </c>
      <c r="AR679">
        <v>0.24853415368901488</v>
      </c>
      <c r="AS679">
        <v>1.5593816731856953</v>
      </c>
      <c r="AT679" t="e">
        <v>#DIV/0!</v>
      </c>
      <c r="AU679" t="e">
        <v>#DIV/0!</v>
      </c>
      <c r="AV679"/>
      <c r="AW679"/>
      <c r="FY679" s="211">
        <v>674</v>
      </c>
      <c r="FZ679">
        <v>1.0400147478069208</v>
      </c>
      <c r="GA679">
        <v>0.17450094823695328</v>
      </c>
      <c r="GB679">
        <v>0.204855832097669</v>
      </c>
      <c r="GC679">
        <v>0.18341592548776492</v>
      </c>
      <c r="GD679">
        <v>5.3449107547347455E-2</v>
      </c>
      <c r="GE679">
        <v>0</v>
      </c>
      <c r="GF679">
        <v>0.33021050058332063</v>
      </c>
      <c r="GG679">
        <v>0.29759236750664797</v>
      </c>
      <c r="GH679">
        <v>0</v>
      </c>
      <c r="GI679">
        <v>0.29926605571384479</v>
      </c>
      <c r="GJ679"/>
      <c r="GK679">
        <v>1.0467596266034942</v>
      </c>
      <c r="GL679">
        <v>0.14748101845849892</v>
      </c>
      <c r="GM679">
        <v>0.34079383167279126</v>
      </c>
      <c r="GN679">
        <v>0.55066996213757402</v>
      </c>
      <c r="GO679">
        <v>0.20987613046478273</v>
      </c>
      <c r="GP679">
        <v>0</v>
      </c>
      <c r="GQ679">
        <v>0.45369793096285549</v>
      </c>
      <c r="GR679">
        <v>0.45369793096285549</v>
      </c>
      <c r="GS679">
        <v>0</v>
      </c>
      <c r="GT679">
        <v>0.41022550394078472</v>
      </c>
      <c r="GU679"/>
      <c r="GV679"/>
      <c r="GW679"/>
      <c r="GX679"/>
      <c r="GY679"/>
      <c r="GZ679"/>
      <c r="HA679"/>
      <c r="HB679"/>
      <c r="HC679"/>
    </row>
    <row r="680" spans="1:211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2.7614583333333327</v>
      </c>
      <c r="AO680">
        <v>0.4761465465847099</v>
      </c>
      <c r="AP680">
        <v>12.87510860997708</v>
      </c>
      <c r="AQ680">
        <v>3.6375333504563421</v>
      </c>
      <c r="AR680">
        <v>0.49758817939976696</v>
      </c>
      <c r="AS680">
        <v>2.5484997599720498</v>
      </c>
      <c r="AT680" t="e">
        <v>#DIV/0!</v>
      </c>
      <c r="AU680" t="e">
        <v>#DIV/0!</v>
      </c>
      <c r="AV680"/>
      <c r="AW680"/>
      <c r="FY680" s="211">
        <v>675</v>
      </c>
      <c r="FZ680">
        <v>1.4316337159459382</v>
      </c>
      <c r="GA680">
        <v>0.47460065171768845</v>
      </c>
      <c r="GB680">
        <v>0.15840797322414965</v>
      </c>
      <c r="GC680">
        <v>8.8277651303840327E-2</v>
      </c>
      <c r="GD680">
        <v>0</v>
      </c>
      <c r="GE680">
        <v>0</v>
      </c>
      <c r="GF680">
        <v>0</v>
      </c>
      <c r="GG680">
        <v>0</v>
      </c>
      <c r="GH680">
        <v>0</v>
      </c>
      <c r="GI680">
        <v>0.25061398959354519</v>
      </c>
      <c r="GJ680"/>
      <c r="GK680">
        <v>1.4451867266760754</v>
      </c>
      <c r="GL680">
        <v>0.40705572478708768</v>
      </c>
      <c r="GM680">
        <v>0.26183540241601705</v>
      </c>
      <c r="GN680">
        <v>0.26183540241601705</v>
      </c>
      <c r="GO680">
        <v>0</v>
      </c>
      <c r="GP680">
        <v>0</v>
      </c>
      <c r="GQ680">
        <v>0</v>
      </c>
      <c r="GR680">
        <v>0</v>
      </c>
      <c r="GS680">
        <v>0</v>
      </c>
      <c r="GT680">
        <v>0.34140442581841857</v>
      </c>
      <c r="GU680"/>
      <c r="GV680"/>
      <c r="GW680"/>
      <c r="GX680"/>
      <c r="GY680"/>
      <c r="GZ680"/>
      <c r="HA680"/>
      <c r="HB680"/>
      <c r="HC680"/>
    </row>
    <row r="681" spans="1:211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2.5624999999999996</v>
      </c>
      <c r="AO681">
        <v>0.26174226902755393</v>
      </c>
      <c r="AP681">
        <v>10.442605141953312</v>
      </c>
      <c r="AQ681">
        <v>1.8248761617004354</v>
      </c>
      <c r="AR681">
        <v>0.29586167573104333</v>
      </c>
      <c r="AS681">
        <v>1.5456721762220036</v>
      </c>
      <c r="AT681" t="e">
        <v>#DIV/0!</v>
      </c>
      <c r="AU681" t="e">
        <v>#DIV/0!</v>
      </c>
      <c r="AV681"/>
      <c r="AW681"/>
      <c r="FY681" s="211">
        <v>676</v>
      </c>
      <c r="FZ681">
        <v>1.6442316667691483</v>
      </c>
      <c r="GA681">
        <v>0.77470035519842362</v>
      </c>
      <c r="GB681">
        <v>0.12565184548559416</v>
      </c>
      <c r="GC681">
        <v>0.10445782487688358</v>
      </c>
      <c r="GD681">
        <v>2.6724553773673727E-2</v>
      </c>
      <c r="GE681">
        <v>0</v>
      </c>
      <c r="GF681">
        <v>0.33021050058332063</v>
      </c>
      <c r="GG681">
        <v>0.29759236750664797</v>
      </c>
      <c r="GH681">
        <v>0</v>
      </c>
      <c r="GI681">
        <v>0.35372426724140127</v>
      </c>
      <c r="GJ681"/>
      <c r="GK681">
        <v>1.6591437152993198</v>
      </c>
      <c r="GL681">
        <v>0.66663043111567644</v>
      </c>
      <c r="GM681">
        <v>0.20987613046478273</v>
      </c>
      <c r="GN681">
        <v>0.31481419569717412</v>
      </c>
      <c r="GO681">
        <v>0.10493806523239137</v>
      </c>
      <c r="GP681">
        <v>0</v>
      </c>
      <c r="GQ681">
        <v>0.45369793096285549</v>
      </c>
      <c r="GR681">
        <v>0.45369793096285549</v>
      </c>
      <c r="GS681">
        <v>0</v>
      </c>
      <c r="GT681">
        <v>0.48553116839186988</v>
      </c>
      <c r="GU681"/>
      <c r="GV681"/>
      <c r="GW681"/>
      <c r="GX681"/>
      <c r="GY681"/>
      <c r="GZ681"/>
      <c r="HA681"/>
      <c r="HB681"/>
      <c r="HC681"/>
    </row>
    <row r="682" spans="1:211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2.0187499999999998</v>
      </c>
      <c r="AO682">
        <v>0.33380622242630426</v>
      </c>
      <c r="AP682">
        <v>8.6490035750957084</v>
      </c>
      <c r="AQ682">
        <v>2.6132694573493844</v>
      </c>
      <c r="AR682">
        <v>0.36041572880265416</v>
      </c>
      <c r="AS682">
        <v>1.9343201102467582</v>
      </c>
      <c r="AT682" t="e">
        <v>#DIV/0!</v>
      </c>
      <c r="AU682" t="e">
        <v>#DIV/0!</v>
      </c>
      <c r="AV682"/>
      <c r="AW682"/>
      <c r="FY682" s="211">
        <v>677</v>
      </c>
      <c r="FZ682">
        <v>0.96355779322339852</v>
      </c>
      <c r="GA682">
        <v>0.47460065171768845</v>
      </c>
      <c r="GB682">
        <v>7.9203986612074825E-2</v>
      </c>
      <c r="GC682">
        <v>4.4138825651920163E-2</v>
      </c>
      <c r="GD682">
        <v>0</v>
      </c>
      <c r="GE682">
        <v>0</v>
      </c>
      <c r="GF682">
        <v>0</v>
      </c>
      <c r="GG682">
        <v>0</v>
      </c>
      <c r="GH682">
        <v>0</v>
      </c>
      <c r="GI682">
        <v>0.16213989005053525</v>
      </c>
      <c r="GJ682"/>
      <c r="GK682">
        <v>0.96657537090185053</v>
      </c>
      <c r="GL682">
        <v>0.40705572478708768</v>
      </c>
      <c r="GM682">
        <v>0.13091770120800852</v>
      </c>
      <c r="GN682">
        <v>0.13091770120800852</v>
      </c>
      <c r="GO682">
        <v>0</v>
      </c>
      <c r="GP682">
        <v>0</v>
      </c>
      <c r="GQ682">
        <v>0</v>
      </c>
      <c r="GR682">
        <v>0</v>
      </c>
      <c r="GS682">
        <v>0</v>
      </c>
      <c r="GT682">
        <v>0.2194986144219718</v>
      </c>
      <c r="GU682"/>
      <c r="GV682"/>
      <c r="GW682"/>
      <c r="GX682"/>
      <c r="GY682"/>
      <c r="GZ682"/>
      <c r="HA682"/>
      <c r="HB682"/>
      <c r="HC682"/>
    </row>
    <row r="683" spans="1:211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1.5572916666666665</v>
      </c>
      <c r="AO683">
        <v>0.22840221402378749</v>
      </c>
      <c r="AP683">
        <v>7.8773574639733344</v>
      </c>
      <c r="AQ683">
        <v>1.6600255949075118</v>
      </c>
      <c r="AR683">
        <v>0.25345465560089503</v>
      </c>
      <c r="AS683">
        <v>1.4474866502100634</v>
      </c>
      <c r="AT683" t="e">
        <v>#DIV/0!</v>
      </c>
      <c r="AU683" t="e">
        <v>#DIV/0!</v>
      </c>
      <c r="AV683"/>
      <c r="AW683"/>
      <c r="FY683" s="211">
        <v>678</v>
      </c>
      <c r="FZ683">
        <v>0.71946319396223779</v>
      </c>
      <c r="GA683">
        <v>8.725047411847664E-2</v>
      </c>
      <c r="GB683">
        <v>0</v>
      </c>
      <c r="GC683">
        <v>0</v>
      </c>
      <c r="GD683">
        <v>0</v>
      </c>
      <c r="GE683">
        <v>0</v>
      </c>
      <c r="GF683">
        <v>0.33021050058332063</v>
      </c>
      <c r="GG683">
        <v>0.29759236750664797</v>
      </c>
      <c r="GH683">
        <v>0</v>
      </c>
      <c r="GI683">
        <v>0.17067629127069128</v>
      </c>
      <c r="GJ683"/>
      <c r="GK683">
        <v>0.72085285116849951</v>
      </c>
      <c r="GL683">
        <v>7.3740509229249462E-2</v>
      </c>
      <c r="GM683">
        <v>0</v>
      </c>
      <c r="GN683">
        <v>0</v>
      </c>
      <c r="GO683">
        <v>0</v>
      </c>
      <c r="GP683">
        <v>0</v>
      </c>
      <c r="GQ683">
        <v>0.45369793096285549</v>
      </c>
      <c r="GR683">
        <v>0.45369793096285549</v>
      </c>
      <c r="GS683">
        <v>0</v>
      </c>
      <c r="GT683">
        <v>0.234910156426271</v>
      </c>
      <c r="GU683"/>
      <c r="GV683"/>
      <c r="GW683"/>
      <c r="GX683"/>
      <c r="GY683"/>
      <c r="GZ683"/>
      <c r="HA683"/>
      <c r="HB683"/>
      <c r="HC683"/>
    </row>
    <row r="684" spans="1:211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2.2322916666666659</v>
      </c>
      <c r="AO684">
        <v>0.36954591185657981</v>
      </c>
      <c r="AP684">
        <v>9.7644051632989211</v>
      </c>
      <c r="AQ684">
        <v>2.9799580616828489</v>
      </c>
      <c r="AR684">
        <v>0.40336185365230243</v>
      </c>
      <c r="AS684">
        <v>2.1100031625456945</v>
      </c>
      <c r="AT684" t="e">
        <v>#DIV/0!</v>
      </c>
      <c r="AU684" t="e">
        <v>#DIV/0!</v>
      </c>
      <c r="AV684"/>
      <c r="AW684"/>
      <c r="FY684" s="211">
        <v>679</v>
      </c>
      <c r="FZ684">
        <v>1.0656774001948182</v>
      </c>
      <c r="GA684">
        <v>8.725047411847664E-2</v>
      </c>
      <c r="GB684">
        <v>0.22123389596694673</v>
      </c>
      <c r="GC684">
        <v>0.12309692626280153</v>
      </c>
      <c r="GD684">
        <v>0</v>
      </c>
      <c r="GE684">
        <v>0</v>
      </c>
      <c r="GF684">
        <v>0</v>
      </c>
      <c r="GG684">
        <v>0</v>
      </c>
      <c r="GH684">
        <v>0</v>
      </c>
      <c r="GI684">
        <v>0.21195684319687402</v>
      </c>
      <c r="GJ684"/>
      <c r="GK684">
        <v>1.0748335049082383</v>
      </c>
      <c r="GL684">
        <v>7.3740509229249462E-2</v>
      </c>
      <c r="GM684">
        <v>0.3667734676484084</v>
      </c>
      <c r="GN684">
        <v>0.3667734676484084</v>
      </c>
      <c r="GO684">
        <v>0</v>
      </c>
      <c r="GP684">
        <v>0</v>
      </c>
      <c r="GQ684">
        <v>0</v>
      </c>
      <c r="GR684">
        <v>0</v>
      </c>
      <c r="GS684">
        <v>0</v>
      </c>
      <c r="GT684">
        <v>0.28832139451132938</v>
      </c>
      <c r="GU684"/>
      <c r="GV684"/>
      <c r="GW684"/>
      <c r="GX684"/>
      <c r="GY684"/>
      <c r="GZ684"/>
      <c r="HA684"/>
      <c r="HB684"/>
      <c r="HC684"/>
    </row>
    <row r="685" spans="1:211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2.6822916666666665</v>
      </c>
      <c r="AO685">
        <v>0.22224879921627094</v>
      </c>
      <c r="AP685">
        <v>4.949010071499325</v>
      </c>
      <c r="AQ685">
        <v>1.6158154313908792</v>
      </c>
      <c r="AR685">
        <v>0.26288596747463233</v>
      </c>
      <c r="AS685">
        <v>1.8376897189510935</v>
      </c>
      <c r="AT685" t="e">
        <v>#DIV/0!</v>
      </c>
      <c r="AU685" t="e">
        <v>#DIV/0!</v>
      </c>
      <c r="AV685"/>
      <c r="AW685"/>
      <c r="FY685" s="211">
        <v>680</v>
      </c>
      <c r="FZ685">
        <v>1.406460273948668</v>
      </c>
      <c r="GA685">
        <v>0.86195082931690026</v>
      </c>
      <c r="GB685">
        <v>0.204855832097669</v>
      </c>
      <c r="GC685">
        <v>0.18341592548776492</v>
      </c>
      <c r="GD685">
        <v>5.3449107547347455E-2</v>
      </c>
      <c r="GE685">
        <v>0</v>
      </c>
      <c r="GF685">
        <v>0.33021050058332063</v>
      </c>
      <c r="GG685">
        <v>0.29759236750664797</v>
      </c>
      <c r="GH685">
        <v>0</v>
      </c>
      <c r="GI685">
        <v>0.35340788188371253</v>
      </c>
      <c r="GJ685"/>
      <c r="GK685">
        <v>1.41913302910719</v>
      </c>
      <c r="GL685">
        <v>0.7403709403449259</v>
      </c>
      <c r="GM685">
        <v>0.34079383167279126</v>
      </c>
      <c r="GN685">
        <v>0.55066996213757402</v>
      </c>
      <c r="GO685">
        <v>0.20987613046478273</v>
      </c>
      <c r="GP685">
        <v>0</v>
      </c>
      <c r="GQ685">
        <v>0.45369793096285549</v>
      </c>
      <c r="GR685">
        <v>0.45369793096285549</v>
      </c>
      <c r="GS685">
        <v>0</v>
      </c>
      <c r="GT685">
        <v>0.48470018444152391</v>
      </c>
      <c r="GU685"/>
      <c r="GV685"/>
      <c r="GW685"/>
      <c r="GX685"/>
      <c r="GY685"/>
      <c r="GZ685"/>
      <c r="HA685"/>
      <c r="HB685"/>
      <c r="HC685"/>
    </row>
    <row r="686" spans="1:211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2.7635416666666672</v>
      </c>
      <c r="AO686">
        <v>0.23910773637186269</v>
      </c>
      <c r="AP686">
        <v>3.3998980519386341</v>
      </c>
      <c r="AQ686">
        <v>1.9486618201811681</v>
      </c>
      <c r="AR686">
        <v>0.27387130120979131</v>
      </c>
      <c r="AS686">
        <v>1.8092884940357061</v>
      </c>
      <c r="AT686" t="e">
        <v>#DIV/0!</v>
      </c>
      <c r="AU686" t="e">
        <v>#DIV/0!</v>
      </c>
      <c r="AV686"/>
      <c r="AW686"/>
      <c r="FY686" s="211">
        <v>681</v>
      </c>
      <c r="FZ686">
        <v>0.78453973834780888</v>
      </c>
      <c r="GA686">
        <v>8.725047411847664E-2</v>
      </c>
      <c r="GB686">
        <v>7.9203986612074825E-2</v>
      </c>
      <c r="GC686">
        <v>4.4138825651920163E-2</v>
      </c>
      <c r="GD686">
        <v>0</v>
      </c>
      <c r="GE686">
        <v>0</v>
      </c>
      <c r="GF686">
        <v>0</v>
      </c>
      <c r="GG686">
        <v>0</v>
      </c>
      <c r="GH686">
        <v>0</v>
      </c>
      <c r="GI686">
        <v>0.13564828018399436</v>
      </c>
      <c r="GJ686"/>
      <c r="GK686">
        <v>0.78608051997033546</v>
      </c>
      <c r="GL686">
        <v>7.3740509229249462E-2</v>
      </c>
      <c r="GM686">
        <v>0.13091770120800852</v>
      </c>
      <c r="GN686">
        <v>0.13091770120800852</v>
      </c>
      <c r="GO686">
        <v>0</v>
      </c>
      <c r="GP686">
        <v>0</v>
      </c>
      <c r="GQ686">
        <v>0</v>
      </c>
      <c r="GR686">
        <v>0</v>
      </c>
      <c r="GS686">
        <v>0</v>
      </c>
      <c r="GT686">
        <v>0.18339964423566882</v>
      </c>
      <c r="GU686"/>
      <c r="GV686"/>
      <c r="GW686"/>
      <c r="GX686"/>
      <c r="GY686"/>
      <c r="GZ686"/>
      <c r="HA686"/>
      <c r="HB686"/>
      <c r="HC686"/>
    </row>
    <row r="687" spans="1:211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3.2250000000000001</v>
      </c>
      <c r="AO687">
        <v>0.40971790673547126</v>
      </c>
      <c r="AP687">
        <v>5.2663677889477238</v>
      </c>
      <c r="AQ687">
        <v>3.6421077458951485</v>
      </c>
      <c r="AR687">
        <v>0.45263905639874547</v>
      </c>
      <c r="AS687">
        <v>2.7542857999037387</v>
      </c>
      <c r="AT687" t="e">
        <v>#DIV/0!</v>
      </c>
      <c r="AU687" t="e">
        <v>#DIV/0!</v>
      </c>
      <c r="AV687"/>
      <c r="AW687"/>
      <c r="FY687" s="211">
        <v>682</v>
      </c>
      <c r="FZ687">
        <v>1.4358145656062327</v>
      </c>
      <c r="GA687">
        <v>0.86195082931690026</v>
      </c>
      <c r="GB687">
        <v>0</v>
      </c>
      <c r="GC687">
        <v>6.9638549917922385E-2</v>
      </c>
      <c r="GD687">
        <v>5.3449107547347455E-2</v>
      </c>
      <c r="GE687">
        <v>0</v>
      </c>
      <c r="GF687">
        <v>0</v>
      </c>
      <c r="GG687">
        <v>0</v>
      </c>
      <c r="GH687">
        <v>0</v>
      </c>
      <c r="GI687">
        <v>0.24344295282844353</v>
      </c>
      <c r="GJ687"/>
      <c r="GK687">
        <v>1.4458947172402206</v>
      </c>
      <c r="GL687">
        <v>0.7403709403449259</v>
      </c>
      <c r="GM687">
        <v>0</v>
      </c>
      <c r="GN687">
        <v>0.20987613046478273</v>
      </c>
      <c r="GO687">
        <v>0.20987613046478273</v>
      </c>
      <c r="GP687">
        <v>0</v>
      </c>
      <c r="GQ687">
        <v>0</v>
      </c>
      <c r="GR687">
        <v>0</v>
      </c>
      <c r="GS687">
        <v>0</v>
      </c>
      <c r="GT687">
        <v>0.33115416954100069</v>
      </c>
      <c r="GU687"/>
      <c r="GV687"/>
      <c r="GW687"/>
      <c r="GX687"/>
      <c r="GY687"/>
      <c r="GZ687"/>
      <c r="HA687"/>
      <c r="HB687"/>
      <c r="HC687"/>
    </row>
    <row r="688" spans="1:211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2.6437499999999998</v>
      </c>
      <c r="AO688">
        <v>0.46340355389500038</v>
      </c>
      <c r="AP688">
        <v>19.444546886527743</v>
      </c>
      <c r="AQ688">
        <v>3.3635953322508687</v>
      </c>
      <c r="AR688">
        <v>0.45715572568733576</v>
      </c>
      <c r="AS688">
        <v>2.3046673254077228</v>
      </c>
      <c r="AT688" t="e">
        <v>#DIV/0!</v>
      </c>
      <c r="AU688" t="e">
        <v>#DIV/0!</v>
      </c>
      <c r="AV688"/>
      <c r="AW688"/>
      <c r="FY688" s="211">
        <v>683</v>
      </c>
      <c r="FZ688">
        <v>1.0700538855404051</v>
      </c>
      <c r="GA688">
        <v>0.47460065171768845</v>
      </c>
      <c r="GB688">
        <v>0.23761195983622446</v>
      </c>
      <c r="GC688">
        <v>0.13241647695576048</v>
      </c>
      <c r="GD688">
        <v>0</v>
      </c>
      <c r="GE688">
        <v>0</v>
      </c>
      <c r="GF688">
        <v>0.99063150174996206</v>
      </c>
      <c r="GG688">
        <v>0.89277710251994391</v>
      </c>
      <c r="GH688">
        <v>0</v>
      </c>
      <c r="GI688">
        <v>0.40887190024196263</v>
      </c>
      <c r="GJ688"/>
      <c r="GK688">
        <v>1.0758769986631322</v>
      </c>
      <c r="GL688">
        <v>0.40705572478708768</v>
      </c>
      <c r="GM688">
        <v>0.39275310362402555</v>
      </c>
      <c r="GN688">
        <v>0.39275310362402555</v>
      </c>
      <c r="GO688">
        <v>0</v>
      </c>
      <c r="GP688">
        <v>0</v>
      </c>
      <c r="GQ688">
        <v>1.3610937928885667</v>
      </c>
      <c r="GR688">
        <v>1.3610937928885667</v>
      </c>
      <c r="GS688">
        <v>0</v>
      </c>
      <c r="GT688">
        <v>0.56594477903514484</v>
      </c>
      <c r="GU688"/>
      <c r="GV688"/>
      <c r="GW688"/>
      <c r="GX688"/>
      <c r="GY688"/>
      <c r="GZ688"/>
      <c r="HA688"/>
      <c r="HB688"/>
      <c r="HC688"/>
    </row>
    <row r="689" spans="1:211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2.6572916666666666</v>
      </c>
      <c r="AO689">
        <v>0.4493481292599048</v>
      </c>
      <c r="AP689">
        <v>16.22135511559534</v>
      </c>
      <c r="AQ689">
        <v>3.7847608497422192</v>
      </c>
      <c r="AR689">
        <v>0.45246613152006709</v>
      </c>
      <c r="AS689">
        <v>2.2098051444226159</v>
      </c>
      <c r="AT689" t="e">
        <v>#DIV/0!</v>
      </c>
      <c r="AU689" t="e">
        <v>#DIV/0!</v>
      </c>
      <c r="AV689"/>
      <c r="AW689"/>
      <c r="FY689" s="211">
        <v>684</v>
      </c>
      <c r="FZ689">
        <v>0.98069164545527754</v>
      </c>
      <c r="GA689">
        <v>0.38735017759921181</v>
      </c>
      <c r="GB689">
        <v>0.15840797322414965</v>
      </c>
      <c r="GC689">
        <v>8.8277651303840327E-2</v>
      </c>
      <c r="GD689">
        <v>0</v>
      </c>
      <c r="GE689">
        <v>0</v>
      </c>
      <c r="GF689">
        <v>0</v>
      </c>
      <c r="GG689">
        <v>0</v>
      </c>
      <c r="GH689">
        <v>0</v>
      </c>
      <c r="GI689">
        <v>0.18400203959092751</v>
      </c>
      <c r="GJ689"/>
      <c r="GK689">
        <v>0.98647191196992989</v>
      </c>
      <c r="GL689">
        <v>0.33331521555783822</v>
      </c>
      <c r="GM689">
        <v>0.26183540241601705</v>
      </c>
      <c r="GN689">
        <v>0.26183540241601705</v>
      </c>
      <c r="GO689">
        <v>0</v>
      </c>
      <c r="GP689">
        <v>0</v>
      </c>
      <c r="GQ689">
        <v>0</v>
      </c>
      <c r="GR689">
        <v>0</v>
      </c>
      <c r="GS689">
        <v>0</v>
      </c>
      <c r="GT689">
        <v>0.24966146287718938</v>
      </c>
      <c r="GU689"/>
      <c r="GV689"/>
      <c r="GW689"/>
      <c r="GX689"/>
      <c r="GY689"/>
      <c r="GZ689"/>
      <c r="HA689"/>
      <c r="HB689"/>
      <c r="HC689"/>
    </row>
    <row r="690" spans="1:211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2.192708333333333</v>
      </c>
      <c r="AO690">
        <v>0.36132019352036365</v>
      </c>
      <c r="AP690">
        <v>10.436182930176566</v>
      </c>
      <c r="AQ690">
        <v>2.5833054849804693</v>
      </c>
      <c r="AR690">
        <v>0.41022550394078472</v>
      </c>
      <c r="AS690">
        <v>2.1196581380812578</v>
      </c>
      <c r="AT690" t="e">
        <v>#DIV/0!</v>
      </c>
      <c r="AU690" t="e">
        <v>#DIV/0!</v>
      </c>
      <c r="AV690"/>
      <c r="AW690"/>
      <c r="FY690" s="211">
        <v>685</v>
      </c>
      <c r="FZ690">
        <v>0.67696322648801399</v>
      </c>
      <c r="GA690">
        <v>8.725047411847664E-2</v>
      </c>
      <c r="GB690">
        <v>0.26768175484046608</v>
      </c>
      <c r="GC690">
        <v>0.18341592548776492</v>
      </c>
      <c r="GD690">
        <v>2.6724553773673727E-2</v>
      </c>
      <c r="GE690">
        <v>0</v>
      </c>
      <c r="GF690">
        <v>0</v>
      </c>
      <c r="GG690">
        <v>0</v>
      </c>
      <c r="GH690">
        <v>0</v>
      </c>
      <c r="GI690">
        <v>0.18153106845483166</v>
      </c>
      <c r="GJ690"/>
      <c r="GK690">
        <v>0.67854236985860839</v>
      </c>
      <c r="GL690">
        <v>7.3740509229249462E-2</v>
      </c>
      <c r="GM690">
        <v>0.44573189690518267</v>
      </c>
      <c r="GN690">
        <v>0.55066996213757402</v>
      </c>
      <c r="GO690">
        <v>0.10493806523239137</v>
      </c>
      <c r="GP690">
        <v>0</v>
      </c>
      <c r="GQ690">
        <v>0</v>
      </c>
      <c r="GR690">
        <v>0</v>
      </c>
      <c r="GS690">
        <v>0</v>
      </c>
      <c r="GT690">
        <v>0.24584246639923649</v>
      </c>
      <c r="GU690"/>
      <c r="GV690"/>
      <c r="GW690"/>
      <c r="GX690"/>
      <c r="GY690"/>
      <c r="GZ690"/>
      <c r="HA690"/>
      <c r="HB690"/>
      <c r="HC690"/>
    </row>
    <row r="691" spans="1:211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1.9458333333333335</v>
      </c>
      <c r="AO691">
        <v>0.27173176821136158</v>
      </c>
      <c r="AP691">
        <v>3.6472033705533899</v>
      </c>
      <c r="AQ691">
        <v>2.403533981785162</v>
      </c>
      <c r="AR691">
        <v>0.34140442581841857</v>
      </c>
      <c r="AS691">
        <v>1.8925598538568702</v>
      </c>
      <c r="AT691" t="e">
        <v>#DIV/0!</v>
      </c>
      <c r="AU691" t="e">
        <v>#DIV/0!</v>
      </c>
      <c r="AV691"/>
      <c r="AW691"/>
      <c r="FY691" s="211">
        <v>686</v>
      </c>
      <c r="FZ691">
        <v>0.70594338942411872</v>
      </c>
      <c r="GA691">
        <v>0.26175142235542992</v>
      </c>
      <c r="GB691">
        <v>0.30043788257902154</v>
      </c>
      <c r="GC691">
        <v>0.27169357679160522</v>
      </c>
      <c r="GD691">
        <v>8.0173661321021189E-2</v>
      </c>
      <c r="GE691">
        <v>0</v>
      </c>
      <c r="GF691">
        <v>0.66042100116664126</v>
      </c>
      <c r="GG691">
        <v>0.59518473501329594</v>
      </c>
      <c r="GH691">
        <v>0</v>
      </c>
      <c r="GI691">
        <v>0.35286078968783541</v>
      </c>
      <c r="GJ691"/>
      <c r="GK691">
        <v>0.70486768180943826</v>
      </c>
      <c r="GL691">
        <v>0.22122152768774839</v>
      </c>
      <c r="GM691">
        <v>0.4976911688564169</v>
      </c>
      <c r="GN691">
        <v>0.81250536455359101</v>
      </c>
      <c r="GO691">
        <v>0.31481419569717417</v>
      </c>
      <c r="GP691">
        <v>0</v>
      </c>
      <c r="GQ691">
        <v>0.90739586192571098</v>
      </c>
      <c r="GR691">
        <v>0.90739586192571098</v>
      </c>
      <c r="GS691">
        <v>0</v>
      </c>
      <c r="GT691">
        <v>0.48495378165774805</v>
      </c>
      <c r="GU691"/>
      <c r="GV691"/>
      <c r="GW691"/>
      <c r="GX691"/>
      <c r="GY691"/>
      <c r="GZ691"/>
      <c r="HA691"/>
      <c r="HB691"/>
      <c r="HC691"/>
    </row>
    <row r="692" spans="1:211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2.5583333333333331</v>
      </c>
      <c r="AO692">
        <v>0.43483295681269257</v>
      </c>
      <c r="AP692">
        <v>11.451437611478003</v>
      </c>
      <c r="AQ692">
        <v>3.6572933814350939</v>
      </c>
      <c r="AR692">
        <v>0.48553116839186988</v>
      </c>
      <c r="AS692">
        <v>3.1187729336997498</v>
      </c>
      <c r="AT692" t="e">
        <v>#DIV/0!</v>
      </c>
      <c r="AU692" t="e">
        <v>#DIV/0!</v>
      </c>
      <c r="AV692"/>
      <c r="AW692"/>
      <c r="FY692" s="211">
        <v>687</v>
      </c>
      <c r="FZ692">
        <v>0.50882614444302843</v>
      </c>
      <c r="GA692">
        <v>8.725047411847664E-2</v>
      </c>
      <c r="GB692">
        <v>7.9203986612074825E-2</v>
      </c>
      <c r="GC692">
        <v>7.8958100610881349E-2</v>
      </c>
      <c r="GD692">
        <v>2.6724553773673727E-2</v>
      </c>
      <c r="GE692">
        <v>0</v>
      </c>
      <c r="GF692">
        <v>0</v>
      </c>
      <c r="GG692">
        <v>0</v>
      </c>
      <c r="GH692">
        <v>0</v>
      </c>
      <c r="GI692">
        <v>0.11031273777239525</v>
      </c>
      <c r="GJ692"/>
      <c r="GK692">
        <v>0.50782357201305617</v>
      </c>
      <c r="GL692">
        <v>7.3740509229249462E-2</v>
      </c>
      <c r="GM692">
        <v>0.13091770120800852</v>
      </c>
      <c r="GN692">
        <v>0.23585576644039991</v>
      </c>
      <c r="GO692">
        <v>0.10493806523239137</v>
      </c>
      <c r="GP692">
        <v>0</v>
      </c>
      <c r="GQ692">
        <v>0</v>
      </c>
      <c r="GR692">
        <v>0</v>
      </c>
      <c r="GS692">
        <v>0</v>
      </c>
      <c r="GT692">
        <v>0.14873586769069122</v>
      </c>
      <c r="GU692"/>
      <c r="GV692"/>
      <c r="GW692"/>
      <c r="GX692"/>
      <c r="GY692"/>
      <c r="GZ692"/>
      <c r="HA692"/>
      <c r="HB692"/>
      <c r="HC692"/>
    </row>
    <row r="693" spans="1:211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2.5343749999999998</v>
      </c>
      <c r="AO693">
        <v>0.18549651125269268</v>
      </c>
      <c r="AP693">
        <v>3.1648278772256271</v>
      </c>
      <c r="AQ693">
        <v>1.7236411472556172</v>
      </c>
      <c r="AR693">
        <v>0.2194986144219718</v>
      </c>
      <c r="AS693">
        <v>1.4765775128947196</v>
      </c>
      <c r="AT693" t="e">
        <v>#DIV/0!</v>
      </c>
      <c r="AU693" t="e">
        <v>#DIV/0!</v>
      </c>
      <c r="AV693"/>
      <c r="AW693"/>
      <c r="FY693" s="211">
        <v>688</v>
      </c>
      <c r="FZ693">
        <v>1.7438838449647669</v>
      </c>
      <c r="GA693">
        <v>1.636651184515324</v>
      </c>
      <c r="GB693">
        <v>0.12565184548559416</v>
      </c>
      <c r="GC693">
        <v>6.9638549917922385E-2</v>
      </c>
      <c r="GD693">
        <v>0</v>
      </c>
      <c r="GE693">
        <v>0</v>
      </c>
      <c r="GF693">
        <v>0.33021050058332063</v>
      </c>
      <c r="GG693">
        <v>0.29759236750664797</v>
      </c>
      <c r="GH693">
        <v>0</v>
      </c>
      <c r="GI693">
        <v>0.35290889050144447</v>
      </c>
      <c r="GJ693"/>
      <c r="GK693">
        <v>1.7631639211833252</v>
      </c>
      <c r="GL693">
        <v>1.4070013714606024</v>
      </c>
      <c r="GM693">
        <v>0.20987613046478273</v>
      </c>
      <c r="GN693">
        <v>0.20987613046478273</v>
      </c>
      <c r="GO693">
        <v>0</v>
      </c>
      <c r="GP693">
        <v>0</v>
      </c>
      <c r="GQ693">
        <v>0.45369793096285549</v>
      </c>
      <c r="GR693">
        <v>0.45369793096285549</v>
      </c>
      <c r="GS693">
        <v>0</v>
      </c>
      <c r="GT693">
        <v>0.48534759652219273</v>
      </c>
      <c r="GU693"/>
      <c r="GV693"/>
      <c r="GW693"/>
      <c r="GX693"/>
      <c r="GY693"/>
      <c r="GZ693"/>
      <c r="HA693"/>
      <c r="HB693"/>
      <c r="HC693"/>
    </row>
    <row r="694" spans="1:211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1.84375</v>
      </c>
      <c r="AO694">
        <v>0.1936899378749731</v>
      </c>
      <c r="AP694">
        <v>6.4310419312607561</v>
      </c>
      <c r="AQ694">
        <v>1.6051928274413743</v>
      </c>
      <c r="AR694">
        <v>0.234910156426271</v>
      </c>
      <c r="AS694">
        <v>1.3452088618141624</v>
      </c>
      <c r="AT694" t="e">
        <v>#DIV/0!</v>
      </c>
      <c r="AU694" t="e">
        <v>#DIV/0!</v>
      </c>
      <c r="AV694"/>
      <c r="AW694"/>
      <c r="FY694" s="211">
        <v>689</v>
      </c>
      <c r="FZ694">
        <v>1.0584808020973795</v>
      </c>
      <c r="GA694">
        <v>0.47460065171768845</v>
      </c>
      <c r="GB694">
        <v>0.14202990935487192</v>
      </c>
      <c r="GC694">
        <v>0.14859665052880375</v>
      </c>
      <c r="GD694">
        <v>5.3449107547347455E-2</v>
      </c>
      <c r="GE694">
        <v>0</v>
      </c>
      <c r="GF694">
        <v>0.33021050058332063</v>
      </c>
      <c r="GG694">
        <v>0.29759236750664797</v>
      </c>
      <c r="GH694">
        <v>0</v>
      </c>
      <c r="GI694">
        <v>0.28656547651953013</v>
      </c>
      <c r="GJ694"/>
      <c r="GK694">
        <v>1.0645601690903985</v>
      </c>
      <c r="GL694">
        <v>0.40705572478708768</v>
      </c>
      <c r="GM694">
        <v>0.23585576644039991</v>
      </c>
      <c r="GN694">
        <v>0.44573189690518267</v>
      </c>
      <c r="GO694">
        <v>0.20987613046478273</v>
      </c>
      <c r="GP694">
        <v>0</v>
      </c>
      <c r="GQ694">
        <v>0.45369793096285549</v>
      </c>
      <c r="GR694">
        <v>0.45369793096285549</v>
      </c>
      <c r="GS694">
        <v>0</v>
      </c>
      <c r="GT694">
        <v>0.3927979993916873</v>
      </c>
      <c r="GU694"/>
      <c r="GV694"/>
      <c r="GW694"/>
      <c r="GX694"/>
      <c r="GY694"/>
      <c r="GZ694"/>
      <c r="HA694"/>
      <c r="HB694"/>
      <c r="HC694"/>
    </row>
    <row r="695" spans="1:211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1.7916666666666665</v>
      </c>
      <c r="AO695">
        <v>0.21704423439456338</v>
      </c>
      <c r="AP695">
        <v>4.2813706744428295</v>
      </c>
      <c r="AQ695">
        <v>1.7092155397399167</v>
      </c>
      <c r="AR695">
        <v>0.28832139451132943</v>
      </c>
      <c r="AS695">
        <v>1.6890820508664881</v>
      </c>
      <c r="AT695" t="e">
        <v>#DIV/0!</v>
      </c>
      <c r="AU695" t="e">
        <v>#DIV/0!</v>
      </c>
      <c r="AV695"/>
      <c r="AW695"/>
      <c r="FY695" s="211">
        <v>690</v>
      </c>
      <c r="FZ695">
        <v>0.50389424933164473</v>
      </c>
      <c r="GA695">
        <v>8.725047411847664E-2</v>
      </c>
      <c r="GB695">
        <v>0.12565184548559416</v>
      </c>
      <c r="GC695">
        <v>0.10445782487688358</v>
      </c>
      <c r="GD695">
        <v>2.6724553773673727E-2</v>
      </c>
      <c r="GE695">
        <v>0</v>
      </c>
      <c r="GF695">
        <v>0.99063150174996206</v>
      </c>
      <c r="GG695">
        <v>0.89277710251994391</v>
      </c>
      <c r="GH695">
        <v>0</v>
      </c>
      <c r="GI695">
        <v>0.31330083617396626</v>
      </c>
      <c r="GJ695"/>
      <c r="GK695">
        <v>0.50332297628611355</v>
      </c>
      <c r="GL695">
        <v>7.3740509229249462E-2</v>
      </c>
      <c r="GM695">
        <v>0.20987613046478273</v>
      </c>
      <c r="GN695">
        <v>0.31481419569717412</v>
      </c>
      <c r="GO695">
        <v>0.10493806523239137</v>
      </c>
      <c r="GP695">
        <v>0</v>
      </c>
      <c r="GQ695">
        <v>1.3610937928885667</v>
      </c>
      <c r="GR695">
        <v>1.3610937928885667</v>
      </c>
      <c r="GS695">
        <v>0</v>
      </c>
      <c r="GT695">
        <v>0.43584619297437088</v>
      </c>
      <c r="GU695"/>
      <c r="GV695"/>
      <c r="GW695"/>
      <c r="GX695"/>
      <c r="GY695"/>
      <c r="GZ695"/>
      <c r="HA695"/>
      <c r="HB695"/>
      <c r="HC695"/>
    </row>
    <row r="696" spans="1:211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2.7510416666666666</v>
      </c>
      <c r="AO696">
        <v>0.46529399400944982</v>
      </c>
      <c r="AP696">
        <v>12.365985765533747</v>
      </c>
      <c r="AQ696">
        <v>3.6913427183720309</v>
      </c>
      <c r="AR696">
        <v>0.48470018444152391</v>
      </c>
      <c r="AS696">
        <v>2.511908543752376</v>
      </c>
      <c r="AT696" t="e">
        <v>#DIV/0!</v>
      </c>
      <c r="AU696" t="e">
        <v>#DIV/0!</v>
      </c>
      <c r="AV696"/>
      <c r="AW696"/>
      <c r="FY696" s="211">
        <v>691</v>
      </c>
      <c r="FZ696">
        <v>0.58533924585704955</v>
      </c>
      <c r="GA696">
        <v>0</v>
      </c>
      <c r="GB696">
        <v>0.14202990935487192</v>
      </c>
      <c r="GC696">
        <v>0.11377737556984255</v>
      </c>
      <c r="GD696">
        <v>2.6724553773673727E-2</v>
      </c>
      <c r="GE696">
        <v>0</v>
      </c>
      <c r="GF696">
        <v>0.66042100116664126</v>
      </c>
      <c r="GG696">
        <v>0.59518473501329594</v>
      </c>
      <c r="GH696">
        <v>0</v>
      </c>
      <c r="GI696">
        <v>0.2651701241492061</v>
      </c>
      <c r="GJ696"/>
      <c r="GK696">
        <v>0.58733980359233107</v>
      </c>
      <c r="GL696">
        <v>0</v>
      </c>
      <c r="GM696">
        <v>0.23585576644039991</v>
      </c>
      <c r="GN696">
        <v>0.34079383167279126</v>
      </c>
      <c r="GO696">
        <v>0.10493806523239137</v>
      </c>
      <c r="GP696">
        <v>0</v>
      </c>
      <c r="GQ696">
        <v>0.90739586192571098</v>
      </c>
      <c r="GR696">
        <v>0.90739586192571098</v>
      </c>
      <c r="GS696">
        <v>0</v>
      </c>
      <c r="GT696">
        <v>0.36710589943816663</v>
      </c>
      <c r="GU696"/>
      <c r="GV696"/>
      <c r="GW696"/>
      <c r="GX696"/>
      <c r="GY696"/>
      <c r="GZ696"/>
      <c r="HA696"/>
      <c r="HB696"/>
      <c r="HC696"/>
    </row>
    <row r="697" spans="1:211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1.890625</v>
      </c>
      <c r="AO697">
        <v>0.13050560758512708</v>
      </c>
      <c r="AP697">
        <v>1.6100627849914531</v>
      </c>
      <c r="AQ697">
        <v>1.130781304914275</v>
      </c>
      <c r="AR697">
        <v>0.18339964423566876</v>
      </c>
      <c r="AS697">
        <v>1.3235910718080415</v>
      </c>
      <c r="AT697" t="e">
        <v>#DIV/0!</v>
      </c>
      <c r="AU697" t="e">
        <v>#DIV/0!</v>
      </c>
      <c r="AV697"/>
      <c r="AW697"/>
      <c r="FY697" s="211">
        <v>692</v>
      </c>
      <c r="FZ697">
        <v>1.3419749387152584</v>
      </c>
      <c r="GA697">
        <v>0.56185112583616514</v>
      </c>
      <c r="GB697">
        <v>0.3168159464482993</v>
      </c>
      <c r="GC697">
        <v>0.17655530260768065</v>
      </c>
      <c r="GD697">
        <v>0</v>
      </c>
      <c r="GE697">
        <v>0</v>
      </c>
      <c r="GF697">
        <v>0</v>
      </c>
      <c r="GG697">
        <v>0</v>
      </c>
      <c r="GH697">
        <v>0</v>
      </c>
      <c r="GI697">
        <v>0.27629212009289139</v>
      </c>
      <c r="GJ697"/>
      <c r="GK697">
        <v>1.3501217019199405</v>
      </c>
      <c r="GL697">
        <v>0.48079623401633714</v>
      </c>
      <c r="GM697">
        <v>0.5236708048320341</v>
      </c>
      <c r="GN697">
        <v>0.5236708048320341</v>
      </c>
      <c r="GO697">
        <v>0</v>
      </c>
      <c r="GP697">
        <v>0</v>
      </c>
      <c r="GQ697">
        <v>0</v>
      </c>
      <c r="GR697">
        <v>0</v>
      </c>
      <c r="GS697">
        <v>0</v>
      </c>
      <c r="GT697">
        <v>0.37475850135039496</v>
      </c>
      <c r="GU697"/>
      <c r="GV697"/>
      <c r="GW697"/>
      <c r="GX697"/>
      <c r="GY697"/>
      <c r="GZ697"/>
      <c r="HA697"/>
      <c r="HB697"/>
      <c r="HC697"/>
    </row>
    <row r="698" spans="1:211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2.4958333333333336</v>
      </c>
      <c r="AO698">
        <v>0.29371720880557128</v>
      </c>
      <c r="AP698">
        <v>4.8529450660158382</v>
      </c>
      <c r="AQ698">
        <v>2.6642960052168463</v>
      </c>
      <c r="AR698">
        <v>0.33115416954100069</v>
      </c>
      <c r="AS698">
        <v>1.816898830616801</v>
      </c>
      <c r="AT698" t="e">
        <v>#DIV/0!</v>
      </c>
      <c r="AU698" t="e">
        <v>#DIV/0!</v>
      </c>
      <c r="AV698"/>
      <c r="AW698"/>
      <c r="FY698" s="211">
        <v>693</v>
      </c>
      <c r="FZ698">
        <v>1.6132415458029978</v>
      </c>
      <c r="GA698">
        <v>1.2493010069161121</v>
      </c>
      <c r="GB698">
        <v>0.30043788257902154</v>
      </c>
      <c r="GC698">
        <v>0.20205502687368287</v>
      </c>
      <c r="GD698">
        <v>2.6724553773673727E-2</v>
      </c>
      <c r="GE698">
        <v>0</v>
      </c>
      <c r="GF698">
        <v>0.33021050058332063</v>
      </c>
      <c r="GG698">
        <v>0.29759236750664797</v>
      </c>
      <c r="GH698">
        <v>0</v>
      </c>
      <c r="GI698">
        <v>0.39181067905312827</v>
      </c>
      <c r="GJ698"/>
      <c r="GK698">
        <v>1.6306884028437945</v>
      </c>
      <c r="GL698">
        <v>1.073686155902764</v>
      </c>
      <c r="GM698">
        <v>0.4976911688564169</v>
      </c>
      <c r="GN698">
        <v>0.60262923408880831</v>
      </c>
      <c r="GO698">
        <v>0.10493806523239137</v>
      </c>
      <c r="GP698">
        <v>0</v>
      </c>
      <c r="GQ698">
        <v>0.45369793096285549</v>
      </c>
      <c r="GR698">
        <v>0.45369793096285549</v>
      </c>
      <c r="GS698">
        <v>0</v>
      </c>
      <c r="GT698">
        <v>0.53740311357909165</v>
      </c>
      <c r="GU698"/>
      <c r="GV698"/>
      <c r="GW698"/>
      <c r="GX698"/>
      <c r="GY698"/>
      <c r="GZ698"/>
      <c r="HA698"/>
      <c r="HB698"/>
      <c r="HC698"/>
    </row>
    <row r="699" spans="1:211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3.2010416666666672</v>
      </c>
      <c r="AO699">
        <v>0.55565712955105495</v>
      </c>
      <c r="AP699">
        <v>24.632820653419262</v>
      </c>
      <c r="AQ699">
        <v>4.2069634785619474</v>
      </c>
      <c r="AR699">
        <v>0.56594477903514484</v>
      </c>
      <c r="AS699">
        <v>2.7468390871845614</v>
      </c>
      <c r="AT699" t="e">
        <v>#DIV/0!</v>
      </c>
      <c r="AU699" t="e">
        <v>#DIV/0!</v>
      </c>
      <c r="AV699"/>
      <c r="AW699"/>
      <c r="FY699" s="211">
        <v>694</v>
      </c>
      <c r="FZ699">
        <v>1.6421484192594791</v>
      </c>
      <c r="GA699">
        <v>0.9492013034353769</v>
      </c>
      <c r="GB699">
        <v>0</v>
      </c>
      <c r="GC699">
        <v>0</v>
      </c>
      <c r="GD699">
        <v>0</v>
      </c>
      <c r="GE699">
        <v>0</v>
      </c>
      <c r="GF699">
        <v>0.33021050058332063</v>
      </c>
      <c r="GG699">
        <v>0.29759236750664797</v>
      </c>
      <c r="GH699">
        <v>0</v>
      </c>
      <c r="GI699">
        <v>0.30703182590178391</v>
      </c>
      <c r="GJ699"/>
      <c r="GK699">
        <v>1.6574471087176974</v>
      </c>
      <c r="GL699">
        <v>0.81411144957417536</v>
      </c>
      <c r="GM699">
        <v>0</v>
      </c>
      <c r="GN699">
        <v>0</v>
      </c>
      <c r="GO699">
        <v>0</v>
      </c>
      <c r="GP699">
        <v>0</v>
      </c>
      <c r="GQ699">
        <v>0.45369793096285549</v>
      </c>
      <c r="GR699">
        <v>0.45369793096285549</v>
      </c>
      <c r="GS699">
        <v>0</v>
      </c>
      <c r="GT699">
        <v>0.42222900793611057</v>
      </c>
      <c r="GU699"/>
      <c r="GV699"/>
      <c r="GW699"/>
      <c r="GX699"/>
      <c r="GY699"/>
      <c r="GZ699"/>
      <c r="HA699"/>
      <c r="HB699"/>
      <c r="HC699"/>
    </row>
    <row r="700" spans="1:211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2.3416666666666668</v>
      </c>
      <c r="AO700">
        <v>0.20931193952369914</v>
      </c>
      <c r="AP700">
        <v>4.9477819201978379</v>
      </c>
      <c r="AQ700">
        <v>1.7987294871734067</v>
      </c>
      <c r="AR700">
        <v>0.24966146287718938</v>
      </c>
      <c r="AS700">
        <v>1.6071280349337906</v>
      </c>
      <c r="AT700" t="e">
        <v>#DIV/0!</v>
      </c>
      <c r="AU700" t="e">
        <v>#DIV/0!</v>
      </c>
      <c r="AV700"/>
      <c r="AW700"/>
      <c r="FY700" s="211">
        <v>695</v>
      </c>
      <c r="FZ700">
        <v>1.2627873806394063</v>
      </c>
      <c r="GA700">
        <v>0.77470035519842362</v>
      </c>
      <c r="GB700">
        <v>0.28405981870974384</v>
      </c>
      <c r="GC700">
        <v>0.2275547511396851</v>
      </c>
      <c r="GD700">
        <v>5.3449107547347455E-2</v>
      </c>
      <c r="GE700">
        <v>0</v>
      </c>
      <c r="GF700">
        <v>0</v>
      </c>
      <c r="GG700">
        <v>0</v>
      </c>
      <c r="GH700">
        <v>0</v>
      </c>
      <c r="GI700">
        <v>0.28752388792677663</v>
      </c>
      <c r="GJ700"/>
      <c r="GK700">
        <v>1.2726925221444565</v>
      </c>
      <c r="GL700">
        <v>0.66663043111567644</v>
      </c>
      <c r="GM700">
        <v>0.47171153288079981</v>
      </c>
      <c r="GN700">
        <v>0.68158766334558252</v>
      </c>
      <c r="GO700">
        <v>0.20987613046478273</v>
      </c>
      <c r="GP700">
        <v>0</v>
      </c>
      <c r="GQ700">
        <v>0</v>
      </c>
      <c r="GR700">
        <v>0</v>
      </c>
      <c r="GS700">
        <v>0</v>
      </c>
      <c r="GT700">
        <v>0.39085603709800781</v>
      </c>
      <c r="GU700"/>
      <c r="GV700"/>
      <c r="GW700"/>
      <c r="GX700"/>
      <c r="GY700"/>
      <c r="GZ700"/>
      <c r="HA700"/>
      <c r="HB700"/>
      <c r="HC700"/>
    </row>
    <row r="701" spans="1:211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2.036458333333333</v>
      </c>
      <c r="AO701">
        <v>0.20994652697622426</v>
      </c>
      <c r="AP701">
        <v>5.4952765418722729</v>
      </c>
      <c r="AQ701">
        <v>1.423567003163227</v>
      </c>
      <c r="AR701">
        <v>0.24584246639923649</v>
      </c>
      <c r="AS701">
        <v>1.7051780085892378</v>
      </c>
      <c r="AT701" t="e">
        <v>#DIV/0!</v>
      </c>
      <c r="AU701" t="e">
        <v>#DIV/0!</v>
      </c>
      <c r="AV701"/>
      <c r="AW701"/>
      <c r="FY701" s="211">
        <v>696</v>
      </c>
      <c r="FZ701">
        <v>1.2512142971963807</v>
      </c>
      <c r="GA701">
        <v>0.86195082931690026</v>
      </c>
      <c r="GB701">
        <v>0.23761195983622446</v>
      </c>
      <c r="GC701">
        <v>0.13241647695576048</v>
      </c>
      <c r="GD701">
        <v>0</v>
      </c>
      <c r="GE701">
        <v>0</v>
      </c>
      <c r="GF701">
        <v>0.33021050058332063</v>
      </c>
      <c r="GG701">
        <v>0.29759236750664797</v>
      </c>
      <c r="GH701">
        <v>0</v>
      </c>
      <c r="GI701">
        <v>0.30744906239439407</v>
      </c>
      <c r="GJ701"/>
      <c r="GK701">
        <v>1.2613756925717228</v>
      </c>
      <c r="GL701">
        <v>0.7403709403449259</v>
      </c>
      <c r="GM701">
        <v>0.39275310362402555</v>
      </c>
      <c r="GN701">
        <v>0.39275310362402555</v>
      </c>
      <c r="GO701">
        <v>0</v>
      </c>
      <c r="GP701">
        <v>0</v>
      </c>
      <c r="GQ701">
        <v>0.45369793096285549</v>
      </c>
      <c r="GR701">
        <v>0.45369793096285549</v>
      </c>
      <c r="GS701">
        <v>0</v>
      </c>
      <c r="GT701">
        <v>0.42156534543172081</v>
      </c>
      <c r="GU701"/>
      <c r="GV701"/>
      <c r="GW701"/>
      <c r="GX701"/>
      <c r="GY701"/>
      <c r="GZ701"/>
      <c r="HA701"/>
      <c r="HB701"/>
      <c r="HC701"/>
    </row>
    <row r="702" spans="1:211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3.734375</v>
      </c>
      <c r="AO702">
        <v>0.48508454441135396</v>
      </c>
      <c r="AP702">
        <v>19.098939305590502</v>
      </c>
      <c r="AQ702">
        <v>3.2284664583389691</v>
      </c>
      <c r="AR702">
        <v>0.48495378165774805</v>
      </c>
      <c r="AS702">
        <v>2.7884106517970793</v>
      </c>
      <c r="AT702" t="e">
        <v>#DIV/0!</v>
      </c>
      <c r="AU702" t="e">
        <v>#DIV/0!</v>
      </c>
      <c r="AV702"/>
      <c r="AW702"/>
      <c r="FY702" s="211">
        <v>697</v>
      </c>
      <c r="FZ702">
        <v>0.53083295694762311</v>
      </c>
      <c r="GA702">
        <v>8.725047411847664E-2</v>
      </c>
      <c r="GB702">
        <v>0.204855832097669</v>
      </c>
      <c r="GC702">
        <v>0.14859665052880375</v>
      </c>
      <c r="GD702">
        <v>2.6724553773673727E-2</v>
      </c>
      <c r="GE702">
        <v>0</v>
      </c>
      <c r="GF702">
        <v>0.33021050058332063</v>
      </c>
      <c r="GG702">
        <v>0.29759236750664797</v>
      </c>
      <c r="GH702">
        <v>0</v>
      </c>
      <c r="GI702">
        <v>0.2085591779370756</v>
      </c>
      <c r="GJ702"/>
      <c r="GK702">
        <v>0.52996888013205168</v>
      </c>
      <c r="GL702">
        <v>7.3740509229249462E-2</v>
      </c>
      <c r="GM702">
        <v>0.34079383167279126</v>
      </c>
      <c r="GN702">
        <v>0.44573189690518267</v>
      </c>
      <c r="GO702">
        <v>0.10493806523239137</v>
      </c>
      <c r="GP702">
        <v>0</v>
      </c>
      <c r="GQ702">
        <v>0.45369793096285549</v>
      </c>
      <c r="GR702">
        <v>0.45369793096285549</v>
      </c>
      <c r="GS702">
        <v>0</v>
      </c>
      <c r="GT702">
        <v>0.28587974160001794</v>
      </c>
      <c r="GU702"/>
      <c r="GV702"/>
      <c r="GW702"/>
      <c r="GX702"/>
      <c r="GY702"/>
      <c r="GZ702"/>
      <c r="HA702"/>
      <c r="HB702"/>
      <c r="HC702"/>
    </row>
    <row r="703" spans="1:211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2.255208333333333</v>
      </c>
      <c r="AO703">
        <v>0.12020114818137966</v>
      </c>
      <c r="AP703">
        <v>2.0742297512283199</v>
      </c>
      <c r="AQ703">
        <v>0.89127599733053031</v>
      </c>
      <c r="AR703">
        <v>0.14873586769069122</v>
      </c>
      <c r="AS703">
        <v>1.0559926719524404</v>
      </c>
      <c r="AT703" t="e">
        <v>#DIV/0!</v>
      </c>
      <c r="AU703" t="e">
        <v>#DIV/0!</v>
      </c>
      <c r="AV703"/>
      <c r="AW703"/>
      <c r="FY703" s="211">
        <v>698</v>
      </c>
      <c r="FZ703">
        <v>1.5862437289163025</v>
      </c>
      <c r="GA703">
        <v>1.1620505327976354</v>
      </c>
      <c r="GB703">
        <v>0.204855832097669</v>
      </c>
      <c r="GC703">
        <v>0.14859665052880375</v>
      </c>
      <c r="GD703">
        <v>2.6724553773673727E-2</v>
      </c>
      <c r="GE703">
        <v>0</v>
      </c>
      <c r="GF703">
        <v>0</v>
      </c>
      <c r="GG703">
        <v>0</v>
      </c>
      <c r="GH703">
        <v>0</v>
      </c>
      <c r="GI703">
        <v>0.30047170986355204</v>
      </c>
      <c r="GJ703"/>
      <c r="GK703">
        <v>1.6007352626024027</v>
      </c>
      <c r="GL703">
        <v>0.9999456466735146</v>
      </c>
      <c r="GM703">
        <v>0.34079383167279126</v>
      </c>
      <c r="GN703">
        <v>0.44573189690518267</v>
      </c>
      <c r="GO703">
        <v>0.10493806523239137</v>
      </c>
      <c r="GP703">
        <v>0</v>
      </c>
      <c r="GQ703">
        <v>0</v>
      </c>
      <c r="GR703">
        <v>0</v>
      </c>
      <c r="GS703">
        <v>0</v>
      </c>
      <c r="GT703">
        <v>0.40929343190151707</v>
      </c>
      <c r="GU703"/>
      <c r="GV703"/>
      <c r="GW703"/>
      <c r="GX703"/>
      <c r="GY703"/>
      <c r="GZ703"/>
      <c r="HA703"/>
      <c r="HB703"/>
      <c r="HC703"/>
    </row>
    <row r="704" spans="1:211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1.960416666666666</v>
      </c>
      <c r="AO704">
        <v>0.49826610120213966</v>
      </c>
      <c r="AP704">
        <v>11.152303694456123</v>
      </c>
      <c r="AQ704">
        <v>4.5565371834750206</v>
      </c>
      <c r="AR704">
        <v>0.48534759652219267</v>
      </c>
      <c r="AS704">
        <v>3.5747268228524023</v>
      </c>
      <c r="AT704" t="e">
        <v>#DIV/0!</v>
      </c>
      <c r="AU704" t="e">
        <v>#DIV/0!</v>
      </c>
      <c r="AV704"/>
      <c r="AW704"/>
      <c r="FY704" s="211">
        <v>699</v>
      </c>
      <c r="FZ704">
        <v>0.83872804536627399</v>
      </c>
      <c r="GA704">
        <v>0.47460065171768845</v>
      </c>
      <c r="GB704">
        <v>0.34688574145254092</v>
      </c>
      <c r="GC704">
        <v>0.19273547618072395</v>
      </c>
      <c r="GD704">
        <v>0</v>
      </c>
      <c r="GE704">
        <v>0</v>
      </c>
      <c r="GF704">
        <v>0.33021050058332063</v>
      </c>
      <c r="GG704">
        <v>0.29759236750664797</v>
      </c>
      <c r="GH704">
        <v>0</v>
      </c>
      <c r="GI704">
        <v>0.27346905908305041</v>
      </c>
      <c r="GJ704"/>
      <c r="GK704">
        <v>0.84234704312604491</v>
      </c>
      <c r="GL704">
        <v>0.40705572478708768</v>
      </c>
      <c r="GM704">
        <v>0.57664959811319116</v>
      </c>
      <c r="GN704">
        <v>0.57664959811319116</v>
      </c>
      <c r="GO704">
        <v>0</v>
      </c>
      <c r="GP704">
        <v>0</v>
      </c>
      <c r="GQ704">
        <v>0.45369793096285549</v>
      </c>
      <c r="GR704">
        <v>0.45369793096285549</v>
      </c>
      <c r="GS704">
        <v>0</v>
      </c>
      <c r="GT704">
        <v>0.37453891444041837</v>
      </c>
      <c r="GU704"/>
      <c r="GV704"/>
      <c r="GW704"/>
      <c r="GX704"/>
      <c r="GY704"/>
      <c r="GZ704"/>
      <c r="HA704"/>
      <c r="HB704"/>
      <c r="HC704"/>
    </row>
    <row r="705" spans="1:211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2.3052083333333329</v>
      </c>
      <c r="AO705">
        <v>0.36632735490052504</v>
      </c>
      <c r="AP705">
        <v>10.324356124721122</v>
      </c>
      <c r="AQ705">
        <v>2.7915254658555897</v>
      </c>
      <c r="AR705">
        <v>0.3927979993916873</v>
      </c>
      <c r="AS705">
        <v>2.0427676180002203</v>
      </c>
      <c r="AT705" t="e">
        <v>#DIV/0!</v>
      </c>
      <c r="AU705" t="e">
        <v>#DIV/0!</v>
      </c>
      <c r="AV705"/>
      <c r="AW705"/>
      <c r="FY705" s="211">
        <v>700</v>
      </c>
      <c r="FZ705">
        <v>1.0593655859548754</v>
      </c>
      <c r="GA705">
        <v>0.47460065171768845</v>
      </c>
      <c r="GB705">
        <v>7.9203986612074825E-2</v>
      </c>
      <c r="GC705">
        <v>7.8958100610881349E-2</v>
      </c>
      <c r="GD705">
        <v>2.6724553773673727E-2</v>
      </c>
      <c r="GE705">
        <v>0</v>
      </c>
      <c r="GF705">
        <v>0</v>
      </c>
      <c r="GG705">
        <v>0</v>
      </c>
      <c r="GH705">
        <v>0</v>
      </c>
      <c r="GI705">
        <v>0.19179626238365746</v>
      </c>
      <c r="GJ705"/>
      <c r="GK705">
        <v>1.0624611882500956</v>
      </c>
      <c r="GL705">
        <v>0.40705572478708768</v>
      </c>
      <c r="GM705">
        <v>0.13091770120800852</v>
      </c>
      <c r="GN705">
        <v>0.23585576644039991</v>
      </c>
      <c r="GO705">
        <v>0.10493806523239137</v>
      </c>
      <c r="GP705">
        <v>0</v>
      </c>
      <c r="GQ705">
        <v>0</v>
      </c>
      <c r="GR705">
        <v>0</v>
      </c>
      <c r="GS705">
        <v>0</v>
      </c>
      <c r="GT705">
        <v>0.25966339093809909</v>
      </c>
      <c r="GU705"/>
      <c r="GV705"/>
      <c r="GW705"/>
      <c r="GX705"/>
      <c r="GY705"/>
      <c r="GZ705"/>
      <c r="HA705"/>
      <c r="HB705"/>
      <c r="HC705"/>
    </row>
    <row r="706" spans="1:211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1.8541666666666667</v>
      </c>
      <c r="AO706">
        <v>0.43647256556612157</v>
      </c>
      <c r="AP706">
        <v>21.306848916769408</v>
      </c>
      <c r="AQ706">
        <v>3.0446883880301452</v>
      </c>
      <c r="AR706">
        <v>0.43584619297437088</v>
      </c>
      <c r="AS706">
        <v>2.0063084988099589</v>
      </c>
      <c r="AT706" t="e">
        <v>#DIV/0!</v>
      </c>
      <c r="AU706" t="e">
        <v>#DIV/0!</v>
      </c>
      <c r="AV706"/>
      <c r="AW706"/>
      <c r="FY706" s="211">
        <v>701</v>
      </c>
      <c r="FZ706">
        <v>0.31530580450657297</v>
      </c>
      <c r="GA706">
        <v>0</v>
      </c>
      <c r="GB706">
        <v>0.14202990935487192</v>
      </c>
      <c r="GC706">
        <v>7.8958100610881349E-2</v>
      </c>
      <c r="GD706">
        <v>0</v>
      </c>
      <c r="GE706">
        <v>0</v>
      </c>
      <c r="GF706">
        <v>0.66042100116664126</v>
      </c>
      <c r="GG706">
        <v>0.59518473501329594</v>
      </c>
      <c r="GH706">
        <v>0</v>
      </c>
      <c r="GI706">
        <v>0.20977078305165581</v>
      </c>
      <c r="GJ706"/>
      <c r="GK706">
        <v>0.31445620372639649</v>
      </c>
      <c r="GL706">
        <v>0</v>
      </c>
      <c r="GM706">
        <v>0.23585576644039991</v>
      </c>
      <c r="GN706">
        <v>0.23585576644039991</v>
      </c>
      <c r="GO706">
        <v>0</v>
      </c>
      <c r="GP706">
        <v>0</v>
      </c>
      <c r="GQ706">
        <v>0.90739586192571098</v>
      </c>
      <c r="GR706">
        <v>0.90739586192571098</v>
      </c>
      <c r="GS706">
        <v>0</v>
      </c>
      <c r="GT706">
        <v>0.29154156641850149</v>
      </c>
      <c r="GU706"/>
      <c r="GV706"/>
      <c r="GW706"/>
      <c r="GX706"/>
      <c r="GY706"/>
      <c r="GZ706"/>
      <c r="HA706"/>
      <c r="HB706"/>
      <c r="HC706"/>
    </row>
    <row r="707" spans="1:211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1.6197916666666665</v>
      </c>
      <c r="AO707">
        <v>0.34508250902275017</v>
      </c>
      <c r="AP707">
        <v>15.338009084680497</v>
      </c>
      <c r="AQ707">
        <v>2.3886469448845808</v>
      </c>
      <c r="AR707">
        <v>0.36710589943816663</v>
      </c>
      <c r="AS707">
        <v>1.7308118000965702</v>
      </c>
      <c r="AT707" t="e">
        <v>#DIV/0!</v>
      </c>
      <c r="AU707" t="e">
        <v>#DIV/0!</v>
      </c>
      <c r="AV707"/>
      <c r="AW707"/>
      <c r="FY707" s="211">
        <v>702</v>
      </c>
      <c r="FZ707">
        <v>0.43198088092913917</v>
      </c>
      <c r="GA707">
        <v>8.725047411847664E-2</v>
      </c>
      <c r="GB707">
        <v>0.14202990935487192</v>
      </c>
      <c r="GC707">
        <v>0.11377737556984255</v>
      </c>
      <c r="GD707">
        <v>2.6724553773673727E-2</v>
      </c>
      <c r="GE707">
        <v>0</v>
      </c>
      <c r="GF707">
        <v>0</v>
      </c>
      <c r="GG707">
        <v>0</v>
      </c>
      <c r="GH707">
        <v>0</v>
      </c>
      <c r="GI707">
        <v>0.11438065412203444</v>
      </c>
      <c r="GJ707"/>
      <c r="GK707">
        <v>0.43094357044773812</v>
      </c>
      <c r="GL707">
        <v>7.3740509229249462E-2</v>
      </c>
      <c r="GM707">
        <v>0.23585576644039991</v>
      </c>
      <c r="GN707">
        <v>0.34079383167279126</v>
      </c>
      <c r="GO707">
        <v>0.10493806523239137</v>
      </c>
      <c r="GP707">
        <v>0</v>
      </c>
      <c r="GQ707">
        <v>0</v>
      </c>
      <c r="GR707">
        <v>0</v>
      </c>
      <c r="GS707">
        <v>0</v>
      </c>
      <c r="GT707">
        <v>0.1543474804241059</v>
      </c>
      <c r="GU707"/>
      <c r="GV707"/>
      <c r="GW707"/>
      <c r="GX707"/>
      <c r="GY707"/>
      <c r="GZ707"/>
      <c r="HA707"/>
      <c r="HB707"/>
      <c r="HC707"/>
    </row>
    <row r="708" spans="1:211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3.4354166666666663</v>
      </c>
      <c r="AO708">
        <v>0.32530180469507408</v>
      </c>
      <c r="AP708">
        <v>7.2576908206568156</v>
      </c>
      <c r="AQ708">
        <v>2.6734894337002948</v>
      </c>
      <c r="AR708">
        <v>0.3747585013503949</v>
      </c>
      <c r="AS708">
        <v>2.4721701563098288</v>
      </c>
      <c r="AT708" t="e">
        <v>#DIV/0!</v>
      </c>
      <c r="AU708" t="e">
        <v>#DIV/0!</v>
      </c>
      <c r="AV708"/>
      <c r="AW708"/>
      <c r="FY708" s="211">
        <v>703</v>
      </c>
      <c r="FZ708">
        <v>0.97122325426733003</v>
      </c>
      <c r="GA708">
        <v>8.725047411847664E-2</v>
      </c>
      <c r="GB708">
        <v>0.204855832097669</v>
      </c>
      <c r="GC708">
        <v>0.21823520044672617</v>
      </c>
      <c r="GD708">
        <v>8.0173661321021189E-2</v>
      </c>
      <c r="GE708">
        <v>0</v>
      </c>
      <c r="GF708">
        <v>0</v>
      </c>
      <c r="GG708">
        <v>0</v>
      </c>
      <c r="GH708">
        <v>0</v>
      </c>
      <c r="GI708">
        <v>0.24062062134695769</v>
      </c>
      <c r="GJ708"/>
      <c r="GK708">
        <v>0.97229615122045576</v>
      </c>
      <c r="GL708">
        <v>7.3740509229249462E-2</v>
      </c>
      <c r="GM708">
        <v>0.34079383167279126</v>
      </c>
      <c r="GN708">
        <v>0.65560802736996537</v>
      </c>
      <c r="GO708">
        <v>0.31481419569717417</v>
      </c>
      <c r="GP708">
        <v>0</v>
      </c>
      <c r="GQ708">
        <v>0</v>
      </c>
      <c r="GR708">
        <v>0</v>
      </c>
      <c r="GS708">
        <v>0</v>
      </c>
      <c r="GT708">
        <v>0.32558083571808416</v>
      </c>
      <c r="GU708"/>
      <c r="GV708"/>
      <c r="GW708"/>
      <c r="GX708"/>
      <c r="GY708"/>
      <c r="GZ708"/>
      <c r="HA708"/>
      <c r="HB708"/>
      <c r="HC708"/>
    </row>
    <row r="709" spans="1:211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2.676041666666666</v>
      </c>
      <c r="AO709">
        <v>0.53544320024289771</v>
      </c>
      <c r="AP709">
        <v>13.906415220224764</v>
      </c>
      <c r="AQ709">
        <v>4.4113735630885849</v>
      </c>
      <c r="AR709">
        <v>0.53740311357909165</v>
      </c>
      <c r="AS709">
        <v>2.7505700941046736</v>
      </c>
      <c r="AT709" t="e">
        <v>#DIV/0!</v>
      </c>
      <c r="AU709" t="e">
        <v>#DIV/0!</v>
      </c>
      <c r="AV709"/>
      <c r="AW709"/>
      <c r="FY709" s="211">
        <v>704</v>
      </c>
      <c r="FZ709">
        <v>1.1260736575527481</v>
      </c>
      <c r="GA709">
        <v>0.38735017759921181</v>
      </c>
      <c r="GB709">
        <v>0.22123389596694673</v>
      </c>
      <c r="GC709">
        <v>0.1579162012217627</v>
      </c>
      <c r="GD709">
        <v>2.6724553773673727E-2</v>
      </c>
      <c r="GE709">
        <v>0</v>
      </c>
      <c r="GF709">
        <v>0</v>
      </c>
      <c r="GG709">
        <v>0</v>
      </c>
      <c r="GH709">
        <v>0</v>
      </c>
      <c r="GI709">
        <v>0.23639782599603071</v>
      </c>
      <c r="GJ709"/>
      <c r="GK709">
        <v>1.1341726493320843</v>
      </c>
      <c r="GL709">
        <v>0.33331521555783822</v>
      </c>
      <c r="GM709">
        <v>0.3667734676484084</v>
      </c>
      <c r="GN709">
        <v>0.47171153288079981</v>
      </c>
      <c r="GO709">
        <v>0.10493806523239137</v>
      </c>
      <c r="GP709">
        <v>0</v>
      </c>
      <c r="GQ709">
        <v>0</v>
      </c>
      <c r="GR709">
        <v>0</v>
      </c>
      <c r="GS709">
        <v>0</v>
      </c>
      <c r="GT709">
        <v>0.32117683644257689</v>
      </c>
      <c r="GU709"/>
      <c r="GV709"/>
      <c r="GW709"/>
      <c r="GX709"/>
      <c r="GY709"/>
      <c r="GZ709"/>
      <c r="HA709"/>
      <c r="HB709"/>
      <c r="HC709"/>
    </row>
    <row r="710" spans="1:211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1.9229166666666662</v>
      </c>
      <c r="AO710">
        <v>0.38011834281536944</v>
      </c>
      <c r="AP710">
        <v>7.2739059868332845</v>
      </c>
      <c r="AQ710">
        <v>3.5261844166866085</v>
      </c>
      <c r="AR710">
        <v>0.42222900793611062</v>
      </c>
      <c r="AS710">
        <v>2.107426006340603</v>
      </c>
      <c r="AT710" t="e">
        <v>#DIV/0!</v>
      </c>
      <c r="AU710" t="e">
        <v>#DIV/0!</v>
      </c>
      <c r="AV710"/>
      <c r="AW710"/>
      <c r="FY710" s="211">
        <v>705</v>
      </c>
      <c r="FZ710">
        <v>0.63251653791869644</v>
      </c>
      <c r="GA710">
        <v>0.17450094823695328</v>
      </c>
      <c r="GB710">
        <v>0.15840797322414965</v>
      </c>
      <c r="GC710">
        <v>0.1579162012217627</v>
      </c>
      <c r="GD710">
        <v>5.3449107547347455E-2</v>
      </c>
      <c r="GE710">
        <v>0</v>
      </c>
      <c r="GF710">
        <v>0.66042100116664126</v>
      </c>
      <c r="GG710">
        <v>0.59518473501329594</v>
      </c>
      <c r="GH710">
        <v>0</v>
      </c>
      <c r="GI710">
        <v>0.29165443392088808</v>
      </c>
      <c r="GJ710"/>
      <c r="GK710">
        <v>0.63156354876238985</v>
      </c>
      <c r="GL710">
        <v>0.14748101845849892</v>
      </c>
      <c r="GM710">
        <v>0.26183540241601705</v>
      </c>
      <c r="GN710">
        <v>0.47171153288079981</v>
      </c>
      <c r="GO710">
        <v>0.20987613046478273</v>
      </c>
      <c r="GP710">
        <v>0</v>
      </c>
      <c r="GQ710">
        <v>0.90739586192571098</v>
      </c>
      <c r="GR710">
        <v>0.90739586192571098</v>
      </c>
      <c r="GS710">
        <v>0</v>
      </c>
      <c r="GT710">
        <v>0.40213418871378015</v>
      </c>
      <c r="GU710"/>
      <c r="GV710"/>
      <c r="GW710"/>
      <c r="GX710"/>
      <c r="GY710"/>
      <c r="GZ710"/>
      <c r="HA710"/>
      <c r="HB710"/>
      <c r="HC710"/>
    </row>
    <row r="711" spans="1:211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3.3187500000000001</v>
      </c>
      <c r="AO711">
        <v>0.36933543170493055</v>
      </c>
      <c r="AP711">
        <v>8.673854228482746</v>
      </c>
      <c r="AQ711">
        <v>2.8900753011613833</v>
      </c>
      <c r="AR711">
        <v>0.39085603709800781</v>
      </c>
      <c r="AS711">
        <v>2.178473900727607</v>
      </c>
      <c r="AT711" t="e">
        <v>#DIV/0!</v>
      </c>
      <c r="AU711" t="e">
        <v>#DIV/0!</v>
      </c>
      <c r="AV711"/>
      <c r="AW711"/>
      <c r="FY711" s="211">
        <v>706</v>
      </c>
      <c r="FZ711">
        <v>0.95375293783929904</v>
      </c>
      <c r="GA711">
        <v>0.38735017759921181</v>
      </c>
      <c r="GB711">
        <v>0.12565184548559416</v>
      </c>
      <c r="GC711">
        <v>6.9638549917922385E-2</v>
      </c>
      <c r="GD711">
        <v>0</v>
      </c>
      <c r="GE711">
        <v>0</v>
      </c>
      <c r="GF711">
        <v>0.33021050058332063</v>
      </c>
      <c r="GG711">
        <v>0.29759236750664797</v>
      </c>
      <c r="GH711">
        <v>0</v>
      </c>
      <c r="GI711">
        <v>0.23618069589509844</v>
      </c>
      <c r="GJ711"/>
      <c r="GK711">
        <v>0.95982600812399177</v>
      </c>
      <c r="GL711">
        <v>0.33331521555783822</v>
      </c>
      <c r="GM711">
        <v>0.20987613046478273</v>
      </c>
      <c r="GN711">
        <v>0.20987613046478273</v>
      </c>
      <c r="GO711">
        <v>0</v>
      </c>
      <c r="GP711">
        <v>0</v>
      </c>
      <c r="GQ711">
        <v>0.45369793096285549</v>
      </c>
      <c r="GR711">
        <v>0.45369793096285549</v>
      </c>
      <c r="GS711">
        <v>0</v>
      </c>
      <c r="GT711">
        <v>0.32468001391032597</v>
      </c>
      <c r="GU711"/>
      <c r="GV711"/>
      <c r="GW711"/>
      <c r="GX711"/>
      <c r="GY711"/>
      <c r="GZ711"/>
      <c r="HA711"/>
      <c r="HB711"/>
      <c r="HC711"/>
    </row>
    <row r="712" spans="1:211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2.9281249999999996</v>
      </c>
      <c r="AO712">
        <v>0.41162140475221315</v>
      </c>
      <c r="AP712">
        <v>12.839798262417656</v>
      </c>
      <c r="AQ712">
        <v>3.4184454937896289</v>
      </c>
      <c r="AR712">
        <v>0.42156534543172081</v>
      </c>
      <c r="AS712">
        <v>2.1223921707240385</v>
      </c>
      <c r="AT712" t="e">
        <v>#DIV/0!</v>
      </c>
      <c r="AU712" t="e">
        <v>#DIV/0!</v>
      </c>
      <c r="AV712"/>
      <c r="AW712"/>
      <c r="FY712" s="211">
        <v>707</v>
      </c>
      <c r="FZ712">
        <v>0.61265208219448808</v>
      </c>
      <c r="GA712">
        <v>8.725047411847664E-2</v>
      </c>
      <c r="GB712">
        <v>7.9203986612074825E-2</v>
      </c>
      <c r="GC712">
        <v>7.8958100610881349E-2</v>
      </c>
      <c r="GD712">
        <v>2.6724553773673727E-2</v>
      </c>
      <c r="GE712">
        <v>0</v>
      </c>
      <c r="GF712">
        <v>0</v>
      </c>
      <c r="GG712">
        <v>0</v>
      </c>
      <c r="GH712">
        <v>0</v>
      </c>
      <c r="GI712">
        <v>0.12562057855878772</v>
      </c>
      <c r="GJ712"/>
      <c r="GK712">
        <v>0.61442208362047024</v>
      </c>
      <c r="GL712">
        <v>7.3740509229249462E-2</v>
      </c>
      <c r="GM712">
        <v>0.13091770120800852</v>
      </c>
      <c r="GN712">
        <v>0.23585576644039991</v>
      </c>
      <c r="GO712">
        <v>0.10493806523239137</v>
      </c>
      <c r="GP712">
        <v>0</v>
      </c>
      <c r="GQ712">
        <v>0</v>
      </c>
      <c r="GR712">
        <v>0</v>
      </c>
      <c r="GS712">
        <v>0</v>
      </c>
      <c r="GT712">
        <v>0.17005557001217403</v>
      </c>
      <c r="GU712"/>
      <c r="GV712"/>
      <c r="GW712"/>
      <c r="GX712"/>
      <c r="GY712"/>
      <c r="GZ712"/>
      <c r="HA712"/>
      <c r="HB712"/>
      <c r="HC712"/>
    </row>
    <row r="713" spans="1:211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2.3489583333333326</v>
      </c>
      <c r="AO713">
        <v>0.26884487866973955</v>
      </c>
      <c r="AP713">
        <v>10.706928030107008</v>
      </c>
      <c r="AQ713">
        <v>1.8346225134932908</v>
      </c>
      <c r="AR713">
        <v>0.285879741600018</v>
      </c>
      <c r="AS713">
        <v>1.6507644418901595</v>
      </c>
      <c r="AT713" t="e">
        <v>#DIV/0!</v>
      </c>
      <c r="AU713" t="e">
        <v>#DIV/0!</v>
      </c>
      <c r="AV713"/>
      <c r="AW713"/>
      <c r="FY713" s="211">
        <v>708</v>
      </c>
      <c r="FZ713">
        <v>1.1770391882480384</v>
      </c>
      <c r="GA713">
        <v>0.77470035519842362</v>
      </c>
      <c r="GB713">
        <v>0.28405981870974384</v>
      </c>
      <c r="GC713">
        <v>0.1579162012217627</v>
      </c>
      <c r="GD713">
        <v>0</v>
      </c>
      <c r="GE713">
        <v>0</v>
      </c>
      <c r="GF713">
        <v>0.66042100116664126</v>
      </c>
      <c r="GG713">
        <v>0.59518473501329594</v>
      </c>
      <c r="GH713">
        <v>0</v>
      </c>
      <c r="GI713">
        <v>0.37203882533912169</v>
      </c>
      <c r="GJ713"/>
      <c r="GK713">
        <v>1.1871988071602724</v>
      </c>
      <c r="GL713">
        <v>0.66663043111567644</v>
      </c>
      <c r="GM713">
        <v>0.47171153288079981</v>
      </c>
      <c r="GN713">
        <v>0.47171153288079981</v>
      </c>
      <c r="GO713">
        <v>0</v>
      </c>
      <c r="GP713">
        <v>0</v>
      </c>
      <c r="GQ713">
        <v>0.90739586192571098</v>
      </c>
      <c r="GR713">
        <v>0.90739586192571098</v>
      </c>
      <c r="GS713">
        <v>0</v>
      </c>
      <c r="GT713">
        <v>0.51326124039335663</v>
      </c>
      <c r="GU713"/>
      <c r="GV713"/>
      <c r="GW713"/>
      <c r="GX713"/>
      <c r="GY713"/>
      <c r="GZ713"/>
      <c r="HA713"/>
      <c r="HB713"/>
      <c r="HC713"/>
    </row>
    <row r="714" spans="1:211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2.7489583333333334</v>
      </c>
      <c r="AO714">
        <v>0.39014381349877997</v>
      </c>
      <c r="AP714">
        <v>7.3997452596075659</v>
      </c>
      <c r="AQ714">
        <v>3.4289430079776366</v>
      </c>
      <c r="AR714">
        <v>0.40929343190151701</v>
      </c>
      <c r="AS714">
        <v>2.1529808924931517</v>
      </c>
      <c r="AT714" t="e">
        <v>#DIV/0!</v>
      </c>
      <c r="AU714" t="e">
        <v>#DIV/0!</v>
      </c>
      <c r="AV714"/>
      <c r="AW714"/>
      <c r="FY714" s="211">
        <v>709</v>
      </c>
      <c r="FZ714">
        <v>1.3038962112163826</v>
      </c>
      <c r="GA714">
        <v>0.38735017759921181</v>
      </c>
      <c r="GB714">
        <v>6.282592274279708E-2</v>
      </c>
      <c r="GC714">
        <v>6.9638549917922385E-2</v>
      </c>
      <c r="GD714">
        <v>2.6724553773673727E-2</v>
      </c>
      <c r="GE714">
        <v>0</v>
      </c>
      <c r="GF714">
        <v>0.66042100116664126</v>
      </c>
      <c r="GG714">
        <v>0.59518473501329594</v>
      </c>
      <c r="GH714">
        <v>0</v>
      </c>
      <c r="GI714">
        <v>0.35201084259259685</v>
      </c>
      <c r="GJ714"/>
      <c r="GK714">
        <v>1.3148471733594962</v>
      </c>
      <c r="GL714">
        <v>0.33331521555783822</v>
      </c>
      <c r="GM714">
        <v>0.10493806523239137</v>
      </c>
      <c r="GN714">
        <v>0.20987613046478273</v>
      </c>
      <c r="GO714">
        <v>0.10493806523239137</v>
      </c>
      <c r="GP714">
        <v>0</v>
      </c>
      <c r="GQ714">
        <v>0.90739586192571098</v>
      </c>
      <c r="GR714">
        <v>0.90739586192571098</v>
      </c>
      <c r="GS714">
        <v>0</v>
      </c>
      <c r="GT714">
        <v>0.48642383314999804</v>
      </c>
      <c r="GU714"/>
      <c r="GV714"/>
      <c r="GW714"/>
      <c r="GX714"/>
      <c r="GY714"/>
      <c r="GZ714"/>
      <c r="HA714"/>
      <c r="HB714"/>
      <c r="HC714"/>
    </row>
    <row r="715" spans="1:211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2.4666666666666663</v>
      </c>
      <c r="AO715">
        <v>0.3684636740505644</v>
      </c>
      <c r="AP715">
        <v>14.186219420614197</v>
      </c>
      <c r="AQ715">
        <v>2.7542218418902467</v>
      </c>
      <c r="AR715">
        <v>0.37453891444041837</v>
      </c>
      <c r="AS715">
        <v>2.0450960438051848</v>
      </c>
      <c r="AT715" t="e">
        <v>#DIV/0!</v>
      </c>
      <c r="AU715" t="e">
        <v>#DIV/0!</v>
      </c>
      <c r="AV715"/>
      <c r="AW715"/>
      <c r="FY715" s="211">
        <v>710</v>
      </c>
      <c r="FZ715">
        <v>1.239330321966847</v>
      </c>
      <c r="GA715">
        <v>0.38735017759921181</v>
      </c>
      <c r="GB715">
        <v>7.9203986612074825E-2</v>
      </c>
      <c r="GC715">
        <v>0.11377737556984255</v>
      </c>
      <c r="GD715">
        <v>5.3449107547347455E-2</v>
      </c>
      <c r="GE715">
        <v>0</v>
      </c>
      <c r="GF715">
        <v>0</v>
      </c>
      <c r="GG715">
        <v>0</v>
      </c>
      <c r="GH715">
        <v>0</v>
      </c>
      <c r="GI715">
        <v>0.23379158856771884</v>
      </c>
      <c r="GJ715"/>
      <c r="GK715">
        <v>1.2470841475351562</v>
      </c>
      <c r="GL715">
        <v>0.33331521555783822</v>
      </c>
      <c r="GM715">
        <v>0.13091770120800852</v>
      </c>
      <c r="GN715">
        <v>0.34079383167279126</v>
      </c>
      <c r="GO715">
        <v>0.20987613046478273</v>
      </c>
      <c r="GP715">
        <v>0</v>
      </c>
      <c r="GQ715">
        <v>0</v>
      </c>
      <c r="GR715">
        <v>0</v>
      </c>
      <c r="GS715">
        <v>0</v>
      </c>
      <c r="GT715">
        <v>0.31757559584158945</v>
      </c>
      <c r="GU715"/>
      <c r="GV715"/>
      <c r="GW715"/>
      <c r="GX715"/>
      <c r="GY715"/>
      <c r="GZ715"/>
      <c r="HA715"/>
      <c r="HB715"/>
      <c r="HC715"/>
    </row>
    <row r="716" spans="1:211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2.5239583333333337</v>
      </c>
      <c r="AO716">
        <v>0.2200891836856082</v>
      </c>
      <c r="AP716">
        <v>3.2491559678087074</v>
      </c>
      <c r="AQ716">
        <v>1.9106491410528512</v>
      </c>
      <c r="AR716">
        <v>0.25966339093809909</v>
      </c>
      <c r="AS716">
        <v>1.8609666668426663</v>
      </c>
      <c r="AT716" t="e">
        <v>#DIV/0!</v>
      </c>
      <c r="AU716" t="e">
        <v>#DIV/0!</v>
      </c>
      <c r="AV716"/>
      <c r="AW716"/>
      <c r="FY716" s="211">
        <v>711</v>
      </c>
      <c r="FZ716">
        <v>1.2026052412719599</v>
      </c>
      <c r="GA716">
        <v>0.56185112583616514</v>
      </c>
      <c r="GB716">
        <v>0.204855832097669</v>
      </c>
      <c r="GC716">
        <v>0.14859665052880375</v>
      </c>
      <c r="GD716">
        <v>2.6724553773673727E-2</v>
      </c>
      <c r="GE716">
        <v>0</v>
      </c>
      <c r="GF716">
        <v>0</v>
      </c>
      <c r="GG716">
        <v>0</v>
      </c>
      <c r="GH716">
        <v>0</v>
      </c>
      <c r="GI716">
        <v>0.24395905444535165</v>
      </c>
      <c r="GJ716"/>
      <c r="GK716">
        <v>1.2051580826351742</v>
      </c>
      <c r="GL716">
        <v>0.48079623401633714</v>
      </c>
      <c r="GM716">
        <v>0.34079383167279126</v>
      </c>
      <c r="GN716">
        <v>0.44573189690518267</v>
      </c>
      <c r="GO716">
        <v>0.10493806523239137</v>
      </c>
      <c r="GP716">
        <v>0</v>
      </c>
      <c r="GQ716">
        <v>0</v>
      </c>
      <c r="GR716">
        <v>0</v>
      </c>
      <c r="GS716">
        <v>0</v>
      </c>
      <c r="GT716">
        <v>0.3301779959080714</v>
      </c>
      <c r="GU716"/>
      <c r="GV716"/>
      <c r="GW716"/>
      <c r="GX716"/>
      <c r="GY716"/>
      <c r="GZ716"/>
      <c r="HA716"/>
      <c r="HB716"/>
      <c r="HC716"/>
    </row>
    <row r="717" spans="1:211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1.8177083333333333</v>
      </c>
      <c r="AO717">
        <v>0.28925010268771201</v>
      </c>
      <c r="AP717">
        <v>15.187067124026395</v>
      </c>
      <c r="AQ717">
        <v>2.0016703337039194</v>
      </c>
      <c r="AR717">
        <v>0.29154156641850149</v>
      </c>
      <c r="AS717">
        <v>1.379903988096119</v>
      </c>
      <c r="AT717" t="e">
        <v>#DIV/0!</v>
      </c>
      <c r="AU717" t="e">
        <v>#DIV/0!</v>
      </c>
      <c r="AV717"/>
      <c r="AW717"/>
      <c r="FY717" s="211">
        <v>712</v>
      </c>
      <c r="FZ717">
        <v>1.1262103583993728</v>
      </c>
      <c r="GA717">
        <v>0.64910159995464167</v>
      </c>
      <c r="GB717">
        <v>6.282592274279708E-2</v>
      </c>
      <c r="GC717">
        <v>6.9638549917922385E-2</v>
      </c>
      <c r="GD717">
        <v>2.6724553773673727E-2</v>
      </c>
      <c r="GE717">
        <v>0</v>
      </c>
      <c r="GF717">
        <v>0.33021050058332063</v>
      </c>
      <c r="GG717">
        <v>0.29759236750664797</v>
      </c>
      <c r="GH717">
        <v>0</v>
      </c>
      <c r="GI717">
        <v>0.26174428669087824</v>
      </c>
      <c r="GJ717"/>
      <c r="GK717">
        <v>1.1322563238468064</v>
      </c>
      <c r="GL717">
        <v>0.55453674324558655</v>
      </c>
      <c r="GM717">
        <v>0.10493806523239137</v>
      </c>
      <c r="GN717">
        <v>0.20987613046478273</v>
      </c>
      <c r="GO717">
        <v>0.10493806523239137</v>
      </c>
      <c r="GP717">
        <v>0</v>
      </c>
      <c r="GQ717">
        <v>0.45369793096285549</v>
      </c>
      <c r="GR717">
        <v>0.45369793096285549</v>
      </c>
      <c r="GS717">
        <v>0</v>
      </c>
      <c r="GT717">
        <v>0.3591660770548889</v>
      </c>
      <c r="GU717"/>
      <c r="GV717"/>
      <c r="GW717"/>
      <c r="GX717"/>
      <c r="GY717"/>
      <c r="GZ717"/>
      <c r="HA717"/>
      <c r="HB717"/>
      <c r="HC717"/>
    </row>
    <row r="718" spans="1:211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2.0572916666666665</v>
      </c>
      <c r="AO718">
        <v>0.1340619223446676</v>
      </c>
      <c r="AP718">
        <v>3.2604791282817676</v>
      </c>
      <c r="AQ718">
        <v>0.91614384786803849</v>
      </c>
      <c r="AR718">
        <v>0.1543474804241059</v>
      </c>
      <c r="AS718">
        <v>1.1331882781111406</v>
      </c>
      <c r="AT718" t="e">
        <v>#DIV/0!</v>
      </c>
      <c r="AU718" t="e">
        <v>#DIV/0!</v>
      </c>
      <c r="AV718"/>
      <c r="AW718"/>
      <c r="FY718" s="211">
        <v>713</v>
      </c>
      <c r="FZ718">
        <v>1.0927669888663281</v>
      </c>
      <c r="GA718">
        <v>0.64910159995464167</v>
      </c>
      <c r="GB718">
        <v>7.9203986612074825E-2</v>
      </c>
      <c r="GC718">
        <v>4.4138825651920163E-2</v>
      </c>
      <c r="GD718">
        <v>0</v>
      </c>
      <c r="GE718">
        <v>0</v>
      </c>
      <c r="GF718">
        <v>0.33021050058332063</v>
      </c>
      <c r="GG718">
        <v>0.29759236750664797</v>
      </c>
      <c r="GH718">
        <v>0</v>
      </c>
      <c r="GI718">
        <v>0.24536474078583617</v>
      </c>
      <c r="GJ718"/>
      <c r="GK718">
        <v>1.095822452950372</v>
      </c>
      <c r="GL718">
        <v>0.55453674324558655</v>
      </c>
      <c r="GM718">
        <v>0.13091770120800852</v>
      </c>
      <c r="GN718">
        <v>0.13091770120800852</v>
      </c>
      <c r="GO718">
        <v>0</v>
      </c>
      <c r="GP718">
        <v>0</v>
      </c>
      <c r="GQ718">
        <v>0.45369793096285549</v>
      </c>
      <c r="GR718">
        <v>0.45369793096285549</v>
      </c>
      <c r="GS718">
        <v>0</v>
      </c>
      <c r="GT718">
        <v>0.33608761702424716</v>
      </c>
      <c r="GU718"/>
      <c r="GV718"/>
      <c r="GW718"/>
      <c r="GX718"/>
      <c r="GY718"/>
      <c r="GZ718"/>
      <c r="HA718"/>
      <c r="HB718"/>
      <c r="HC718"/>
    </row>
    <row r="719" spans="1:211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3.2760416666666665</v>
      </c>
      <c r="AO719">
        <v>0.268283355090772</v>
      </c>
      <c r="AP719">
        <v>4.616888381159054</v>
      </c>
      <c r="AQ719">
        <v>1.8023590435981804</v>
      </c>
      <c r="AR719">
        <v>0.32558083571808416</v>
      </c>
      <c r="AS719">
        <v>2.0506350184745221</v>
      </c>
      <c r="AT719" t="e">
        <v>#DIV/0!</v>
      </c>
      <c r="AU719" t="e">
        <v>#DIV/0!</v>
      </c>
      <c r="AV719"/>
      <c r="AW719"/>
      <c r="FY719" s="211">
        <v>714</v>
      </c>
      <c r="FZ719">
        <v>1.0310355670096003</v>
      </c>
      <c r="GA719">
        <v>8.725047411847664E-2</v>
      </c>
      <c r="GB719">
        <v>0.14202990935487192</v>
      </c>
      <c r="GC719">
        <v>7.8958100610881349E-2</v>
      </c>
      <c r="GD719">
        <v>0</v>
      </c>
      <c r="GE719">
        <v>0</v>
      </c>
      <c r="GF719">
        <v>0</v>
      </c>
      <c r="GG719">
        <v>0</v>
      </c>
      <c r="GH719">
        <v>0</v>
      </c>
      <c r="GI719">
        <v>0.18758302386150788</v>
      </c>
      <c r="GJ719"/>
      <c r="GK719">
        <v>1.0346040465898787</v>
      </c>
      <c r="GL719">
        <v>7.3740509229249462E-2</v>
      </c>
      <c r="GM719">
        <v>0.23585576644039991</v>
      </c>
      <c r="GN719">
        <v>0.23585576644039991</v>
      </c>
      <c r="GO719">
        <v>0</v>
      </c>
      <c r="GP719">
        <v>0</v>
      </c>
      <c r="GQ719">
        <v>0</v>
      </c>
      <c r="GR719">
        <v>0</v>
      </c>
      <c r="GS719">
        <v>0</v>
      </c>
      <c r="GT719">
        <v>0.25409196260605571</v>
      </c>
      <c r="GU719"/>
      <c r="GV719"/>
      <c r="GW719"/>
      <c r="GX719"/>
      <c r="GY719"/>
      <c r="GZ719"/>
      <c r="HA719"/>
      <c r="HB719"/>
      <c r="HC719"/>
    </row>
    <row r="720" spans="1:211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2.8833333333333333</v>
      </c>
      <c r="AO720">
        <v>0.27320877670940991</v>
      </c>
      <c r="AP720">
        <v>6.7329608886912284</v>
      </c>
      <c r="AQ720">
        <v>2.1556963121103738</v>
      </c>
      <c r="AR720">
        <v>0.32117683644257683</v>
      </c>
      <c r="AS720">
        <v>1.9449038663049103</v>
      </c>
      <c r="AT720" t="e">
        <v>#DIV/0!</v>
      </c>
      <c r="AU720" t="e">
        <v>#DIV/0!</v>
      </c>
      <c r="AV720"/>
      <c r="AW720"/>
      <c r="FY720" s="211">
        <v>715</v>
      </c>
      <c r="FZ720">
        <v>1.0349013972191514</v>
      </c>
      <c r="GA720">
        <v>0.47460065171768845</v>
      </c>
      <c r="GB720">
        <v>6.282592274279708E-2</v>
      </c>
      <c r="GC720">
        <v>6.9638549917922385E-2</v>
      </c>
      <c r="GD720">
        <v>2.6724553773673727E-2</v>
      </c>
      <c r="GE720">
        <v>0</v>
      </c>
      <c r="GF720">
        <v>0.99063150174996206</v>
      </c>
      <c r="GG720">
        <v>0.89277710251994391</v>
      </c>
      <c r="GH720">
        <v>0</v>
      </c>
      <c r="GI720">
        <v>0.37643899814811244</v>
      </c>
      <c r="GJ720"/>
      <c r="GK720">
        <v>1.0381828973672764</v>
      </c>
      <c r="GL720">
        <v>0.40705572478708768</v>
      </c>
      <c r="GM720">
        <v>0.10493806523239137</v>
      </c>
      <c r="GN720">
        <v>0.20987613046478273</v>
      </c>
      <c r="GO720">
        <v>0.10493806523239137</v>
      </c>
      <c r="GP720">
        <v>0</v>
      </c>
      <c r="GQ720">
        <v>1.3610937928885667</v>
      </c>
      <c r="GR720">
        <v>1.3610937928885667</v>
      </c>
      <c r="GS720">
        <v>0</v>
      </c>
      <c r="GT720">
        <v>0.52183056414412521</v>
      </c>
      <c r="GU720"/>
      <c r="GV720"/>
      <c r="GW720"/>
      <c r="GX720"/>
      <c r="GY720"/>
      <c r="GZ720"/>
      <c r="HA720"/>
      <c r="HB720"/>
      <c r="HC720"/>
    </row>
    <row r="721" spans="1:211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2.6770833333333335</v>
      </c>
      <c r="AO721">
        <v>0.39393935455476903</v>
      </c>
      <c r="AP721">
        <v>15.988133671190621</v>
      </c>
      <c r="AQ721">
        <v>2.7240509382497349</v>
      </c>
      <c r="AR721">
        <v>0.40213418871378015</v>
      </c>
      <c r="AS721">
        <v>2.2421456818020151</v>
      </c>
      <c r="AT721" t="e">
        <v>#DIV/0!</v>
      </c>
      <c r="AU721" t="e">
        <v>#DIV/0!</v>
      </c>
      <c r="AV721"/>
      <c r="AW721"/>
      <c r="FY721" s="211">
        <v>716</v>
      </c>
      <c r="FZ721">
        <v>0.50635162556277413</v>
      </c>
      <c r="GA721">
        <v>0</v>
      </c>
      <c r="GB721">
        <v>7.9203986612074825E-2</v>
      </c>
      <c r="GC721">
        <v>4.4138825651920163E-2</v>
      </c>
      <c r="GD721">
        <v>0</v>
      </c>
      <c r="GE721">
        <v>0</v>
      </c>
      <c r="GF721">
        <v>0</v>
      </c>
      <c r="GG721">
        <v>0</v>
      </c>
      <c r="GH721">
        <v>0</v>
      </c>
      <c r="GI721">
        <v>9.4485381273590074E-2</v>
      </c>
      <c r="GJ721"/>
      <c r="GK721">
        <v>0.50545595904993712</v>
      </c>
      <c r="GL721">
        <v>0</v>
      </c>
      <c r="GM721">
        <v>0.13091770120800852</v>
      </c>
      <c r="GN721">
        <v>0.13091770120800852</v>
      </c>
      <c r="GO721">
        <v>0</v>
      </c>
      <c r="GP721">
        <v>0</v>
      </c>
      <c r="GQ721">
        <v>0</v>
      </c>
      <c r="GR721">
        <v>0</v>
      </c>
      <c r="GS721">
        <v>0</v>
      </c>
      <c r="GT721">
        <v>0.12727473205158912</v>
      </c>
      <c r="GU721"/>
      <c r="GV721"/>
      <c r="GW721"/>
      <c r="GX721"/>
      <c r="GY721"/>
      <c r="GZ721"/>
      <c r="HA721"/>
      <c r="HB721"/>
      <c r="HC721"/>
    </row>
    <row r="722" spans="1:211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1.675</v>
      </c>
      <c r="AO722">
        <v>0.29449693604474325</v>
      </c>
      <c r="AP722">
        <v>10.37312731687093</v>
      </c>
      <c r="AQ722">
        <v>2.4003770748270945</v>
      </c>
      <c r="AR722">
        <v>0.32468001391032597</v>
      </c>
      <c r="AS722">
        <v>1.6849544468358968</v>
      </c>
      <c r="AT722" t="e">
        <v>#DIV/0!</v>
      </c>
      <c r="AU722" t="e">
        <v>#DIV/0!</v>
      </c>
      <c r="AV722"/>
      <c r="AW722"/>
      <c r="FY722" s="211">
        <v>717</v>
      </c>
      <c r="FZ722">
        <v>1.4813416737183385</v>
      </c>
      <c r="GA722">
        <v>0.77470035519842362</v>
      </c>
      <c r="GB722">
        <v>7.9203986612074825E-2</v>
      </c>
      <c r="GC722">
        <v>7.8958100610881349E-2</v>
      </c>
      <c r="GD722">
        <v>2.6724553773673727E-2</v>
      </c>
      <c r="GE722">
        <v>0</v>
      </c>
      <c r="GF722">
        <v>0</v>
      </c>
      <c r="GG722">
        <v>0</v>
      </c>
      <c r="GH722">
        <v>0</v>
      </c>
      <c r="GI722">
        <v>0.25414718613274412</v>
      </c>
      <c r="GJ722"/>
      <c r="GK722">
        <v>1.4911100606868848</v>
      </c>
      <c r="GL722">
        <v>0.66663043111567644</v>
      </c>
      <c r="GM722">
        <v>0.13091770120800852</v>
      </c>
      <c r="GN722">
        <v>0.23585576644039991</v>
      </c>
      <c r="GO722">
        <v>0.10493806523239137</v>
      </c>
      <c r="GP722">
        <v>0</v>
      </c>
      <c r="GQ722">
        <v>0</v>
      </c>
      <c r="GR722">
        <v>0</v>
      </c>
      <c r="GS722">
        <v>0</v>
      </c>
      <c r="GT722">
        <v>0.34539316542545695</v>
      </c>
      <c r="GU722"/>
      <c r="GV722"/>
      <c r="GW722"/>
      <c r="GX722"/>
      <c r="GY722"/>
      <c r="GZ722"/>
      <c r="HA722"/>
      <c r="HB722"/>
      <c r="HC722"/>
    </row>
    <row r="723" spans="1:211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1.5052083333333333</v>
      </c>
      <c r="AO723">
        <v>0.13299296957426937</v>
      </c>
      <c r="AP723">
        <v>1.671898527423213</v>
      </c>
      <c r="AQ723">
        <v>1.0104097758683825</v>
      </c>
      <c r="AR723">
        <v>0.17005557001217406</v>
      </c>
      <c r="AS723">
        <v>1.2236889717119355</v>
      </c>
      <c r="AT723" t="e">
        <v>#DIV/0!</v>
      </c>
      <c r="AU723" t="e">
        <v>#DIV/0!</v>
      </c>
      <c r="AV723"/>
      <c r="AW723"/>
      <c r="FY723" s="211">
        <v>718</v>
      </c>
      <c r="FZ723">
        <v>1.7440794806500595</v>
      </c>
      <c r="GA723">
        <v>1.5494007103968472</v>
      </c>
      <c r="GB723">
        <v>6.282592274279708E-2</v>
      </c>
      <c r="GC723">
        <v>3.4819274958961192E-2</v>
      </c>
      <c r="GD723">
        <v>0</v>
      </c>
      <c r="GE723">
        <v>0</v>
      </c>
      <c r="GF723">
        <v>0.66042100116664126</v>
      </c>
      <c r="GG723">
        <v>0.59518473501329594</v>
      </c>
      <c r="GH723">
        <v>0</v>
      </c>
      <c r="GI723">
        <v>0.40155006910979762</v>
      </c>
      <c r="GJ723"/>
      <c r="GK723">
        <v>1.7634994243740736</v>
      </c>
      <c r="GL723">
        <v>1.3332608622313529</v>
      </c>
      <c r="GM723">
        <v>0.10493806523239137</v>
      </c>
      <c r="GN723">
        <v>0.10493806523239137</v>
      </c>
      <c r="GO723">
        <v>0</v>
      </c>
      <c r="GP723">
        <v>0</v>
      </c>
      <c r="GQ723">
        <v>0.90739586192571098</v>
      </c>
      <c r="GR723">
        <v>0.90739586192571098</v>
      </c>
      <c r="GS723">
        <v>0</v>
      </c>
      <c r="GT723">
        <v>0.55516667030643518</v>
      </c>
      <c r="GU723"/>
      <c r="GV723"/>
      <c r="GW723"/>
      <c r="GX723"/>
      <c r="GY723"/>
      <c r="GZ723"/>
      <c r="HA723"/>
      <c r="HB723"/>
      <c r="HC723"/>
    </row>
    <row r="724" spans="1:211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3.0687500000000001</v>
      </c>
      <c r="AO724">
        <v>0.51253052682823275</v>
      </c>
      <c r="AP724">
        <v>20.604113128286773</v>
      </c>
      <c r="AQ724">
        <v>4.0213601248970265</v>
      </c>
      <c r="AR724">
        <v>0.51326124039335663</v>
      </c>
      <c r="AS724">
        <v>2.492456953396962</v>
      </c>
      <c r="AT724" t="e">
        <v>#DIV/0!</v>
      </c>
      <c r="AU724" t="e">
        <v>#DIV/0!</v>
      </c>
      <c r="AV724"/>
      <c r="AW724"/>
      <c r="FY724" s="211">
        <v>719</v>
      </c>
      <c r="FZ724">
        <v>1.517396088546213</v>
      </c>
      <c r="GA724">
        <v>0.77470035519842362</v>
      </c>
      <c r="GB724">
        <v>6.282592274279708E-2</v>
      </c>
      <c r="GC724">
        <v>6.9638549917922385E-2</v>
      </c>
      <c r="GD724">
        <v>2.6724553773673727E-2</v>
      </c>
      <c r="GE724">
        <v>0</v>
      </c>
      <c r="GF724">
        <v>0.33021050058332063</v>
      </c>
      <c r="GG724">
        <v>0.29759236750664797</v>
      </c>
      <c r="GH724">
        <v>0</v>
      </c>
      <c r="GI724">
        <v>0.31962508370871567</v>
      </c>
      <c r="GJ724"/>
      <c r="GK724">
        <v>1.526939811341733</v>
      </c>
      <c r="GL724">
        <v>0.66663043111567644</v>
      </c>
      <c r="GM724">
        <v>0.10493806523239137</v>
      </c>
      <c r="GN724">
        <v>0.20987613046478273</v>
      </c>
      <c r="GO724">
        <v>0.10493806523239137</v>
      </c>
      <c r="GP724">
        <v>0</v>
      </c>
      <c r="GQ724">
        <v>0.45369793096285549</v>
      </c>
      <c r="GR724">
        <v>0.45369793096285549</v>
      </c>
      <c r="GS724">
        <v>0</v>
      </c>
      <c r="GT724">
        <v>0.43810277455387425</v>
      </c>
      <c r="GU724"/>
      <c r="GV724"/>
      <c r="GW724"/>
      <c r="GX724"/>
      <c r="GY724"/>
      <c r="GZ724"/>
      <c r="HA724"/>
      <c r="HB724"/>
      <c r="HC724"/>
    </row>
    <row r="725" spans="1:211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1.9145833333333333</v>
      </c>
      <c r="AO725">
        <v>0.43691302068483201</v>
      </c>
      <c r="AP725">
        <v>15.438585194031276</v>
      </c>
      <c r="AQ725">
        <v>3.4580519940225218</v>
      </c>
      <c r="AR725">
        <v>0.48642383314999804</v>
      </c>
      <c r="AS725">
        <v>2.1063043585117103</v>
      </c>
      <c r="AT725" t="e">
        <v>#DIV/0!</v>
      </c>
      <c r="AU725" t="e">
        <v>#DIV/0!</v>
      </c>
      <c r="AV725"/>
      <c r="AW725"/>
      <c r="FY725" s="211">
        <v>720</v>
      </c>
      <c r="FZ725">
        <v>0.68108792931780937</v>
      </c>
      <c r="GA725">
        <v>8.725047411847664E-2</v>
      </c>
      <c r="GB725">
        <v>0.14202990935487192</v>
      </c>
      <c r="GC725">
        <v>0.14859665052880375</v>
      </c>
      <c r="GD725">
        <v>5.3449107547347455E-2</v>
      </c>
      <c r="GE725">
        <v>0</v>
      </c>
      <c r="GF725">
        <v>0.33021050058332063</v>
      </c>
      <c r="GG725">
        <v>0.29759236750664797</v>
      </c>
      <c r="GH725">
        <v>0</v>
      </c>
      <c r="GI725">
        <v>0.23083999962544963</v>
      </c>
      <c r="GJ725"/>
      <c r="GK725">
        <v>0.67991838454512243</v>
      </c>
      <c r="GL725">
        <v>7.3740509229249462E-2</v>
      </c>
      <c r="GM725">
        <v>0.23585576644039991</v>
      </c>
      <c r="GN725">
        <v>0.44573189690518267</v>
      </c>
      <c r="GO725">
        <v>0.20987613046478273</v>
      </c>
      <c r="GP725">
        <v>0</v>
      </c>
      <c r="GQ725">
        <v>0.45369793096285549</v>
      </c>
      <c r="GR725">
        <v>0.45369793096285549</v>
      </c>
      <c r="GS725">
        <v>0</v>
      </c>
      <c r="GT725">
        <v>0.31586964248263211</v>
      </c>
      <c r="GU725"/>
      <c r="GV725"/>
      <c r="GW725"/>
      <c r="GX725"/>
      <c r="GY725"/>
      <c r="GZ725"/>
      <c r="HA725"/>
      <c r="HB725"/>
      <c r="HC725"/>
    </row>
    <row r="726" spans="1:211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2.9718749999999998</v>
      </c>
      <c r="AO726">
        <v>0.25795626222801665</v>
      </c>
      <c r="AP726">
        <v>4.2230996202063293</v>
      </c>
      <c r="AQ726">
        <v>2.1069025578630427</v>
      </c>
      <c r="AR726">
        <v>0.31757559584158945</v>
      </c>
      <c r="AS726">
        <v>1.8521289952200304</v>
      </c>
      <c r="AT726" t="e">
        <v>#DIV/0!</v>
      </c>
      <c r="AU726" t="e">
        <v>#DIV/0!</v>
      </c>
      <c r="AV726"/>
      <c r="AW726"/>
      <c r="FY726" s="211">
        <v>721</v>
      </c>
      <c r="FZ726">
        <v>1.1034381458027327</v>
      </c>
      <c r="GA726">
        <v>0.47460065171768845</v>
      </c>
      <c r="GB726">
        <v>0.34688574145254092</v>
      </c>
      <c r="GC726">
        <v>0.2275547511396851</v>
      </c>
      <c r="GD726">
        <v>2.6724553773673727E-2</v>
      </c>
      <c r="GE726">
        <v>0</v>
      </c>
      <c r="GF726">
        <v>0.33021050058332063</v>
      </c>
      <c r="GG726">
        <v>0.29759236750664797</v>
      </c>
      <c r="GH726">
        <v>0</v>
      </c>
      <c r="GI726">
        <v>0.32810604347758537</v>
      </c>
      <c r="GJ726"/>
      <c r="GK726">
        <v>1.1090036331641129</v>
      </c>
      <c r="GL726">
        <v>0.40705572478708768</v>
      </c>
      <c r="GM726">
        <v>0.57664959811319116</v>
      </c>
      <c r="GN726">
        <v>0.68158766334558252</v>
      </c>
      <c r="GO726">
        <v>0.10493806523239137</v>
      </c>
      <c r="GP726">
        <v>0</v>
      </c>
      <c r="GQ726">
        <v>0.45369793096285549</v>
      </c>
      <c r="GR726">
        <v>0.45369793096285549</v>
      </c>
      <c r="GS726">
        <v>0</v>
      </c>
      <c r="GT726">
        <v>0.44885784549451019</v>
      </c>
      <c r="GU726"/>
      <c r="GV726"/>
      <c r="GW726"/>
      <c r="GX726"/>
      <c r="GY726"/>
      <c r="GZ726"/>
      <c r="HA726"/>
      <c r="HB726"/>
      <c r="HC726"/>
    </row>
    <row r="727" spans="1:211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3.8572916666666663</v>
      </c>
      <c r="AO727">
        <v>0.29075961063699479</v>
      </c>
      <c r="AP727">
        <v>6.0595100197690597</v>
      </c>
      <c r="AQ727">
        <v>2.3885924579536231</v>
      </c>
      <c r="AR727">
        <v>0.33017799590807129</v>
      </c>
      <c r="AS727">
        <v>2.2808450207715243</v>
      </c>
      <c r="AT727" t="e">
        <v>#DIV/0!</v>
      </c>
      <c r="AU727" t="e">
        <v>#DIV/0!</v>
      </c>
      <c r="AV727"/>
      <c r="AW727"/>
      <c r="FY727" s="211">
        <v>722</v>
      </c>
      <c r="FZ727">
        <v>1.0724480248365824</v>
      </c>
      <c r="GA727">
        <v>0.86195082931690026</v>
      </c>
      <c r="GB727">
        <v>0.204855832097669</v>
      </c>
      <c r="GC727">
        <v>0.14859665052880375</v>
      </c>
      <c r="GD727">
        <v>2.6724553773673727E-2</v>
      </c>
      <c r="GE727">
        <v>0</v>
      </c>
      <c r="GF727">
        <v>0</v>
      </c>
      <c r="GG727">
        <v>0</v>
      </c>
      <c r="GH727">
        <v>0</v>
      </c>
      <c r="GI727">
        <v>0.2245023497798368</v>
      </c>
      <c r="GJ727"/>
      <c r="GK727">
        <v>1.0805483207085878</v>
      </c>
      <c r="GL727">
        <v>0.7403709403449259</v>
      </c>
      <c r="GM727">
        <v>0.34079383167279126</v>
      </c>
      <c r="GN727">
        <v>0.44573189690518267</v>
      </c>
      <c r="GO727">
        <v>0.10493806523239137</v>
      </c>
      <c r="GP727">
        <v>0</v>
      </c>
      <c r="GQ727">
        <v>0</v>
      </c>
      <c r="GR727">
        <v>0</v>
      </c>
      <c r="GS727">
        <v>0</v>
      </c>
      <c r="GT727">
        <v>0.30525604352275404</v>
      </c>
      <c r="GU727"/>
      <c r="GV727"/>
      <c r="GW727"/>
      <c r="GX727"/>
      <c r="GY727"/>
      <c r="GZ727"/>
      <c r="HA727"/>
      <c r="HB727"/>
      <c r="HC727"/>
    </row>
    <row r="728" spans="1:211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2.1749999999999998</v>
      </c>
      <c r="AO728">
        <v>0.3373107267002558</v>
      </c>
      <c r="AP728">
        <v>8.1811550544129261</v>
      </c>
      <c r="AQ728">
        <v>2.8240481395692547</v>
      </c>
      <c r="AR728">
        <v>0.3591660770548889</v>
      </c>
      <c r="AS728">
        <v>1.9677993881505671</v>
      </c>
      <c r="AT728" t="e">
        <v>#DIV/0!</v>
      </c>
      <c r="AU728" t="e">
        <v>#DIV/0!</v>
      </c>
      <c r="AV728"/>
      <c r="AW728"/>
      <c r="FY728" s="211">
        <v>723</v>
      </c>
      <c r="FZ728">
        <v>0.96273624630085453</v>
      </c>
      <c r="GA728">
        <v>8.725047411847664E-2</v>
      </c>
      <c r="GB728">
        <v>0</v>
      </c>
      <c r="GC728">
        <v>0</v>
      </c>
      <c r="GD728">
        <v>0</v>
      </c>
      <c r="GE728">
        <v>0</v>
      </c>
      <c r="GF728">
        <v>0.33021050058332063</v>
      </c>
      <c r="GG728">
        <v>0.29759236750664797</v>
      </c>
      <c r="GH728">
        <v>0</v>
      </c>
      <c r="GI728">
        <v>0.20667644569987828</v>
      </c>
      <c r="GJ728"/>
      <c r="GK728">
        <v>0.96613601246052128</v>
      </c>
      <c r="GL728">
        <v>7.3740509229249462E-2</v>
      </c>
      <c r="GM728">
        <v>0</v>
      </c>
      <c r="GN728">
        <v>0</v>
      </c>
      <c r="GO728">
        <v>0</v>
      </c>
      <c r="GP728">
        <v>0</v>
      </c>
      <c r="GQ728">
        <v>0.45369793096285549</v>
      </c>
      <c r="GR728">
        <v>0.45369793096285549</v>
      </c>
      <c r="GS728">
        <v>0</v>
      </c>
      <c r="GT728">
        <v>0.28396678868467534</v>
      </c>
      <c r="GU728"/>
      <c r="GV728"/>
      <c r="GW728"/>
      <c r="GX728"/>
      <c r="GY728"/>
      <c r="GZ728"/>
      <c r="HA728"/>
      <c r="HB728"/>
      <c r="HC728"/>
    </row>
    <row r="729" spans="1:211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3.2322916666666659</v>
      </c>
      <c r="AO729">
        <v>0.31556780775619331</v>
      </c>
      <c r="AP729">
        <v>9.2520047015166949</v>
      </c>
      <c r="AQ729">
        <v>2.7383790099607697</v>
      </c>
      <c r="AR729">
        <v>0.33608761702424716</v>
      </c>
      <c r="AS729">
        <v>1.9476293971968324</v>
      </c>
      <c r="AT729" t="e">
        <v>#DIV/0!</v>
      </c>
      <c r="AU729" t="e">
        <v>#DIV/0!</v>
      </c>
      <c r="AV729"/>
      <c r="AW729"/>
      <c r="FY729" s="211">
        <v>724</v>
      </c>
      <c r="FZ729">
        <v>1.0859301648493938</v>
      </c>
      <c r="GA729">
        <v>0.47460065171768845</v>
      </c>
      <c r="GB729">
        <v>0.14202990935487192</v>
      </c>
      <c r="GC729">
        <v>0.11377737556984255</v>
      </c>
      <c r="GD729">
        <v>2.6724553773673727E-2</v>
      </c>
      <c r="GE729">
        <v>0</v>
      </c>
      <c r="GF729">
        <v>0</v>
      </c>
      <c r="GG729">
        <v>0</v>
      </c>
      <c r="GH729">
        <v>0</v>
      </c>
      <c r="GI729">
        <v>0.21120174131745467</v>
      </c>
      <c r="GJ729"/>
      <c r="GK729">
        <v>1.0886707159138327</v>
      </c>
      <c r="GL729">
        <v>0.40705572478708768</v>
      </c>
      <c r="GM729">
        <v>0.23585576644039991</v>
      </c>
      <c r="GN729">
        <v>0.34079383167279126</v>
      </c>
      <c r="GO729">
        <v>0.10493806523239137</v>
      </c>
      <c r="GP729">
        <v>0</v>
      </c>
      <c r="GQ729">
        <v>0</v>
      </c>
      <c r="GR729">
        <v>0</v>
      </c>
      <c r="GS729">
        <v>0</v>
      </c>
      <c r="GT729">
        <v>0.28589290951732482</v>
      </c>
      <c r="GU729"/>
      <c r="GV729"/>
      <c r="GW729"/>
      <c r="GX729"/>
      <c r="GY729"/>
      <c r="GZ729"/>
      <c r="HA729"/>
      <c r="HB729"/>
      <c r="HC729"/>
    </row>
    <row r="730" spans="1:211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2.5677083333333339</v>
      </c>
      <c r="AO730">
        <v>0.18341480513059838</v>
      </c>
      <c r="AP730">
        <v>2.9557150508553609</v>
      </c>
      <c r="AQ730">
        <v>1.5268570749553378</v>
      </c>
      <c r="AR730">
        <v>0.25409196260605571</v>
      </c>
      <c r="AS730">
        <v>1.6740327623269304</v>
      </c>
      <c r="AT730" t="e">
        <v>#DIV/0!</v>
      </c>
      <c r="AU730" t="e">
        <v>#DIV/0!</v>
      </c>
      <c r="AV730"/>
      <c r="AW730"/>
      <c r="FY730" s="211">
        <v>725</v>
      </c>
      <c r="FZ730">
        <v>1.3778898646883389</v>
      </c>
      <c r="GA730">
        <v>0.86195082931690026</v>
      </c>
      <c r="GB730">
        <v>0.204855832097669</v>
      </c>
      <c r="GC730">
        <v>0.11377737556984255</v>
      </c>
      <c r="GD730">
        <v>0</v>
      </c>
      <c r="GE730">
        <v>0</v>
      </c>
      <c r="GF730">
        <v>0.66042100116664126</v>
      </c>
      <c r="GG730">
        <v>0.59518473501329594</v>
      </c>
      <c r="GH730">
        <v>0</v>
      </c>
      <c r="GI730">
        <v>0.38249781138673999</v>
      </c>
      <c r="GJ730"/>
      <c r="GK730">
        <v>1.3849479252616717</v>
      </c>
      <c r="GL730">
        <v>0.7403709403449259</v>
      </c>
      <c r="GM730">
        <v>0.34079383167279126</v>
      </c>
      <c r="GN730">
        <v>0.34079383167279126</v>
      </c>
      <c r="GO730">
        <v>0</v>
      </c>
      <c r="GP730">
        <v>0</v>
      </c>
      <c r="GQ730">
        <v>0.90739586192571098</v>
      </c>
      <c r="GR730">
        <v>0.90739586192571098</v>
      </c>
      <c r="GS730">
        <v>0</v>
      </c>
      <c r="GT730">
        <v>0.52662752377203481</v>
      </c>
      <c r="GU730"/>
      <c r="GV730"/>
      <c r="GW730"/>
      <c r="GX730"/>
      <c r="GY730"/>
      <c r="GZ730"/>
      <c r="HA730"/>
      <c r="HB730"/>
      <c r="HC730"/>
    </row>
    <row r="731" spans="1:211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2.7583333333333333</v>
      </c>
      <c r="AO731">
        <v>0.51090090330051885</v>
      </c>
      <c r="AP731">
        <v>21.516192482902472</v>
      </c>
      <c r="AQ731">
        <v>3.928538677789251</v>
      </c>
      <c r="AR731">
        <v>0.52183056414412521</v>
      </c>
      <c r="AS731">
        <v>2.5916041638710254</v>
      </c>
      <c r="AT731" t="e">
        <v>#DIV/0!</v>
      </c>
      <c r="AU731" t="e">
        <v>#DIV/0!</v>
      </c>
      <c r="AV731"/>
      <c r="AW731"/>
      <c r="FY731" s="211">
        <v>726</v>
      </c>
      <c r="FZ731">
        <v>1.0391270015092069</v>
      </c>
      <c r="GA731">
        <v>0.38735017759921181</v>
      </c>
      <c r="GB731">
        <v>7.9203986612074825E-2</v>
      </c>
      <c r="GC731">
        <v>7.8958100610881349E-2</v>
      </c>
      <c r="GD731">
        <v>2.6724553773673727E-2</v>
      </c>
      <c r="GE731">
        <v>0</v>
      </c>
      <c r="GF731">
        <v>0</v>
      </c>
      <c r="GG731">
        <v>0</v>
      </c>
      <c r="GH731">
        <v>0</v>
      </c>
      <c r="GI731">
        <v>0.18871773643260314</v>
      </c>
      <c r="GJ731"/>
      <c r="GK731">
        <v>1.0448833469259748</v>
      </c>
      <c r="GL731">
        <v>0.33331521555783822</v>
      </c>
      <c r="GM731">
        <v>0.13091770120800852</v>
      </c>
      <c r="GN731">
        <v>0.23585576644039991</v>
      </c>
      <c r="GO731">
        <v>0.10493806523239137</v>
      </c>
      <c r="GP731">
        <v>0</v>
      </c>
      <c r="GQ731">
        <v>0</v>
      </c>
      <c r="GR731">
        <v>0</v>
      </c>
      <c r="GS731">
        <v>0</v>
      </c>
      <c r="GT731">
        <v>0.25614782267327496</v>
      </c>
      <c r="GU731"/>
      <c r="GV731"/>
      <c r="GW731"/>
      <c r="GX731"/>
      <c r="GY731"/>
      <c r="GZ731"/>
      <c r="HA731"/>
      <c r="HB731"/>
      <c r="HC731"/>
    </row>
    <row r="732" spans="1:211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1.5364583333333335</v>
      </c>
      <c r="AO732">
        <v>8.9456609351754326E-2</v>
      </c>
      <c r="AP732">
        <v>1.5079570327269098</v>
      </c>
      <c r="AQ732">
        <v>0.72417981910035922</v>
      </c>
      <c r="AR732">
        <v>0.12727473205158912</v>
      </c>
      <c r="AS732">
        <v>1.137320312647826</v>
      </c>
      <c r="AT732" t="e">
        <v>#DIV/0!</v>
      </c>
      <c r="AU732" t="e">
        <v>#DIV/0!</v>
      </c>
      <c r="AV732"/>
      <c r="AW732"/>
      <c r="FY732" s="211">
        <v>727</v>
      </c>
      <c r="FZ732">
        <v>2.1581782519043995</v>
      </c>
      <c r="GA732">
        <v>1.636651184515324</v>
      </c>
      <c r="GB732">
        <v>0</v>
      </c>
      <c r="GC732">
        <v>3.4819274958961192E-2</v>
      </c>
      <c r="GD732">
        <v>2.6724553773673727E-2</v>
      </c>
      <c r="GE732">
        <v>0</v>
      </c>
      <c r="GF732">
        <v>0.66042100116664126</v>
      </c>
      <c r="GG732">
        <v>0.59518473501329594</v>
      </c>
      <c r="GH732">
        <v>0</v>
      </c>
      <c r="GI732">
        <v>0.46304652572569988</v>
      </c>
      <c r="GJ732"/>
      <c r="GK732">
        <v>2.1736737013893301</v>
      </c>
      <c r="GL732">
        <v>1.4070013714606024</v>
      </c>
      <c r="GM732">
        <v>0</v>
      </c>
      <c r="GN732">
        <v>0.10493806523239137</v>
      </c>
      <c r="GO732">
        <v>0.10493806523239137</v>
      </c>
      <c r="GP732">
        <v>0</v>
      </c>
      <c r="GQ732">
        <v>0.90739586192571098</v>
      </c>
      <c r="GR732">
        <v>0.90739586192571098</v>
      </c>
      <c r="GS732">
        <v>0</v>
      </c>
      <c r="GT732">
        <v>0.63720152570948652</v>
      </c>
      <c r="GU732"/>
      <c r="GV732"/>
      <c r="GW732"/>
      <c r="GX732"/>
      <c r="GY732"/>
      <c r="GZ732"/>
      <c r="HA732"/>
      <c r="HB732"/>
      <c r="HC732"/>
    </row>
    <row r="733" spans="1:211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2.8760416666666666</v>
      </c>
      <c r="AO733">
        <v>0.2974845190108818</v>
      </c>
      <c r="AP733">
        <v>4.6586771165661265</v>
      </c>
      <c r="AQ733">
        <v>2.6950758560461363</v>
      </c>
      <c r="AR733">
        <v>0.34539316542545695</v>
      </c>
      <c r="AS733">
        <v>2.0987871213858456</v>
      </c>
      <c r="AT733" t="e">
        <v>#DIV/0!</v>
      </c>
      <c r="AU733" t="e">
        <v>#DIV/0!</v>
      </c>
      <c r="AV733"/>
      <c r="AW733"/>
      <c r="FY733" s="211">
        <v>728</v>
      </c>
      <c r="FZ733">
        <v>1.0581109754722033</v>
      </c>
      <c r="GA733">
        <v>0.43625237059238325</v>
      </c>
      <c r="GB733">
        <v>0.12565184548559416</v>
      </c>
      <c r="GC733">
        <v>6.9638549917922385E-2</v>
      </c>
      <c r="GD733">
        <v>0</v>
      </c>
      <c r="GE733">
        <v>0</v>
      </c>
      <c r="GF733">
        <v>0</v>
      </c>
      <c r="GG733">
        <v>0</v>
      </c>
      <c r="GH733">
        <v>0</v>
      </c>
      <c r="GI733">
        <v>0.18771895495633326</v>
      </c>
      <c r="GJ733"/>
      <c r="GK733">
        <v>1.059333624950539</v>
      </c>
      <c r="GL733">
        <v>0.36870254614624731</v>
      </c>
      <c r="GM733">
        <v>0.20987613046478273</v>
      </c>
      <c r="GN733">
        <v>0.20987613046478273</v>
      </c>
      <c r="GO733">
        <v>0</v>
      </c>
      <c r="GP733">
        <v>0</v>
      </c>
      <c r="GQ733">
        <v>0</v>
      </c>
      <c r="GR733">
        <v>0</v>
      </c>
      <c r="GS733">
        <v>0</v>
      </c>
      <c r="GT733">
        <v>0.2538419510830644</v>
      </c>
      <c r="GU733"/>
      <c r="GV733"/>
      <c r="GW733"/>
      <c r="GX733"/>
      <c r="GY733"/>
      <c r="GZ733"/>
      <c r="HA733"/>
      <c r="HB733"/>
      <c r="HC733"/>
    </row>
    <row r="734" spans="1:211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1.8562499999999997</v>
      </c>
      <c r="AO734">
        <v>0.56765948112280651</v>
      </c>
      <c r="AP734">
        <v>16.434563885745352</v>
      </c>
      <c r="AQ734">
        <v>5.0482811940383998</v>
      </c>
      <c r="AR734">
        <v>0.55516667030643518</v>
      </c>
      <c r="AS734">
        <v>2.3809737504633302</v>
      </c>
      <c r="AT734" t="e">
        <v>#DIV/0!</v>
      </c>
      <c r="AU734" t="e">
        <v>#DIV/0!</v>
      </c>
      <c r="AV734"/>
      <c r="AW734"/>
      <c r="FY734" s="211">
        <v>729</v>
      </c>
      <c r="FZ734">
        <v>1.0902710252406647</v>
      </c>
      <c r="GA734">
        <v>0.86195082931690026</v>
      </c>
      <c r="GB734">
        <v>0.14202990935487192</v>
      </c>
      <c r="GC734">
        <v>7.8958100610881349E-2</v>
      </c>
      <c r="GD734">
        <v>0</v>
      </c>
      <c r="GE734">
        <v>0</v>
      </c>
      <c r="GF734">
        <v>0.66042100116664126</v>
      </c>
      <c r="GG734">
        <v>0.59518473501329594</v>
      </c>
      <c r="GH734">
        <v>0</v>
      </c>
      <c r="GI734">
        <v>0.32438748696275166</v>
      </c>
      <c r="GJ734"/>
      <c r="GK734">
        <v>1.0980103777456156</v>
      </c>
      <c r="GL734">
        <v>0.7403709403449259</v>
      </c>
      <c r="GM734">
        <v>0.23585576644039991</v>
      </c>
      <c r="GN734">
        <v>0.23585576644039991</v>
      </c>
      <c r="GO734">
        <v>0</v>
      </c>
      <c r="GP734">
        <v>0</v>
      </c>
      <c r="GQ734">
        <v>0.90739586192571098</v>
      </c>
      <c r="GR734">
        <v>0.90739586192571098</v>
      </c>
      <c r="GS734">
        <v>0</v>
      </c>
      <c r="GT734">
        <v>0.44825240122234533</v>
      </c>
      <c r="GU734"/>
      <c r="GV734"/>
      <c r="GW734"/>
      <c r="GX734"/>
      <c r="GY734"/>
      <c r="GZ734"/>
      <c r="HA734"/>
      <c r="HB734"/>
      <c r="HC734"/>
    </row>
    <row r="735" spans="1:211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3.5062499999999992</v>
      </c>
      <c r="AO735">
        <v>0.39588211398665596</v>
      </c>
      <c r="AP735">
        <v>10.919980206496128</v>
      </c>
      <c r="AQ735">
        <v>3.398713421977714</v>
      </c>
      <c r="AR735">
        <v>0.43810277455387425</v>
      </c>
      <c r="AS735">
        <v>2.3662215505808852</v>
      </c>
      <c r="AT735" t="e">
        <v>#DIV/0!</v>
      </c>
      <c r="AU735" t="e">
        <v>#DIV/0!</v>
      </c>
      <c r="AV735"/>
      <c r="AW735"/>
      <c r="FY735" s="211">
        <v>730</v>
      </c>
      <c r="FZ735">
        <v>0.98961171698188111</v>
      </c>
      <c r="GA735">
        <v>0.56185112583616514</v>
      </c>
      <c r="GB735">
        <v>0.22123389596694673</v>
      </c>
      <c r="GC735">
        <v>0.1927354761807239</v>
      </c>
      <c r="GD735">
        <v>5.3449107547347455E-2</v>
      </c>
      <c r="GE735">
        <v>0</v>
      </c>
      <c r="GF735">
        <v>0.33021050058332063</v>
      </c>
      <c r="GG735">
        <v>0.29759236750664797</v>
      </c>
      <c r="GH735">
        <v>0</v>
      </c>
      <c r="GI735">
        <v>0.29577229561514495</v>
      </c>
      <c r="GJ735"/>
      <c r="GK735">
        <v>0.99532025558809167</v>
      </c>
      <c r="GL735">
        <v>0.48079623401633714</v>
      </c>
      <c r="GM735">
        <v>0.3667734676484084</v>
      </c>
      <c r="GN735">
        <v>0.57664959811319116</v>
      </c>
      <c r="GO735">
        <v>0.20987613046478273</v>
      </c>
      <c r="GP735">
        <v>0</v>
      </c>
      <c r="GQ735">
        <v>0.45369793096285549</v>
      </c>
      <c r="GR735">
        <v>0.45369793096285549</v>
      </c>
      <c r="GS735">
        <v>0</v>
      </c>
      <c r="GT735">
        <v>0.40513355693282765</v>
      </c>
      <c r="GU735"/>
      <c r="GV735"/>
      <c r="GW735"/>
      <c r="GX735"/>
      <c r="GY735"/>
      <c r="GZ735"/>
      <c r="HA735"/>
      <c r="HB735"/>
      <c r="HC735"/>
    </row>
    <row r="736" spans="1:211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2.786458333333333</v>
      </c>
      <c r="AO736">
        <v>0.28683881919930798</v>
      </c>
      <c r="AP736">
        <v>9.5649009319329323</v>
      </c>
      <c r="AQ736">
        <v>1.9710569385827275</v>
      </c>
      <c r="AR736">
        <v>0.31586964248263211</v>
      </c>
      <c r="AS736">
        <v>1.8078057395305958</v>
      </c>
      <c r="AT736" t="e">
        <v>#DIV/0!</v>
      </c>
      <c r="AU736" t="e">
        <v>#DIV/0!</v>
      </c>
      <c r="AV736"/>
      <c r="AW736"/>
      <c r="FY736" s="211">
        <v>731</v>
      </c>
      <c r="FZ736">
        <v>0.81084957228631782</v>
      </c>
      <c r="GA736">
        <v>8.725047411847664E-2</v>
      </c>
      <c r="GB736">
        <v>0.12565184548559416</v>
      </c>
      <c r="GC736">
        <v>6.9638549917922385E-2</v>
      </c>
      <c r="GD736">
        <v>0</v>
      </c>
      <c r="GE736">
        <v>0</v>
      </c>
      <c r="GF736">
        <v>0.33021050058332063</v>
      </c>
      <c r="GG736">
        <v>0.29759236750664797</v>
      </c>
      <c r="GH736">
        <v>0</v>
      </c>
      <c r="GI736">
        <v>0.21524315061865826</v>
      </c>
      <c r="GJ736"/>
      <c r="GK736">
        <v>0.80864730804787055</v>
      </c>
      <c r="GL736">
        <v>7.3740509229249462E-2</v>
      </c>
      <c r="GM736">
        <v>0.20987613046478273</v>
      </c>
      <c r="GN736">
        <v>0.20987613046478273</v>
      </c>
      <c r="GO736">
        <v>0</v>
      </c>
      <c r="GP736">
        <v>0</v>
      </c>
      <c r="GQ736">
        <v>0.45369793096285549</v>
      </c>
      <c r="GR736">
        <v>0.45369793096285549</v>
      </c>
      <c r="GS736">
        <v>0</v>
      </c>
      <c r="GT736">
        <v>0.29444427389510175</v>
      </c>
      <c r="GU736"/>
      <c r="GV736"/>
      <c r="GW736"/>
      <c r="GX736"/>
      <c r="GY736"/>
      <c r="GZ736"/>
      <c r="HA736"/>
      <c r="HB736"/>
      <c r="HC736"/>
    </row>
    <row r="737" spans="1:211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3.3312499999999994</v>
      </c>
      <c r="AO737">
        <v>0.42354883920625863</v>
      </c>
      <c r="AP737">
        <v>14.898352452468995</v>
      </c>
      <c r="AQ737">
        <v>3.1351127554538754</v>
      </c>
      <c r="AR737">
        <v>0.44885784549451019</v>
      </c>
      <c r="AS737">
        <v>2.5031266440818642</v>
      </c>
      <c r="AT737" t="e">
        <v>#DIV/0!</v>
      </c>
      <c r="AU737" t="e">
        <v>#DIV/0!</v>
      </c>
      <c r="AV737"/>
      <c r="AW737"/>
      <c r="FY737" s="211">
        <v>732</v>
      </c>
      <c r="FZ737">
        <v>1.663404011880935</v>
      </c>
      <c r="GA737">
        <v>1.3365514810345887</v>
      </c>
      <c r="GB737">
        <v>0.14202990935487192</v>
      </c>
      <c r="GC737">
        <v>0.14859665052880375</v>
      </c>
      <c r="GD737">
        <v>5.3449107547347455E-2</v>
      </c>
      <c r="GE737">
        <v>0</v>
      </c>
      <c r="GF737">
        <v>0</v>
      </c>
      <c r="GG737">
        <v>0</v>
      </c>
      <c r="GH737">
        <v>0</v>
      </c>
      <c r="GI737">
        <v>0.3120020416686633</v>
      </c>
      <c r="GJ737"/>
      <c r="GK737">
        <v>1.6747444039544683</v>
      </c>
      <c r="GL737">
        <v>1.1474266651320135</v>
      </c>
      <c r="GM737">
        <v>0.23585576644039991</v>
      </c>
      <c r="GN737">
        <v>0.44573189690518267</v>
      </c>
      <c r="GO737">
        <v>0.20987613046478273</v>
      </c>
      <c r="GP737">
        <v>0</v>
      </c>
      <c r="GQ737">
        <v>0</v>
      </c>
      <c r="GR737">
        <v>0</v>
      </c>
      <c r="GS737">
        <v>0</v>
      </c>
      <c r="GT737">
        <v>0.42409526017193022</v>
      </c>
      <c r="GU737"/>
      <c r="GV737"/>
      <c r="GW737"/>
      <c r="GX737"/>
      <c r="GY737"/>
      <c r="GZ737"/>
      <c r="HA737"/>
      <c r="HB737"/>
      <c r="HC737"/>
    </row>
    <row r="738" spans="1:211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2.0843750000000001</v>
      </c>
      <c r="AO738">
        <v>0.3017639098386633</v>
      </c>
      <c r="AP738">
        <v>5.9468408038156673</v>
      </c>
      <c r="AQ738">
        <v>2.539078240333466</v>
      </c>
      <c r="AR738">
        <v>0.30525604352275409</v>
      </c>
      <c r="AS738">
        <v>1.7430091600127571</v>
      </c>
      <c r="AT738" t="e">
        <v>#DIV/0!</v>
      </c>
      <c r="AU738" t="e">
        <v>#DIV/0!</v>
      </c>
      <c r="AV738"/>
      <c r="AW738"/>
      <c r="FY738" s="211">
        <v>733</v>
      </c>
      <c r="FZ738">
        <v>0.67197222210591334</v>
      </c>
      <c r="GA738">
        <v>0</v>
      </c>
      <c r="GB738">
        <v>0.23761195983622446</v>
      </c>
      <c r="GC738">
        <v>0.20205502687368287</v>
      </c>
      <c r="GD738">
        <v>5.3449107547347455E-2</v>
      </c>
      <c r="GE738">
        <v>0</v>
      </c>
      <c r="GF738">
        <v>1.3208420023332825</v>
      </c>
      <c r="GG738">
        <v>1.1903694700265919</v>
      </c>
      <c r="GH738">
        <v>0</v>
      </c>
      <c r="GI738">
        <v>0.44506276998514255</v>
      </c>
      <c r="GJ738"/>
      <c r="GK738">
        <v>0.67073453773621239</v>
      </c>
      <c r="GL738">
        <v>0</v>
      </c>
      <c r="GM738">
        <v>0.39275310362402555</v>
      </c>
      <c r="GN738">
        <v>0.60262923408880831</v>
      </c>
      <c r="GO738">
        <v>0.20987613046478273</v>
      </c>
      <c r="GP738">
        <v>0</v>
      </c>
      <c r="GQ738">
        <v>1.814791723851422</v>
      </c>
      <c r="GR738">
        <v>1.814791723851422</v>
      </c>
      <c r="GS738">
        <v>0</v>
      </c>
      <c r="GT738">
        <v>0.61763109913528846</v>
      </c>
      <c r="GU738"/>
      <c r="GV738"/>
      <c r="GW738"/>
      <c r="GX738"/>
      <c r="GY738"/>
      <c r="GZ738"/>
      <c r="HA738"/>
      <c r="HB738"/>
      <c r="HC738"/>
    </row>
    <row r="739" spans="1:211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2.5312499999999996</v>
      </c>
      <c r="AO739">
        <v>0.22312391723001573</v>
      </c>
      <c r="AP739">
        <v>6.5618121720640579</v>
      </c>
      <c r="AQ739">
        <v>1.8844660342091779</v>
      </c>
      <c r="AR739">
        <v>0.28396678868467534</v>
      </c>
      <c r="AS739">
        <v>1.5762290885973054</v>
      </c>
      <c r="AT739" t="e">
        <v>#DIV/0!</v>
      </c>
      <c r="AU739" t="e">
        <v>#DIV/0!</v>
      </c>
      <c r="AV739"/>
      <c r="AW739"/>
      <c r="FY739" s="211">
        <v>734</v>
      </c>
      <c r="FZ739">
        <v>0.83872804536627399</v>
      </c>
      <c r="GA739">
        <v>0.38735017759921181</v>
      </c>
      <c r="GB739">
        <v>0.23761195983622446</v>
      </c>
      <c r="GC739">
        <v>0.16723575191472168</v>
      </c>
      <c r="GD739">
        <v>2.6724553773673727E-2</v>
      </c>
      <c r="GE739">
        <v>0</v>
      </c>
      <c r="GF739">
        <v>0</v>
      </c>
      <c r="GG739">
        <v>0</v>
      </c>
      <c r="GH739">
        <v>0</v>
      </c>
      <c r="GI739">
        <v>0.19788461895825177</v>
      </c>
      <c r="GJ739"/>
      <c r="GK739">
        <v>0.84234704312604491</v>
      </c>
      <c r="GL739">
        <v>0.33331521555783822</v>
      </c>
      <c r="GM739">
        <v>0.39275310362402555</v>
      </c>
      <c r="GN739">
        <v>0.4976911688564169</v>
      </c>
      <c r="GO739">
        <v>0.10493806523239137</v>
      </c>
      <c r="GP739">
        <v>0</v>
      </c>
      <c r="GQ739">
        <v>0</v>
      </c>
      <c r="GR739">
        <v>0</v>
      </c>
      <c r="GS739">
        <v>0</v>
      </c>
      <c r="GT739">
        <v>0.26800764239649244</v>
      </c>
      <c r="GU739"/>
      <c r="GV739"/>
      <c r="GW739"/>
      <c r="GX739"/>
      <c r="GY739"/>
      <c r="GZ739"/>
      <c r="HA739"/>
      <c r="HB739"/>
      <c r="HC739"/>
    </row>
    <row r="740" spans="1:211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3.3885416666666663</v>
      </c>
      <c r="AO740">
        <v>0.24632070135638279</v>
      </c>
      <c r="AP740">
        <v>4.900900974080125</v>
      </c>
      <c r="AQ740">
        <v>2.054264396582925</v>
      </c>
      <c r="AR740">
        <v>0.28589290951732471</v>
      </c>
      <c r="AS740">
        <v>1.840581846667245</v>
      </c>
      <c r="AT740" t="e">
        <v>#DIV/0!</v>
      </c>
      <c r="AU740" t="e">
        <v>#DIV/0!</v>
      </c>
      <c r="AV740"/>
      <c r="AW740"/>
      <c r="FY740" s="211">
        <v>735</v>
      </c>
      <c r="FZ740">
        <v>0.79198811896103893</v>
      </c>
      <c r="GA740">
        <v>8.725047411847664E-2</v>
      </c>
      <c r="GB740">
        <v>0</v>
      </c>
      <c r="GC740">
        <v>3.4819274958961192E-2</v>
      </c>
      <c r="GD740">
        <v>2.6724553773673727E-2</v>
      </c>
      <c r="GE740">
        <v>0</v>
      </c>
      <c r="GF740">
        <v>0.66042100116664126</v>
      </c>
      <c r="GG740">
        <v>0.59518473501329594</v>
      </c>
      <c r="GH740">
        <v>0</v>
      </c>
      <c r="GI740">
        <v>0.26087942822835863</v>
      </c>
      <c r="GJ740"/>
      <c r="GK740">
        <v>0.79602133485655502</v>
      </c>
      <c r="GL740">
        <v>7.3740509229249462E-2</v>
      </c>
      <c r="GM740">
        <v>0</v>
      </c>
      <c r="GN740">
        <v>0.10493806523239137</v>
      </c>
      <c r="GO740">
        <v>0.10493806523239137</v>
      </c>
      <c r="GP740">
        <v>0</v>
      </c>
      <c r="GQ740">
        <v>0.90739586192571098</v>
      </c>
      <c r="GR740">
        <v>0.90739586192571098</v>
      </c>
      <c r="GS740">
        <v>0</v>
      </c>
      <c r="GT740">
        <v>0.36167105240293151</v>
      </c>
      <c r="GU740"/>
      <c r="GV740"/>
      <c r="GW740"/>
      <c r="GX740"/>
      <c r="GY740"/>
      <c r="GZ740"/>
      <c r="HA740"/>
      <c r="HB740"/>
      <c r="HC740"/>
    </row>
    <row r="741" spans="1:211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3.7614583333333336</v>
      </c>
      <c r="AO741">
        <v>0.51483257765756374</v>
      </c>
      <c r="AP741">
        <v>19.305849534805777</v>
      </c>
      <c r="AQ741">
        <v>4.1965774492394283</v>
      </c>
      <c r="AR741">
        <v>0.52662752377203481</v>
      </c>
      <c r="AS741">
        <v>2.68021455088543</v>
      </c>
      <c r="AT741" t="e">
        <v>#DIV/0!</v>
      </c>
      <c r="AU741" t="e">
        <v>#DIV/0!</v>
      </c>
      <c r="AV741"/>
      <c r="AW741"/>
      <c r="FY741" s="211">
        <v>736</v>
      </c>
      <c r="FZ741">
        <v>1.1626245473077514</v>
      </c>
      <c r="GA741">
        <v>8.725047411847664E-2</v>
      </c>
      <c r="GB741">
        <v>0.204855832097669</v>
      </c>
      <c r="GC741">
        <v>0.11377737556984255</v>
      </c>
      <c r="GD741">
        <v>0</v>
      </c>
      <c r="GE741">
        <v>0</v>
      </c>
      <c r="GF741">
        <v>0.33021050058332063</v>
      </c>
      <c r="GG741">
        <v>0.29759236750664797</v>
      </c>
      <c r="GH741">
        <v>0</v>
      </c>
      <c r="GI741">
        <v>0.28647096101664121</v>
      </c>
      <c r="GJ741"/>
      <c r="GK741">
        <v>1.1712076732829551</v>
      </c>
      <c r="GL741">
        <v>7.3740509229249462E-2</v>
      </c>
      <c r="GM741">
        <v>0.34079383167279126</v>
      </c>
      <c r="GN741">
        <v>0.34079383167279126</v>
      </c>
      <c r="GO741">
        <v>0</v>
      </c>
      <c r="GP741">
        <v>0</v>
      </c>
      <c r="GQ741">
        <v>0.45369793096285549</v>
      </c>
      <c r="GR741">
        <v>0.45369793096285549</v>
      </c>
      <c r="GS741">
        <v>0</v>
      </c>
      <c r="GT741">
        <v>0.39313988718372039</v>
      </c>
      <c r="GU741"/>
      <c r="GV741"/>
      <c r="GW741"/>
      <c r="GX741"/>
      <c r="GY741"/>
      <c r="GZ741"/>
      <c r="HA741"/>
      <c r="HB741"/>
      <c r="HC741"/>
    </row>
    <row r="742" spans="1:211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2.2947916666666668</v>
      </c>
      <c r="AO742">
        <v>0.21060579180378883</v>
      </c>
      <c r="AP742">
        <v>3.7090738039779834</v>
      </c>
      <c r="AQ742">
        <v>1.8000815565376518</v>
      </c>
      <c r="AR742">
        <v>0.25614782267327496</v>
      </c>
      <c r="AS742">
        <v>1.5808279761059052</v>
      </c>
      <c r="AT742" t="e">
        <v>#DIV/0!</v>
      </c>
      <c r="AU742" t="e">
        <v>#DIV/0!</v>
      </c>
      <c r="AV742"/>
      <c r="AW742"/>
      <c r="FY742" s="211">
        <v>737</v>
      </c>
      <c r="FZ742">
        <v>0.37354552487520987</v>
      </c>
      <c r="GA742">
        <v>0</v>
      </c>
      <c r="GB742">
        <v>0.14202990935487192</v>
      </c>
      <c r="GC742">
        <v>7.8958100610881349E-2</v>
      </c>
      <c r="GD742">
        <v>0</v>
      </c>
      <c r="GE742">
        <v>0</v>
      </c>
      <c r="GF742">
        <v>1.3208420023332825</v>
      </c>
      <c r="GG742">
        <v>1.1903694700265919</v>
      </c>
      <c r="GH742">
        <v>0</v>
      </c>
      <c r="GI742">
        <v>0.34655574527521643</v>
      </c>
      <c r="GJ742"/>
      <c r="GK742">
        <v>0.37253213549169317</v>
      </c>
      <c r="GL742">
        <v>0</v>
      </c>
      <c r="GM742">
        <v>0.23585576644039991</v>
      </c>
      <c r="GN742">
        <v>0.23585576644039991</v>
      </c>
      <c r="GO742">
        <v>0</v>
      </c>
      <c r="GP742">
        <v>0</v>
      </c>
      <c r="GQ742">
        <v>1.814791723851422</v>
      </c>
      <c r="GR742">
        <v>1.814791723851422</v>
      </c>
      <c r="GS742">
        <v>0</v>
      </c>
      <c r="GT742">
        <v>0.48463592515670301</v>
      </c>
      <c r="GU742"/>
      <c r="GV742"/>
      <c r="GW742"/>
      <c r="GX742"/>
      <c r="GY742"/>
      <c r="GZ742"/>
      <c r="HA742"/>
      <c r="HB742"/>
      <c r="HC742"/>
    </row>
    <row r="743" spans="1:211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4.3979166666666663</v>
      </c>
      <c r="AO743">
        <v>0.62425444528756224</v>
      </c>
      <c r="AP743">
        <v>18.603237533031383</v>
      </c>
      <c r="AQ743">
        <v>5.5750255270579956</v>
      </c>
      <c r="AR743">
        <v>0.63720152570948652</v>
      </c>
      <c r="AS743">
        <v>3.3343737903102131</v>
      </c>
      <c r="AT743" t="e">
        <v>#DIV/0!</v>
      </c>
      <c r="AU743" t="e">
        <v>#DIV/0!</v>
      </c>
      <c r="AV743"/>
      <c r="AW743"/>
      <c r="FY743" s="211">
        <v>738</v>
      </c>
      <c r="FZ743">
        <v>0.82930144636786962</v>
      </c>
      <c r="GA743">
        <v>0</v>
      </c>
      <c r="GB743">
        <v>0.15840797322414965</v>
      </c>
      <c r="GC743">
        <v>0.12309692626280153</v>
      </c>
      <c r="GD743">
        <v>2.6724553773673727E-2</v>
      </c>
      <c r="GE743">
        <v>0</v>
      </c>
      <c r="GF743">
        <v>0.33021050058332063</v>
      </c>
      <c r="GG743">
        <v>0.29759236750664797</v>
      </c>
      <c r="GH743">
        <v>0</v>
      </c>
      <c r="GI743">
        <v>0.2412377029831056</v>
      </c>
      <c r="GJ743"/>
      <c r="GK743">
        <v>0.83018848085330166</v>
      </c>
      <c r="GL743">
        <v>0</v>
      </c>
      <c r="GM743">
        <v>0.26183540241601705</v>
      </c>
      <c r="GN743">
        <v>0.3667734676484084</v>
      </c>
      <c r="GO743">
        <v>0.10493806523239137</v>
      </c>
      <c r="GP743">
        <v>0</v>
      </c>
      <c r="GQ743">
        <v>0.45369793096285549</v>
      </c>
      <c r="GR743">
        <v>0.45369793096285549</v>
      </c>
      <c r="GS743">
        <v>0</v>
      </c>
      <c r="GT743">
        <v>0.3301319758929131</v>
      </c>
      <c r="GU743"/>
      <c r="GV743"/>
      <c r="GW743"/>
      <c r="GX743"/>
      <c r="GY743"/>
      <c r="GZ743"/>
      <c r="HA743"/>
      <c r="HB743"/>
      <c r="HC743"/>
    </row>
    <row r="744" spans="1:211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2.6875</v>
      </c>
      <c r="AO744">
        <v>0.21016303831094157</v>
      </c>
      <c r="AP744">
        <v>2.6844166847359041</v>
      </c>
      <c r="AQ744">
        <v>1.8773726964244364</v>
      </c>
      <c r="AR744">
        <v>0.25384195108306429</v>
      </c>
      <c r="AS744">
        <v>1.8882456606319078</v>
      </c>
      <c r="AT744" t="e">
        <v>#DIV/0!</v>
      </c>
      <c r="AU744" t="e">
        <v>#DIV/0!</v>
      </c>
      <c r="AV744"/>
      <c r="AW744"/>
      <c r="FY744" s="211">
        <v>739</v>
      </c>
      <c r="FZ744">
        <v>1.2231575055123058</v>
      </c>
      <c r="GA744">
        <v>0.64910159995464167</v>
      </c>
      <c r="GB744">
        <v>0.22123389596694673</v>
      </c>
      <c r="GC744">
        <v>0.1579162012217627</v>
      </c>
      <c r="GD744">
        <v>2.6724553773673727E-2</v>
      </c>
      <c r="GE744">
        <v>0</v>
      </c>
      <c r="GF744">
        <v>0.66042100116664126</v>
      </c>
      <c r="GG744">
        <v>0.59518473501329594</v>
      </c>
      <c r="GH744">
        <v>0</v>
      </c>
      <c r="GI744">
        <v>0.37901328526307348</v>
      </c>
      <c r="GJ744"/>
      <c r="GK744">
        <v>1.228630492221523</v>
      </c>
      <c r="GL744">
        <v>0.55453674324558655</v>
      </c>
      <c r="GM744">
        <v>0.3667734676484084</v>
      </c>
      <c r="GN744">
        <v>0.47171153288079981</v>
      </c>
      <c r="GO744">
        <v>0.10493806523239137</v>
      </c>
      <c r="GP744">
        <v>0</v>
      </c>
      <c r="GQ744">
        <v>0.90739586192571098</v>
      </c>
      <c r="GR744">
        <v>0.90739586192571098</v>
      </c>
      <c r="GS744">
        <v>0</v>
      </c>
      <c r="GT744">
        <v>0.52154757740560675</v>
      </c>
      <c r="GU744"/>
      <c r="GV744"/>
      <c r="GW744"/>
      <c r="GX744"/>
      <c r="GY744"/>
      <c r="GZ744"/>
      <c r="HA744"/>
      <c r="HB744"/>
      <c r="HC744"/>
    </row>
    <row r="745" spans="1:211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2.2718750000000005</v>
      </c>
      <c r="AO745">
        <v>0.45731369760451085</v>
      </c>
      <c r="AP745">
        <v>17.13872362222854</v>
      </c>
      <c r="AQ745">
        <v>3.753203087666007</v>
      </c>
      <c r="AR745">
        <v>0.44825240122234533</v>
      </c>
      <c r="AS745">
        <v>2.3461816108357669</v>
      </c>
      <c r="AT745" t="e">
        <v>#DIV/0!</v>
      </c>
      <c r="AU745" t="e">
        <v>#DIV/0!</v>
      </c>
      <c r="AV745"/>
      <c r="AW745"/>
      <c r="FY745" s="211">
        <v>740</v>
      </c>
      <c r="FZ745">
        <v>0.60101988948074547</v>
      </c>
      <c r="GA745">
        <v>8.725047411847664E-2</v>
      </c>
      <c r="GB745">
        <v>0.14202990935487192</v>
      </c>
      <c r="GC745">
        <v>0.14859665052880375</v>
      </c>
      <c r="GD745">
        <v>5.3449107547347455E-2</v>
      </c>
      <c r="GE745">
        <v>0</v>
      </c>
      <c r="GF745">
        <v>0.33021050058332063</v>
      </c>
      <c r="GG745">
        <v>0.29759236750664797</v>
      </c>
      <c r="GH745">
        <v>0</v>
      </c>
      <c r="GI745">
        <v>0.21897332672676226</v>
      </c>
      <c r="GJ745"/>
      <c r="GK745">
        <v>0.59979801765228302</v>
      </c>
      <c r="GL745">
        <v>7.3740509229249462E-2</v>
      </c>
      <c r="GM745">
        <v>0.23585576644039991</v>
      </c>
      <c r="GN745">
        <v>0.44573189690518267</v>
      </c>
      <c r="GO745">
        <v>0.20987613046478273</v>
      </c>
      <c r="GP745">
        <v>0</v>
      </c>
      <c r="GQ745">
        <v>0.45369793096285549</v>
      </c>
      <c r="GR745">
        <v>0.45369793096285549</v>
      </c>
      <c r="GS745">
        <v>0</v>
      </c>
      <c r="GT745">
        <v>0.29984556910406424</v>
      </c>
      <c r="GU745"/>
      <c r="GV745"/>
      <c r="GW745"/>
      <c r="GX745"/>
      <c r="GY745"/>
      <c r="GZ745"/>
      <c r="HA745"/>
      <c r="HB745"/>
      <c r="HC745"/>
    </row>
    <row r="746" spans="1:211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3.2583333333333337</v>
      </c>
      <c r="AO746">
        <v>0.39419451046893494</v>
      </c>
      <c r="AP746">
        <v>12.185141931998976</v>
      </c>
      <c r="AQ746">
        <v>2.9424564862181777</v>
      </c>
      <c r="AR746">
        <v>0.40513355693282771</v>
      </c>
      <c r="AS746">
        <v>2.1877415092197801</v>
      </c>
      <c r="AT746" t="e">
        <v>#DIV/0!</v>
      </c>
      <c r="AU746" t="e">
        <v>#DIV/0!</v>
      </c>
      <c r="AV746"/>
      <c r="AW746"/>
      <c r="FY746" s="211">
        <v>741</v>
      </c>
      <c r="FZ746">
        <v>1.1398666893520675</v>
      </c>
      <c r="GA746">
        <v>0.38735017759921181</v>
      </c>
      <c r="GB746">
        <v>0.18847776822839127</v>
      </c>
      <c r="GC746">
        <v>0.13927709983584477</v>
      </c>
      <c r="GD746">
        <v>2.6724553773673727E-2</v>
      </c>
      <c r="GE746">
        <v>0</v>
      </c>
      <c r="GF746">
        <v>0.33021050058332063</v>
      </c>
      <c r="GG746">
        <v>0.29759236750664797</v>
      </c>
      <c r="GH746">
        <v>0</v>
      </c>
      <c r="GI746">
        <v>0.29470233267127005</v>
      </c>
      <c r="GJ746"/>
      <c r="GK746">
        <v>1.1452697600011623</v>
      </c>
      <c r="GL746">
        <v>0.33331521555783822</v>
      </c>
      <c r="GM746">
        <v>0.31481419569717417</v>
      </c>
      <c r="GN746">
        <v>0.41975226092956547</v>
      </c>
      <c r="GO746">
        <v>0.10493806523239137</v>
      </c>
      <c r="GP746">
        <v>0</v>
      </c>
      <c r="GQ746">
        <v>0.45369793096285549</v>
      </c>
      <c r="GR746">
        <v>0.45369793096285549</v>
      </c>
      <c r="GS746">
        <v>0</v>
      </c>
      <c r="GT746">
        <v>0.40374399037871667</v>
      </c>
      <c r="GU746"/>
      <c r="GV746"/>
      <c r="GW746"/>
      <c r="GX746"/>
      <c r="GY746"/>
      <c r="GZ746"/>
      <c r="HA746"/>
      <c r="HB746"/>
      <c r="HC746"/>
    </row>
    <row r="747" spans="1:211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3.885416666666667</v>
      </c>
      <c r="AO747">
        <v>0.2503980214027498</v>
      </c>
      <c r="AP747">
        <v>9.5595900667471891</v>
      </c>
      <c r="AQ747">
        <v>1.9364364605169377</v>
      </c>
      <c r="AR747">
        <v>0.29444427389510175</v>
      </c>
      <c r="AS747">
        <v>1.9113456643676201</v>
      </c>
      <c r="AT747" t="e">
        <v>#DIV/0!</v>
      </c>
      <c r="AU747" t="e">
        <v>#DIV/0!</v>
      </c>
      <c r="AV747"/>
      <c r="AW747"/>
      <c r="FY747" s="211">
        <v>742</v>
      </c>
      <c r="FZ747">
        <v>1.0621366419806821</v>
      </c>
      <c r="GA747">
        <v>0.47460065171768845</v>
      </c>
      <c r="GB747">
        <v>0.204855832097669</v>
      </c>
      <c r="GC747">
        <v>0.18341592548776492</v>
      </c>
      <c r="GD747">
        <v>5.3449107547347455E-2</v>
      </c>
      <c r="GE747">
        <v>0</v>
      </c>
      <c r="GF747">
        <v>0.33021050058332063</v>
      </c>
      <c r="GG747">
        <v>0.29759236750664797</v>
      </c>
      <c r="GH747">
        <v>0</v>
      </c>
      <c r="GI747">
        <v>0.30249761542387399</v>
      </c>
      <c r="GJ747"/>
      <c r="GK747">
        <v>1.0704887392761473</v>
      </c>
      <c r="GL747">
        <v>0.40705572478708768</v>
      </c>
      <c r="GM747">
        <v>0.34079383167279126</v>
      </c>
      <c r="GN747">
        <v>0.55066996213757402</v>
      </c>
      <c r="GO747">
        <v>0.20987613046478273</v>
      </c>
      <c r="GP747">
        <v>0</v>
      </c>
      <c r="GQ747">
        <v>0.45369793096285549</v>
      </c>
      <c r="GR747">
        <v>0.45369793096285549</v>
      </c>
      <c r="GS747">
        <v>0</v>
      </c>
      <c r="GT747">
        <v>0.41497132647531537</v>
      </c>
      <c r="GU747"/>
      <c r="GV747"/>
      <c r="GW747"/>
      <c r="GX747"/>
      <c r="GY747"/>
      <c r="GZ747"/>
      <c r="HA747"/>
      <c r="HB747"/>
      <c r="HC747"/>
    </row>
    <row r="748" spans="1:211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4.1447916666666664</v>
      </c>
      <c r="AO748">
        <v>0.4137730123068778</v>
      </c>
      <c r="AP748">
        <v>6.6585527826258923</v>
      </c>
      <c r="AQ748">
        <v>3.6560332020152098</v>
      </c>
      <c r="AR748">
        <v>0.42409526017193022</v>
      </c>
      <c r="AS748">
        <v>2.3968273729103391</v>
      </c>
      <c r="AT748" t="e">
        <v>#DIV/0!</v>
      </c>
      <c r="AU748" t="e">
        <v>#DIV/0!</v>
      </c>
      <c r="AV748"/>
      <c r="AW748"/>
      <c r="FY748" s="211">
        <v>743</v>
      </c>
      <c r="FZ748">
        <v>0.71769496590331172</v>
      </c>
      <c r="GA748">
        <v>0.26175142235542992</v>
      </c>
      <c r="GB748">
        <v>0.14202990935487192</v>
      </c>
      <c r="GC748">
        <v>0.11377737556984255</v>
      </c>
      <c r="GD748">
        <v>2.6724553773673727E-2</v>
      </c>
      <c r="GE748">
        <v>0</v>
      </c>
      <c r="GF748">
        <v>0</v>
      </c>
      <c r="GG748">
        <v>0</v>
      </c>
      <c r="GH748">
        <v>0</v>
      </c>
      <c r="GI748">
        <v>0.15674210360968149</v>
      </c>
      <c r="GJ748"/>
      <c r="GK748">
        <v>0.71628538437362466</v>
      </c>
      <c r="GL748">
        <v>0.22122152768774839</v>
      </c>
      <c r="GM748">
        <v>0.23585576644039991</v>
      </c>
      <c r="GN748">
        <v>0.34079383167279126</v>
      </c>
      <c r="GO748">
        <v>0.10493806523239137</v>
      </c>
      <c r="GP748">
        <v>0</v>
      </c>
      <c r="GQ748">
        <v>0</v>
      </c>
      <c r="GR748">
        <v>0</v>
      </c>
      <c r="GS748">
        <v>0</v>
      </c>
      <c r="GT748">
        <v>0.21141584320928319</v>
      </c>
      <c r="GU748"/>
      <c r="GV748"/>
      <c r="GW748"/>
      <c r="GX748"/>
      <c r="GY748"/>
      <c r="GZ748"/>
      <c r="HA748"/>
      <c r="HB748"/>
      <c r="HC748"/>
    </row>
    <row r="749" spans="1:211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3.234375</v>
      </c>
      <c r="AO749">
        <v>0.61232075527519614</v>
      </c>
      <c r="AP749">
        <v>29.764589701795568</v>
      </c>
      <c r="AQ749">
        <v>4.121362558708185</v>
      </c>
      <c r="AR749">
        <v>0.61763109913528846</v>
      </c>
      <c r="AS749">
        <v>3.0084386426479113</v>
      </c>
      <c r="AT749" t="e">
        <v>#DIV/0!</v>
      </c>
      <c r="AU749" t="e">
        <v>#DIV/0!</v>
      </c>
      <c r="AV749"/>
      <c r="AW749"/>
      <c r="FY749" s="211">
        <v>744</v>
      </c>
      <c r="FZ749">
        <v>1.0204794917423625</v>
      </c>
      <c r="GA749">
        <v>0.47460065171768845</v>
      </c>
      <c r="GB749">
        <v>6.282592274279708E-2</v>
      </c>
      <c r="GC749">
        <v>3.4819274958961192E-2</v>
      </c>
      <c r="GD749">
        <v>0</v>
      </c>
      <c r="GE749">
        <v>0</v>
      </c>
      <c r="GF749">
        <v>0.66042100116664126</v>
      </c>
      <c r="GG749">
        <v>0.59518473501329594</v>
      </c>
      <c r="GH749">
        <v>0</v>
      </c>
      <c r="GI749">
        <v>0.29479244945004079</v>
      </c>
      <c r="GJ749"/>
      <c r="GK749">
        <v>1.0230066709297954</v>
      </c>
      <c r="GL749">
        <v>0.40705572478708768</v>
      </c>
      <c r="GM749">
        <v>0.10493806523239137</v>
      </c>
      <c r="GN749">
        <v>0.10493806523239137</v>
      </c>
      <c r="GO749">
        <v>0</v>
      </c>
      <c r="GP749">
        <v>0</v>
      </c>
      <c r="GQ749">
        <v>0.90739586192571098</v>
      </c>
      <c r="GR749">
        <v>0.90739586192571098</v>
      </c>
      <c r="GS749">
        <v>0</v>
      </c>
      <c r="GT749">
        <v>0.40706811961757955</v>
      </c>
      <c r="GU749"/>
      <c r="GV749"/>
      <c r="GW749"/>
      <c r="GX749"/>
      <c r="GY749"/>
      <c r="GZ749"/>
      <c r="HA749"/>
      <c r="HB749"/>
      <c r="HC749"/>
    </row>
    <row r="750" spans="1:211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2.3052083333333333</v>
      </c>
      <c r="AO750">
        <v>0.2439052238793209</v>
      </c>
      <c r="AP750">
        <v>6.4527198807713511</v>
      </c>
      <c r="AQ750">
        <v>1.8555351074483575</v>
      </c>
      <c r="AR750">
        <v>0.26800764239649244</v>
      </c>
      <c r="AS750">
        <v>1.8632762815753261</v>
      </c>
      <c r="AT750" t="e">
        <v>#DIV/0!</v>
      </c>
      <c r="AU750" t="e">
        <v>#DIV/0!</v>
      </c>
      <c r="AV750"/>
      <c r="AW750"/>
      <c r="FY750" s="211">
        <v>745</v>
      </c>
      <c r="FZ750">
        <v>1.0037227306721617</v>
      </c>
      <c r="GA750">
        <v>8.725047411847664E-2</v>
      </c>
      <c r="GB750">
        <v>6.282592274279708E-2</v>
      </c>
      <c r="GC750">
        <v>0.13927709983584477</v>
      </c>
      <c r="GD750">
        <v>8.0173661321021189E-2</v>
      </c>
      <c r="GE750">
        <v>0</v>
      </c>
      <c r="GF750">
        <v>1.3208420023332825</v>
      </c>
      <c r="GG750">
        <v>1.1903694700265919</v>
      </c>
      <c r="GH750">
        <v>0</v>
      </c>
      <c r="GI750">
        <v>0.46679073060548409</v>
      </c>
      <c r="GJ750"/>
      <c r="GK750">
        <v>1.0075217665617393</v>
      </c>
      <c r="GL750">
        <v>7.3740509229249462E-2</v>
      </c>
      <c r="GM750">
        <v>0.10493806523239137</v>
      </c>
      <c r="GN750">
        <v>0.41975226092956547</v>
      </c>
      <c r="GO750">
        <v>0.31481419569717417</v>
      </c>
      <c r="GP750">
        <v>0</v>
      </c>
      <c r="GQ750">
        <v>1.814791723851422</v>
      </c>
      <c r="GR750">
        <v>1.814791723851422</v>
      </c>
      <c r="GS750">
        <v>0</v>
      </c>
      <c r="GT750">
        <v>0.64841315026854529</v>
      </c>
      <c r="GU750"/>
      <c r="GV750"/>
      <c r="GW750"/>
      <c r="GX750"/>
      <c r="GY750"/>
      <c r="GZ750"/>
      <c r="HA750"/>
      <c r="HB750"/>
      <c r="HC750"/>
    </row>
    <row r="751" spans="1:211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1.6354166666666665</v>
      </c>
      <c r="AO751">
        <v>0.32561007508049411</v>
      </c>
      <c r="AP751">
        <v>13.692573768416871</v>
      </c>
      <c r="AQ751">
        <v>2.4572675862204463</v>
      </c>
      <c r="AR751">
        <v>0.36167105240293151</v>
      </c>
      <c r="AS751">
        <v>1.7930871720454682</v>
      </c>
      <c r="AT751" t="e">
        <v>#DIV/0!</v>
      </c>
      <c r="AU751" t="e">
        <v>#DIV/0!</v>
      </c>
      <c r="AV751"/>
      <c r="AW751"/>
      <c r="FY751" s="211">
        <v>746</v>
      </c>
      <c r="FZ751">
        <v>0.73217580621876865</v>
      </c>
      <c r="GA751">
        <v>0</v>
      </c>
      <c r="GB751">
        <v>0.12565184548559416</v>
      </c>
      <c r="GC751">
        <v>6.9638549917922385E-2</v>
      </c>
      <c r="GD751">
        <v>0</v>
      </c>
      <c r="GE751">
        <v>0</v>
      </c>
      <c r="GF751">
        <v>0.66042100116664126</v>
      </c>
      <c r="GG751">
        <v>0.59518473501329594</v>
      </c>
      <c r="GH751">
        <v>0</v>
      </c>
      <c r="GI751">
        <v>0.26754480288948057</v>
      </c>
      <c r="GJ751"/>
      <c r="GK751">
        <v>0.73371343948713208</v>
      </c>
      <c r="GL751">
        <v>0</v>
      </c>
      <c r="GM751">
        <v>0.20987613046478273</v>
      </c>
      <c r="GN751">
        <v>0.20987613046478273</v>
      </c>
      <c r="GO751">
        <v>0</v>
      </c>
      <c r="GP751">
        <v>0</v>
      </c>
      <c r="GQ751">
        <v>0.90739586192571098</v>
      </c>
      <c r="GR751">
        <v>0.90739586192571098</v>
      </c>
      <c r="GS751">
        <v>0</v>
      </c>
      <c r="GT751">
        <v>0.37019708637552518</v>
      </c>
      <c r="GU751"/>
      <c r="GV751"/>
      <c r="GW751"/>
      <c r="GX751"/>
      <c r="GY751"/>
      <c r="GZ751"/>
      <c r="HA751"/>
      <c r="HB751"/>
      <c r="HC751"/>
    </row>
    <row r="752" spans="1:211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2.734375</v>
      </c>
      <c r="AO752">
        <v>0.3227071594967218</v>
      </c>
      <c r="AP752">
        <v>10.265755827569933</v>
      </c>
      <c r="AQ752">
        <v>2.4827820582003497</v>
      </c>
      <c r="AR752">
        <v>0.39313988718372039</v>
      </c>
      <c r="AS752">
        <v>2.0855466942655227</v>
      </c>
      <c r="AT752" t="e">
        <v>#DIV/0!</v>
      </c>
      <c r="AU752" t="e">
        <v>#DIV/0!</v>
      </c>
      <c r="AV752"/>
      <c r="AW752"/>
      <c r="FY752" s="211">
        <v>747</v>
      </c>
      <c r="FZ752">
        <v>0.56421721720995066</v>
      </c>
      <c r="GA752">
        <v>8.725047411847664E-2</v>
      </c>
      <c r="GB752">
        <v>0.14202990935487192</v>
      </c>
      <c r="GC752">
        <v>7.8958100610881349E-2</v>
      </c>
      <c r="GD752">
        <v>0</v>
      </c>
      <c r="GE752">
        <v>0</v>
      </c>
      <c r="GF752">
        <v>0</v>
      </c>
      <c r="GG752">
        <v>0</v>
      </c>
      <c r="GH752">
        <v>0</v>
      </c>
      <c r="GI752">
        <v>0.11852669267298094</v>
      </c>
      <c r="GJ752"/>
      <c r="GK752">
        <v>0.56309551463303253</v>
      </c>
      <c r="GL752">
        <v>7.3740509229249462E-2</v>
      </c>
      <c r="GM752">
        <v>0.23585576644039991</v>
      </c>
      <c r="GN752">
        <v>0.23585576644039991</v>
      </c>
      <c r="GO752">
        <v>0</v>
      </c>
      <c r="GP752">
        <v>0</v>
      </c>
      <c r="GQ752">
        <v>0</v>
      </c>
      <c r="GR752">
        <v>0</v>
      </c>
      <c r="GS752">
        <v>0</v>
      </c>
      <c r="GT752">
        <v>0.15979025621468651</v>
      </c>
      <c r="GU752"/>
      <c r="GV752"/>
      <c r="GW752"/>
      <c r="GX752"/>
      <c r="GY752"/>
      <c r="GZ752"/>
      <c r="HA752"/>
      <c r="HB752"/>
      <c r="HC752"/>
    </row>
    <row r="753" spans="1:211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2.171875</v>
      </c>
      <c r="AO753">
        <v>0.49584630412320402</v>
      </c>
      <c r="AP753">
        <v>27.597984997126638</v>
      </c>
      <c r="AQ753">
        <v>3.4523007524760541</v>
      </c>
      <c r="AR753">
        <v>0.48463592515670301</v>
      </c>
      <c r="AS753">
        <v>2.1406890547335435</v>
      </c>
      <c r="AT753" t="e">
        <v>#DIV/0!</v>
      </c>
      <c r="AU753" t="e">
        <v>#DIV/0!</v>
      </c>
      <c r="AV753"/>
      <c r="AW753"/>
      <c r="FY753" s="211">
        <v>748</v>
      </c>
      <c r="FZ753">
        <v>1.1012957890223465</v>
      </c>
      <c r="GA753">
        <v>0.56185112583616514</v>
      </c>
      <c r="GB753">
        <v>6.282592274279708E-2</v>
      </c>
      <c r="GC753">
        <v>6.9638549917922385E-2</v>
      </c>
      <c r="GD753">
        <v>2.6724553773673727E-2</v>
      </c>
      <c r="GE753">
        <v>0</v>
      </c>
      <c r="GF753">
        <v>0.66042100116664126</v>
      </c>
      <c r="GG753">
        <v>0.59518473501329594</v>
      </c>
      <c r="GH753">
        <v>0</v>
      </c>
      <c r="GI753">
        <v>0.32222376270635877</v>
      </c>
      <c r="GJ753"/>
      <c r="GK753">
        <v>1.1039997901870371</v>
      </c>
      <c r="GL753">
        <v>0.48079623401633714</v>
      </c>
      <c r="GM753">
        <v>0.10493806523239137</v>
      </c>
      <c r="GN753">
        <v>0.20987613046478273</v>
      </c>
      <c r="GO753">
        <v>0.10493806523239137</v>
      </c>
      <c r="GP753">
        <v>0</v>
      </c>
      <c r="GQ753">
        <v>0.90739586192571098</v>
      </c>
      <c r="GR753">
        <v>0.90739586192571098</v>
      </c>
      <c r="GS753">
        <v>0</v>
      </c>
      <c r="GT753">
        <v>0.44425435651550615</v>
      </c>
      <c r="GU753"/>
      <c r="GV753"/>
      <c r="GW753"/>
      <c r="GX753"/>
      <c r="GY753"/>
      <c r="GZ753"/>
      <c r="HA753"/>
      <c r="HB753"/>
      <c r="HC753"/>
    </row>
    <row r="754" spans="1:211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2.927083333333333</v>
      </c>
      <c r="AO754">
        <v>0.28012632539687427</v>
      </c>
      <c r="AP754">
        <v>9.4763143647219934</v>
      </c>
      <c r="AQ754">
        <v>2.0065714707015685</v>
      </c>
      <c r="AR754">
        <v>0.33013197589291315</v>
      </c>
      <c r="AS754">
        <v>2.1362196149654049</v>
      </c>
      <c r="AT754" t="e">
        <v>#DIV/0!</v>
      </c>
      <c r="AU754" t="e">
        <v>#DIV/0!</v>
      </c>
      <c r="AV754"/>
      <c r="AW754"/>
      <c r="FY754" s="211">
        <v>749</v>
      </c>
      <c r="FZ754">
        <v>1.5976426214194446</v>
      </c>
      <c r="GA754">
        <v>0.77470035519842362</v>
      </c>
      <c r="GB754">
        <v>0.14202990935487192</v>
      </c>
      <c r="GC754">
        <v>0.11377737556984255</v>
      </c>
      <c r="GD754">
        <v>2.6724553773673727E-2</v>
      </c>
      <c r="GE754">
        <v>0</v>
      </c>
      <c r="GF754">
        <v>0.33021050058332063</v>
      </c>
      <c r="GG754">
        <v>0.29759236750664797</v>
      </c>
      <c r="GH754">
        <v>0</v>
      </c>
      <c r="GI754">
        <v>0.35092460391463964</v>
      </c>
      <c r="GJ754"/>
      <c r="GK754">
        <v>1.6071610512260253</v>
      </c>
      <c r="GL754">
        <v>0.66663043111567644</v>
      </c>
      <c r="GM754">
        <v>0.23585576644039991</v>
      </c>
      <c r="GN754">
        <v>0.34079383167279126</v>
      </c>
      <c r="GO754">
        <v>0.10493806523239137</v>
      </c>
      <c r="GP754">
        <v>0</v>
      </c>
      <c r="GQ754">
        <v>0.45369793096285549</v>
      </c>
      <c r="GR754">
        <v>0.45369793096285549</v>
      </c>
      <c r="GS754">
        <v>0</v>
      </c>
      <c r="GT754">
        <v>0.48033056277233444</v>
      </c>
      <c r="GU754"/>
      <c r="GV754"/>
      <c r="GW754"/>
      <c r="GX754"/>
      <c r="GY754"/>
      <c r="GZ754"/>
      <c r="HA754"/>
      <c r="HB754"/>
      <c r="HC754"/>
    </row>
    <row r="755" spans="1:211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3.8624999999999994</v>
      </c>
      <c r="AO755">
        <v>0.50629296024857373</v>
      </c>
      <c r="AP755">
        <v>18.402663844251784</v>
      </c>
      <c r="AQ755">
        <v>3.9127527778723414</v>
      </c>
      <c r="AR755">
        <v>0.52154757740560675</v>
      </c>
      <c r="AS755">
        <v>2.5586745317506114</v>
      </c>
      <c r="AT755" t="e">
        <v>#DIV/0!</v>
      </c>
      <c r="AU755" t="e">
        <v>#DIV/0!</v>
      </c>
      <c r="AV755"/>
      <c r="AW755"/>
      <c r="FY755" s="211">
        <v>750</v>
      </c>
      <c r="FZ755">
        <v>1.1053257576271096</v>
      </c>
      <c r="GA755">
        <v>0.38735017759921181</v>
      </c>
      <c r="GB755">
        <v>0.15840797322414965</v>
      </c>
      <c r="GC755">
        <v>0.12309692626280153</v>
      </c>
      <c r="GD755">
        <v>2.6724553773673727E-2</v>
      </c>
      <c r="GE755">
        <v>0</v>
      </c>
      <c r="GF755">
        <v>0</v>
      </c>
      <c r="GG755">
        <v>0</v>
      </c>
      <c r="GH755">
        <v>0</v>
      </c>
      <c r="GI755">
        <v>0.21795545295208457</v>
      </c>
      <c r="GJ755"/>
      <c r="GK755">
        <v>1.1103647365549869</v>
      </c>
      <c r="GL755">
        <v>0.33331521555783822</v>
      </c>
      <c r="GM755">
        <v>0.26183540241601705</v>
      </c>
      <c r="GN755">
        <v>0.3667734676484084</v>
      </c>
      <c r="GO755">
        <v>0.10493806523239137</v>
      </c>
      <c r="GP755">
        <v>0</v>
      </c>
      <c r="GQ755">
        <v>0</v>
      </c>
      <c r="GR755">
        <v>0</v>
      </c>
      <c r="GS755">
        <v>0</v>
      </c>
      <c r="GT755">
        <v>0.29542764084067907</v>
      </c>
      <c r="GU755"/>
      <c r="GV755"/>
      <c r="GW755"/>
      <c r="GX755"/>
      <c r="GY755"/>
      <c r="GZ755"/>
      <c r="HA755"/>
      <c r="HB755"/>
      <c r="HC755"/>
    </row>
    <row r="756" spans="1:211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2.598958333333333</v>
      </c>
      <c r="AO756">
        <v>0.27722437517216725</v>
      </c>
      <c r="AP756">
        <v>9.5389620264041231</v>
      </c>
      <c r="AQ756">
        <v>1.879122225846976</v>
      </c>
      <c r="AR756">
        <v>0.29984556910406424</v>
      </c>
      <c r="AS756">
        <v>1.8568135658872904</v>
      </c>
      <c r="AT756" t="e">
        <v>#DIV/0!</v>
      </c>
      <c r="AU756" t="e">
        <v>#DIV/0!</v>
      </c>
      <c r="AV756"/>
      <c r="AW756"/>
      <c r="FY756" s="211">
        <v>751</v>
      </c>
      <c r="FZ756">
        <v>1.1335434829113871</v>
      </c>
      <c r="GA756">
        <v>8.725047411847664E-2</v>
      </c>
      <c r="GB756">
        <v>0.15840797322414965</v>
      </c>
      <c r="GC756">
        <v>8.8277651303840327E-2</v>
      </c>
      <c r="GD756">
        <v>0</v>
      </c>
      <c r="GE756">
        <v>0</v>
      </c>
      <c r="GF756">
        <v>0.99063150174996206</v>
      </c>
      <c r="GG756">
        <v>0.89277710251994391</v>
      </c>
      <c r="GH756">
        <v>0</v>
      </c>
      <c r="GI756">
        <v>0.39887300193426256</v>
      </c>
      <c r="GJ756"/>
      <c r="GK756">
        <v>1.1395579264599411</v>
      </c>
      <c r="GL756">
        <v>7.3740509229249462E-2</v>
      </c>
      <c r="GM756">
        <v>0.26183540241601705</v>
      </c>
      <c r="GN756">
        <v>0.26183540241601705</v>
      </c>
      <c r="GO756">
        <v>0</v>
      </c>
      <c r="GP756">
        <v>0</v>
      </c>
      <c r="GQ756">
        <v>1.3610937928885667</v>
      </c>
      <c r="GR756">
        <v>1.3610937928885667</v>
      </c>
      <c r="GS756">
        <v>0</v>
      </c>
      <c r="GT756">
        <v>0.55249742435290505</v>
      </c>
      <c r="GU756"/>
      <c r="GV756"/>
      <c r="GW756"/>
      <c r="GX756"/>
      <c r="GY756"/>
      <c r="GZ756"/>
      <c r="HA756"/>
      <c r="HB756"/>
      <c r="HC756"/>
    </row>
    <row r="757" spans="1:211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3.0291666666666663</v>
      </c>
      <c r="AO757">
        <v>0.36292293497225592</v>
      </c>
      <c r="AP757">
        <v>12.461650718881611</v>
      </c>
      <c r="AQ757">
        <v>2.8042014895504281</v>
      </c>
      <c r="AR757">
        <v>0.40374399037871667</v>
      </c>
      <c r="AS757">
        <v>2.085044486766678</v>
      </c>
      <c r="AT757" t="e">
        <v>#DIV/0!</v>
      </c>
      <c r="AU757" t="e">
        <v>#DIV/0!</v>
      </c>
      <c r="AV757"/>
      <c r="AW757"/>
      <c r="FY757" s="211">
        <v>752</v>
      </c>
      <c r="FZ757">
        <v>1.7477610673750554</v>
      </c>
      <c r="GA757">
        <v>0.9492013034353769</v>
      </c>
      <c r="GB757">
        <v>0.204855832097669</v>
      </c>
      <c r="GC757">
        <v>0.14859665052880375</v>
      </c>
      <c r="GD757">
        <v>2.6724553773673727E-2</v>
      </c>
      <c r="GE757">
        <v>0</v>
      </c>
      <c r="GF757">
        <v>0.33021050058332063</v>
      </c>
      <c r="GG757">
        <v>0.29759236750664797</v>
      </c>
      <c r="GH757">
        <v>0</v>
      </c>
      <c r="GI757">
        <v>0.3885507438515392</v>
      </c>
      <c r="GJ757"/>
      <c r="GK757">
        <v>1.7600822888438012</v>
      </c>
      <c r="GL757">
        <v>0.81411144957417536</v>
      </c>
      <c r="GM757">
        <v>0.34079383167279126</v>
      </c>
      <c r="GN757">
        <v>0.44573189690518267</v>
      </c>
      <c r="GO757">
        <v>0.10493806523239137</v>
      </c>
      <c r="GP757">
        <v>0</v>
      </c>
      <c r="GQ757">
        <v>0.45369793096285549</v>
      </c>
      <c r="GR757">
        <v>0.45369793096285549</v>
      </c>
      <c r="GS757">
        <v>0</v>
      </c>
      <c r="GT757">
        <v>0.53190242334236781</v>
      </c>
      <c r="GU757"/>
      <c r="GV757"/>
      <c r="GW757"/>
      <c r="GX757"/>
      <c r="GY757"/>
      <c r="GZ757"/>
      <c r="HA757"/>
      <c r="HB757"/>
      <c r="HC757"/>
    </row>
    <row r="758" spans="1:211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2.5447916666666668</v>
      </c>
      <c r="AO758">
        <v>0.3901251576739409</v>
      </c>
      <c r="AP758">
        <v>11.691067002987889</v>
      </c>
      <c r="AQ758">
        <v>2.9087586423449947</v>
      </c>
      <c r="AR758">
        <v>0.41497132647531537</v>
      </c>
      <c r="AS758">
        <v>2.0833906557634658</v>
      </c>
      <c r="AT758" t="e">
        <v>#DIV/0!</v>
      </c>
      <c r="AU758" t="e">
        <v>#DIV/0!</v>
      </c>
      <c r="AV758"/>
      <c r="AW758"/>
      <c r="FY758" s="211">
        <v>753</v>
      </c>
      <c r="FZ758">
        <v>0.5577716645636015</v>
      </c>
      <c r="GA758">
        <v>8.725047411847664E-2</v>
      </c>
      <c r="GB758">
        <v>7.9203986612074825E-2</v>
      </c>
      <c r="GC758">
        <v>0.11377737556984255</v>
      </c>
      <c r="GD758">
        <v>5.3449107547347455E-2</v>
      </c>
      <c r="GE758">
        <v>0</v>
      </c>
      <c r="GF758">
        <v>0</v>
      </c>
      <c r="GG758">
        <v>0</v>
      </c>
      <c r="GH758">
        <v>0</v>
      </c>
      <c r="GI758">
        <v>0.13302973700065573</v>
      </c>
      <c r="GJ758"/>
      <c r="GK758">
        <v>0.5566147839779898</v>
      </c>
      <c r="GL758">
        <v>7.3740509229249462E-2</v>
      </c>
      <c r="GM758">
        <v>0.13091770120800852</v>
      </c>
      <c r="GN758">
        <v>0.34079383167279126</v>
      </c>
      <c r="GO758">
        <v>0.20987613046478273</v>
      </c>
      <c r="GP758">
        <v>0</v>
      </c>
      <c r="GQ758">
        <v>0</v>
      </c>
      <c r="GR758">
        <v>0</v>
      </c>
      <c r="GS758">
        <v>0</v>
      </c>
      <c r="GT758">
        <v>0.1794817231301562</v>
      </c>
      <c r="GU758"/>
      <c r="GV758"/>
      <c r="GW758"/>
      <c r="GX758"/>
      <c r="GY758"/>
      <c r="GZ758"/>
      <c r="HA758"/>
      <c r="HB758"/>
      <c r="HC758"/>
    </row>
    <row r="759" spans="1:211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2.828125</v>
      </c>
      <c r="AO759">
        <v>0.18305104186162388</v>
      </c>
      <c r="AP759">
        <v>3.4004232650297794</v>
      </c>
      <c r="AQ759">
        <v>1.4187203305668115</v>
      </c>
      <c r="AR759">
        <v>0.21141584320928319</v>
      </c>
      <c r="AS759">
        <v>1.6760650722332184</v>
      </c>
      <c r="AT759" t="e">
        <v>#DIV/0!</v>
      </c>
      <c r="AU759" t="e">
        <v>#DIV/0!</v>
      </c>
      <c r="AV759"/>
      <c r="AW759"/>
      <c r="FY759" s="211">
        <v>754</v>
      </c>
      <c r="FZ759">
        <v>1.3597561469297976</v>
      </c>
      <c r="GA759">
        <v>0.73635207407311842</v>
      </c>
      <c r="GB759">
        <v>0.15840797322414965</v>
      </c>
      <c r="GC759">
        <v>0.12309692626280153</v>
      </c>
      <c r="GD759">
        <v>2.6724553773673727E-2</v>
      </c>
      <c r="GE759">
        <v>0</v>
      </c>
      <c r="GF759">
        <v>0.33021050058332063</v>
      </c>
      <c r="GG759">
        <v>0.29759236750664797</v>
      </c>
      <c r="GH759">
        <v>0</v>
      </c>
      <c r="GI759">
        <v>0.31971974755040578</v>
      </c>
      <c r="GJ759"/>
      <c r="GK759">
        <v>1.3655665604802378</v>
      </c>
      <c r="GL759">
        <v>0.62827725247483612</v>
      </c>
      <c r="GM759">
        <v>0.26183540241601705</v>
      </c>
      <c r="GN759">
        <v>0.3667734676484084</v>
      </c>
      <c r="GO759">
        <v>0.10493806523239137</v>
      </c>
      <c r="GP759">
        <v>0</v>
      </c>
      <c r="GQ759">
        <v>0.45369793096285549</v>
      </c>
      <c r="GR759">
        <v>0.45369793096285549</v>
      </c>
      <c r="GS759">
        <v>0</v>
      </c>
      <c r="GT759">
        <v>0.43720759181830038</v>
      </c>
      <c r="GU759"/>
      <c r="GV759"/>
      <c r="GW759"/>
      <c r="GX759"/>
      <c r="GY759"/>
      <c r="GZ759"/>
      <c r="HA759"/>
      <c r="HB759"/>
      <c r="HC759"/>
    </row>
    <row r="760" spans="1:211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3.6541666666666672</v>
      </c>
      <c r="AO760">
        <v>0.38617983696506675</v>
      </c>
      <c r="AP760">
        <v>15.819837465559555</v>
      </c>
      <c r="AQ760">
        <v>3.1431235267917872</v>
      </c>
      <c r="AR760">
        <v>0.40706811961757955</v>
      </c>
      <c r="AS760">
        <v>2.11539566194674</v>
      </c>
      <c r="AT760" t="e">
        <v>#DIV/0!</v>
      </c>
      <c r="AU760" t="e">
        <v>#DIV/0!</v>
      </c>
      <c r="AV760"/>
      <c r="AW760"/>
      <c r="FY760" s="211">
        <v>755</v>
      </c>
      <c r="FZ760">
        <v>1.4118468517976375</v>
      </c>
      <c r="GA760">
        <v>0.64910159995464167</v>
      </c>
      <c r="GB760">
        <v>0.204855832097669</v>
      </c>
      <c r="GC760">
        <v>0.11377737556984255</v>
      </c>
      <c r="GD760">
        <v>0</v>
      </c>
      <c r="GE760">
        <v>0</v>
      </c>
      <c r="GF760">
        <v>0.33021050058332063</v>
      </c>
      <c r="GG760">
        <v>0.29759236750664797</v>
      </c>
      <c r="GH760">
        <v>0</v>
      </c>
      <c r="GI760">
        <v>0.32334167622037735</v>
      </c>
      <c r="GJ760"/>
      <c r="GK760">
        <v>1.4228216996534244</v>
      </c>
      <c r="GL760">
        <v>0.55453674324558655</v>
      </c>
      <c r="GM760">
        <v>0.34079383167279126</v>
      </c>
      <c r="GN760">
        <v>0.34079383167279126</v>
      </c>
      <c r="GO760">
        <v>0</v>
      </c>
      <c r="GP760">
        <v>0</v>
      </c>
      <c r="GQ760">
        <v>0.45369793096285549</v>
      </c>
      <c r="GR760">
        <v>0.45369793096285549</v>
      </c>
      <c r="GS760">
        <v>0</v>
      </c>
      <c r="GT760">
        <v>0.44346269245781428</v>
      </c>
      <c r="GU760"/>
      <c r="GV760"/>
      <c r="GW760"/>
      <c r="GX760"/>
      <c r="GY760"/>
      <c r="GZ760"/>
      <c r="HA760"/>
      <c r="HB760"/>
      <c r="HC760"/>
    </row>
    <row r="761" spans="1:211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2.958333333333333</v>
      </c>
      <c r="AO761">
        <v>0.61987633956215082</v>
      </c>
      <c r="AP761">
        <v>26.23996926752244</v>
      </c>
      <c r="AQ761">
        <v>4.3512520916556596</v>
      </c>
      <c r="AR761">
        <v>0.64841315026854529</v>
      </c>
      <c r="AS761">
        <v>2.9450569273819709</v>
      </c>
      <c r="AT761" t="e">
        <v>#DIV/0!</v>
      </c>
      <c r="AU761" t="e">
        <v>#DIV/0!</v>
      </c>
      <c r="AV761"/>
      <c r="AW761"/>
      <c r="FY761" s="211">
        <v>756</v>
      </c>
      <c r="FZ761">
        <v>0.77567860165987323</v>
      </c>
      <c r="GA761">
        <v>8.725047411847664E-2</v>
      </c>
      <c r="GB761">
        <v>0.204855832097669</v>
      </c>
      <c r="GC761">
        <v>0.18341592548776492</v>
      </c>
      <c r="GD761">
        <v>5.3449107547347455E-2</v>
      </c>
      <c r="GE761">
        <v>0</v>
      </c>
      <c r="GF761">
        <v>0.99063150174996206</v>
      </c>
      <c r="GG761">
        <v>0.89277710251994391</v>
      </c>
      <c r="GH761">
        <v>0</v>
      </c>
      <c r="GI761">
        <v>0.38831869481283532</v>
      </c>
      <c r="GJ761"/>
      <c r="GK761">
        <v>0.77948400502819992</v>
      </c>
      <c r="GL761">
        <v>7.3740509229249462E-2</v>
      </c>
      <c r="GM761">
        <v>0.34079383167279126</v>
      </c>
      <c r="GN761">
        <v>0.55066996213757402</v>
      </c>
      <c r="GO761">
        <v>0.20987613046478273</v>
      </c>
      <c r="GP761">
        <v>0</v>
      </c>
      <c r="GQ761">
        <v>1.3610937928885667</v>
      </c>
      <c r="GR761">
        <v>1.3610937928885667</v>
      </c>
      <c r="GS761">
        <v>0</v>
      </c>
      <c r="GT761">
        <v>0.5382495520108681</v>
      </c>
      <c r="GU761"/>
      <c r="GV761"/>
      <c r="GW761"/>
      <c r="GX761"/>
      <c r="GY761"/>
      <c r="GZ761"/>
      <c r="HA761"/>
      <c r="HB761"/>
      <c r="HC761"/>
    </row>
    <row r="762" spans="1:211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1.8958333333333333</v>
      </c>
      <c r="AO762">
        <v>0.33384545106436442</v>
      </c>
      <c r="AP762">
        <v>14.974229663733501</v>
      </c>
      <c r="AQ762">
        <v>2.4506167406917032</v>
      </c>
      <c r="AR762">
        <v>0.37019708637552518</v>
      </c>
      <c r="AS762">
        <v>1.9012460368832942</v>
      </c>
      <c r="AT762" t="e">
        <v>#DIV/0!</v>
      </c>
      <c r="AU762" t="e">
        <v>#DIV/0!</v>
      </c>
      <c r="AV762"/>
      <c r="AW762"/>
      <c r="FY762" s="211">
        <v>757</v>
      </c>
      <c r="FZ762">
        <v>0.34073102901963476</v>
      </c>
      <c r="GA762">
        <v>0</v>
      </c>
      <c r="GB762">
        <v>0.14202990935487192</v>
      </c>
      <c r="GC762">
        <v>0.11377737556984255</v>
      </c>
      <c r="GD762">
        <v>2.6724553773673727E-2</v>
      </c>
      <c r="GE762">
        <v>0</v>
      </c>
      <c r="GF762">
        <v>0</v>
      </c>
      <c r="GG762">
        <v>0</v>
      </c>
      <c r="GH762">
        <v>0</v>
      </c>
      <c r="GI762">
        <v>0.10084069934986975</v>
      </c>
      <c r="GJ762"/>
      <c r="GK762">
        <v>0.3401773803636618</v>
      </c>
      <c r="GL762">
        <v>0</v>
      </c>
      <c r="GM762">
        <v>0.23585576644039991</v>
      </c>
      <c r="GN762">
        <v>0.34079383167279126</v>
      </c>
      <c r="GO762">
        <v>0.10493806523239137</v>
      </c>
      <c r="GP762">
        <v>0</v>
      </c>
      <c r="GQ762">
        <v>0</v>
      </c>
      <c r="GR762">
        <v>0</v>
      </c>
      <c r="GS762">
        <v>0</v>
      </c>
      <c r="GT762">
        <v>0.13619424240729061</v>
      </c>
      <c r="GU762"/>
      <c r="GV762"/>
      <c r="GW762"/>
      <c r="GX762"/>
      <c r="GY762"/>
      <c r="GZ762"/>
      <c r="HA762"/>
      <c r="HB762"/>
      <c r="HC762"/>
    </row>
    <row r="763" spans="1:211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2.192708333333333</v>
      </c>
      <c r="AO763">
        <v>0.12683378129577683</v>
      </c>
      <c r="AP763">
        <v>3.1326972395268577</v>
      </c>
      <c r="AQ763">
        <v>0.99098239396716159</v>
      </c>
      <c r="AR763">
        <v>0.15979025621468648</v>
      </c>
      <c r="AS763">
        <v>1.2169743251683798</v>
      </c>
      <c r="AT763" t="e">
        <v>#DIV/0!</v>
      </c>
      <c r="AU763" t="e">
        <v>#DIV/0!</v>
      </c>
      <c r="AV763"/>
      <c r="AW763"/>
      <c r="FY763" s="211">
        <v>758</v>
      </c>
      <c r="FZ763">
        <v>1.7815927458384668</v>
      </c>
      <c r="GA763">
        <v>1.2493010069161121</v>
      </c>
      <c r="GB763">
        <v>0</v>
      </c>
      <c r="GC763">
        <v>6.9638549917922385E-2</v>
      </c>
      <c r="GD763">
        <v>5.3449107547347455E-2</v>
      </c>
      <c r="GE763">
        <v>0</v>
      </c>
      <c r="GF763">
        <v>0.99063150174996206</v>
      </c>
      <c r="GG763">
        <v>0.89277710251994391</v>
      </c>
      <c r="GH763">
        <v>0</v>
      </c>
      <c r="GI763">
        <v>0.4868721860461287</v>
      </c>
      <c r="GJ763"/>
      <c r="GK763">
        <v>1.7932119056039102</v>
      </c>
      <c r="GL763">
        <v>1.073686155902764</v>
      </c>
      <c r="GM763">
        <v>0</v>
      </c>
      <c r="GN763">
        <v>0.20987613046478273</v>
      </c>
      <c r="GO763">
        <v>0.20987613046478273</v>
      </c>
      <c r="GP763">
        <v>0</v>
      </c>
      <c r="GQ763">
        <v>1.3610937928885667</v>
      </c>
      <c r="GR763">
        <v>1.3610937928885667</v>
      </c>
      <c r="GS763">
        <v>0</v>
      </c>
      <c r="GT763">
        <v>0.6728363657914519</v>
      </c>
      <c r="GU763"/>
      <c r="GV763"/>
      <c r="GW763"/>
      <c r="GX763"/>
      <c r="GY763"/>
      <c r="GZ763"/>
      <c r="HA763"/>
      <c r="HB763"/>
      <c r="HC763"/>
    </row>
    <row r="764" spans="1:211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3.4354166666666663</v>
      </c>
      <c r="AO764">
        <v>0.42635943654998681</v>
      </c>
      <c r="AP764">
        <v>15.451941334590224</v>
      </c>
      <c r="AQ764">
        <v>3.400165440179201</v>
      </c>
      <c r="AR764">
        <v>0.44425435651550615</v>
      </c>
      <c r="AS764">
        <v>2.3693655786305885</v>
      </c>
      <c r="AT764" t="e">
        <v>#DIV/0!</v>
      </c>
      <c r="AU764" t="e">
        <v>#DIV/0!</v>
      </c>
      <c r="AV764"/>
      <c r="AW764"/>
      <c r="FY764" s="211">
        <v>759</v>
      </c>
      <c r="FZ764">
        <v>1.169006863019149</v>
      </c>
      <c r="GA764">
        <v>0.38735017759921181</v>
      </c>
      <c r="GB764">
        <v>6.282592274279708E-2</v>
      </c>
      <c r="GC764">
        <v>3.4819274958961192E-2</v>
      </c>
      <c r="GD764">
        <v>0</v>
      </c>
      <c r="GE764">
        <v>0</v>
      </c>
      <c r="GF764">
        <v>0.33021050058332063</v>
      </c>
      <c r="GG764">
        <v>0.29759236750664797</v>
      </c>
      <c r="GH764">
        <v>0</v>
      </c>
      <c r="GI764">
        <v>0.25247756771891927</v>
      </c>
      <c r="GJ764"/>
      <c r="GK764">
        <v>1.1802267432196301</v>
      </c>
      <c r="GL764">
        <v>0.33331521555783822</v>
      </c>
      <c r="GM764">
        <v>0.10493806523239137</v>
      </c>
      <c r="GN764">
        <v>0.10493806523239137</v>
      </c>
      <c r="GO764">
        <v>0</v>
      </c>
      <c r="GP764">
        <v>0</v>
      </c>
      <c r="GQ764">
        <v>0.45369793096285549</v>
      </c>
      <c r="GR764">
        <v>0.45369793096285549</v>
      </c>
      <c r="GS764">
        <v>0</v>
      </c>
      <c r="GT764">
        <v>0.34777254788297535</v>
      </c>
      <c r="GU764"/>
      <c r="GV764"/>
      <c r="GW764"/>
      <c r="GX764"/>
      <c r="GY764"/>
      <c r="GZ764"/>
      <c r="HA764"/>
      <c r="HB764"/>
      <c r="HC764"/>
    </row>
    <row r="765" spans="1:211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3.6677083333333327</v>
      </c>
      <c r="AO765">
        <v>0.43431055703853294</v>
      </c>
      <c r="AP765">
        <v>12.527721878399703</v>
      </c>
      <c r="AQ765">
        <v>3.6336022873208647</v>
      </c>
      <c r="AR765">
        <v>0.48033056277233444</v>
      </c>
      <c r="AS765">
        <v>2.5922586244944381</v>
      </c>
      <c r="AT765" t="e">
        <v>#DIV/0!</v>
      </c>
      <c r="AU765" t="e">
        <v>#DIV/0!</v>
      </c>
      <c r="AV765"/>
      <c r="AW765"/>
      <c r="FY765" s="211">
        <v>760</v>
      </c>
      <c r="FZ765">
        <v>0.92143474247880408</v>
      </c>
      <c r="GA765">
        <v>0</v>
      </c>
      <c r="GB765">
        <v>6.282592274279708E-2</v>
      </c>
      <c r="GC765">
        <v>3.4819274958961192E-2</v>
      </c>
      <c r="GD765">
        <v>0</v>
      </c>
      <c r="GE765">
        <v>0</v>
      </c>
      <c r="GF765">
        <v>0.99063150174996206</v>
      </c>
      <c r="GG765">
        <v>0.89277710251994391</v>
      </c>
      <c r="GH765">
        <v>0</v>
      </c>
      <c r="GI765">
        <v>0.34407696343197369</v>
      </c>
      <c r="GJ765"/>
      <c r="GK765">
        <v>0.92762111857255569</v>
      </c>
      <c r="GL765">
        <v>0</v>
      </c>
      <c r="GM765">
        <v>0.10493806523239137</v>
      </c>
      <c r="GN765">
        <v>0.10493806523239137</v>
      </c>
      <c r="GO765">
        <v>0</v>
      </c>
      <c r="GP765">
        <v>0</v>
      </c>
      <c r="GQ765">
        <v>1.3610937928885667</v>
      </c>
      <c r="GR765">
        <v>1.3610937928885667</v>
      </c>
      <c r="GS765">
        <v>0</v>
      </c>
      <c r="GT765">
        <v>0.47873059533870277</v>
      </c>
      <c r="GU765"/>
      <c r="GV765"/>
      <c r="GW765"/>
      <c r="GX765"/>
      <c r="GY765"/>
      <c r="GZ765"/>
      <c r="HA765"/>
      <c r="HB765"/>
      <c r="HC765"/>
    </row>
    <row r="766" spans="1:211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3.2687499999999998</v>
      </c>
      <c r="AO766">
        <v>0.24726545282503212</v>
      </c>
      <c r="AP766">
        <v>5.7174153766149916</v>
      </c>
      <c r="AQ766">
        <v>2.018860841439031</v>
      </c>
      <c r="AR766">
        <v>0.29542764084067907</v>
      </c>
      <c r="AS766">
        <v>2.0192776853149028</v>
      </c>
      <c r="AT766" t="e">
        <v>#DIV/0!</v>
      </c>
      <c r="AU766" t="e">
        <v>#DIV/0!</v>
      </c>
      <c r="AV766"/>
      <c r="AW766"/>
      <c r="FY766" s="211">
        <v>761</v>
      </c>
      <c r="FZ766">
        <v>0.65395358601653841</v>
      </c>
      <c r="GA766">
        <v>0.26175142235542992</v>
      </c>
      <c r="GB766">
        <v>0.204855832097669</v>
      </c>
      <c r="GC766">
        <v>0.11377737556984255</v>
      </c>
      <c r="GD766">
        <v>0</v>
      </c>
      <c r="GE766">
        <v>0</v>
      </c>
      <c r="GF766">
        <v>0</v>
      </c>
      <c r="GG766">
        <v>0</v>
      </c>
      <c r="GH766">
        <v>0</v>
      </c>
      <c r="GI766">
        <v>0.14728231810042933</v>
      </c>
      <c r="GJ766"/>
      <c r="GK766">
        <v>0.65293697750843593</v>
      </c>
      <c r="GL766">
        <v>0.22122152768774839</v>
      </c>
      <c r="GM766">
        <v>0.34079383167279126</v>
      </c>
      <c r="GN766">
        <v>0.34079383167279126</v>
      </c>
      <c r="GO766">
        <v>0</v>
      </c>
      <c r="GP766">
        <v>0</v>
      </c>
      <c r="GQ766">
        <v>0</v>
      </c>
      <c r="GR766">
        <v>0</v>
      </c>
      <c r="GS766">
        <v>0</v>
      </c>
      <c r="GT766">
        <v>0.19874616183624544</v>
      </c>
      <c r="GU766"/>
      <c r="GV766"/>
      <c r="GW766"/>
      <c r="GX766"/>
      <c r="GY766"/>
      <c r="GZ766"/>
      <c r="HA766"/>
      <c r="HB766"/>
      <c r="HC766"/>
    </row>
    <row r="767" spans="1:211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3.2708333333333335</v>
      </c>
      <c r="AO767">
        <v>0.50116542506512629</v>
      </c>
      <c r="AP767">
        <v>21.817205037814507</v>
      </c>
      <c r="AQ767">
        <v>3.7497611877620223</v>
      </c>
      <c r="AR767">
        <v>0.55249742435290505</v>
      </c>
      <c r="AS767">
        <v>2.6130417231746605</v>
      </c>
      <c r="AT767" t="e">
        <v>#DIV/0!</v>
      </c>
      <c r="AU767" t="e">
        <v>#DIV/0!</v>
      </c>
      <c r="AV767"/>
      <c r="AW767"/>
      <c r="FY767" s="211">
        <v>762</v>
      </c>
      <c r="FZ767">
        <v>0.36558648912594394</v>
      </c>
      <c r="GA767">
        <v>0</v>
      </c>
      <c r="GB767">
        <v>0.12565184548559416</v>
      </c>
      <c r="GC767">
        <v>0.10445782487688358</v>
      </c>
      <c r="GD767">
        <v>2.6724553773673727E-2</v>
      </c>
      <c r="GE767">
        <v>0</v>
      </c>
      <c r="GF767">
        <v>0.33021050058332063</v>
      </c>
      <c r="GG767">
        <v>0.29759236750664797</v>
      </c>
      <c r="GH767">
        <v>0</v>
      </c>
      <c r="GI767">
        <v>0.16464920105171826</v>
      </c>
      <c r="GJ767"/>
      <c r="GK767">
        <v>0.36512667762797757</v>
      </c>
      <c r="GL767">
        <v>0</v>
      </c>
      <c r="GM767">
        <v>0.20987613046478273</v>
      </c>
      <c r="GN767">
        <v>0.31481419569717412</v>
      </c>
      <c r="GO767">
        <v>0.10493806523239137</v>
      </c>
      <c r="GP767">
        <v>0</v>
      </c>
      <c r="GQ767">
        <v>0.45369793096285549</v>
      </c>
      <c r="GR767">
        <v>0.45369793096285549</v>
      </c>
      <c r="GS767">
        <v>0</v>
      </c>
      <c r="GT767">
        <v>0.22672776085760143</v>
      </c>
      <c r="GU767"/>
      <c r="GV767"/>
      <c r="GW767"/>
      <c r="GX767"/>
      <c r="GY767"/>
      <c r="GZ767"/>
      <c r="HA767"/>
      <c r="HB767"/>
      <c r="HC767"/>
    </row>
    <row r="768" spans="1:211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3.2406249999999992</v>
      </c>
      <c r="AO768">
        <v>0.49049558174964208</v>
      </c>
      <c r="AP768">
        <v>12.302551660562537</v>
      </c>
      <c r="AQ768">
        <v>4.0934930191520866</v>
      </c>
      <c r="AR768">
        <v>0.53190242334236781</v>
      </c>
      <c r="AS768">
        <v>3.0459905514852186</v>
      </c>
      <c r="AT768" t="e">
        <v>#DIV/0!</v>
      </c>
      <c r="AU768" t="e">
        <v>#DIV/0!</v>
      </c>
      <c r="AV768"/>
      <c r="AW768"/>
      <c r="FY768" s="211">
        <v>763</v>
      </c>
      <c r="FZ768">
        <v>1.2067676086270633</v>
      </c>
      <c r="GA768">
        <v>0.86195082931690026</v>
      </c>
      <c r="GB768">
        <v>0.15840797322414965</v>
      </c>
      <c r="GC768">
        <v>8.8277651303840327E-2</v>
      </c>
      <c r="GD768">
        <v>0</v>
      </c>
      <c r="GE768">
        <v>0</v>
      </c>
      <c r="GF768">
        <v>0</v>
      </c>
      <c r="GG768">
        <v>0</v>
      </c>
      <c r="GH768">
        <v>0</v>
      </c>
      <c r="GI768">
        <v>0.2174578877500333</v>
      </c>
      <c r="GJ768"/>
      <c r="GK768">
        <v>1.2143968714755045</v>
      </c>
      <c r="GL768">
        <v>0.7403709403449259</v>
      </c>
      <c r="GM768">
        <v>0.26183540241601705</v>
      </c>
      <c r="GN768">
        <v>0.26183540241601705</v>
      </c>
      <c r="GO768">
        <v>0</v>
      </c>
      <c r="GP768">
        <v>0</v>
      </c>
      <c r="GQ768">
        <v>0</v>
      </c>
      <c r="GR768">
        <v>0</v>
      </c>
      <c r="GS768">
        <v>0</v>
      </c>
      <c r="GT768">
        <v>0.29524645477830436</v>
      </c>
      <c r="GU768"/>
      <c r="GV768"/>
      <c r="GW768"/>
      <c r="GX768"/>
      <c r="GY768"/>
      <c r="GZ768"/>
      <c r="HA768"/>
      <c r="HB768"/>
      <c r="HC768"/>
    </row>
    <row r="769" spans="1:211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2.557291666666667</v>
      </c>
      <c r="AO769">
        <v>0.1491424679682978</v>
      </c>
      <c r="AP769">
        <v>2.1873180869914246</v>
      </c>
      <c r="AQ769">
        <v>1.0244823454119987</v>
      </c>
      <c r="AR769">
        <v>0.1794817231301562</v>
      </c>
      <c r="AS769">
        <v>1.2592899278625063</v>
      </c>
      <c r="AT769" t="e">
        <v>#DIV/0!</v>
      </c>
      <c r="AU769" t="e">
        <v>#DIV/0!</v>
      </c>
      <c r="AV769"/>
      <c r="AW769"/>
      <c r="FY769" s="211">
        <v>764</v>
      </c>
      <c r="FZ769">
        <v>1.0644931167515519</v>
      </c>
      <c r="GA769">
        <v>0.38735017759921181</v>
      </c>
      <c r="GB769">
        <v>0.26768175484046608</v>
      </c>
      <c r="GC769">
        <v>0.18341592548776492</v>
      </c>
      <c r="GD769">
        <v>2.6724553773673727E-2</v>
      </c>
      <c r="GE769">
        <v>0</v>
      </c>
      <c r="GF769">
        <v>0</v>
      </c>
      <c r="GG769">
        <v>0</v>
      </c>
      <c r="GH769">
        <v>0</v>
      </c>
      <c r="GI769">
        <v>0.23893713417643456</v>
      </c>
      <c r="GJ769"/>
      <c r="GK769">
        <v>1.0672972871677866</v>
      </c>
      <c r="GL769">
        <v>0.33331521555783822</v>
      </c>
      <c r="GM769">
        <v>0.44573189690518267</v>
      </c>
      <c r="GN769">
        <v>0.55066996213757402</v>
      </c>
      <c r="GO769">
        <v>0.10493806523239137</v>
      </c>
      <c r="GP769">
        <v>0</v>
      </c>
      <c r="GQ769">
        <v>0</v>
      </c>
      <c r="GR769">
        <v>0</v>
      </c>
      <c r="GS769">
        <v>0</v>
      </c>
      <c r="GT769">
        <v>0.32359344986107208</v>
      </c>
      <c r="GU769"/>
      <c r="GV769"/>
      <c r="GW769"/>
      <c r="GX769"/>
      <c r="GY769"/>
      <c r="GZ769"/>
      <c r="HA769"/>
      <c r="HB769"/>
      <c r="HC769"/>
    </row>
    <row r="770" spans="1:211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3.2374999999999994</v>
      </c>
      <c r="AO770">
        <v>0.4071994201995901</v>
      </c>
      <c r="AP770">
        <v>10.298578310280512</v>
      </c>
      <c r="AQ770">
        <v>3.3518602899039154</v>
      </c>
      <c r="AR770">
        <v>0.43720759181830038</v>
      </c>
      <c r="AS770">
        <v>2.6328308860826222</v>
      </c>
      <c r="AT770" t="e">
        <v>#DIV/0!</v>
      </c>
      <c r="AU770" t="e">
        <v>#DIV/0!</v>
      </c>
      <c r="AV770"/>
      <c r="AW770"/>
      <c r="FY770" s="211">
        <v>765</v>
      </c>
      <c r="FZ770">
        <v>1.2607041331297371</v>
      </c>
      <c r="GA770">
        <v>0.77470035519842362</v>
      </c>
      <c r="GB770">
        <v>0.33050767758326316</v>
      </c>
      <c r="GC770">
        <v>0.25305447540568732</v>
      </c>
      <c r="GD770">
        <v>5.3449107547347455E-2</v>
      </c>
      <c r="GE770">
        <v>0</v>
      </c>
      <c r="GF770">
        <v>0</v>
      </c>
      <c r="GG770">
        <v>0</v>
      </c>
      <c r="GH770">
        <v>0</v>
      </c>
      <c r="GI770">
        <v>0.29871438850752663</v>
      </c>
      <c r="GJ770"/>
      <c r="GK770">
        <v>1.2709959155628341</v>
      </c>
      <c r="GL770">
        <v>0.66663043111567644</v>
      </c>
      <c r="GM770">
        <v>0.55066996213757402</v>
      </c>
      <c r="GN770">
        <v>0.76054609260235673</v>
      </c>
      <c r="GO770">
        <v>0.20987613046478273</v>
      </c>
      <c r="GP770">
        <v>0</v>
      </c>
      <c r="GQ770">
        <v>0</v>
      </c>
      <c r="GR770">
        <v>0</v>
      </c>
      <c r="GS770">
        <v>0</v>
      </c>
      <c r="GT770">
        <v>0.40630840163303816</v>
      </c>
      <c r="GU770"/>
      <c r="GV770"/>
      <c r="GW770"/>
      <c r="GX770"/>
      <c r="GY770"/>
      <c r="GZ770"/>
      <c r="HA770"/>
      <c r="HB770"/>
      <c r="HC770"/>
    </row>
    <row r="771" spans="1:211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2.3989583333333329</v>
      </c>
      <c r="AO771">
        <v>0.40098046606281185</v>
      </c>
      <c r="AP771">
        <v>10.450852521927104</v>
      </c>
      <c r="AQ771">
        <v>3.3307262037301371</v>
      </c>
      <c r="AR771">
        <v>0.44346269245781422</v>
      </c>
      <c r="AS771">
        <v>2.4072612925313939</v>
      </c>
      <c r="AT771" t="e">
        <v>#DIV/0!</v>
      </c>
      <c r="AU771" t="e">
        <v>#DIV/0!</v>
      </c>
      <c r="AV771"/>
      <c r="AW771"/>
      <c r="FY771" s="211">
        <v>766</v>
      </c>
      <c r="FZ771">
        <v>0.98625241424413079</v>
      </c>
      <c r="GA771">
        <v>0.56185112583616514</v>
      </c>
      <c r="GB771">
        <v>0.28405981870974384</v>
      </c>
      <c r="GC771">
        <v>0.2275547511396851</v>
      </c>
      <c r="GD771">
        <v>5.3449107547347455E-2</v>
      </c>
      <c r="GE771">
        <v>0</v>
      </c>
      <c r="GF771">
        <v>0.66042100116664126</v>
      </c>
      <c r="GG771">
        <v>0.59518473501329594</v>
      </c>
      <c r="GH771">
        <v>0</v>
      </c>
      <c r="GI771">
        <v>0.37471415325221247</v>
      </c>
      <c r="GJ771"/>
      <c r="GK771">
        <v>0.99505162346527543</v>
      </c>
      <c r="GL771">
        <v>0.48079623401633714</v>
      </c>
      <c r="GM771">
        <v>0.47171153288079981</v>
      </c>
      <c r="GN771">
        <v>0.68158766334558252</v>
      </c>
      <c r="GO771">
        <v>0.20987613046478273</v>
      </c>
      <c r="GP771">
        <v>0</v>
      </c>
      <c r="GQ771">
        <v>0.90739586192571098</v>
      </c>
      <c r="GR771">
        <v>0.90739586192571098</v>
      </c>
      <c r="GS771">
        <v>0</v>
      </c>
      <c r="GT771">
        <v>0.51680702974731385</v>
      </c>
      <c r="GU771"/>
      <c r="GV771"/>
      <c r="GW771"/>
      <c r="GX771"/>
      <c r="GY771"/>
      <c r="GZ771"/>
      <c r="HA771"/>
      <c r="HB771"/>
      <c r="HC771"/>
    </row>
    <row r="772" spans="1:211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3.0052083333333335</v>
      </c>
      <c r="AO772">
        <v>0.52150015763205992</v>
      </c>
      <c r="AP772">
        <v>23.115235609750517</v>
      </c>
      <c r="AQ772">
        <v>3.5763772399938727</v>
      </c>
      <c r="AR772">
        <v>0.5382495520108681</v>
      </c>
      <c r="AS772">
        <v>2.3087681317265951</v>
      </c>
      <c r="AT772" t="e">
        <v>#DIV/0!</v>
      </c>
      <c r="AU772" t="e">
        <v>#DIV/0!</v>
      </c>
      <c r="AV772"/>
      <c r="AW772"/>
      <c r="FY772" s="211">
        <v>767</v>
      </c>
      <c r="FZ772">
        <v>1.1812273024448348</v>
      </c>
      <c r="GA772">
        <v>0.56185112583616514</v>
      </c>
      <c r="GB772">
        <v>0</v>
      </c>
      <c r="GC772">
        <v>3.4819274958961192E-2</v>
      </c>
      <c r="GD772">
        <v>2.6724553773673727E-2</v>
      </c>
      <c r="GE772">
        <v>0</v>
      </c>
      <c r="GF772">
        <v>0.66042100116664126</v>
      </c>
      <c r="GG772">
        <v>0.59518473501329594</v>
      </c>
      <c r="GH772">
        <v>0</v>
      </c>
      <c r="GI772">
        <v>0.31852093863735315</v>
      </c>
      <c r="GJ772"/>
      <c r="GK772">
        <v>1.1870918902845817</v>
      </c>
      <c r="GL772">
        <v>0.48079623401633714</v>
      </c>
      <c r="GM772">
        <v>0</v>
      </c>
      <c r="GN772">
        <v>0.10493806523239137</v>
      </c>
      <c r="GO772">
        <v>0.10493806523239137</v>
      </c>
      <c r="GP772">
        <v>0</v>
      </c>
      <c r="GQ772">
        <v>0.90739586192571098</v>
      </c>
      <c r="GR772">
        <v>0.90739586192571098</v>
      </c>
      <c r="GS772">
        <v>0</v>
      </c>
      <c r="GT772">
        <v>0.43988516348853679</v>
      </c>
      <c r="GU772"/>
      <c r="GV772"/>
      <c r="GW772"/>
      <c r="GX772"/>
      <c r="GY772"/>
      <c r="GZ772"/>
      <c r="HA772"/>
      <c r="HB772"/>
      <c r="HC772"/>
    </row>
    <row r="773" spans="1:211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1.3281249999999998</v>
      </c>
      <c r="AO773">
        <v>0.11579592861165351</v>
      </c>
      <c r="AP773">
        <v>2.9270912115802536</v>
      </c>
      <c r="AQ773">
        <v>0.72410356706789269</v>
      </c>
      <c r="AR773">
        <v>0.13619424240729061</v>
      </c>
      <c r="AS773">
        <v>0.99448583225897169</v>
      </c>
      <c r="AT773" t="e">
        <v>#DIV/0!</v>
      </c>
      <c r="AU773" t="e">
        <v>#DIV/0!</v>
      </c>
      <c r="AV773"/>
      <c r="AW773"/>
      <c r="FY773" s="211">
        <v>768</v>
      </c>
      <c r="FZ773">
        <v>1.0510742136736924</v>
      </c>
      <c r="GA773">
        <v>0.38735017759921181</v>
      </c>
      <c r="GB773">
        <v>0.12565184548559416</v>
      </c>
      <c r="GC773">
        <v>0.10445782487688358</v>
      </c>
      <c r="GD773">
        <v>2.6724553773673727E-2</v>
      </c>
      <c r="GE773">
        <v>0</v>
      </c>
      <c r="GF773">
        <v>0</v>
      </c>
      <c r="GG773">
        <v>0</v>
      </c>
      <c r="GH773">
        <v>0</v>
      </c>
      <c r="GI773">
        <v>0.20200508415228702</v>
      </c>
      <c r="GJ773"/>
      <c r="GK773">
        <v>1.0566365526809096</v>
      </c>
      <c r="GL773">
        <v>0.33331521555783822</v>
      </c>
      <c r="GM773">
        <v>0.20987613046478273</v>
      </c>
      <c r="GN773">
        <v>0.31481419569717412</v>
      </c>
      <c r="GO773">
        <v>0.10493806523239137</v>
      </c>
      <c r="GP773">
        <v>0</v>
      </c>
      <c r="GQ773">
        <v>0</v>
      </c>
      <c r="GR773">
        <v>0</v>
      </c>
      <c r="GS773">
        <v>0</v>
      </c>
      <c r="GT773">
        <v>0.27429014967561671</v>
      </c>
      <c r="GU773"/>
      <c r="GV773"/>
      <c r="GW773"/>
      <c r="GX773"/>
      <c r="GY773"/>
      <c r="GZ773"/>
      <c r="HA773"/>
      <c r="HB773"/>
      <c r="HC773"/>
    </row>
    <row r="774" spans="1:211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3.2958333333333343</v>
      </c>
      <c r="AO774">
        <v>0.66816742740048252</v>
      </c>
      <c r="AP774">
        <v>24.407430723116601</v>
      </c>
      <c r="AQ774">
        <v>5.5242622005358832</v>
      </c>
      <c r="AR774">
        <v>0.6728363657914519</v>
      </c>
      <c r="AS774">
        <v>3.3784517137954984</v>
      </c>
      <c r="AT774" t="e">
        <v>#DIV/0!</v>
      </c>
      <c r="AU774" t="e">
        <v>#DIV/0!</v>
      </c>
      <c r="AV774"/>
      <c r="AW774"/>
      <c r="FY774" s="211">
        <v>769</v>
      </c>
      <c r="FZ774">
        <v>0.90854084917793632</v>
      </c>
      <c r="GA774">
        <v>0.47460065171768845</v>
      </c>
      <c r="GB774">
        <v>0.14202990935487192</v>
      </c>
      <c r="GC774">
        <v>7.8958100610881349E-2</v>
      </c>
      <c r="GD774">
        <v>0</v>
      </c>
      <c r="GE774">
        <v>0</v>
      </c>
      <c r="GF774">
        <v>0</v>
      </c>
      <c r="GG774">
        <v>0</v>
      </c>
      <c r="GH774">
        <v>0</v>
      </c>
      <c r="GI774">
        <v>0.16943695913281953</v>
      </c>
      <c r="GJ774"/>
      <c r="GK774">
        <v>0.91173980446407521</v>
      </c>
      <c r="GL774">
        <v>0.40705572478708768</v>
      </c>
      <c r="GM774">
        <v>0.23585576644039991</v>
      </c>
      <c r="GN774">
        <v>0.23585576644039991</v>
      </c>
      <c r="GO774">
        <v>0</v>
      </c>
      <c r="GP774">
        <v>0</v>
      </c>
      <c r="GQ774">
        <v>0</v>
      </c>
      <c r="GR774">
        <v>0</v>
      </c>
      <c r="GS774">
        <v>0</v>
      </c>
      <c r="GT774">
        <v>0.22951911418089505</v>
      </c>
      <c r="GU774"/>
      <c r="GV774"/>
      <c r="GW774"/>
      <c r="GX774"/>
      <c r="GY774"/>
      <c r="GZ774"/>
      <c r="HA774"/>
      <c r="HB774"/>
      <c r="HC774"/>
    </row>
    <row r="775" spans="1:211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1.2479166666666668</v>
      </c>
      <c r="AO775">
        <v>0.29785864990509375</v>
      </c>
      <c r="AP775">
        <v>8.7200447096381097</v>
      </c>
      <c r="AQ775">
        <v>2.534282674129007</v>
      </c>
      <c r="AR775">
        <v>0.34777254788297535</v>
      </c>
      <c r="AS775">
        <v>1.6040263896878333</v>
      </c>
      <c r="AT775" t="e">
        <v>#DIV/0!</v>
      </c>
      <c r="AU775" t="e">
        <v>#DIV/0!</v>
      </c>
      <c r="AV775"/>
      <c r="AW775"/>
      <c r="FY775" s="211">
        <v>770</v>
      </c>
      <c r="FZ775">
        <v>0.60500806589596534</v>
      </c>
      <c r="GA775">
        <v>0.17450094823695328</v>
      </c>
      <c r="GB775">
        <v>6.282592274279708E-2</v>
      </c>
      <c r="GC775">
        <v>3.4819274958961192E-2</v>
      </c>
      <c r="GD775">
        <v>0</v>
      </c>
      <c r="GE775">
        <v>0</v>
      </c>
      <c r="GF775">
        <v>0</v>
      </c>
      <c r="GG775">
        <v>0</v>
      </c>
      <c r="GH775">
        <v>0</v>
      </c>
      <c r="GI775">
        <v>0.10516122275198972</v>
      </c>
      <c r="GJ775"/>
      <c r="GK775">
        <v>0.6041457655435023</v>
      </c>
      <c r="GL775">
        <v>0.14748101845849892</v>
      </c>
      <c r="GM775">
        <v>0.10493806523239137</v>
      </c>
      <c r="GN775">
        <v>0.10493806523239137</v>
      </c>
      <c r="GO775">
        <v>0</v>
      </c>
      <c r="GP775">
        <v>0</v>
      </c>
      <c r="GQ775">
        <v>0</v>
      </c>
      <c r="GR775">
        <v>0</v>
      </c>
      <c r="GS775">
        <v>0</v>
      </c>
      <c r="GT775">
        <v>0.14181676615517874</v>
      </c>
      <c r="GU775"/>
      <c r="GV775"/>
      <c r="GW775"/>
      <c r="GX775"/>
      <c r="GY775"/>
      <c r="GZ775"/>
      <c r="HA775"/>
      <c r="HB775"/>
      <c r="HC775"/>
    </row>
    <row r="776" spans="1:211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2.270833333333333</v>
      </c>
      <c r="AO776">
        <v>0.43384154301531747</v>
      </c>
      <c r="AP776">
        <v>19.898032704966994</v>
      </c>
      <c r="AQ776">
        <v>3.2465655078824418</v>
      </c>
      <c r="AR776">
        <v>0.47873059533870277</v>
      </c>
      <c r="AS776">
        <v>2.1024425287051196</v>
      </c>
      <c r="AT776" t="e">
        <v>#DIV/0!</v>
      </c>
      <c r="AU776" t="e">
        <v>#DIV/0!</v>
      </c>
      <c r="AV776"/>
      <c r="AW776"/>
      <c r="FY776" s="211">
        <v>771</v>
      </c>
      <c r="FZ776">
        <v>1.505959705949812</v>
      </c>
      <c r="GA776">
        <v>1.1237022516723303</v>
      </c>
      <c r="GB776">
        <v>7.9203986612074825E-2</v>
      </c>
      <c r="GC776">
        <v>7.8958100610881349E-2</v>
      </c>
      <c r="GD776">
        <v>2.6724553773673727E-2</v>
      </c>
      <c r="GE776">
        <v>0</v>
      </c>
      <c r="GF776">
        <v>0.66042100116664126</v>
      </c>
      <c r="GG776">
        <v>0.59518473501329594</v>
      </c>
      <c r="GH776">
        <v>0</v>
      </c>
      <c r="GI776">
        <v>0.38600341290710755</v>
      </c>
      <c r="GJ776"/>
      <c r="GK776">
        <v>1.5137066562837216</v>
      </c>
      <c r="GL776">
        <v>0.96159246803267429</v>
      </c>
      <c r="GM776">
        <v>0.13091770120800852</v>
      </c>
      <c r="GN776">
        <v>0.23585576644039991</v>
      </c>
      <c r="GO776">
        <v>0.10493806523239137</v>
      </c>
      <c r="GP776">
        <v>0</v>
      </c>
      <c r="GQ776">
        <v>0.90739586192571098</v>
      </c>
      <c r="GR776">
        <v>0.90739586192571098</v>
      </c>
      <c r="GS776">
        <v>0</v>
      </c>
      <c r="GT776">
        <v>0.53139165692996648</v>
      </c>
      <c r="GU776"/>
      <c r="GV776"/>
      <c r="GW776"/>
      <c r="GX776"/>
      <c r="GY776"/>
      <c r="GZ776"/>
      <c r="HA776"/>
      <c r="HB776"/>
      <c r="HC776"/>
    </row>
    <row r="777" spans="1:211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2.328125</v>
      </c>
      <c r="AO777">
        <v>0.17544923303780122</v>
      </c>
      <c r="AP777">
        <v>4.3318815104486079</v>
      </c>
      <c r="AQ777">
        <v>1.381620534139909</v>
      </c>
      <c r="AR777">
        <v>0.19874616183624544</v>
      </c>
      <c r="AS777">
        <v>1.4688888600942627</v>
      </c>
      <c r="AT777" t="e">
        <v>#DIV/0!</v>
      </c>
      <c r="AU777" t="e">
        <v>#DIV/0!</v>
      </c>
      <c r="AV777"/>
      <c r="AW777"/>
      <c r="FY777" s="211">
        <v>772</v>
      </c>
      <c r="FZ777">
        <v>1.194372978261494</v>
      </c>
      <c r="GA777">
        <v>0.47460065171768845</v>
      </c>
      <c r="GB777">
        <v>0</v>
      </c>
      <c r="GC777">
        <v>0</v>
      </c>
      <c r="GD777">
        <v>0</v>
      </c>
      <c r="GE777">
        <v>0</v>
      </c>
      <c r="GF777">
        <v>0.66042100116664126</v>
      </c>
      <c r="GG777">
        <v>0.59518473501329594</v>
      </c>
      <c r="GH777">
        <v>0</v>
      </c>
      <c r="GI777">
        <v>0.30494105605907268</v>
      </c>
      <c r="GJ777"/>
      <c r="GK777">
        <v>1.2026406834614418</v>
      </c>
      <c r="GL777">
        <v>0.40705572478708768</v>
      </c>
      <c r="GM777">
        <v>0</v>
      </c>
      <c r="GN777">
        <v>0</v>
      </c>
      <c r="GO777">
        <v>0</v>
      </c>
      <c r="GP777">
        <v>0</v>
      </c>
      <c r="GQ777">
        <v>0.90739586192571098</v>
      </c>
      <c r="GR777">
        <v>0.90739586192571098</v>
      </c>
      <c r="GS777">
        <v>0</v>
      </c>
      <c r="GT777">
        <v>0.42200730907743056</v>
      </c>
      <c r="GU777"/>
      <c r="GV777"/>
      <c r="GW777"/>
      <c r="GX777"/>
      <c r="GY777"/>
      <c r="GZ777"/>
      <c r="HA777"/>
      <c r="HB777"/>
      <c r="HC777"/>
    </row>
    <row r="778" spans="1:211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1.2083333333333335</v>
      </c>
      <c r="AO778">
        <v>0.21288786918056385</v>
      </c>
      <c r="AP778">
        <v>8.7687707271833801</v>
      </c>
      <c r="AQ778">
        <v>1.4148727824037821</v>
      </c>
      <c r="AR778">
        <v>0.22672776085760143</v>
      </c>
      <c r="AS778">
        <v>1.244721976231465</v>
      </c>
      <c r="AT778" t="e">
        <v>#DIV/0!</v>
      </c>
      <c r="AU778" t="e">
        <v>#DIV/0!</v>
      </c>
      <c r="AV778"/>
      <c r="AW778"/>
      <c r="FY778" s="211">
        <v>773</v>
      </c>
      <c r="FZ778">
        <v>0.50792421793640752</v>
      </c>
      <c r="GA778">
        <v>8.725047411847664E-2</v>
      </c>
      <c r="GB778">
        <v>7.9203986612074825E-2</v>
      </c>
      <c r="GC778">
        <v>4.4138825651920163E-2</v>
      </c>
      <c r="GD778">
        <v>0</v>
      </c>
      <c r="GE778">
        <v>0</v>
      </c>
      <c r="GF778">
        <v>0.33021050058332063</v>
      </c>
      <c r="GG778">
        <v>0.29759236750664797</v>
      </c>
      <c r="GH778">
        <v>0</v>
      </c>
      <c r="GI778">
        <v>0.15871361508329435</v>
      </c>
      <c r="GJ778"/>
      <c r="GK778">
        <v>0.50968792265406349</v>
      </c>
      <c r="GL778">
        <v>7.3740509229249462E-2</v>
      </c>
      <c r="GM778">
        <v>0.13091770120800852</v>
      </c>
      <c r="GN778">
        <v>0.13091770120800852</v>
      </c>
      <c r="GO778">
        <v>0</v>
      </c>
      <c r="GP778">
        <v>0</v>
      </c>
      <c r="GQ778">
        <v>0.45369793096285549</v>
      </c>
      <c r="GR778">
        <v>0.45369793096285549</v>
      </c>
      <c r="GS778">
        <v>0</v>
      </c>
      <c r="GT778">
        <v>0.21886071096498549</v>
      </c>
      <c r="GU778"/>
      <c r="GV778"/>
      <c r="GW778"/>
      <c r="GX778"/>
      <c r="GY778"/>
      <c r="GZ778"/>
      <c r="HA778"/>
      <c r="HB778"/>
      <c r="HC778"/>
    </row>
    <row r="779" spans="1:211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2.7770833333333336</v>
      </c>
      <c r="AO779">
        <v>0.27736850714307687</v>
      </c>
      <c r="AP779">
        <v>5.3742710062044372</v>
      </c>
      <c r="AQ779">
        <v>2.5328619502219869</v>
      </c>
      <c r="AR779">
        <v>0.29524645477830436</v>
      </c>
      <c r="AS779">
        <v>1.8592286065993553</v>
      </c>
      <c r="AT779" t="e">
        <v>#DIV/0!</v>
      </c>
      <c r="AU779" t="e">
        <v>#DIV/0!</v>
      </c>
      <c r="AV779"/>
      <c r="AW779"/>
      <c r="FY779" s="211">
        <v>774</v>
      </c>
      <c r="FZ779">
        <v>0.82248176500006021</v>
      </c>
      <c r="GA779">
        <v>8.725047411847664E-2</v>
      </c>
      <c r="GB779">
        <v>0.14202990935487192</v>
      </c>
      <c r="GC779">
        <v>0.14859665052880375</v>
      </c>
      <c r="GD779">
        <v>5.3449107547347455E-2</v>
      </c>
      <c r="GE779">
        <v>0</v>
      </c>
      <c r="GF779">
        <v>0.33021050058332063</v>
      </c>
      <c r="GG779">
        <v>0.29759236750664797</v>
      </c>
      <c r="GH779">
        <v>0</v>
      </c>
      <c r="GI779">
        <v>0.25174044242394988</v>
      </c>
      <c r="GJ779"/>
      <c r="GK779">
        <v>0.82327137401605777</v>
      </c>
      <c r="GL779">
        <v>7.3740509229249462E-2</v>
      </c>
      <c r="GM779">
        <v>0.23585576644039991</v>
      </c>
      <c r="GN779">
        <v>0.44573189690518267</v>
      </c>
      <c r="GO779">
        <v>0.20987613046478273</v>
      </c>
      <c r="GP779">
        <v>0</v>
      </c>
      <c r="GQ779">
        <v>0.45369793096285549</v>
      </c>
      <c r="GR779">
        <v>0.45369793096285549</v>
      </c>
      <c r="GS779">
        <v>0</v>
      </c>
      <c r="GT779">
        <v>0.34454024037681918</v>
      </c>
      <c r="GU779"/>
      <c r="GV779"/>
      <c r="GW779"/>
      <c r="GX779"/>
      <c r="GY779"/>
      <c r="GZ779"/>
      <c r="HA779"/>
      <c r="HB779"/>
      <c r="HC779"/>
    </row>
    <row r="780" spans="1:211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3.4510416666666672</v>
      </c>
      <c r="AO780">
        <v>0.28255458768618447</v>
      </c>
      <c r="AP780">
        <v>7.9383084104564965</v>
      </c>
      <c r="AQ780">
        <v>2.1686026626291031</v>
      </c>
      <c r="AR780">
        <v>0.32359344986107208</v>
      </c>
      <c r="AS780">
        <v>2.016038376121867</v>
      </c>
      <c r="AT780" t="e">
        <v>#DIV/0!</v>
      </c>
      <c r="AU780" t="e">
        <v>#DIV/0!</v>
      </c>
      <c r="AV780"/>
      <c r="AW780"/>
      <c r="FY780" s="211">
        <v>775</v>
      </c>
      <c r="FZ780">
        <v>1.2378944304398383</v>
      </c>
      <c r="GA780">
        <v>0.73635207407311842</v>
      </c>
      <c r="GB780">
        <v>6.282592274279708E-2</v>
      </c>
      <c r="GC780">
        <v>0.10445782487688358</v>
      </c>
      <c r="GD780">
        <v>5.3449107547347455E-2</v>
      </c>
      <c r="GE780">
        <v>0</v>
      </c>
      <c r="GF780">
        <v>0.33021050058332063</v>
      </c>
      <c r="GG780">
        <v>0.29759236750664797</v>
      </c>
      <c r="GH780">
        <v>0</v>
      </c>
      <c r="GI780">
        <v>0.2938450402099097</v>
      </c>
      <c r="GJ780"/>
      <c r="GK780">
        <v>1.2409358584457517</v>
      </c>
      <c r="GL780">
        <v>0.62827725247483612</v>
      </c>
      <c r="GM780">
        <v>0.10493806523239137</v>
      </c>
      <c r="GN780">
        <v>0.31481419569717412</v>
      </c>
      <c r="GO780">
        <v>0.20987613046478273</v>
      </c>
      <c r="GP780">
        <v>0</v>
      </c>
      <c r="GQ780">
        <v>0.45369793096285549</v>
      </c>
      <c r="GR780">
        <v>0.45369793096285549</v>
      </c>
      <c r="GS780">
        <v>0</v>
      </c>
      <c r="GT780">
        <v>0.40188959702115629</v>
      </c>
      <c r="GU780"/>
      <c r="GV780"/>
      <c r="GW780"/>
      <c r="GX780"/>
      <c r="GY780"/>
      <c r="GZ780"/>
      <c r="HA780"/>
      <c r="HB780"/>
      <c r="HC780"/>
    </row>
    <row r="781" spans="1:211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2.7614583333333331</v>
      </c>
      <c r="AO781">
        <v>0.38650269335162624</v>
      </c>
      <c r="AP781">
        <v>9.1957720129759686</v>
      </c>
      <c r="AQ781">
        <v>2.9711301373719854</v>
      </c>
      <c r="AR781">
        <v>0.40630840163303816</v>
      </c>
      <c r="AS781">
        <v>2.1548093189206416</v>
      </c>
      <c r="AT781" t="e">
        <v>#DIV/0!</v>
      </c>
      <c r="AU781" t="e">
        <v>#DIV/0!</v>
      </c>
      <c r="AV781"/>
      <c r="AW781"/>
      <c r="FY781" s="211">
        <v>776</v>
      </c>
      <c r="FZ781">
        <v>0.79377482932515586</v>
      </c>
      <c r="GA781">
        <v>8.725047411847664E-2</v>
      </c>
      <c r="GB781">
        <v>0.14202990935487192</v>
      </c>
      <c r="GC781">
        <v>0.11377737556984255</v>
      </c>
      <c r="GD781">
        <v>2.6724553773673727E-2</v>
      </c>
      <c r="GE781">
        <v>0</v>
      </c>
      <c r="GF781">
        <v>0.33021050058332063</v>
      </c>
      <c r="GG781">
        <v>0.29759236750664797</v>
      </c>
      <c r="GH781">
        <v>0</v>
      </c>
      <c r="GI781">
        <v>0.23210196914674369</v>
      </c>
      <c r="GJ781"/>
      <c r="GK781">
        <v>0.79205800337524479</v>
      </c>
      <c r="GL781">
        <v>7.3740509229249462E-2</v>
      </c>
      <c r="GM781">
        <v>0.23585576644039991</v>
      </c>
      <c r="GN781">
        <v>0.34079383167279126</v>
      </c>
      <c r="GO781">
        <v>0.10493806523239137</v>
      </c>
      <c r="GP781">
        <v>0</v>
      </c>
      <c r="GQ781">
        <v>0.45369793096285549</v>
      </c>
      <c r="GR781">
        <v>0.45369793096285549</v>
      </c>
      <c r="GS781">
        <v>0</v>
      </c>
      <c r="GT781">
        <v>0.31730995320217831</v>
      </c>
      <c r="GU781"/>
      <c r="GV781"/>
      <c r="GW781"/>
      <c r="GX781"/>
      <c r="GY781"/>
      <c r="GZ781"/>
      <c r="HA781"/>
      <c r="HB781"/>
      <c r="HC781"/>
    </row>
    <row r="782" spans="1:211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2.4249999999999998</v>
      </c>
      <c r="AO782">
        <v>0.51706219377715135</v>
      </c>
      <c r="AP782">
        <v>18.518149054531555</v>
      </c>
      <c r="AQ782">
        <v>3.7434871069092219</v>
      </c>
      <c r="AR782">
        <v>0.51680702974731374</v>
      </c>
      <c r="AS782">
        <v>2.5640241069168175</v>
      </c>
      <c r="AT782" t="e">
        <v>#DIV/0!</v>
      </c>
      <c r="AU782" t="e">
        <v>#DIV/0!</v>
      </c>
      <c r="AV782"/>
      <c r="AW782"/>
      <c r="FY782" s="211">
        <v>777</v>
      </c>
      <c r="FZ782">
        <v>0.95471810128087187</v>
      </c>
      <c r="GA782">
        <v>8.725047411847664E-2</v>
      </c>
      <c r="GB782">
        <v>0.22123389596694673</v>
      </c>
      <c r="GC782">
        <v>0.1927354761807239</v>
      </c>
      <c r="GD782">
        <v>5.3449107547347455E-2</v>
      </c>
      <c r="GE782">
        <v>0</v>
      </c>
      <c r="GF782">
        <v>0</v>
      </c>
      <c r="GG782">
        <v>0</v>
      </c>
      <c r="GH782">
        <v>0</v>
      </c>
      <c r="GI782">
        <v>0.22667426367442561</v>
      </c>
      <c r="GJ782"/>
      <c r="GK782">
        <v>0.95542331820135218</v>
      </c>
      <c r="GL782">
        <v>7.3740509229249462E-2</v>
      </c>
      <c r="GM782">
        <v>0.3667734676484084</v>
      </c>
      <c r="GN782">
        <v>0.57664959811319116</v>
      </c>
      <c r="GO782">
        <v>0.20987613046478273</v>
      </c>
      <c r="GP782">
        <v>0</v>
      </c>
      <c r="GQ782">
        <v>0</v>
      </c>
      <c r="GR782">
        <v>0</v>
      </c>
      <c r="GS782">
        <v>0</v>
      </c>
      <c r="GT782">
        <v>0.3064145832629086</v>
      </c>
      <c r="GU782"/>
      <c r="GV782"/>
      <c r="GW782"/>
      <c r="GX782"/>
      <c r="GY782"/>
      <c r="GZ782"/>
      <c r="HA782"/>
      <c r="HB782"/>
      <c r="HC782"/>
    </row>
    <row r="783" spans="1:211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2.3208333333333329</v>
      </c>
      <c r="AO783">
        <v>0.41324411421056606</v>
      </c>
      <c r="AP783">
        <v>14.763418669434387</v>
      </c>
      <c r="AQ783">
        <v>3.3787489318309252</v>
      </c>
      <c r="AR783">
        <v>0.43988516348853679</v>
      </c>
      <c r="AS783">
        <v>2.314473260461873</v>
      </c>
      <c r="AT783" t="e">
        <v>#DIV/0!</v>
      </c>
      <c r="AU783" t="e">
        <v>#DIV/0!</v>
      </c>
      <c r="AV783"/>
      <c r="AW783"/>
      <c r="FY783" s="211">
        <v>778</v>
      </c>
      <c r="FZ783">
        <v>1.3266654613728042</v>
      </c>
      <c r="GA783">
        <v>1.0364517775538535</v>
      </c>
      <c r="GB783">
        <v>6.282592274279708E-2</v>
      </c>
      <c r="GC783">
        <v>6.9638549917922385E-2</v>
      </c>
      <c r="GD783">
        <v>2.6724553773673727E-2</v>
      </c>
      <c r="GE783">
        <v>0</v>
      </c>
      <c r="GF783">
        <v>0.33021050058332063</v>
      </c>
      <c r="GG783">
        <v>0.29759236750664797</v>
      </c>
      <c r="GH783">
        <v>0</v>
      </c>
      <c r="GI783">
        <v>0.29141531891465777</v>
      </c>
      <c r="GJ783"/>
      <c r="GK783">
        <v>1.3341246035243675</v>
      </c>
      <c r="GL783">
        <v>0.88785195880342482</v>
      </c>
      <c r="GM783">
        <v>0.10493806523239137</v>
      </c>
      <c r="GN783">
        <v>0.20987613046478273</v>
      </c>
      <c r="GO783">
        <v>0.10493806523239137</v>
      </c>
      <c r="GP783">
        <v>0</v>
      </c>
      <c r="GQ783">
        <v>0.45369793096285549</v>
      </c>
      <c r="GR783">
        <v>0.45369793096285549</v>
      </c>
      <c r="GS783">
        <v>0</v>
      </c>
      <c r="GT783">
        <v>0.39953973299040113</v>
      </c>
      <c r="GU783"/>
      <c r="GV783"/>
      <c r="GW783"/>
      <c r="GX783"/>
      <c r="GY783"/>
      <c r="GZ783"/>
      <c r="HA783"/>
      <c r="HB783"/>
      <c r="HC783"/>
    </row>
    <row r="784" spans="1:211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2.3624999999999998</v>
      </c>
      <c r="AO784">
        <v>0.22938703093087129</v>
      </c>
      <c r="AP784">
        <v>4.6815978201734643</v>
      </c>
      <c r="AQ784">
        <v>1.8972636995613428</v>
      </c>
      <c r="AR784">
        <v>0.27429014967561677</v>
      </c>
      <c r="AS784">
        <v>1.6812557806780226</v>
      </c>
      <c r="AT784" t="e">
        <v>#DIV/0!</v>
      </c>
      <c r="AU784" t="e">
        <v>#DIV/0!</v>
      </c>
      <c r="AV784"/>
      <c r="AW784"/>
      <c r="FY784" s="211">
        <v>779</v>
      </c>
      <c r="FZ784">
        <v>1.0854195097133581</v>
      </c>
      <c r="GA784">
        <v>0.56185112583616514</v>
      </c>
      <c r="GB784">
        <v>0.204855832097669</v>
      </c>
      <c r="GC784">
        <v>0.14859665052880375</v>
      </c>
      <c r="GD784">
        <v>2.6724553773673727E-2</v>
      </c>
      <c r="GE784">
        <v>0</v>
      </c>
      <c r="GF784">
        <v>0.33021050058332063</v>
      </c>
      <c r="GG784">
        <v>0.29759236750664797</v>
      </c>
      <c r="GH784">
        <v>0</v>
      </c>
      <c r="GI784">
        <v>0.29056716421997875</v>
      </c>
      <c r="GJ784"/>
      <c r="GK784">
        <v>1.0912060729363366</v>
      </c>
      <c r="GL784">
        <v>0.48079623401633714</v>
      </c>
      <c r="GM784">
        <v>0.34079383167279126</v>
      </c>
      <c r="GN784">
        <v>0.44573189690518267</v>
      </c>
      <c r="GO784">
        <v>0.10493806523239137</v>
      </c>
      <c r="GP784">
        <v>0</v>
      </c>
      <c r="GQ784">
        <v>0.45369793096285549</v>
      </c>
      <c r="GR784">
        <v>0.45369793096285549</v>
      </c>
      <c r="GS784">
        <v>0</v>
      </c>
      <c r="GT784">
        <v>0.39812718016087495</v>
      </c>
      <c r="GU784"/>
      <c r="GV784"/>
      <c r="GW784"/>
      <c r="GX784"/>
      <c r="GY784"/>
      <c r="GZ784"/>
      <c r="HA784"/>
      <c r="HB784"/>
      <c r="HC784"/>
    </row>
    <row r="785" spans="1:211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2.3989583333333337</v>
      </c>
      <c r="AO785">
        <v>0.20200261763128577</v>
      </c>
      <c r="AP785">
        <v>4.297744700327387</v>
      </c>
      <c r="AQ785">
        <v>1.7735664699941973</v>
      </c>
      <c r="AR785">
        <v>0.22951911418089505</v>
      </c>
      <c r="AS785">
        <v>1.5316032608930226</v>
      </c>
      <c r="AT785" t="e">
        <v>#DIV/0!</v>
      </c>
      <c r="AU785" t="e">
        <v>#DIV/0!</v>
      </c>
      <c r="AV785"/>
      <c r="AW785"/>
      <c r="FY785" s="211">
        <v>780</v>
      </c>
      <c r="FZ785">
        <v>1.1501047827283442</v>
      </c>
      <c r="GA785">
        <v>0.56185112583616514</v>
      </c>
      <c r="GB785">
        <v>0.14202990935487192</v>
      </c>
      <c r="GC785">
        <v>0.14859665052880375</v>
      </c>
      <c r="GD785">
        <v>5.3449107547347455E-2</v>
      </c>
      <c r="GE785">
        <v>0</v>
      </c>
      <c r="GF785">
        <v>0.99063150174996206</v>
      </c>
      <c r="GG785">
        <v>0.89277710251994391</v>
      </c>
      <c r="GH785">
        <v>0</v>
      </c>
      <c r="GI785">
        <v>0.42830648972397389</v>
      </c>
      <c r="GJ785"/>
      <c r="GK785">
        <v>1.1557627353566757</v>
      </c>
      <c r="GL785">
        <v>0.48079623401633714</v>
      </c>
      <c r="GM785">
        <v>0.23585576644039991</v>
      </c>
      <c r="GN785">
        <v>0.44573189690518267</v>
      </c>
      <c r="GO785">
        <v>0.20987613046478273</v>
      </c>
      <c r="GP785">
        <v>0</v>
      </c>
      <c r="GQ785">
        <v>1.3610937928885667</v>
      </c>
      <c r="GR785">
        <v>1.3610937928885667</v>
      </c>
      <c r="GS785">
        <v>0</v>
      </c>
      <c r="GT785">
        <v>0.59251768503008506</v>
      </c>
      <c r="GU785"/>
      <c r="GV785"/>
      <c r="GW785"/>
      <c r="GX785"/>
      <c r="GY785"/>
      <c r="GZ785"/>
      <c r="HA785"/>
      <c r="HB785"/>
      <c r="HC785"/>
    </row>
    <row r="786" spans="1:211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1.6354166666666665</v>
      </c>
      <c r="AO786">
        <v>0.11033196806219628</v>
      </c>
      <c r="AP786">
        <v>1.4729700916793138</v>
      </c>
      <c r="AQ786">
        <v>0.98231543458666659</v>
      </c>
      <c r="AR786">
        <v>0.14181676615517874</v>
      </c>
      <c r="AS786">
        <v>1.1695916591780591</v>
      </c>
      <c r="AT786" t="e">
        <v>#DIV/0!</v>
      </c>
      <c r="AU786" t="e">
        <v>#DIV/0!</v>
      </c>
      <c r="AV786"/>
      <c r="AW786"/>
      <c r="FY786" s="211">
        <v>781</v>
      </c>
      <c r="FZ786">
        <v>0.76664048602388479</v>
      </c>
      <c r="GA786">
        <v>0.17450094823695328</v>
      </c>
      <c r="GB786">
        <v>0</v>
      </c>
      <c r="GC786">
        <v>6.9638549917922385E-2</v>
      </c>
      <c r="GD786">
        <v>5.3449107547347455E-2</v>
      </c>
      <c r="GE786">
        <v>0</v>
      </c>
      <c r="GF786">
        <v>0.33021050058332063</v>
      </c>
      <c r="GG786">
        <v>0.29759236750664797</v>
      </c>
      <c r="GH786">
        <v>0</v>
      </c>
      <c r="GI786">
        <v>0.20867132013841275</v>
      </c>
      <c r="GJ786"/>
      <c r="GK786">
        <v>0.7650765963385584</v>
      </c>
      <c r="GL786">
        <v>0.14748101845849892</v>
      </c>
      <c r="GM786">
        <v>0</v>
      </c>
      <c r="GN786">
        <v>0.20987613046478273</v>
      </c>
      <c r="GO786">
        <v>0.20987613046478273</v>
      </c>
      <c r="GP786">
        <v>0</v>
      </c>
      <c r="GQ786">
        <v>0.45369793096285549</v>
      </c>
      <c r="GR786">
        <v>0.45369793096285549</v>
      </c>
      <c r="GS786">
        <v>0</v>
      </c>
      <c r="GT786">
        <v>0.28573013155323929</v>
      </c>
      <c r="GU786"/>
      <c r="GV786"/>
      <c r="GW786"/>
      <c r="GX786"/>
      <c r="GY786"/>
      <c r="GZ786"/>
      <c r="HA786"/>
      <c r="HB786"/>
      <c r="HC786"/>
    </row>
    <row r="787" spans="1:211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3.2093750000000001</v>
      </c>
      <c r="AO787">
        <v>0.52931940379785847</v>
      </c>
      <c r="AP787">
        <v>15.747232261068753</v>
      </c>
      <c r="AQ787">
        <v>4.4561577477058165</v>
      </c>
      <c r="AR787">
        <v>0.53139165692996648</v>
      </c>
      <c r="AS787">
        <v>2.7346699490448092</v>
      </c>
      <c r="AT787" t="e">
        <v>#DIV/0!</v>
      </c>
      <c r="AU787" t="e">
        <v>#DIV/0!</v>
      </c>
      <c r="AV787"/>
      <c r="AW787"/>
      <c r="FY787" s="211">
        <v>782</v>
      </c>
      <c r="FZ787">
        <v>0.79186577275537007</v>
      </c>
      <c r="GA787">
        <v>0.47460065171768845</v>
      </c>
      <c r="GB787">
        <v>0</v>
      </c>
      <c r="GC787">
        <v>0.10445782487688361</v>
      </c>
      <c r="GD787">
        <v>8.0173661321021189E-2</v>
      </c>
      <c r="GE787">
        <v>0</v>
      </c>
      <c r="GF787">
        <v>0.33021050058332063</v>
      </c>
      <c r="GG787">
        <v>0.29759236750664797</v>
      </c>
      <c r="GH787">
        <v>0</v>
      </c>
      <c r="GI787">
        <v>0.22772149373783046</v>
      </c>
      <c r="GJ787"/>
      <c r="GK787">
        <v>0.79525243774273369</v>
      </c>
      <c r="GL787">
        <v>0.40705572478708768</v>
      </c>
      <c r="GM787">
        <v>0</v>
      </c>
      <c r="GN787">
        <v>0.31481419569717417</v>
      </c>
      <c r="GO787">
        <v>0.31481419569717417</v>
      </c>
      <c r="GP787">
        <v>0</v>
      </c>
      <c r="GQ787">
        <v>0.45369793096285549</v>
      </c>
      <c r="GR787">
        <v>0.45369793096285549</v>
      </c>
      <c r="GS787">
        <v>0</v>
      </c>
      <c r="GT787">
        <v>0.31275291288055262</v>
      </c>
      <c r="GU787"/>
      <c r="GV787"/>
      <c r="GW787"/>
      <c r="GX787"/>
      <c r="GY787"/>
      <c r="GZ787"/>
      <c r="HA787"/>
      <c r="HB787"/>
      <c r="HC787"/>
    </row>
    <row r="788" spans="1:211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2.1645833333333337</v>
      </c>
      <c r="AO788">
        <v>0.38464954411773816</v>
      </c>
      <c r="AP788">
        <v>13.821525454669768</v>
      </c>
      <c r="AQ788">
        <v>3.2295204222181924</v>
      </c>
      <c r="AR788">
        <v>0.42200730907743056</v>
      </c>
      <c r="AS788">
        <v>2.0038617481340513</v>
      </c>
      <c r="AT788" t="e">
        <v>#DIV/0!</v>
      </c>
      <c r="AU788" t="e">
        <v>#DIV/0!</v>
      </c>
      <c r="AV788"/>
      <c r="AW788"/>
      <c r="FY788" s="211">
        <v>783</v>
      </c>
      <c r="FZ788">
        <v>0.89132940537014993</v>
      </c>
      <c r="GA788">
        <v>0.38735017759921181</v>
      </c>
      <c r="GB788">
        <v>7.9203986612074825E-2</v>
      </c>
      <c r="GC788">
        <v>0.11377737556984255</v>
      </c>
      <c r="GD788">
        <v>5.3449107547347455E-2</v>
      </c>
      <c r="GE788">
        <v>0</v>
      </c>
      <c r="GF788">
        <v>0.33021050058332063</v>
      </c>
      <c r="GG788">
        <v>0.29759236750664797</v>
      </c>
      <c r="GH788">
        <v>0</v>
      </c>
      <c r="GI788">
        <v>0.24634187827114773</v>
      </c>
      <c r="GJ788"/>
      <c r="GK788">
        <v>0.89706682527672754</v>
      </c>
      <c r="GL788">
        <v>0.33331521555783822</v>
      </c>
      <c r="GM788">
        <v>0.13091770120800852</v>
      </c>
      <c r="GN788">
        <v>0.34079383167279126</v>
      </c>
      <c r="GO788">
        <v>0.20987613046478273</v>
      </c>
      <c r="GP788">
        <v>0</v>
      </c>
      <c r="GQ788">
        <v>0.45369793096285549</v>
      </c>
      <c r="GR788">
        <v>0.45369793096285549</v>
      </c>
      <c r="GS788">
        <v>0</v>
      </c>
      <c r="GT788">
        <v>0.33831171758247486</v>
      </c>
      <c r="GU788"/>
      <c r="GV788"/>
      <c r="GW788"/>
      <c r="GX788"/>
      <c r="GY788"/>
      <c r="GZ788"/>
      <c r="HA788"/>
      <c r="HB788"/>
      <c r="HC788"/>
    </row>
    <row r="789" spans="1:211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1.3802083333333335</v>
      </c>
      <c r="AO789">
        <v>0.19715204071900266</v>
      </c>
      <c r="AP789">
        <v>7.7209543265823148</v>
      </c>
      <c r="AQ789">
        <v>1.5050339874921421</v>
      </c>
      <c r="AR789">
        <v>0.21886071096498549</v>
      </c>
      <c r="AS789">
        <v>1.3235710628939712</v>
      </c>
      <c r="AT789" t="e">
        <v>#DIV/0!</v>
      </c>
      <c r="AU789" t="e">
        <v>#DIV/0!</v>
      </c>
      <c r="AV789"/>
      <c r="AW789"/>
      <c r="FY789" s="211">
        <v>784</v>
      </c>
      <c r="FZ789">
        <v>1.7664816921894744</v>
      </c>
      <c r="GA789">
        <v>1.1620505327976354</v>
      </c>
      <c r="GB789">
        <v>0.14202990935487192</v>
      </c>
      <c r="GC789">
        <v>0.11377737556984255</v>
      </c>
      <c r="GD789">
        <v>2.6724553773673727E-2</v>
      </c>
      <c r="GE789">
        <v>0</v>
      </c>
      <c r="GF789">
        <v>0</v>
      </c>
      <c r="GG789">
        <v>0</v>
      </c>
      <c r="GH789">
        <v>0</v>
      </c>
      <c r="GI789">
        <v>0.31174524209742516</v>
      </c>
      <c r="GJ789"/>
      <c r="GK789">
        <v>1.7804701631974802</v>
      </c>
      <c r="GL789">
        <v>0.9999456466735146</v>
      </c>
      <c r="GM789">
        <v>0.23585576644039991</v>
      </c>
      <c r="GN789">
        <v>0.34079383167279126</v>
      </c>
      <c r="GO789">
        <v>0.10493806523239137</v>
      </c>
      <c r="GP789">
        <v>0</v>
      </c>
      <c r="GQ789">
        <v>0</v>
      </c>
      <c r="GR789">
        <v>0</v>
      </c>
      <c r="GS789">
        <v>0</v>
      </c>
      <c r="GT789">
        <v>0.42425279897405432</v>
      </c>
      <c r="GU789"/>
      <c r="GV789"/>
      <c r="GW789"/>
      <c r="GX789"/>
      <c r="GY789"/>
      <c r="GZ789"/>
      <c r="HA789"/>
      <c r="HB789"/>
      <c r="HC789"/>
    </row>
    <row r="790" spans="1:211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3.5364583333333335</v>
      </c>
      <c r="AO790">
        <v>0.30404117793582025</v>
      </c>
      <c r="AP790">
        <v>9.756577873360806</v>
      </c>
      <c r="AQ790">
        <v>2.1333512170634785</v>
      </c>
      <c r="AR790">
        <v>0.34454024037681924</v>
      </c>
      <c r="AS790">
        <v>2.0391697805722764</v>
      </c>
      <c r="AT790" t="e">
        <v>#DIV/0!</v>
      </c>
      <c r="AU790" t="e">
        <v>#DIV/0!</v>
      </c>
      <c r="AV790"/>
      <c r="AW790"/>
      <c r="FY790" s="211">
        <v>785</v>
      </c>
      <c r="FZ790">
        <v>1.7197561204251952</v>
      </c>
      <c r="GA790">
        <v>1.2493010069161121</v>
      </c>
      <c r="GB790">
        <v>6.282592274279708E-2</v>
      </c>
      <c r="GC790">
        <v>0.10445782487688358</v>
      </c>
      <c r="GD790">
        <v>5.3449107547347455E-2</v>
      </c>
      <c r="GE790">
        <v>0</v>
      </c>
      <c r="GF790">
        <v>0.66042100116664126</v>
      </c>
      <c r="GG790">
        <v>0.59518473501329594</v>
      </c>
      <c r="GH790">
        <v>0</v>
      </c>
      <c r="GI790">
        <v>0.42908755444445856</v>
      </c>
      <c r="GJ790"/>
      <c r="GK790">
        <v>1.7314592323288909</v>
      </c>
      <c r="GL790">
        <v>1.073686155902764</v>
      </c>
      <c r="GM790">
        <v>0.10493806523239137</v>
      </c>
      <c r="GN790">
        <v>0.31481419569717412</v>
      </c>
      <c r="GO790">
        <v>0.20987613046478273</v>
      </c>
      <c r="GP790">
        <v>0</v>
      </c>
      <c r="GQ790">
        <v>0.90739586192571098</v>
      </c>
      <c r="GR790">
        <v>0.90739586192571098</v>
      </c>
      <c r="GS790">
        <v>0</v>
      </c>
      <c r="GT790">
        <v>0.59073385799035527</v>
      </c>
      <c r="GU790"/>
      <c r="GV790"/>
      <c r="GW790"/>
      <c r="GX790"/>
      <c r="GY790"/>
      <c r="GZ790"/>
      <c r="HA790"/>
      <c r="HB790"/>
      <c r="HC790"/>
    </row>
    <row r="791" spans="1:211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3.1437499999999998</v>
      </c>
      <c r="AO791">
        <v>0.38081269612618035</v>
      </c>
      <c r="AP791">
        <v>8.6804820643777134</v>
      </c>
      <c r="AQ791">
        <v>3.1166272679798634</v>
      </c>
      <c r="AR791">
        <v>0.40188959702115629</v>
      </c>
      <c r="AS791">
        <v>2.4361070604682213</v>
      </c>
      <c r="AT791" t="e">
        <v>#DIV/0!</v>
      </c>
      <c r="AU791" t="e">
        <v>#DIV/0!</v>
      </c>
      <c r="AV791"/>
      <c r="AW791"/>
      <c r="FY791" s="211">
        <v>786</v>
      </c>
      <c r="FZ791">
        <v>1.4534590729741472</v>
      </c>
      <c r="GA791">
        <v>0.77470035519842362</v>
      </c>
      <c r="GB791">
        <v>0.12565184548559416</v>
      </c>
      <c r="GC791">
        <v>6.9638549917922385E-2</v>
      </c>
      <c r="GD791">
        <v>0</v>
      </c>
      <c r="GE791">
        <v>0</v>
      </c>
      <c r="GF791">
        <v>0.66042100116664126</v>
      </c>
      <c r="GG791">
        <v>0.59518473501329594</v>
      </c>
      <c r="GH791">
        <v>0</v>
      </c>
      <c r="GI791">
        <v>0.3742141540405195</v>
      </c>
      <c r="GJ791"/>
      <c r="GK791">
        <v>1.463255901285796</v>
      </c>
      <c r="GL791">
        <v>0.66663043111567644</v>
      </c>
      <c r="GM791">
        <v>0.20987613046478273</v>
      </c>
      <c r="GN791">
        <v>0.20987613046478273</v>
      </c>
      <c r="GO791">
        <v>0</v>
      </c>
      <c r="GP791">
        <v>0</v>
      </c>
      <c r="GQ791">
        <v>0.90739586192571098</v>
      </c>
      <c r="GR791">
        <v>0.90739586192571098</v>
      </c>
      <c r="GS791">
        <v>0</v>
      </c>
      <c r="GT791">
        <v>0.51610557873525797</v>
      </c>
      <c r="GU791"/>
      <c r="GV791"/>
      <c r="GW791"/>
      <c r="GX791"/>
      <c r="GY791"/>
      <c r="GZ791"/>
      <c r="HA791"/>
      <c r="HB791"/>
      <c r="HC791"/>
    </row>
    <row r="792" spans="1:211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3.359375</v>
      </c>
      <c r="AO792">
        <v>0.27720919910779662</v>
      </c>
      <c r="AP792">
        <v>9.7023352176098481</v>
      </c>
      <c r="AQ792">
        <v>2.0234619793787334</v>
      </c>
      <c r="AR792">
        <v>0.31730995320217831</v>
      </c>
      <c r="AS792">
        <v>1.9569755618563038</v>
      </c>
      <c r="AT792" t="e">
        <v>#DIV/0!</v>
      </c>
      <c r="AU792" t="e">
        <v>#DIV/0!</v>
      </c>
      <c r="AV792"/>
      <c r="AW792"/>
      <c r="FY792" s="211">
        <v>787</v>
      </c>
      <c r="FZ792">
        <v>1.4437736013554985</v>
      </c>
      <c r="GA792">
        <v>0.86195082931690026</v>
      </c>
      <c r="GB792">
        <v>0.15840797322414965</v>
      </c>
      <c r="GC792">
        <v>0.1579162012217627</v>
      </c>
      <c r="GD792">
        <v>5.3449107547347455E-2</v>
      </c>
      <c r="GE792">
        <v>0</v>
      </c>
      <c r="GF792">
        <v>0</v>
      </c>
      <c r="GG792">
        <v>0</v>
      </c>
      <c r="GH792">
        <v>0</v>
      </c>
      <c r="GI792">
        <v>0.28344724530206183</v>
      </c>
      <c r="GJ792"/>
      <c r="GK792">
        <v>1.4533001751039363</v>
      </c>
      <c r="GL792">
        <v>0.7403709403449259</v>
      </c>
      <c r="GM792">
        <v>0.26183540241601705</v>
      </c>
      <c r="GN792">
        <v>0.47171153288079981</v>
      </c>
      <c r="GO792">
        <v>0.20987613046478273</v>
      </c>
      <c r="GP792">
        <v>0</v>
      </c>
      <c r="GQ792">
        <v>0</v>
      </c>
      <c r="GR792">
        <v>0</v>
      </c>
      <c r="GS792">
        <v>0</v>
      </c>
      <c r="GT792">
        <v>0.38500234159694724</v>
      </c>
      <c r="GU792"/>
      <c r="GV792"/>
      <c r="GW792"/>
      <c r="GX792"/>
      <c r="GY792"/>
      <c r="GZ792"/>
      <c r="HA792"/>
      <c r="HB792"/>
      <c r="HC792"/>
    </row>
    <row r="793" spans="1:211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3.9583333333333321</v>
      </c>
      <c r="AO793">
        <v>0.24888776069198926</v>
      </c>
      <c r="AP793">
        <v>5.1970359850174122</v>
      </c>
      <c r="AQ793">
        <v>1.7360613187687921</v>
      </c>
      <c r="AR793">
        <v>0.30641458326290871</v>
      </c>
      <c r="AS793">
        <v>2.0608913891892384</v>
      </c>
      <c r="AT793" t="e">
        <v>#DIV/0!</v>
      </c>
      <c r="AU793" t="e">
        <v>#DIV/0!</v>
      </c>
      <c r="AV793"/>
      <c r="AW793"/>
      <c r="FY793" s="211">
        <v>788</v>
      </c>
      <c r="FZ793">
        <v>1.3559421614544611</v>
      </c>
      <c r="GA793">
        <v>0.9492013034353769</v>
      </c>
      <c r="GB793">
        <v>0.22123389596694673</v>
      </c>
      <c r="GC793">
        <v>0.1579162012217627</v>
      </c>
      <c r="GD793">
        <v>2.6724553773673727E-2</v>
      </c>
      <c r="GE793">
        <v>0</v>
      </c>
      <c r="GF793">
        <v>0.33021050058332063</v>
      </c>
      <c r="GG793">
        <v>0.29759236750664797</v>
      </c>
      <c r="GH793">
        <v>0</v>
      </c>
      <c r="GI793">
        <v>0.33448305838657683</v>
      </c>
      <c r="GJ793"/>
      <c r="GK793">
        <v>1.3661098535381297</v>
      </c>
      <c r="GL793">
        <v>0.81411144957417536</v>
      </c>
      <c r="GM793">
        <v>0.3667734676484084</v>
      </c>
      <c r="GN793">
        <v>0.47171153288079981</v>
      </c>
      <c r="GO793">
        <v>0.10493806523239137</v>
      </c>
      <c r="GP793">
        <v>0</v>
      </c>
      <c r="GQ793">
        <v>0.45369793096285549</v>
      </c>
      <c r="GR793">
        <v>0.45369793096285549</v>
      </c>
      <c r="GS793">
        <v>0</v>
      </c>
      <c r="GT793">
        <v>0.45830386347635704</v>
      </c>
      <c r="GU793"/>
      <c r="GV793"/>
      <c r="GW793"/>
      <c r="GX793"/>
      <c r="GY793"/>
      <c r="GZ793"/>
      <c r="HA793"/>
      <c r="HB793"/>
      <c r="HC793"/>
    </row>
    <row r="794" spans="1:211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2.8812499999999992</v>
      </c>
      <c r="AO794">
        <v>0.39486644181734698</v>
      </c>
      <c r="AP794">
        <v>9.5704918938047108</v>
      </c>
      <c r="AQ794">
        <v>3.4415244523656776</v>
      </c>
      <c r="AR794">
        <v>0.39953973299040113</v>
      </c>
      <c r="AS794">
        <v>2.2476034158759006</v>
      </c>
      <c r="AT794" t="e">
        <v>#DIV/0!</v>
      </c>
      <c r="AU794" t="e">
        <v>#DIV/0!</v>
      </c>
      <c r="AV794"/>
      <c r="AW794"/>
      <c r="FY794" s="211">
        <v>789</v>
      </c>
      <c r="FZ794">
        <v>0.87062009283904529</v>
      </c>
      <c r="GA794">
        <v>0.17450094823695328</v>
      </c>
      <c r="GB794">
        <v>0.204855832097669</v>
      </c>
      <c r="GC794">
        <v>0.18341592548776492</v>
      </c>
      <c r="GD794">
        <v>5.3449107547347455E-2</v>
      </c>
      <c r="GE794">
        <v>0</v>
      </c>
      <c r="GF794">
        <v>0.33021050058332063</v>
      </c>
      <c r="GG794">
        <v>0.29759236750664797</v>
      </c>
      <c r="GH794">
        <v>0</v>
      </c>
      <c r="GI794">
        <v>0.27440627562143238</v>
      </c>
      <c r="GJ794"/>
      <c r="GK794">
        <v>0.86893800494056295</v>
      </c>
      <c r="GL794">
        <v>0.14748101845849892</v>
      </c>
      <c r="GM794">
        <v>0.34079383167279126</v>
      </c>
      <c r="GN794">
        <v>0.55066996213757402</v>
      </c>
      <c r="GO794">
        <v>0.20987613046478273</v>
      </c>
      <c r="GP794">
        <v>0</v>
      </c>
      <c r="GQ794">
        <v>0.45369793096285549</v>
      </c>
      <c r="GR794">
        <v>0.45369793096285549</v>
      </c>
      <c r="GS794">
        <v>0</v>
      </c>
      <c r="GT794">
        <v>0.3746611796081985</v>
      </c>
      <c r="GU794"/>
      <c r="GV794"/>
      <c r="GW794"/>
      <c r="GX794"/>
      <c r="GY794"/>
      <c r="GZ794"/>
      <c r="HA794"/>
      <c r="HB794"/>
      <c r="HC794"/>
    </row>
    <row r="795" spans="1:211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2.8468749999999994</v>
      </c>
      <c r="AO795">
        <v>0.37689891428496247</v>
      </c>
      <c r="AP795">
        <v>11.644783617611218</v>
      </c>
      <c r="AQ795">
        <v>2.9458177042596172</v>
      </c>
      <c r="AR795">
        <v>0.39812718016087495</v>
      </c>
      <c r="AS795">
        <v>2.1588674471397673</v>
      </c>
      <c r="AT795" t="e">
        <v>#DIV/0!</v>
      </c>
      <c r="AU795" t="e">
        <v>#DIV/0!</v>
      </c>
      <c r="AV795"/>
      <c r="AW795"/>
      <c r="FY795" s="211">
        <v>790</v>
      </c>
      <c r="FZ795">
        <v>1.1790073540885411</v>
      </c>
      <c r="GA795">
        <v>0.38735017759921181</v>
      </c>
      <c r="GB795">
        <v>0.204855832097669</v>
      </c>
      <c r="GC795">
        <v>0.14859665052880375</v>
      </c>
      <c r="GD795">
        <v>2.6724553773673727E-2</v>
      </c>
      <c r="GE795">
        <v>0</v>
      </c>
      <c r="GF795">
        <v>0.66042100116664126</v>
      </c>
      <c r="GG795">
        <v>0.59518473501329594</v>
      </c>
      <c r="GH795">
        <v>0</v>
      </c>
      <c r="GI795">
        <v>0.3684386995520148</v>
      </c>
      <c r="GJ795"/>
      <c r="GK795">
        <v>1.1873116091882372</v>
      </c>
      <c r="GL795">
        <v>0.33331521555783822</v>
      </c>
      <c r="GM795">
        <v>0.34079383167279126</v>
      </c>
      <c r="GN795">
        <v>0.44573189690518267</v>
      </c>
      <c r="GO795">
        <v>0.10493806523239137</v>
      </c>
      <c r="GP795">
        <v>0</v>
      </c>
      <c r="GQ795">
        <v>0.90739586192571098</v>
      </c>
      <c r="GR795">
        <v>0.90739586192571098</v>
      </c>
      <c r="GS795">
        <v>0</v>
      </c>
      <c r="GT795">
        <v>0.50808787360382612</v>
      </c>
      <c r="GU795"/>
      <c r="GV795"/>
      <c r="GW795"/>
      <c r="GX795"/>
      <c r="GY795"/>
      <c r="GZ795"/>
      <c r="HA795"/>
      <c r="HB795"/>
      <c r="HC795"/>
    </row>
    <row r="796" spans="1:211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2.9510416666666663</v>
      </c>
      <c r="AO796">
        <v>0.58427280339905963</v>
      </c>
      <c r="AP796">
        <v>22.684968071507747</v>
      </c>
      <c r="AQ796">
        <v>4.3677466699894119</v>
      </c>
      <c r="AR796">
        <v>0.59251768503008506</v>
      </c>
      <c r="AS796">
        <v>2.8652577504633405</v>
      </c>
      <c r="AT796" t="e">
        <v>#DIV/0!</v>
      </c>
      <c r="AU796" t="e">
        <v>#DIV/0!</v>
      </c>
      <c r="AV796"/>
      <c r="AW796"/>
      <c r="FY796" s="211">
        <v>791</v>
      </c>
      <c r="FZ796">
        <v>0.84637206166479662</v>
      </c>
      <c r="GA796">
        <v>0.38735017759921181</v>
      </c>
      <c r="GB796">
        <v>0.22123389596694673</v>
      </c>
      <c r="GC796">
        <v>0.1579162012217627</v>
      </c>
      <c r="GD796">
        <v>2.6724553773673727E-2</v>
      </c>
      <c r="GE796">
        <v>0</v>
      </c>
      <c r="GF796">
        <v>0.33021050058332063</v>
      </c>
      <c r="GG796">
        <v>0.29759236750664797</v>
      </c>
      <c r="GH796">
        <v>0</v>
      </c>
      <c r="GI796">
        <v>0.25906691116156</v>
      </c>
      <c r="GJ796"/>
      <c r="GK796">
        <v>0.85262336120301296</v>
      </c>
      <c r="GL796">
        <v>0.33331521555783822</v>
      </c>
      <c r="GM796">
        <v>0.3667734676484084</v>
      </c>
      <c r="GN796">
        <v>0.47171153288079981</v>
      </c>
      <c r="GO796">
        <v>0.10493806523239137</v>
      </c>
      <c r="GP796">
        <v>0</v>
      </c>
      <c r="GQ796">
        <v>0.45369793096285549</v>
      </c>
      <c r="GR796">
        <v>0.45369793096285549</v>
      </c>
      <c r="GS796">
        <v>0</v>
      </c>
      <c r="GT796">
        <v>0.35560656500933369</v>
      </c>
      <c r="GU796"/>
      <c r="GV796"/>
      <c r="GW796"/>
      <c r="GX796"/>
      <c r="GY796"/>
      <c r="GZ796"/>
      <c r="HA796"/>
      <c r="HB796"/>
      <c r="HC796"/>
    </row>
    <row r="797" spans="1:211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2.739583333333333</v>
      </c>
      <c r="AO797">
        <v>0.25254358692055734</v>
      </c>
      <c r="AP797">
        <v>9.2397201169162297</v>
      </c>
      <c r="AQ797">
        <v>1.9007032799544892</v>
      </c>
      <c r="AR797">
        <v>0.28573013155323929</v>
      </c>
      <c r="AS797">
        <v>1.9920179450745967</v>
      </c>
      <c r="AT797" t="e">
        <v>#DIV/0!</v>
      </c>
      <c r="AU797" t="e">
        <v>#DIV/0!</v>
      </c>
      <c r="AV797"/>
      <c r="AW797"/>
      <c r="FY797" s="211">
        <v>792</v>
      </c>
      <c r="FZ797">
        <v>1.2797470419314017</v>
      </c>
      <c r="GA797">
        <v>0.56185112583616514</v>
      </c>
      <c r="GB797">
        <v>0.12565184548559416</v>
      </c>
      <c r="GC797">
        <v>6.9638549917922385E-2</v>
      </c>
      <c r="GD797">
        <v>0</v>
      </c>
      <c r="GE797">
        <v>0</v>
      </c>
      <c r="GF797">
        <v>0.99063150174996206</v>
      </c>
      <c r="GG797">
        <v>0.89277710251994391</v>
      </c>
      <c r="GH797">
        <v>0</v>
      </c>
      <c r="GI797">
        <v>0.4125936653582446</v>
      </c>
      <c r="GJ797"/>
      <c r="GK797">
        <v>1.2876980222634247</v>
      </c>
      <c r="GL797">
        <v>0.48079623401633714</v>
      </c>
      <c r="GM797">
        <v>0.20987613046478273</v>
      </c>
      <c r="GN797">
        <v>0.20987613046478273</v>
      </c>
      <c r="GO797">
        <v>0</v>
      </c>
      <c r="GP797">
        <v>0</v>
      </c>
      <c r="GQ797">
        <v>1.3610937928885667</v>
      </c>
      <c r="GR797">
        <v>1.3610937928885667</v>
      </c>
      <c r="GS797">
        <v>0</v>
      </c>
      <c r="GT797">
        <v>0.57173358912335481</v>
      </c>
      <c r="GU797"/>
      <c r="GV797"/>
      <c r="GW797"/>
      <c r="GX797"/>
      <c r="GY797"/>
      <c r="GZ797"/>
      <c r="HA797"/>
      <c r="HB797"/>
      <c r="HC797"/>
    </row>
    <row r="798" spans="1:211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2.2062499999999998</v>
      </c>
      <c r="AO798">
        <v>0.30520853287304334</v>
      </c>
      <c r="AP798">
        <v>11.447652756791449</v>
      </c>
      <c r="AQ798">
        <v>2.3066222724987626</v>
      </c>
      <c r="AR798">
        <v>0.31275291288055268</v>
      </c>
      <c r="AS798">
        <v>1.6397831585692453</v>
      </c>
      <c r="AT798" t="e">
        <v>#DIV/0!</v>
      </c>
      <c r="AU798" t="e">
        <v>#DIV/0!</v>
      </c>
      <c r="AV798"/>
      <c r="AW798"/>
      <c r="FY798" s="211">
        <v>793</v>
      </c>
      <c r="FZ798">
        <v>0.75437825440865591</v>
      </c>
      <c r="GA798">
        <v>0.17450094823695328</v>
      </c>
      <c r="GB798">
        <v>0.12565184548559416</v>
      </c>
      <c r="GC798">
        <v>0.13927709983584477</v>
      </c>
      <c r="GD798">
        <v>5.3449107547347455E-2</v>
      </c>
      <c r="GE798">
        <v>0</v>
      </c>
      <c r="GF798">
        <v>0.66042100116664126</v>
      </c>
      <c r="GG798">
        <v>0.59518473501329594</v>
      </c>
      <c r="GH798">
        <v>0</v>
      </c>
      <c r="GI798">
        <v>0.30174238721310487</v>
      </c>
      <c r="GJ798"/>
      <c r="GK798">
        <v>0.75619425079687597</v>
      </c>
      <c r="GL798">
        <v>0.14748101845849892</v>
      </c>
      <c r="GM798">
        <v>0.20987613046478273</v>
      </c>
      <c r="GN798">
        <v>0.41975226092956547</v>
      </c>
      <c r="GO798">
        <v>0.20987613046478273</v>
      </c>
      <c r="GP798">
        <v>0</v>
      </c>
      <c r="GQ798">
        <v>0.90739586192571098</v>
      </c>
      <c r="GR798">
        <v>0.90739586192571098</v>
      </c>
      <c r="GS798">
        <v>0</v>
      </c>
      <c r="GT798">
        <v>0.4166684747304305</v>
      </c>
      <c r="GU798"/>
      <c r="GV798"/>
      <c r="GW798"/>
      <c r="GX798"/>
      <c r="GY798"/>
      <c r="GZ798"/>
      <c r="HA798"/>
      <c r="HB798"/>
      <c r="HC798"/>
    </row>
    <row r="799" spans="1:211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2.2739583333333333</v>
      </c>
      <c r="AO799">
        <v>0.31576772836883343</v>
      </c>
      <c r="AP799">
        <v>9.7643318725406552</v>
      </c>
      <c r="AQ799">
        <v>2.3992547990597428</v>
      </c>
      <c r="AR799">
        <v>0.33831171758247486</v>
      </c>
      <c r="AS799">
        <v>1.8394401490822943</v>
      </c>
      <c r="AT799" t="e">
        <v>#DIV/0!</v>
      </c>
      <c r="AU799" t="e">
        <v>#DIV/0!</v>
      </c>
      <c r="AV799"/>
      <c r="AW799"/>
      <c r="FY799" s="211">
        <v>794</v>
      </c>
      <c r="FZ799">
        <v>1.0235657416509614</v>
      </c>
      <c r="GA799">
        <v>0.38735017759921181</v>
      </c>
      <c r="GB799">
        <v>0</v>
      </c>
      <c r="GC799">
        <v>0</v>
      </c>
      <c r="GD799">
        <v>0</v>
      </c>
      <c r="GE799">
        <v>0</v>
      </c>
      <c r="GF799">
        <v>0.99063150174996206</v>
      </c>
      <c r="GG799">
        <v>0.89277710251994391</v>
      </c>
      <c r="GH799">
        <v>0</v>
      </c>
      <c r="GI799">
        <v>0.34377385515132425</v>
      </c>
      <c r="GJ799"/>
      <c r="GK799">
        <v>1.0292187694620218</v>
      </c>
      <c r="GL799">
        <v>0.33331521555783822</v>
      </c>
      <c r="GM799">
        <v>0</v>
      </c>
      <c r="GN799">
        <v>0</v>
      </c>
      <c r="GO799">
        <v>0</v>
      </c>
      <c r="GP799">
        <v>0</v>
      </c>
      <c r="GQ799">
        <v>1.3610937928885667</v>
      </c>
      <c r="GR799">
        <v>1.3610937928885667</v>
      </c>
      <c r="GS799">
        <v>0</v>
      </c>
      <c r="GT799">
        <v>0.47806251247011772</v>
      </c>
      <c r="GU799"/>
      <c r="GV799"/>
      <c r="GW799"/>
      <c r="GX799"/>
      <c r="GY799"/>
      <c r="GZ799"/>
      <c r="HA799"/>
      <c r="HB799"/>
      <c r="HC799"/>
    </row>
    <row r="800" spans="1:211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3.6968749999999999</v>
      </c>
      <c r="AO800">
        <v>0.38862562721906313</v>
      </c>
      <c r="AP800">
        <v>6.9774968275959868</v>
      </c>
      <c r="AQ800">
        <v>3.5228093057829231</v>
      </c>
      <c r="AR800">
        <v>0.42425279897405421</v>
      </c>
      <c r="AS800">
        <v>2.2438680951612007</v>
      </c>
      <c r="AT800" t="e">
        <v>#DIV/0!</v>
      </c>
      <c r="AU800" t="e">
        <v>#DIV/0!</v>
      </c>
      <c r="AV800"/>
      <c r="AW800"/>
      <c r="FY800" s="211">
        <v>795</v>
      </c>
      <c r="FZ800">
        <v>1.4783777700154084</v>
      </c>
      <c r="GA800">
        <v>0.47460065171768845</v>
      </c>
      <c r="GB800">
        <v>0.14202990935487192</v>
      </c>
      <c r="GC800">
        <v>0.11377737556984255</v>
      </c>
      <c r="GD800">
        <v>2.6724553773673727E-2</v>
      </c>
      <c r="GE800">
        <v>0</v>
      </c>
      <c r="GF800">
        <v>0.99063150174996206</v>
      </c>
      <c r="GG800">
        <v>0.89277710251994391</v>
      </c>
      <c r="GH800">
        <v>0</v>
      </c>
      <c r="GI800">
        <v>0.46145969322448499</v>
      </c>
      <c r="GJ800"/>
      <c r="GK800">
        <v>1.4856668592684796</v>
      </c>
      <c r="GL800">
        <v>0.40705572478708768</v>
      </c>
      <c r="GM800">
        <v>0.23585576644039991</v>
      </c>
      <c r="GN800">
        <v>0.34079383167279126</v>
      </c>
      <c r="GO800">
        <v>0.10493806523239137</v>
      </c>
      <c r="GP800">
        <v>0</v>
      </c>
      <c r="GQ800">
        <v>1.3610937928885667</v>
      </c>
      <c r="GR800">
        <v>1.3610937928885667</v>
      </c>
      <c r="GS800">
        <v>0</v>
      </c>
      <c r="GT800">
        <v>0.63751089676596751</v>
      </c>
      <c r="GU800"/>
      <c r="GV800"/>
      <c r="GW800"/>
      <c r="GX800"/>
      <c r="GY800"/>
      <c r="GZ800"/>
      <c r="HA800"/>
      <c r="HB800"/>
      <c r="HC800"/>
    </row>
    <row r="801" spans="1:211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3.6083333333333334</v>
      </c>
      <c r="AO801">
        <v>0.58402993614677812</v>
      </c>
      <c r="AP801">
        <v>17.23143588874397</v>
      </c>
      <c r="AQ801">
        <v>4.8744832731327312</v>
      </c>
      <c r="AR801">
        <v>0.59073385799035527</v>
      </c>
      <c r="AS801">
        <v>2.8948115014078848</v>
      </c>
      <c r="AT801" t="e">
        <v>#DIV/0!</v>
      </c>
      <c r="AU801" t="e">
        <v>#DIV/0!</v>
      </c>
      <c r="AV801"/>
      <c r="AW801"/>
      <c r="FY801" s="211">
        <v>796</v>
      </c>
      <c r="FZ801">
        <v>0.71700581773110839</v>
      </c>
      <c r="GA801">
        <v>0.17450094823695328</v>
      </c>
      <c r="GB801">
        <v>0.204855832097669</v>
      </c>
      <c r="GC801">
        <v>0.14859665052880375</v>
      </c>
      <c r="GD801">
        <v>2.6724553773673727E-2</v>
      </c>
      <c r="GE801">
        <v>0</v>
      </c>
      <c r="GF801">
        <v>0.33021050058332063</v>
      </c>
      <c r="GG801">
        <v>0.29759236750664797</v>
      </c>
      <c r="GH801">
        <v>0</v>
      </c>
      <c r="GI801">
        <v>0.23607877532514812</v>
      </c>
      <c r="GJ801"/>
      <c r="GK801">
        <v>0.71871986840467594</v>
      </c>
      <c r="GL801">
        <v>0.14748101845849892</v>
      </c>
      <c r="GM801">
        <v>0.34079383167279126</v>
      </c>
      <c r="GN801">
        <v>0.44573189690518267</v>
      </c>
      <c r="GO801">
        <v>0.10493806523239137</v>
      </c>
      <c r="GP801">
        <v>0</v>
      </c>
      <c r="GQ801">
        <v>0.45369793096285549</v>
      </c>
      <c r="GR801">
        <v>0.45369793096285549</v>
      </c>
      <c r="GS801">
        <v>0</v>
      </c>
      <c r="GT801">
        <v>0.32362993925454281</v>
      </c>
      <c r="GU801"/>
      <c r="GV801"/>
      <c r="GW801"/>
      <c r="GX801"/>
      <c r="GY801"/>
      <c r="GZ801"/>
      <c r="HA801"/>
      <c r="HB801"/>
      <c r="HC801"/>
    </row>
    <row r="802" spans="1:211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3.1208333333333336</v>
      </c>
      <c r="AO802">
        <v>0.48805358959177186</v>
      </c>
      <c r="AP802">
        <v>18.082823565733179</v>
      </c>
      <c r="AQ802">
        <v>4.0532697137965439</v>
      </c>
      <c r="AR802">
        <v>0.51610557873525797</v>
      </c>
      <c r="AS802">
        <v>2.5329270962377595</v>
      </c>
      <c r="AT802" t="e">
        <v>#DIV/0!</v>
      </c>
      <c r="AU802" t="e">
        <v>#DIV/0!</v>
      </c>
      <c r="AV802"/>
      <c r="AW802"/>
      <c r="FY802" s="211">
        <v>797</v>
      </c>
      <c r="FZ802">
        <v>0.66495690505281146</v>
      </c>
      <c r="GA802">
        <v>0.17450094823695328</v>
      </c>
      <c r="GB802">
        <v>7.9203986612074825E-2</v>
      </c>
      <c r="GC802">
        <v>0.11377737556984255</v>
      </c>
      <c r="GD802">
        <v>5.3449107547347455E-2</v>
      </c>
      <c r="GE802">
        <v>0</v>
      </c>
      <c r="GF802">
        <v>0.33021050058332063</v>
      </c>
      <c r="GG802">
        <v>0.29759236750664797</v>
      </c>
      <c r="GH802">
        <v>0</v>
      </c>
      <c r="GI802">
        <v>0.21300056981560836</v>
      </c>
      <c r="GJ802"/>
      <c r="GK802">
        <v>0.66348192770822012</v>
      </c>
      <c r="GL802">
        <v>0.14748101845849892</v>
      </c>
      <c r="GM802">
        <v>0.13091770120800852</v>
      </c>
      <c r="GN802">
        <v>0.34079383167279126</v>
      </c>
      <c r="GO802">
        <v>0.20987613046478273</v>
      </c>
      <c r="GP802">
        <v>0</v>
      </c>
      <c r="GQ802">
        <v>0.45369793096285549</v>
      </c>
      <c r="GR802">
        <v>0.45369793096285549</v>
      </c>
      <c r="GS802">
        <v>0</v>
      </c>
      <c r="GT802">
        <v>0.2915947380687734</v>
      </c>
      <c r="GU802"/>
      <c r="GV802"/>
      <c r="GW802"/>
      <c r="GX802"/>
      <c r="GY802"/>
      <c r="GZ802"/>
      <c r="HA802"/>
      <c r="HB802"/>
      <c r="HC802"/>
    </row>
    <row r="803" spans="1:211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3.6312500000000005</v>
      </c>
      <c r="AO803">
        <v>0.35220965228074091</v>
      </c>
      <c r="AP803">
        <v>6.06197795233152</v>
      </c>
      <c r="AQ803">
        <v>2.9589449579677205</v>
      </c>
      <c r="AR803">
        <v>0.38500234159694724</v>
      </c>
      <c r="AS803">
        <v>2.4517740336144662</v>
      </c>
      <c r="AT803" t="e">
        <v>#DIV/0!</v>
      </c>
      <c r="AU803" t="e">
        <v>#DIV/0!</v>
      </c>
      <c r="AV803"/>
      <c r="AW803"/>
      <c r="FY803" s="211">
        <v>798</v>
      </c>
      <c r="FZ803">
        <v>0.62607098527234739</v>
      </c>
      <c r="GA803">
        <v>0.17450094823695328</v>
      </c>
      <c r="GB803">
        <v>0.15840797322414965</v>
      </c>
      <c r="GC803">
        <v>8.8277651303840327E-2</v>
      </c>
      <c r="GD803">
        <v>0</v>
      </c>
      <c r="GE803">
        <v>0</v>
      </c>
      <c r="GF803">
        <v>0.33021050058332063</v>
      </c>
      <c r="GG803">
        <v>0.29759236750664797</v>
      </c>
      <c r="GH803">
        <v>0</v>
      </c>
      <c r="GI803">
        <v>0.19571153439547584</v>
      </c>
      <c r="GJ803"/>
      <c r="GK803">
        <v>0.62508281810734734</v>
      </c>
      <c r="GL803">
        <v>0.14748101845849892</v>
      </c>
      <c r="GM803">
        <v>0.26183540241601705</v>
      </c>
      <c r="GN803">
        <v>0.26183540241601705</v>
      </c>
      <c r="GO803">
        <v>0</v>
      </c>
      <c r="GP803">
        <v>0</v>
      </c>
      <c r="GQ803">
        <v>0.45369793096285549</v>
      </c>
      <c r="GR803">
        <v>0.45369793096285549</v>
      </c>
      <c r="GS803">
        <v>0</v>
      </c>
      <c r="GT803">
        <v>0.26812323029724394</v>
      </c>
      <c r="GU803"/>
      <c r="GV803"/>
      <c r="GW803"/>
      <c r="GX803"/>
      <c r="GY803"/>
      <c r="GZ803"/>
      <c r="HA803"/>
      <c r="HB803"/>
      <c r="HC803"/>
    </row>
    <row r="804" spans="1:211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3.0999999999999992</v>
      </c>
      <c r="AO804">
        <v>0.44893440942759721</v>
      </c>
      <c r="AP804">
        <v>12.661019303374847</v>
      </c>
      <c r="AQ804">
        <v>3.6733040423287666</v>
      </c>
      <c r="AR804">
        <v>0.45830386347635704</v>
      </c>
      <c r="AS804">
        <v>2.3837854019396176</v>
      </c>
      <c r="AT804" t="e">
        <v>#DIV/0!</v>
      </c>
      <c r="AU804" t="e">
        <v>#DIV/0!</v>
      </c>
      <c r="AV804"/>
      <c r="AW804"/>
      <c r="FY804" s="211">
        <v>799</v>
      </c>
      <c r="FZ804">
        <v>0.70997335802888151</v>
      </c>
      <c r="GA804">
        <v>8.725047411847664E-2</v>
      </c>
      <c r="GB804">
        <v>0.14202990935487192</v>
      </c>
      <c r="GC804">
        <v>0.11377737556984255</v>
      </c>
      <c r="GD804">
        <v>2.6724553773673727E-2</v>
      </c>
      <c r="GE804">
        <v>0</v>
      </c>
      <c r="GF804">
        <v>0.66042100116664126</v>
      </c>
      <c r="GG804">
        <v>0.59518473501329594</v>
      </c>
      <c r="GH804">
        <v>0</v>
      </c>
      <c r="GI804">
        <v>0.28366612990225393</v>
      </c>
      <c r="GJ804"/>
      <c r="GK804">
        <v>0.71123262817738819</v>
      </c>
      <c r="GL804">
        <v>7.3740509229249462E-2</v>
      </c>
      <c r="GM804">
        <v>0.23585576644039991</v>
      </c>
      <c r="GN804">
        <v>0.34079383167279126</v>
      </c>
      <c r="GO804">
        <v>0.10493806523239137</v>
      </c>
      <c r="GP804">
        <v>0</v>
      </c>
      <c r="GQ804">
        <v>0.90739586192571098</v>
      </c>
      <c r="GR804">
        <v>0.90739586192571098</v>
      </c>
      <c r="GS804">
        <v>0</v>
      </c>
      <c r="GT804">
        <v>0.3918844643551781</v>
      </c>
      <c r="GU804"/>
      <c r="GV804"/>
      <c r="GW804"/>
      <c r="GX804"/>
      <c r="GY804"/>
      <c r="GZ804"/>
      <c r="HA804"/>
      <c r="HB804"/>
      <c r="HC804"/>
    </row>
    <row r="805" spans="1:211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4.0052083333333339</v>
      </c>
      <c r="AO805">
        <v>0.33998159892081198</v>
      </c>
      <c r="AP805">
        <v>11.120326039371406</v>
      </c>
      <c r="AQ805">
        <v>2.3890510499201811</v>
      </c>
      <c r="AR805">
        <v>0.3746611796081985</v>
      </c>
      <c r="AS805">
        <v>2.2964697971803734</v>
      </c>
      <c r="AT805" t="e">
        <v>#DIV/0!</v>
      </c>
      <c r="AU805" t="e">
        <v>#DIV/0!</v>
      </c>
      <c r="AV805"/>
      <c r="AW805"/>
      <c r="FY805" s="211">
        <v>800</v>
      </c>
      <c r="FZ805">
        <v>0.88160214156195804</v>
      </c>
      <c r="GA805">
        <v>0.56185112583616514</v>
      </c>
      <c r="GB805">
        <v>0</v>
      </c>
      <c r="GC805">
        <v>3.4819274958961192E-2</v>
      </c>
      <c r="GD805">
        <v>2.6724553773673727E-2</v>
      </c>
      <c r="GE805">
        <v>0</v>
      </c>
      <c r="GF805">
        <v>0.66042100116664126</v>
      </c>
      <c r="GG805">
        <v>0.59518473501329594</v>
      </c>
      <c r="GH805">
        <v>0</v>
      </c>
      <c r="GI805">
        <v>0.27417861736971016</v>
      </c>
      <c r="GJ805"/>
      <c r="GK805">
        <v>0.88509390061813731</v>
      </c>
      <c r="GL805">
        <v>0.48079623401633714</v>
      </c>
      <c r="GM805">
        <v>0</v>
      </c>
      <c r="GN805">
        <v>0.10493806523239137</v>
      </c>
      <c r="GO805">
        <v>0.10493806523239137</v>
      </c>
      <c r="GP805">
        <v>0</v>
      </c>
      <c r="GQ805">
        <v>0.90739586192571098</v>
      </c>
      <c r="GR805">
        <v>0.90739586192571098</v>
      </c>
      <c r="GS805">
        <v>0</v>
      </c>
      <c r="GT805">
        <v>0.37948556555524793</v>
      </c>
      <c r="GU805"/>
      <c r="GV805"/>
      <c r="GW805"/>
      <c r="GX805"/>
      <c r="GY805"/>
      <c r="GZ805"/>
      <c r="HA805"/>
      <c r="HB805"/>
      <c r="HC805"/>
    </row>
    <row r="806" spans="1:211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2.6906249999999998</v>
      </c>
      <c r="AO806">
        <v>0.4734970216011688</v>
      </c>
      <c r="AP806">
        <v>18.660835850153774</v>
      </c>
      <c r="AQ806">
        <v>3.5705790038198515</v>
      </c>
      <c r="AR806">
        <v>0.50808787360382612</v>
      </c>
      <c r="AS806">
        <v>2.3846214822782787</v>
      </c>
      <c r="AT806" t="e">
        <v>#DIV/0!</v>
      </c>
      <c r="AU806" t="e">
        <v>#DIV/0!</v>
      </c>
      <c r="AV806"/>
      <c r="AW806"/>
      <c r="FY806" s="211">
        <v>801</v>
      </c>
      <c r="FZ806">
        <v>0.99232383816901981</v>
      </c>
      <c r="GA806">
        <v>0.38735017759921181</v>
      </c>
      <c r="GB806">
        <v>7.9203986612074825E-2</v>
      </c>
      <c r="GC806">
        <v>0.14859665052880378</v>
      </c>
      <c r="GD806">
        <v>8.0173661321021189E-2</v>
      </c>
      <c r="GE806">
        <v>0</v>
      </c>
      <c r="GF806">
        <v>0.33021050058332063</v>
      </c>
      <c r="GG806">
        <v>0.29759236750664797</v>
      </c>
      <c r="GH806">
        <v>0</v>
      </c>
      <c r="GI806">
        <v>0.27667967540083871</v>
      </c>
      <c r="GJ806"/>
      <c r="GK806">
        <v>1.001095977938117</v>
      </c>
      <c r="GL806">
        <v>0.33331521555783822</v>
      </c>
      <c r="GM806">
        <v>0.13091770120800852</v>
      </c>
      <c r="GN806">
        <v>0.44573189690518267</v>
      </c>
      <c r="GO806">
        <v>0.31481419569717417</v>
      </c>
      <c r="GP806">
        <v>0</v>
      </c>
      <c r="GQ806">
        <v>0.45369793096285549</v>
      </c>
      <c r="GR806">
        <v>0.45369793096285549</v>
      </c>
      <c r="GS806">
        <v>0</v>
      </c>
      <c r="GT806">
        <v>0.38010516116123111</v>
      </c>
      <c r="GU806"/>
      <c r="GV806"/>
      <c r="GW806"/>
      <c r="GX806"/>
      <c r="GY806"/>
      <c r="GZ806"/>
      <c r="HA806"/>
      <c r="HB806"/>
      <c r="HC806"/>
    </row>
    <row r="807" spans="1:211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1.9354166666666663</v>
      </c>
      <c r="AO807">
        <v>0.33923640694574952</v>
      </c>
      <c r="AP807">
        <v>12.04945002863851</v>
      </c>
      <c r="AQ807">
        <v>2.5264666694779203</v>
      </c>
      <c r="AR807">
        <v>0.35560656500933369</v>
      </c>
      <c r="AS807">
        <v>1.8121450010491067</v>
      </c>
      <c r="AT807" t="e">
        <v>#DIV/0!</v>
      </c>
      <c r="AU807" t="e">
        <v>#DIV/0!</v>
      </c>
      <c r="AV807"/>
      <c r="AW807"/>
      <c r="FY807" s="211">
        <v>802</v>
      </c>
      <c r="FZ807">
        <v>0.40258479708203143</v>
      </c>
      <c r="GA807">
        <v>0</v>
      </c>
      <c r="GB807">
        <v>0.22123389596694673</v>
      </c>
      <c r="GC807">
        <v>0.1579162012217627</v>
      </c>
      <c r="GD807">
        <v>2.6724553773673727E-2</v>
      </c>
      <c r="GE807">
        <v>0</v>
      </c>
      <c r="GF807">
        <v>0</v>
      </c>
      <c r="GG807">
        <v>0</v>
      </c>
      <c r="GH807">
        <v>0</v>
      </c>
      <c r="GI807">
        <v>0.12940922765171478</v>
      </c>
      <c r="GJ807"/>
      <c r="GK807">
        <v>0.40216468383797654</v>
      </c>
      <c r="GL807">
        <v>0</v>
      </c>
      <c r="GM807">
        <v>0.3667734676484084</v>
      </c>
      <c r="GN807">
        <v>0.47171153288079981</v>
      </c>
      <c r="GO807">
        <v>0.10493806523239137</v>
      </c>
      <c r="GP807">
        <v>0</v>
      </c>
      <c r="GQ807">
        <v>0</v>
      </c>
      <c r="GR807">
        <v>0</v>
      </c>
      <c r="GS807">
        <v>0</v>
      </c>
      <c r="GT807">
        <v>0.17477524334375527</v>
      </c>
      <c r="GU807"/>
      <c r="GV807"/>
      <c r="GW807"/>
      <c r="GX807"/>
      <c r="GY807"/>
      <c r="GZ807"/>
      <c r="HA807"/>
      <c r="HB807"/>
      <c r="HC807"/>
    </row>
    <row r="808" spans="1:211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3.1749999999999998</v>
      </c>
      <c r="AO808">
        <v>0.5482167692109815</v>
      </c>
      <c r="AP808">
        <v>22.671320486784126</v>
      </c>
      <c r="AQ808">
        <v>4.3328908327992339</v>
      </c>
      <c r="AR808">
        <v>0.57173358912335481</v>
      </c>
      <c r="AS808">
        <v>2.6445495438010682</v>
      </c>
      <c r="AT808" t="e">
        <v>#DIV/0!</v>
      </c>
      <c r="AU808" t="e">
        <v>#DIV/0!</v>
      </c>
      <c r="AV808"/>
      <c r="AW808"/>
      <c r="FY808" s="211">
        <v>803</v>
      </c>
      <c r="FZ808">
        <v>1.3234426850496295</v>
      </c>
      <c r="GA808">
        <v>0.77470035519842362</v>
      </c>
      <c r="GB808">
        <v>7.9203986612074825E-2</v>
      </c>
      <c r="GC808">
        <v>4.4138825651920163E-2</v>
      </c>
      <c r="GD808">
        <v>0</v>
      </c>
      <c r="GE808">
        <v>0</v>
      </c>
      <c r="GF808">
        <v>0</v>
      </c>
      <c r="GG808">
        <v>0</v>
      </c>
      <c r="GH808">
        <v>0</v>
      </c>
      <c r="GI808">
        <v>0.21535369714964189</v>
      </c>
      <c r="GJ808"/>
      <c r="GK808">
        <v>1.330884238196846</v>
      </c>
      <c r="GL808">
        <v>0.66663043111567644</v>
      </c>
      <c r="GM808">
        <v>0.13091770120800852</v>
      </c>
      <c r="GN808">
        <v>0.13091770120800852</v>
      </c>
      <c r="GO808">
        <v>0</v>
      </c>
      <c r="GP808">
        <v>0</v>
      </c>
      <c r="GQ808">
        <v>0</v>
      </c>
      <c r="GR808">
        <v>0</v>
      </c>
      <c r="GS808">
        <v>0</v>
      </c>
      <c r="GT808">
        <v>0.29236038788097091</v>
      </c>
      <c r="GU808"/>
      <c r="GV808"/>
      <c r="GW808"/>
      <c r="GX808"/>
      <c r="GY808"/>
      <c r="GZ808"/>
      <c r="HA808"/>
      <c r="HB808"/>
      <c r="HC808"/>
    </row>
    <row r="809" spans="1:211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2.0833333333333339</v>
      </c>
      <c r="AO809">
        <v>0.3974639989696358</v>
      </c>
      <c r="AP809">
        <v>14.974229663733501</v>
      </c>
      <c r="AQ809">
        <v>2.8046053789074383</v>
      </c>
      <c r="AR809">
        <v>0.41666847473043045</v>
      </c>
      <c r="AS809">
        <v>2.0608929660595954</v>
      </c>
      <c r="AT809" t="e">
        <v>#DIV/0!</v>
      </c>
      <c r="AU809" t="e">
        <v>#DIV/0!</v>
      </c>
      <c r="AV809"/>
      <c r="AW809"/>
      <c r="FY809" s="211">
        <v>804</v>
      </c>
      <c r="FZ809">
        <v>0.91638050116175152</v>
      </c>
      <c r="GA809">
        <v>0.47460065171768845</v>
      </c>
      <c r="GB809">
        <v>6.282592274279708E-2</v>
      </c>
      <c r="GC809">
        <v>6.9638549917922385E-2</v>
      </c>
      <c r="GD809">
        <v>2.6724553773673727E-2</v>
      </c>
      <c r="GE809">
        <v>0</v>
      </c>
      <c r="GF809">
        <v>0</v>
      </c>
      <c r="GG809">
        <v>0</v>
      </c>
      <c r="GH809">
        <v>0</v>
      </c>
      <c r="GI809">
        <v>0.1665703954950718</v>
      </c>
      <c r="GJ809"/>
      <c r="GK809">
        <v>0.92235162573179164</v>
      </c>
      <c r="GL809">
        <v>0.40705572478708768</v>
      </c>
      <c r="GM809">
        <v>0.10493806523239137</v>
      </c>
      <c r="GN809">
        <v>0.20987613046478273</v>
      </c>
      <c r="GO809">
        <v>0.10493806523239137</v>
      </c>
      <c r="GP809">
        <v>0</v>
      </c>
      <c r="GQ809">
        <v>0</v>
      </c>
      <c r="GR809">
        <v>0</v>
      </c>
      <c r="GS809">
        <v>0</v>
      </c>
      <c r="GT809">
        <v>0.22644555123931487</v>
      </c>
      <c r="GU809"/>
      <c r="GV809"/>
      <c r="GW809"/>
      <c r="GX809"/>
      <c r="GY809"/>
      <c r="GZ809"/>
      <c r="HA809"/>
      <c r="HB809"/>
      <c r="HC809"/>
    </row>
    <row r="810" spans="1:211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2.2374999999999998</v>
      </c>
      <c r="AO810">
        <v>0.45627840832671113</v>
      </c>
      <c r="AP810">
        <v>20.645921870059816</v>
      </c>
      <c r="AQ810">
        <v>3.638098378671403</v>
      </c>
      <c r="AR810">
        <v>0.47806251247011766</v>
      </c>
      <c r="AS810">
        <v>2.1217571717442056</v>
      </c>
      <c r="AT810" t="e">
        <v>#DIV/0!</v>
      </c>
      <c r="AU810" t="e">
        <v>#DIV/0!</v>
      </c>
      <c r="AV810"/>
      <c r="AW810"/>
      <c r="FY810" s="211">
        <v>805</v>
      </c>
      <c r="FZ810">
        <v>1.0080044817927161</v>
      </c>
      <c r="GA810">
        <v>0.47460065171768845</v>
      </c>
      <c r="GB810">
        <v>0.14202990935487192</v>
      </c>
      <c r="GC810">
        <v>0.11377737556984255</v>
      </c>
      <c r="GD810">
        <v>2.6724553773673727E-2</v>
      </c>
      <c r="GE810">
        <v>0</v>
      </c>
      <c r="GF810">
        <v>0.33021050058332063</v>
      </c>
      <c r="GG810">
        <v>0.29759236750664797</v>
      </c>
      <c r="GH810">
        <v>0</v>
      </c>
      <c r="GI810">
        <v>0.26364178379093545</v>
      </c>
      <c r="GJ810"/>
      <c r="GK810">
        <v>1.0135541919980691</v>
      </c>
      <c r="GL810">
        <v>0.40705572478708768</v>
      </c>
      <c r="GM810">
        <v>0.23585576644039991</v>
      </c>
      <c r="GN810">
        <v>0.34079383167279126</v>
      </c>
      <c r="GO810">
        <v>0.10493806523239137</v>
      </c>
      <c r="GP810">
        <v>0</v>
      </c>
      <c r="GQ810">
        <v>0.45369793096285549</v>
      </c>
      <c r="GR810">
        <v>0.45369793096285549</v>
      </c>
      <c r="GS810">
        <v>0</v>
      </c>
      <c r="GT810">
        <v>0.36160919092674321</v>
      </c>
      <c r="GU810"/>
      <c r="GV810"/>
      <c r="GW810"/>
      <c r="GX810"/>
      <c r="GY810"/>
      <c r="GZ810"/>
      <c r="HA810"/>
      <c r="HB810"/>
      <c r="HC810"/>
    </row>
    <row r="811" spans="1:211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4.2947916666666668</v>
      </c>
      <c r="AO811">
        <v>0.5934008729944249</v>
      </c>
      <c r="AP811">
        <v>23.863664456459549</v>
      </c>
      <c r="AQ811">
        <v>4.5803785579258758</v>
      </c>
      <c r="AR811">
        <v>0.63751089676596751</v>
      </c>
      <c r="AS811">
        <v>3.079633648344879</v>
      </c>
      <c r="AT811" t="e">
        <v>#DIV/0!</v>
      </c>
      <c r="AU811" t="e">
        <v>#DIV/0!</v>
      </c>
      <c r="AV811"/>
      <c r="AW811"/>
      <c r="FY811" s="211">
        <v>806</v>
      </c>
      <c r="FZ811">
        <v>0.74640190157821618</v>
      </c>
      <c r="GA811">
        <v>8.725047411847664E-2</v>
      </c>
      <c r="GB811">
        <v>0.12565184548559416</v>
      </c>
      <c r="GC811">
        <v>6.9638549917922385E-2</v>
      </c>
      <c r="GD811">
        <v>0</v>
      </c>
      <c r="GE811">
        <v>0</v>
      </c>
      <c r="GF811">
        <v>0.33021050058332063</v>
      </c>
      <c r="GG811">
        <v>0.29759236750664797</v>
      </c>
      <c r="GH811">
        <v>0</v>
      </c>
      <c r="GI811">
        <v>0.20559279418735849</v>
      </c>
      <c r="GJ811"/>
      <c r="GK811">
        <v>0.74749875501443752</v>
      </c>
      <c r="GL811">
        <v>7.3740509229249462E-2</v>
      </c>
      <c r="GM811">
        <v>0.20987613046478273</v>
      </c>
      <c r="GN811">
        <v>0.20987613046478273</v>
      </c>
      <c r="GO811">
        <v>0</v>
      </c>
      <c r="GP811">
        <v>0</v>
      </c>
      <c r="GQ811">
        <v>0.45369793096285549</v>
      </c>
      <c r="GR811">
        <v>0.45369793096285549</v>
      </c>
      <c r="GS811">
        <v>0</v>
      </c>
      <c r="GT811">
        <v>0.28221456328841515</v>
      </c>
      <c r="GU811"/>
      <c r="GV811"/>
      <c r="GW811"/>
      <c r="GX811"/>
      <c r="GY811"/>
      <c r="GZ811"/>
      <c r="HA811"/>
      <c r="HB811"/>
      <c r="HC811"/>
    </row>
    <row r="812" spans="1:211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2.3906249999999991</v>
      </c>
      <c r="AO812">
        <v>0.2988690481853794</v>
      </c>
      <c r="AP812">
        <v>10.548600490400631</v>
      </c>
      <c r="AQ812">
        <v>2.1355654457833251</v>
      </c>
      <c r="AR812">
        <v>0.32362993925454281</v>
      </c>
      <c r="AS812">
        <v>1.7356646118606174</v>
      </c>
      <c r="AT812" t="e">
        <v>#DIV/0!</v>
      </c>
      <c r="AU812" t="e">
        <v>#DIV/0!</v>
      </c>
      <c r="AV812"/>
      <c r="AW812"/>
      <c r="FY812" s="211">
        <v>807</v>
      </c>
      <c r="FZ812">
        <v>0.69269867728614298</v>
      </c>
      <c r="GA812">
        <v>0.38735017759921181</v>
      </c>
      <c r="GB812">
        <v>0</v>
      </c>
      <c r="GC812">
        <v>0</v>
      </c>
      <c r="GD812">
        <v>0</v>
      </c>
      <c r="GE812">
        <v>0</v>
      </c>
      <c r="GF812">
        <v>0.33021050058332063</v>
      </c>
      <c r="GG812">
        <v>0.29759236750664797</v>
      </c>
      <c r="GH812">
        <v>0</v>
      </c>
      <c r="GI812">
        <v>0.16656103518868873</v>
      </c>
      <c r="GJ812"/>
      <c r="GK812">
        <v>0.69909798827167258</v>
      </c>
      <c r="GL812">
        <v>0.33331521555783822</v>
      </c>
      <c r="GM812">
        <v>0</v>
      </c>
      <c r="GN812">
        <v>0</v>
      </c>
      <c r="GO812">
        <v>0</v>
      </c>
      <c r="GP812">
        <v>0</v>
      </c>
      <c r="GQ812">
        <v>0.45369793096285549</v>
      </c>
      <c r="GR812">
        <v>0.45369793096285549</v>
      </c>
      <c r="GS812">
        <v>0</v>
      </c>
      <c r="GT812">
        <v>0.2305591838469056</v>
      </c>
      <c r="GU812"/>
      <c r="GV812"/>
      <c r="GW812"/>
      <c r="GX812"/>
      <c r="GY812"/>
      <c r="GZ812"/>
      <c r="HA812"/>
      <c r="HB812"/>
      <c r="HC812"/>
    </row>
    <row r="813" spans="1:211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3.0885416666666656</v>
      </c>
      <c r="AO813">
        <v>0.26915412095067859</v>
      </c>
      <c r="AP813">
        <v>8.4990202034935329</v>
      </c>
      <c r="AQ813">
        <v>1.9266917609246066</v>
      </c>
      <c r="AR813">
        <v>0.2915947380687734</v>
      </c>
      <c r="AS813">
        <v>1.7155527490434475</v>
      </c>
      <c r="AT813" t="e">
        <v>#DIV/0!</v>
      </c>
      <c r="AU813" t="e">
        <v>#DIV/0!</v>
      </c>
      <c r="AV813"/>
      <c r="AW813"/>
      <c r="FY813" s="211">
        <v>808</v>
      </c>
      <c r="FZ813">
        <v>1.130435962689428</v>
      </c>
      <c r="GA813">
        <v>0.56185112583616514</v>
      </c>
      <c r="GB813">
        <v>0.23761195983622446</v>
      </c>
      <c r="GC813">
        <v>0.13241647695576048</v>
      </c>
      <c r="GD813">
        <v>0</v>
      </c>
      <c r="GE813">
        <v>0</v>
      </c>
      <c r="GF813">
        <v>0.99063150174996206</v>
      </c>
      <c r="GG813">
        <v>0.89277710251994391</v>
      </c>
      <c r="GH813">
        <v>0</v>
      </c>
      <c r="GI813">
        <v>0.41774241475141383</v>
      </c>
      <c r="GJ813"/>
      <c r="GK813">
        <v>1.1389567734055046</v>
      </c>
      <c r="GL813">
        <v>0.48079623401633714</v>
      </c>
      <c r="GM813">
        <v>0.39275310362402555</v>
      </c>
      <c r="GN813">
        <v>0.39275310362402555</v>
      </c>
      <c r="GO813">
        <v>0</v>
      </c>
      <c r="GP813">
        <v>0</v>
      </c>
      <c r="GQ813">
        <v>1.3610937928885667</v>
      </c>
      <c r="GR813">
        <v>1.3610937928885667</v>
      </c>
      <c r="GS813">
        <v>0</v>
      </c>
      <c r="GT813">
        <v>0.5785607339836194</v>
      </c>
      <c r="GU813"/>
      <c r="GV813"/>
      <c r="GW813"/>
      <c r="GX813"/>
      <c r="GY813"/>
      <c r="GZ813"/>
      <c r="HA813"/>
      <c r="HB813"/>
      <c r="HC813"/>
    </row>
    <row r="814" spans="1:211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2.583333333333333</v>
      </c>
      <c r="AO814">
        <v>0.24717537336208353</v>
      </c>
      <c r="AP814">
        <v>9.5802468020209499</v>
      </c>
      <c r="AQ814">
        <v>1.8707719605227353</v>
      </c>
      <c r="AR814">
        <v>0.26812323029724394</v>
      </c>
      <c r="AS814">
        <v>1.6104846436189326</v>
      </c>
      <c r="AT814" t="e">
        <v>#DIV/0!</v>
      </c>
      <c r="AU814" t="e">
        <v>#DIV/0!</v>
      </c>
      <c r="AV814"/>
      <c r="AW814"/>
      <c r="FY814" s="211">
        <v>809</v>
      </c>
      <c r="FZ814">
        <v>0.77099848906428081</v>
      </c>
      <c r="GA814">
        <v>0.38735017759921181</v>
      </c>
      <c r="GB814">
        <v>7.9203986612074825E-2</v>
      </c>
      <c r="GC814">
        <v>7.8958100610881349E-2</v>
      </c>
      <c r="GD814">
        <v>2.6724553773673727E-2</v>
      </c>
      <c r="GE814">
        <v>0</v>
      </c>
      <c r="GF814">
        <v>0.33021050058332063</v>
      </c>
      <c r="GG814">
        <v>0.29759236750664797</v>
      </c>
      <c r="GH814">
        <v>0</v>
      </c>
      <c r="GI814">
        <v>0.21310983384701621</v>
      </c>
      <c r="GJ814"/>
      <c r="GK814">
        <v>0.77465088836963703</v>
      </c>
      <c r="GL814">
        <v>0.33331521555783822</v>
      </c>
      <c r="GM814">
        <v>0.13091770120800852</v>
      </c>
      <c r="GN814">
        <v>0.23585576644039991</v>
      </c>
      <c r="GO814">
        <v>0.10493806523239137</v>
      </c>
      <c r="GP814">
        <v>0</v>
      </c>
      <c r="GQ814">
        <v>0.45369793096285549</v>
      </c>
      <c r="GR814">
        <v>0.45369793096285549</v>
      </c>
      <c r="GS814">
        <v>0</v>
      </c>
      <c r="GT814">
        <v>0.2928409171545785</v>
      </c>
      <c r="GU814"/>
      <c r="GV814"/>
      <c r="GW814"/>
      <c r="GX814"/>
      <c r="GY814"/>
      <c r="GZ814"/>
      <c r="HA814"/>
      <c r="HB814"/>
      <c r="HC814"/>
    </row>
    <row r="815" spans="1:211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2.5364583333333335</v>
      </c>
      <c r="AO815">
        <v>0.36732369889588201</v>
      </c>
      <c r="AP815">
        <v>15.600268312895778</v>
      </c>
      <c r="AQ815">
        <v>2.6190275369279372</v>
      </c>
      <c r="AR815">
        <v>0.3918844643551781</v>
      </c>
      <c r="AS815">
        <v>2.1284123053481592</v>
      </c>
      <c r="AT815" t="e">
        <v>#DIV/0!</v>
      </c>
      <c r="AU815" t="e">
        <v>#DIV/0!</v>
      </c>
      <c r="AV815"/>
      <c r="AW815"/>
      <c r="FY815" s="211">
        <v>810</v>
      </c>
      <c r="FZ815">
        <v>0.77605273038133338</v>
      </c>
      <c r="GA815">
        <v>8.725047411847664E-2</v>
      </c>
      <c r="GB815">
        <v>6.282592274279708E-2</v>
      </c>
      <c r="GC815">
        <v>0.10445782487688358</v>
      </c>
      <c r="GD815">
        <v>5.3449107547347455E-2</v>
      </c>
      <c r="GE815">
        <v>0</v>
      </c>
      <c r="GF815">
        <v>0.33021050058332063</v>
      </c>
      <c r="GG815">
        <v>0.29759236750664797</v>
      </c>
      <c r="GH815">
        <v>0</v>
      </c>
      <c r="GI815">
        <v>0.22536336540178922</v>
      </c>
      <c r="GJ815"/>
      <c r="GK815">
        <v>0.77992038121040108</v>
      </c>
      <c r="GL815">
        <v>7.3740509229249462E-2</v>
      </c>
      <c r="GM815">
        <v>0.10493806523239137</v>
      </c>
      <c r="GN815">
        <v>0.31481419569717412</v>
      </c>
      <c r="GO815">
        <v>0.20987613046478273</v>
      </c>
      <c r="GP815">
        <v>0</v>
      </c>
      <c r="GQ815">
        <v>0.45369793096285549</v>
      </c>
      <c r="GR815">
        <v>0.45369793096285549</v>
      </c>
      <c r="GS815">
        <v>0</v>
      </c>
      <c r="GT815">
        <v>0.30968650157408611</v>
      </c>
      <c r="GU815"/>
      <c r="GV815"/>
      <c r="GW815"/>
      <c r="GX815"/>
      <c r="GY815"/>
      <c r="GZ815"/>
      <c r="HA815"/>
      <c r="HB815"/>
      <c r="HC815"/>
    </row>
    <row r="816" spans="1:211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2.0083333333333337</v>
      </c>
      <c r="AO816">
        <v>0.37700435545059274</v>
      </c>
      <c r="AP816">
        <v>14.744085635216695</v>
      </c>
      <c r="AQ816">
        <v>3.0347814496804055</v>
      </c>
      <c r="AR816">
        <v>0.37948556555524793</v>
      </c>
      <c r="AS816">
        <v>1.9151814408239409</v>
      </c>
      <c r="AT816" t="e">
        <v>#DIV/0!</v>
      </c>
      <c r="AU816" t="e">
        <v>#DIV/0!</v>
      </c>
      <c r="AV816"/>
      <c r="AW816"/>
      <c r="FY816" s="211">
        <v>811</v>
      </c>
      <c r="FZ816">
        <v>1.0798587409245046</v>
      </c>
      <c r="GA816">
        <v>0.47460065171768845</v>
      </c>
      <c r="GB816">
        <v>0.26768175484046608</v>
      </c>
      <c r="GC816">
        <v>0.25305447540568737</v>
      </c>
      <c r="GD816">
        <v>8.0173661321021189E-2</v>
      </c>
      <c r="GE816">
        <v>0</v>
      </c>
      <c r="GF816">
        <v>0</v>
      </c>
      <c r="GG816">
        <v>0</v>
      </c>
      <c r="GH816">
        <v>0</v>
      </c>
      <c r="GI816">
        <v>0.27213062484421802</v>
      </c>
      <c r="GJ816"/>
      <c r="GK816">
        <v>1.082626361440991</v>
      </c>
      <c r="GL816">
        <v>0.40705572478708768</v>
      </c>
      <c r="GM816">
        <v>0.44573189690518267</v>
      </c>
      <c r="GN816">
        <v>0.76054609260235684</v>
      </c>
      <c r="GO816">
        <v>0.31481419569717417</v>
      </c>
      <c r="GP816">
        <v>0</v>
      </c>
      <c r="GQ816">
        <v>0</v>
      </c>
      <c r="GR816">
        <v>0</v>
      </c>
      <c r="GS816">
        <v>0</v>
      </c>
      <c r="GT816">
        <v>0.36863449080866961</v>
      </c>
      <c r="GU816"/>
      <c r="GV816"/>
      <c r="GW816"/>
      <c r="GX816"/>
      <c r="GY816"/>
      <c r="GZ816"/>
      <c r="HA816"/>
      <c r="HB816"/>
      <c r="HC816"/>
    </row>
    <row r="817" spans="1:211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1.7635416666666668</v>
      </c>
      <c r="AO817">
        <v>0.35133760103932621</v>
      </c>
      <c r="AP817">
        <v>9.3069374888483782</v>
      </c>
      <c r="AQ817">
        <v>2.5921308577209388</v>
      </c>
      <c r="AR817">
        <v>0.38010516116123105</v>
      </c>
      <c r="AS817">
        <v>1.8002524439030365</v>
      </c>
      <c r="AT817" t="e">
        <v>#DIV/0!</v>
      </c>
      <c r="AU817" t="e">
        <v>#DIV/0!</v>
      </c>
      <c r="AV817"/>
      <c r="AW817"/>
      <c r="FY817" s="211">
        <v>812</v>
      </c>
      <c r="FZ817">
        <v>0.83898691798651848</v>
      </c>
      <c r="GA817">
        <v>0</v>
      </c>
      <c r="GB817">
        <v>0.18847776822839127</v>
      </c>
      <c r="GC817">
        <v>0.174096374794806</v>
      </c>
      <c r="GD817">
        <v>5.3449107547347455E-2</v>
      </c>
      <c r="GE817">
        <v>0</v>
      </c>
      <c r="GF817">
        <v>0</v>
      </c>
      <c r="GG817">
        <v>0</v>
      </c>
      <c r="GH817">
        <v>0</v>
      </c>
      <c r="GI817">
        <v>0.20161307906772277</v>
      </c>
      <c r="GJ817"/>
      <c r="GK817">
        <v>0.84014420703516124</v>
      </c>
      <c r="GL817">
        <v>0</v>
      </c>
      <c r="GM817">
        <v>0.31481419569717417</v>
      </c>
      <c r="GN817">
        <v>0.52469032616195688</v>
      </c>
      <c r="GO817">
        <v>0.20987613046478273</v>
      </c>
      <c r="GP817">
        <v>0</v>
      </c>
      <c r="GQ817">
        <v>0</v>
      </c>
      <c r="GR817">
        <v>0</v>
      </c>
      <c r="GS817">
        <v>0</v>
      </c>
      <c r="GT817">
        <v>0.27296690663942358</v>
      </c>
      <c r="GU817"/>
      <c r="GV817"/>
      <c r="GW817"/>
      <c r="GX817"/>
      <c r="GY817"/>
      <c r="GZ817"/>
      <c r="HA817"/>
      <c r="HB817"/>
      <c r="HC817"/>
    </row>
    <row r="818" spans="1:211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1.6145833333333333</v>
      </c>
      <c r="AO818">
        <v>0.15203629929433313</v>
      </c>
      <c r="AP818">
        <v>4.5362766938383734</v>
      </c>
      <c r="AQ818">
        <v>0.93786867569612953</v>
      </c>
      <c r="AR818">
        <v>0.17477524334375527</v>
      </c>
      <c r="AS818">
        <v>1.3693626641562109</v>
      </c>
      <c r="AT818" t="e">
        <v>#DIV/0!</v>
      </c>
      <c r="AU818" t="e">
        <v>#DIV/0!</v>
      </c>
      <c r="AV818"/>
      <c r="AW818"/>
      <c r="FY818" s="211">
        <v>813</v>
      </c>
      <c r="FZ818">
        <v>0.65387599444063071</v>
      </c>
      <c r="GA818">
        <v>0</v>
      </c>
      <c r="GB818">
        <v>0.15840797322414965</v>
      </c>
      <c r="GC818">
        <v>8.8277651303840327E-2</v>
      </c>
      <c r="GD818">
        <v>0</v>
      </c>
      <c r="GE818">
        <v>0</v>
      </c>
      <c r="GF818">
        <v>0.99063150174996206</v>
      </c>
      <c r="GG818">
        <v>0.89277710251994391</v>
      </c>
      <c r="GH818">
        <v>0</v>
      </c>
      <c r="GI818">
        <v>0.32782460601234037</v>
      </c>
      <c r="GJ818"/>
      <c r="GK818">
        <v>0.65816053938916741</v>
      </c>
      <c r="GL818">
        <v>0</v>
      </c>
      <c r="GM818">
        <v>0.26183540241601705</v>
      </c>
      <c r="GN818">
        <v>0.26183540241601705</v>
      </c>
      <c r="GO818">
        <v>0</v>
      </c>
      <c r="GP818">
        <v>0</v>
      </c>
      <c r="GQ818">
        <v>1.3610937928885667</v>
      </c>
      <c r="GR818">
        <v>1.3610937928885667</v>
      </c>
      <c r="GS818">
        <v>0</v>
      </c>
      <c r="GT818">
        <v>0.45621794693875023</v>
      </c>
      <c r="GU818"/>
      <c r="GV818"/>
      <c r="GW818"/>
      <c r="GX818"/>
      <c r="GY818"/>
      <c r="GZ818"/>
      <c r="HA818"/>
      <c r="HB818"/>
      <c r="HC818"/>
    </row>
    <row r="819" spans="1:211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2.6364583333333327</v>
      </c>
      <c r="AO819">
        <v>0.25517104596095108</v>
      </c>
      <c r="AP819">
        <v>4.3781750653690654</v>
      </c>
      <c r="AQ819">
        <v>2.4368395496616899</v>
      </c>
      <c r="AR819">
        <v>0.29236038788097091</v>
      </c>
      <c r="AS819">
        <v>1.8889353237837876</v>
      </c>
      <c r="AT819" t="e">
        <v>#DIV/0!</v>
      </c>
      <c r="AU819" t="e">
        <v>#DIV/0!</v>
      </c>
      <c r="AV819"/>
      <c r="AW819"/>
      <c r="FY819" s="211">
        <v>814</v>
      </c>
      <c r="FZ819">
        <v>1.1921715122103906</v>
      </c>
      <c r="GA819">
        <v>0.47460065171768845</v>
      </c>
      <c r="GB819">
        <v>6.282592274279708E-2</v>
      </c>
      <c r="GC819">
        <v>0.13927709983584477</v>
      </c>
      <c r="GD819">
        <v>8.0173661321021189E-2</v>
      </c>
      <c r="GE819">
        <v>0</v>
      </c>
      <c r="GF819">
        <v>0.66042100116664126</v>
      </c>
      <c r="GG819">
        <v>0.59518473501329594</v>
      </c>
      <c r="GH819">
        <v>0</v>
      </c>
      <c r="GI819">
        <v>0.3666249163199814</v>
      </c>
      <c r="GJ819"/>
      <c r="GK819">
        <v>1.1943296040889122</v>
      </c>
      <c r="GL819">
        <v>0.40705572478708768</v>
      </c>
      <c r="GM819">
        <v>0.10493806523239137</v>
      </c>
      <c r="GN819">
        <v>0.41975226092956547</v>
      </c>
      <c r="GO819">
        <v>0.31481419569717417</v>
      </c>
      <c r="GP819">
        <v>0</v>
      </c>
      <c r="GQ819">
        <v>0.90739586192571098</v>
      </c>
      <c r="GR819">
        <v>0.90739586192571098</v>
      </c>
      <c r="GS819">
        <v>0</v>
      </c>
      <c r="GT819">
        <v>0.50429554538883781</v>
      </c>
      <c r="GU819"/>
      <c r="GV819"/>
      <c r="GW819"/>
      <c r="GX819"/>
      <c r="GY819"/>
      <c r="GZ819"/>
      <c r="HA819"/>
      <c r="HB819"/>
      <c r="HC819"/>
    </row>
    <row r="820" spans="1:211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1.9145833333333333</v>
      </c>
      <c r="AO820">
        <v>0.19756051626877597</v>
      </c>
      <c r="AP820">
        <v>2.595951619249929</v>
      </c>
      <c r="AQ820">
        <v>1.7167405748089051</v>
      </c>
      <c r="AR820">
        <v>0.22644555123931487</v>
      </c>
      <c r="AS820">
        <v>1.263802597187077</v>
      </c>
      <c r="AT820" t="e">
        <v>#DIV/0!</v>
      </c>
      <c r="AU820" t="e">
        <v>#DIV/0!</v>
      </c>
      <c r="AV820"/>
      <c r="AW820"/>
      <c r="FY820" s="211">
        <v>815</v>
      </c>
      <c r="FZ820">
        <v>2.0203037296908759</v>
      </c>
      <c r="GA820">
        <v>1.5494007103968472</v>
      </c>
      <c r="GB820">
        <v>0.22123389596694673</v>
      </c>
      <c r="GC820">
        <v>0.1927354761807239</v>
      </c>
      <c r="GD820">
        <v>5.3449107547347455E-2</v>
      </c>
      <c r="GE820">
        <v>0</v>
      </c>
      <c r="GF820">
        <v>0</v>
      </c>
      <c r="GG820">
        <v>0</v>
      </c>
      <c r="GH820">
        <v>0</v>
      </c>
      <c r="GI820">
        <v>0.3840842902629088</v>
      </c>
      <c r="GJ820"/>
      <c r="GK820">
        <v>2.0392210153088488</v>
      </c>
      <c r="GL820">
        <v>1.3332608622313529</v>
      </c>
      <c r="GM820">
        <v>0.3667734676484084</v>
      </c>
      <c r="GN820">
        <v>0.57664959811319116</v>
      </c>
      <c r="GO820">
        <v>0.20987613046478273</v>
      </c>
      <c r="GP820">
        <v>0</v>
      </c>
      <c r="GQ820">
        <v>0</v>
      </c>
      <c r="GR820">
        <v>0</v>
      </c>
      <c r="GS820">
        <v>0</v>
      </c>
      <c r="GT820">
        <v>0.52317412268440799</v>
      </c>
      <c r="GU820"/>
      <c r="GV820"/>
      <c r="GW820"/>
      <c r="GX820"/>
      <c r="GY820"/>
      <c r="GZ820"/>
      <c r="HA820"/>
      <c r="HB820"/>
      <c r="HC820"/>
    </row>
    <row r="821" spans="1:211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2.6281249999999998</v>
      </c>
      <c r="AO821">
        <v>0.33712026329831934</v>
      </c>
      <c r="AP821">
        <v>10.637802434689874</v>
      </c>
      <c r="AQ821">
        <v>2.6565816240896969</v>
      </c>
      <c r="AR821">
        <v>0.36160919092674315</v>
      </c>
      <c r="AS821">
        <v>2.1621983276642927</v>
      </c>
      <c r="AT821" t="e">
        <v>#DIV/0!</v>
      </c>
      <c r="AU821" t="e">
        <v>#DIV/0!</v>
      </c>
      <c r="AV821"/>
      <c r="AW821"/>
      <c r="FY821" s="211">
        <v>816</v>
      </c>
      <c r="FZ821">
        <v>1.4009586144305315</v>
      </c>
      <c r="GA821">
        <v>0.86195082931690026</v>
      </c>
      <c r="GB821">
        <v>7.9203986612074825E-2</v>
      </c>
      <c r="GC821">
        <v>0.14859665052880378</v>
      </c>
      <c r="GD821">
        <v>8.0173661321021189E-2</v>
      </c>
      <c r="GE821">
        <v>0</v>
      </c>
      <c r="GF821">
        <v>0.33021050058332063</v>
      </c>
      <c r="GG821">
        <v>0.29759236750664797</v>
      </c>
      <c r="GH821">
        <v>0</v>
      </c>
      <c r="GI821">
        <v>0.33712820893239331</v>
      </c>
      <c r="GJ821"/>
      <c r="GK821">
        <v>1.4138605540072979</v>
      </c>
      <c r="GL821">
        <v>0.7403709403449259</v>
      </c>
      <c r="GM821">
        <v>0.13091770120800852</v>
      </c>
      <c r="GN821">
        <v>0.44573189690518267</v>
      </c>
      <c r="GO821">
        <v>0.31481419569717417</v>
      </c>
      <c r="GP821">
        <v>0</v>
      </c>
      <c r="GQ821">
        <v>0.45369793096285549</v>
      </c>
      <c r="GR821">
        <v>0.45369793096285549</v>
      </c>
      <c r="GS821">
        <v>0</v>
      </c>
      <c r="GT821">
        <v>0.46265807637506723</v>
      </c>
      <c r="GU821"/>
      <c r="GV821"/>
      <c r="GW821"/>
      <c r="GX821"/>
      <c r="GY821"/>
      <c r="GZ821"/>
      <c r="HA821"/>
      <c r="HB821"/>
      <c r="HC821"/>
    </row>
    <row r="822" spans="1:211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2.5104166666666665</v>
      </c>
      <c r="AO822">
        <v>0.24306019503873783</v>
      </c>
      <c r="AP822">
        <v>9.1638394880207095</v>
      </c>
      <c r="AQ822">
        <v>1.8623384333775366</v>
      </c>
      <c r="AR822">
        <v>0.28221456328841515</v>
      </c>
      <c r="AS822">
        <v>1.6329011174183699</v>
      </c>
      <c r="AT822" t="e">
        <v>#DIV/0!</v>
      </c>
      <c r="AU822" t="e">
        <v>#DIV/0!</v>
      </c>
      <c r="AV822"/>
      <c r="AW822"/>
      <c r="FY822" s="211">
        <v>817</v>
      </c>
      <c r="FZ822">
        <v>0.82906401849303402</v>
      </c>
      <c r="GA822">
        <v>0.34900189647390656</v>
      </c>
      <c r="GB822">
        <v>0.14202990935487192</v>
      </c>
      <c r="GC822">
        <v>7.8958100610881349E-2</v>
      </c>
      <c r="GD822">
        <v>0</v>
      </c>
      <c r="GE822">
        <v>0</v>
      </c>
      <c r="GF822">
        <v>0.33021050058332063</v>
      </c>
      <c r="GG822">
        <v>0.29759236750664797</v>
      </c>
      <c r="GH822">
        <v>0</v>
      </c>
      <c r="GI822">
        <v>0.22186092239461239</v>
      </c>
      <c r="GJ822"/>
      <c r="GK822">
        <v>0.82783577918582252</v>
      </c>
      <c r="GL822">
        <v>0.29496203691699785</v>
      </c>
      <c r="GM822">
        <v>0.23585576644039991</v>
      </c>
      <c r="GN822">
        <v>0.23585576644039991</v>
      </c>
      <c r="GO822">
        <v>0</v>
      </c>
      <c r="GP822">
        <v>0</v>
      </c>
      <c r="GQ822">
        <v>0.45369793096285549</v>
      </c>
      <c r="GR822">
        <v>0.45369793096285549</v>
      </c>
      <c r="GS822">
        <v>0</v>
      </c>
      <c r="GT822">
        <v>0.3034778953178156</v>
      </c>
      <c r="GU822"/>
      <c r="GV822"/>
      <c r="GW822"/>
      <c r="GX822"/>
      <c r="GY822"/>
      <c r="GZ822"/>
      <c r="HA822"/>
      <c r="HB822"/>
      <c r="HC822"/>
    </row>
    <row r="823" spans="1:211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0.82083333333333319</v>
      </c>
      <c r="AO823">
        <v>0.21703682496021273</v>
      </c>
      <c r="AP823">
        <v>7.1832899998370205</v>
      </c>
      <c r="AQ823">
        <v>1.8744127581640122</v>
      </c>
      <c r="AR823">
        <v>0.2305591838469056</v>
      </c>
      <c r="AS823">
        <v>0.98558232014711677</v>
      </c>
      <c r="AT823" t="e">
        <v>#DIV/0!</v>
      </c>
      <c r="AU823" t="e">
        <v>#DIV/0!</v>
      </c>
      <c r="AV823"/>
      <c r="AW823"/>
      <c r="FY823" s="211">
        <v>818</v>
      </c>
      <c r="FZ823">
        <v>1.6150873654378315</v>
      </c>
      <c r="GA823">
        <v>1.2493010069161121</v>
      </c>
      <c r="GB823">
        <v>0.14202990935487192</v>
      </c>
      <c r="GC823">
        <v>7.8958100610881349E-2</v>
      </c>
      <c r="GD823">
        <v>0</v>
      </c>
      <c r="GE823">
        <v>0</v>
      </c>
      <c r="GF823">
        <v>0</v>
      </c>
      <c r="GG823">
        <v>0</v>
      </c>
      <c r="GH823">
        <v>0</v>
      </c>
      <c r="GI823">
        <v>0.27381889222287692</v>
      </c>
      <c r="GJ823"/>
      <c r="GK823">
        <v>1.6300323077579377</v>
      </c>
      <c r="GL823">
        <v>1.073686155902764</v>
      </c>
      <c r="GM823">
        <v>0.23585576644039991</v>
      </c>
      <c r="GN823">
        <v>0.23585576644039991</v>
      </c>
      <c r="GO823">
        <v>0</v>
      </c>
      <c r="GP823">
        <v>0</v>
      </c>
      <c r="GQ823">
        <v>0</v>
      </c>
      <c r="GR823">
        <v>0</v>
      </c>
      <c r="GS823">
        <v>0</v>
      </c>
      <c r="GT823">
        <v>0.37317761483966749</v>
      </c>
      <c r="GU823"/>
      <c r="GV823"/>
      <c r="GW823"/>
      <c r="GX823"/>
      <c r="GY823"/>
      <c r="GZ823"/>
      <c r="HA823"/>
      <c r="HB823"/>
      <c r="HC823"/>
    </row>
    <row r="824" spans="1:211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2.7427083333333333</v>
      </c>
      <c r="AO824">
        <v>0.5706007534430646</v>
      </c>
      <c r="AP824">
        <v>23.78625744720452</v>
      </c>
      <c r="AQ824">
        <v>4.3634665443388982</v>
      </c>
      <c r="AR824">
        <v>0.5785607339836194</v>
      </c>
      <c r="AS824">
        <v>2.7883345148592116</v>
      </c>
      <c r="AT824" t="e">
        <v>#DIV/0!</v>
      </c>
      <c r="AU824" t="e">
        <v>#DIV/0!</v>
      </c>
      <c r="AV824"/>
      <c r="AW824"/>
      <c r="FY824" s="211">
        <v>819</v>
      </c>
      <c r="FZ824">
        <v>1.1184296412542256</v>
      </c>
      <c r="GA824">
        <v>0.47460065171768845</v>
      </c>
      <c r="GB824">
        <v>0.22123389596694673</v>
      </c>
      <c r="GC824">
        <v>0.12309692626280153</v>
      </c>
      <c r="GD824">
        <v>0</v>
      </c>
      <c r="GE824">
        <v>0</v>
      </c>
      <c r="GF824">
        <v>0.66042100116664126</v>
      </c>
      <c r="GG824">
        <v>0.59518473501329594</v>
      </c>
      <c r="GH824">
        <v>0</v>
      </c>
      <c r="GI824">
        <v>0.34803260075882086</v>
      </c>
      <c r="GJ824"/>
      <c r="GK824">
        <v>1.1238963312551162</v>
      </c>
      <c r="GL824">
        <v>0.40705572478708768</v>
      </c>
      <c r="GM824">
        <v>0.3667734676484084</v>
      </c>
      <c r="GN824">
        <v>0.3667734676484084</v>
      </c>
      <c r="GO824">
        <v>0</v>
      </c>
      <c r="GP824">
        <v>0</v>
      </c>
      <c r="GQ824">
        <v>0.90739586192571098</v>
      </c>
      <c r="GR824">
        <v>0.90739586192571098</v>
      </c>
      <c r="GS824">
        <v>0</v>
      </c>
      <c r="GT824">
        <v>0.47961313216584711</v>
      </c>
      <c r="GU824"/>
      <c r="GV824"/>
      <c r="GW824"/>
      <c r="GX824"/>
      <c r="GY824"/>
      <c r="GZ824"/>
      <c r="HA824"/>
      <c r="HB824"/>
      <c r="HC824"/>
    </row>
    <row r="825" spans="1:211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1.784375</v>
      </c>
      <c r="AO825">
        <v>0.27799144158885647</v>
      </c>
      <c r="AP825">
        <v>9.3993214745989295</v>
      </c>
      <c r="AQ825">
        <v>2.1841480095971071</v>
      </c>
      <c r="AR825">
        <v>0.2928409171545785</v>
      </c>
      <c r="AS825">
        <v>1.621261007488267</v>
      </c>
      <c r="AT825" t="e">
        <v>#DIV/0!</v>
      </c>
      <c r="AU825" t="e">
        <v>#DIV/0!</v>
      </c>
      <c r="AV825"/>
      <c r="AW825"/>
      <c r="FY825" s="211">
        <v>820</v>
      </c>
      <c r="FZ825">
        <v>1.0059212342830466</v>
      </c>
      <c r="GA825">
        <v>0.56185112583616514</v>
      </c>
      <c r="GB825">
        <v>0.204855832097669</v>
      </c>
      <c r="GC825">
        <v>0.11377737556984255</v>
      </c>
      <c r="GD825">
        <v>0</v>
      </c>
      <c r="GE825">
        <v>0</v>
      </c>
      <c r="GF825">
        <v>0.33021050058332063</v>
      </c>
      <c r="GG825">
        <v>0.29759236750664797</v>
      </c>
      <c r="GH825">
        <v>0</v>
      </c>
      <c r="GI825">
        <v>0.26332156527564599</v>
      </c>
      <c r="GJ825"/>
      <c r="GK825">
        <v>1.0118575854164467</v>
      </c>
      <c r="GL825">
        <v>0.48079623401633714</v>
      </c>
      <c r="GM825">
        <v>0.34079383167279126</v>
      </c>
      <c r="GN825">
        <v>0.34079383167279126</v>
      </c>
      <c r="GO825">
        <v>0</v>
      </c>
      <c r="GP825">
        <v>0</v>
      </c>
      <c r="GQ825">
        <v>0.45369793096285549</v>
      </c>
      <c r="GR825">
        <v>0.45369793096285549</v>
      </c>
      <c r="GS825">
        <v>0</v>
      </c>
      <c r="GT825">
        <v>0.36126986961041868</v>
      </c>
      <c r="GU825"/>
      <c r="GV825"/>
      <c r="GW825"/>
      <c r="GX825"/>
      <c r="GY825"/>
      <c r="GZ825"/>
      <c r="HA825"/>
      <c r="HB825"/>
      <c r="HC825"/>
    </row>
    <row r="826" spans="1:211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2.0624999999999996</v>
      </c>
      <c r="AO826">
        <v>0.27003716453337956</v>
      </c>
      <c r="AP826">
        <v>7.5951943187645323</v>
      </c>
      <c r="AQ826">
        <v>1.9372022931585959</v>
      </c>
      <c r="AR826">
        <v>0.30968650157408617</v>
      </c>
      <c r="AS826">
        <v>1.6794730856979956</v>
      </c>
      <c r="AT826" t="e">
        <v>#DIV/0!</v>
      </c>
      <c r="AU826" t="e">
        <v>#DIV/0!</v>
      </c>
      <c r="AV826"/>
      <c r="AW826"/>
      <c r="FY826" s="211">
        <v>821</v>
      </c>
      <c r="FZ826">
        <v>1.066124818395902</v>
      </c>
      <c r="GA826">
        <v>0.47460065171768845</v>
      </c>
      <c r="GB826">
        <v>7.9203986612074825E-2</v>
      </c>
      <c r="GC826">
        <v>7.8958100610881349E-2</v>
      </c>
      <c r="GD826">
        <v>2.6724553773673727E-2</v>
      </c>
      <c r="GE826">
        <v>0</v>
      </c>
      <c r="GF826">
        <v>0.33021050058332063</v>
      </c>
      <c r="GG826">
        <v>0.29759236750664797</v>
      </c>
      <c r="GH826">
        <v>0</v>
      </c>
      <c r="GI826">
        <v>0.25670592098993045</v>
      </c>
      <c r="GJ826"/>
      <c r="GK826">
        <v>1.0748364871673664</v>
      </c>
      <c r="GL826">
        <v>0.40705572478708768</v>
      </c>
      <c r="GM826">
        <v>0.13091770120800852</v>
      </c>
      <c r="GN826">
        <v>0.23585576644039991</v>
      </c>
      <c r="GO826">
        <v>0.10493806523239137</v>
      </c>
      <c r="GP826">
        <v>0</v>
      </c>
      <c r="GQ826">
        <v>0.45369793096285549</v>
      </c>
      <c r="GR826">
        <v>0.45369793096285549</v>
      </c>
      <c r="GS826">
        <v>0</v>
      </c>
      <c r="GT826">
        <v>0.35287803691412439</v>
      </c>
      <c r="GU826"/>
      <c r="GV826"/>
      <c r="GW826"/>
      <c r="GX826"/>
      <c r="GY826"/>
      <c r="GZ826"/>
      <c r="HA826"/>
      <c r="HB826"/>
      <c r="HC826"/>
    </row>
    <row r="827" spans="1:211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3.7843750000000007</v>
      </c>
      <c r="AO827">
        <v>0.33794087622414615</v>
      </c>
      <c r="AP827">
        <v>7.4696453640141849</v>
      </c>
      <c r="AQ827">
        <v>2.4274999090535858</v>
      </c>
      <c r="AR827">
        <v>0.3686344908086695</v>
      </c>
      <c r="AS827">
        <v>2.193469764363948</v>
      </c>
      <c r="AT827" t="e">
        <v>#DIV/0!</v>
      </c>
      <c r="AU827" t="e">
        <v>#DIV/0!</v>
      </c>
      <c r="AV827"/>
      <c r="AW827"/>
      <c r="FY827" s="211">
        <v>822</v>
      </c>
      <c r="FZ827">
        <v>0.8363339060700965</v>
      </c>
      <c r="GA827">
        <v>8.725047411847664E-2</v>
      </c>
      <c r="GB827">
        <v>0.22123389596694673</v>
      </c>
      <c r="GC827">
        <v>0.1579162012217627</v>
      </c>
      <c r="GD827">
        <v>2.6724553773673727E-2</v>
      </c>
      <c r="GE827">
        <v>0</v>
      </c>
      <c r="GF827">
        <v>0.66042100116664126</v>
      </c>
      <c r="GG827">
        <v>0.59518473501329594</v>
      </c>
      <c r="GH827">
        <v>0</v>
      </c>
      <c r="GI827">
        <v>0.3217977904635182</v>
      </c>
      <c r="GJ827"/>
      <c r="GK827">
        <v>0.83767572108058941</v>
      </c>
      <c r="GL827">
        <v>7.3740509229249462E-2</v>
      </c>
      <c r="GM827">
        <v>0.3667734676484084</v>
      </c>
      <c r="GN827">
        <v>0.47171153288079981</v>
      </c>
      <c r="GO827">
        <v>0.10493806523239137</v>
      </c>
      <c r="GP827">
        <v>0</v>
      </c>
      <c r="GQ827">
        <v>0.90739586192571098</v>
      </c>
      <c r="GR827">
        <v>0.90739586192571098</v>
      </c>
      <c r="GS827">
        <v>0</v>
      </c>
      <c r="GT827">
        <v>0.44335662317742008</v>
      </c>
      <c r="GU827"/>
      <c r="GV827"/>
      <c r="GW827"/>
      <c r="GX827"/>
      <c r="GY827"/>
      <c r="GZ827"/>
      <c r="HA827"/>
      <c r="HB827"/>
      <c r="HC827"/>
    </row>
    <row r="828" spans="1:211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2.635416666666667</v>
      </c>
      <c r="AO828">
        <v>0.21624917659984985</v>
      </c>
      <c r="AP828">
        <v>3.8449676859498889</v>
      </c>
      <c r="AQ828">
        <v>1.4566232476247862</v>
      </c>
      <c r="AR828">
        <v>0.27296690663942358</v>
      </c>
      <c r="AS828">
        <v>1.7601557534029546</v>
      </c>
      <c r="AT828" t="e">
        <v>#DIV/0!</v>
      </c>
      <c r="AU828" t="e">
        <v>#DIV/0!</v>
      </c>
      <c r="AV828"/>
      <c r="AW828"/>
      <c r="FY828" s="211">
        <v>823</v>
      </c>
      <c r="FZ828">
        <v>0.46897918888522649</v>
      </c>
      <c r="GA828">
        <v>0</v>
      </c>
      <c r="GB828">
        <v>0.204855832097669</v>
      </c>
      <c r="GC828">
        <v>0.18341592548776492</v>
      </c>
      <c r="GD828">
        <v>5.3449107547347455E-2</v>
      </c>
      <c r="GE828">
        <v>0</v>
      </c>
      <c r="GF828">
        <v>0</v>
      </c>
      <c r="GG828">
        <v>0</v>
      </c>
      <c r="GH828">
        <v>0</v>
      </c>
      <c r="GI828">
        <v>0.15077843233475979</v>
      </c>
      <c r="GJ828"/>
      <c r="GK828">
        <v>0.4679815766577371</v>
      </c>
      <c r="GL828">
        <v>0</v>
      </c>
      <c r="GM828">
        <v>0.34079383167279126</v>
      </c>
      <c r="GN828">
        <v>0.55066996213757402</v>
      </c>
      <c r="GO828">
        <v>0.20987613046478273</v>
      </c>
      <c r="GP828">
        <v>0</v>
      </c>
      <c r="GQ828">
        <v>0</v>
      </c>
      <c r="GR828">
        <v>0</v>
      </c>
      <c r="GS828">
        <v>0</v>
      </c>
      <c r="GT828">
        <v>0.2037303077590622</v>
      </c>
      <c r="GU828"/>
      <c r="GV828"/>
      <c r="GW828"/>
      <c r="GX828"/>
      <c r="GY828"/>
      <c r="GZ828"/>
      <c r="HA828"/>
      <c r="HB828"/>
      <c r="HC828"/>
    </row>
    <row r="829" spans="1:211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1.7916666666666667</v>
      </c>
      <c r="AO829">
        <v>0.43602368769370853</v>
      </c>
      <c r="AP829">
        <v>21.632290875104186</v>
      </c>
      <c r="AQ829">
        <v>3.1117948292508673</v>
      </c>
      <c r="AR829">
        <v>0.45621794693875023</v>
      </c>
      <c r="AS829">
        <v>1.9933708445704514</v>
      </c>
      <c r="AT829" t="e">
        <v>#DIV/0!</v>
      </c>
      <c r="AU829" t="e">
        <v>#DIV/0!</v>
      </c>
      <c r="AV829"/>
      <c r="AW829"/>
      <c r="FY829" s="211">
        <v>824</v>
      </c>
      <c r="FZ829">
        <v>0.54657270984203621</v>
      </c>
      <c r="GA829">
        <v>0.26175142235542992</v>
      </c>
      <c r="GB829">
        <v>0.14202990935487192</v>
      </c>
      <c r="GC829">
        <v>0.14859665052880375</v>
      </c>
      <c r="GD829">
        <v>5.3449107547347455E-2</v>
      </c>
      <c r="GE829">
        <v>0</v>
      </c>
      <c r="GF829">
        <v>0.33021050058332063</v>
      </c>
      <c r="GG829">
        <v>0.29759236750664797</v>
      </c>
      <c r="GH829">
        <v>0</v>
      </c>
      <c r="GI829">
        <v>0.21089146976340115</v>
      </c>
      <c r="GJ829"/>
      <c r="GK829">
        <v>0.54573433058745735</v>
      </c>
      <c r="GL829">
        <v>0.22122152768774839</v>
      </c>
      <c r="GM829">
        <v>0.23585576644039991</v>
      </c>
      <c r="GN829">
        <v>0.44573189690518267</v>
      </c>
      <c r="GO829">
        <v>0.20987613046478273</v>
      </c>
      <c r="GP829">
        <v>0</v>
      </c>
      <c r="GQ829">
        <v>0.45369793096285549</v>
      </c>
      <c r="GR829">
        <v>0.45369793096285549</v>
      </c>
      <c r="GS829">
        <v>0</v>
      </c>
      <c r="GT829">
        <v>0.28903283169109906</v>
      </c>
      <c r="GU829"/>
      <c r="GV829"/>
      <c r="GW829"/>
      <c r="GX829"/>
      <c r="GY829"/>
      <c r="GZ829"/>
      <c r="HA829"/>
      <c r="HB829"/>
      <c r="HC829"/>
    </row>
    <row r="830" spans="1:211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4.4979166666666668</v>
      </c>
      <c r="AO830">
        <v>0.47599771199753915</v>
      </c>
      <c r="AP830">
        <v>16.074493231041878</v>
      </c>
      <c r="AQ830">
        <v>3.5712795003276607</v>
      </c>
      <c r="AR830">
        <v>0.50429554538883781</v>
      </c>
      <c r="AS830">
        <v>2.6055623520438749</v>
      </c>
      <c r="AT830" t="e">
        <v>#DIV/0!</v>
      </c>
      <c r="AU830" t="e">
        <v>#DIV/0!</v>
      </c>
      <c r="AV830"/>
      <c r="AW830"/>
      <c r="FY830" s="211">
        <v>825</v>
      </c>
      <c r="FZ830">
        <v>1.7317624418603978</v>
      </c>
      <c r="GA830">
        <v>1.2493010069161121</v>
      </c>
      <c r="GB830">
        <v>0.22123389596694673</v>
      </c>
      <c r="GC830">
        <v>0.1579162012217627</v>
      </c>
      <c r="GD830">
        <v>2.6724553773673727E-2</v>
      </c>
      <c r="GE830">
        <v>0</v>
      </c>
      <c r="GF830">
        <v>0</v>
      </c>
      <c r="GG830">
        <v>0</v>
      </c>
      <c r="GH830">
        <v>0</v>
      </c>
      <c r="GI830">
        <v>0.32598030147095303</v>
      </c>
      <c r="GJ830"/>
      <c r="GK830">
        <v>1.7465196744792792</v>
      </c>
      <c r="GL830">
        <v>1.073686155902764</v>
      </c>
      <c r="GM830">
        <v>0.3667734676484084</v>
      </c>
      <c r="GN830">
        <v>0.47171153288079981</v>
      </c>
      <c r="GO830">
        <v>0.10493806523239137</v>
      </c>
      <c r="GP830">
        <v>0</v>
      </c>
      <c r="GQ830">
        <v>0</v>
      </c>
      <c r="GR830">
        <v>0</v>
      </c>
      <c r="GS830">
        <v>0</v>
      </c>
      <c r="GT830">
        <v>0.44364624147201581</v>
      </c>
      <c r="GU830"/>
      <c r="GV830"/>
      <c r="GW830"/>
      <c r="GX830"/>
      <c r="GY830"/>
      <c r="GZ830"/>
      <c r="HA830"/>
      <c r="HB830"/>
      <c r="HC830"/>
    </row>
    <row r="831" spans="1:211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3.0541666666666663</v>
      </c>
      <c r="AO831">
        <v>0.50489551964509916</v>
      </c>
      <c r="AP831">
        <v>8.0724363862473698</v>
      </c>
      <c r="AQ831">
        <v>4.4212072100456501</v>
      </c>
      <c r="AR831">
        <v>0.52317412268440799</v>
      </c>
      <c r="AS831">
        <v>2.9650387928855486</v>
      </c>
      <c r="AT831" t="e">
        <v>#DIV/0!</v>
      </c>
      <c r="AU831" t="e">
        <v>#DIV/0!</v>
      </c>
      <c r="AV831"/>
      <c r="AW831"/>
      <c r="FY831" s="211">
        <v>826</v>
      </c>
      <c r="FZ831">
        <v>0.91024996796614543</v>
      </c>
      <c r="GA831">
        <v>0.47460065171768845</v>
      </c>
      <c r="GB831">
        <v>0.204855832097669</v>
      </c>
      <c r="GC831">
        <v>0.11377737556984255</v>
      </c>
      <c r="GD831">
        <v>0</v>
      </c>
      <c r="GE831">
        <v>0</v>
      </c>
      <c r="GF831">
        <v>0.33021050058332063</v>
      </c>
      <c r="GG831">
        <v>0.29759236750664797</v>
      </c>
      <c r="GH831">
        <v>0</v>
      </c>
      <c r="GI831">
        <v>0.2492346899102168</v>
      </c>
      <c r="GJ831"/>
      <c r="GK831">
        <v>0.91300003486349657</v>
      </c>
      <c r="GL831">
        <v>0.40705572478708768</v>
      </c>
      <c r="GM831">
        <v>0.34079383167279126</v>
      </c>
      <c r="GN831">
        <v>0.34079383167279126</v>
      </c>
      <c r="GO831">
        <v>0</v>
      </c>
      <c r="GP831">
        <v>0</v>
      </c>
      <c r="GQ831">
        <v>0.45369793096285549</v>
      </c>
      <c r="GR831">
        <v>0.45369793096285549</v>
      </c>
      <c r="GS831">
        <v>0</v>
      </c>
      <c r="GT831">
        <v>0.34149835949982871</v>
      </c>
      <c r="GU831"/>
      <c r="GV831"/>
      <c r="GW831"/>
      <c r="GX831"/>
      <c r="GY831"/>
      <c r="GZ831"/>
      <c r="HA831"/>
      <c r="HB831"/>
      <c r="HC831"/>
    </row>
    <row r="832" spans="1:211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2.2614583333333327</v>
      </c>
      <c r="AO832">
        <v>0.44157492264633669</v>
      </c>
      <c r="AP832">
        <v>9.4526105990110079</v>
      </c>
      <c r="AQ832">
        <v>3.5358148192316938</v>
      </c>
      <c r="AR832">
        <v>0.46265807637506723</v>
      </c>
      <c r="AS832">
        <v>2.3885070596633691</v>
      </c>
      <c r="AT832" t="e">
        <v>#DIV/0!</v>
      </c>
      <c r="AU832" t="e">
        <v>#DIV/0!</v>
      </c>
      <c r="AV832"/>
      <c r="AW832"/>
      <c r="FY832" s="211">
        <v>827</v>
      </c>
      <c r="FZ832">
        <v>0.96697620523186578</v>
      </c>
      <c r="GA832">
        <v>0.56185112583616514</v>
      </c>
      <c r="GB832">
        <v>0.204855832097669</v>
      </c>
      <c r="GC832">
        <v>0.14859665052880375</v>
      </c>
      <c r="GD832">
        <v>2.6724553773673727E-2</v>
      </c>
      <c r="GE832">
        <v>0</v>
      </c>
      <c r="GF832">
        <v>0.33021050058332063</v>
      </c>
      <c r="GG832">
        <v>0.29759236750664797</v>
      </c>
      <c r="GH832">
        <v>0</v>
      </c>
      <c r="GI832">
        <v>0.27308788073154278</v>
      </c>
      <c r="GJ832"/>
      <c r="GK832">
        <v>0.97015123942012038</v>
      </c>
      <c r="GL832">
        <v>0.48079623401633714</v>
      </c>
      <c r="GM832">
        <v>0.34079383167279126</v>
      </c>
      <c r="GN832">
        <v>0.44573189690518267</v>
      </c>
      <c r="GO832">
        <v>0.10493806523239137</v>
      </c>
      <c r="GP832">
        <v>0</v>
      </c>
      <c r="GQ832">
        <v>0.45369793096285549</v>
      </c>
      <c r="GR832">
        <v>0.45369793096285549</v>
      </c>
      <c r="GS832">
        <v>0</v>
      </c>
      <c r="GT832">
        <v>0.37391621345763165</v>
      </c>
      <c r="GU832"/>
      <c r="GV832"/>
      <c r="GW832"/>
      <c r="GX832"/>
      <c r="GY832"/>
      <c r="GZ832"/>
      <c r="HA832"/>
      <c r="HB832"/>
      <c r="HC832"/>
    </row>
    <row r="833" spans="1:211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2.8072916666666665</v>
      </c>
      <c r="AO833">
        <v>0.28053831062271462</v>
      </c>
      <c r="AP833">
        <v>9.3294341987489862</v>
      </c>
      <c r="AQ833">
        <v>2.2487177154172744</v>
      </c>
      <c r="AR833">
        <v>0.30347789531781555</v>
      </c>
      <c r="AS833">
        <v>2.0205546002014318</v>
      </c>
      <c r="AT833" t="e">
        <v>#DIV/0!</v>
      </c>
      <c r="AU833" t="e">
        <v>#DIV/0!</v>
      </c>
      <c r="AV833"/>
      <c r="AW833"/>
      <c r="FY833" s="211">
        <v>828</v>
      </c>
      <c r="FZ833">
        <v>0.52898713731278935</v>
      </c>
      <c r="GA833">
        <v>0</v>
      </c>
      <c r="GB833">
        <v>0.204855832097669</v>
      </c>
      <c r="GC833">
        <v>0.11377737556984255</v>
      </c>
      <c r="GD833">
        <v>0</v>
      </c>
      <c r="GE833">
        <v>0</v>
      </c>
      <c r="GF833">
        <v>0.99063150174996206</v>
      </c>
      <c r="GG833">
        <v>0.89277710251994391</v>
      </c>
      <c r="GH833">
        <v>0</v>
      </c>
      <c r="GI833">
        <v>0.32090167833950933</v>
      </c>
      <c r="GJ833"/>
      <c r="GK833">
        <v>0.53062497521790841</v>
      </c>
      <c r="GL833">
        <v>0</v>
      </c>
      <c r="GM833">
        <v>0.34079383167279126</v>
      </c>
      <c r="GN833">
        <v>0.34079383167279126</v>
      </c>
      <c r="GO833">
        <v>0</v>
      </c>
      <c r="GP833">
        <v>0</v>
      </c>
      <c r="GQ833">
        <v>1.3610937928885667</v>
      </c>
      <c r="GR833">
        <v>1.3610937928885667</v>
      </c>
      <c r="GS833">
        <v>0</v>
      </c>
      <c r="GT833">
        <v>0.44650251995585327</v>
      </c>
      <c r="GU833"/>
      <c r="GV833"/>
      <c r="GW833"/>
      <c r="GX833"/>
      <c r="GY833"/>
      <c r="GZ833"/>
      <c r="HA833"/>
      <c r="HB833"/>
      <c r="HC833"/>
    </row>
    <row r="834" spans="1:211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2.1239583333333334</v>
      </c>
      <c r="AO834">
        <v>0.35486076113811693</v>
      </c>
      <c r="AP834">
        <v>4.8871057465452914</v>
      </c>
      <c r="AQ834">
        <v>3.3591952745425737</v>
      </c>
      <c r="AR834">
        <v>0.37317761483966749</v>
      </c>
      <c r="AS834">
        <v>2.0086249642461587</v>
      </c>
      <c r="AT834" t="e">
        <v>#DIV/0!</v>
      </c>
      <c r="AU834" t="e">
        <v>#DIV/0!</v>
      </c>
      <c r="AV834"/>
      <c r="AW834"/>
      <c r="FY834" s="211">
        <v>829</v>
      </c>
      <c r="FZ834">
        <v>0.94212074512555644</v>
      </c>
      <c r="GA834">
        <v>0.47460065171768845</v>
      </c>
      <c r="GB834">
        <v>0.22123389596694673</v>
      </c>
      <c r="GC834">
        <v>0.1579162012217627</v>
      </c>
      <c r="GD834">
        <v>2.6724553773673727E-2</v>
      </c>
      <c r="GE834">
        <v>0</v>
      </c>
      <c r="GF834">
        <v>0.33021050058332063</v>
      </c>
      <c r="GG834">
        <v>0.29759236750664797</v>
      </c>
      <c r="GH834">
        <v>0</v>
      </c>
      <c r="GI834">
        <v>0.27335310005845342</v>
      </c>
      <c r="GJ834"/>
      <c r="GK834">
        <v>0.94520194215580444</v>
      </c>
      <c r="GL834">
        <v>0.40705572478708768</v>
      </c>
      <c r="GM834">
        <v>0.3667734676484084</v>
      </c>
      <c r="GN834">
        <v>0.47171153288079981</v>
      </c>
      <c r="GO834">
        <v>0.10493806523239137</v>
      </c>
      <c r="GP834">
        <v>0</v>
      </c>
      <c r="GQ834">
        <v>0.45369793096285549</v>
      </c>
      <c r="GR834">
        <v>0.45369793096285549</v>
      </c>
      <c r="GS834">
        <v>0</v>
      </c>
      <c r="GT834">
        <v>0.37412228119989194</v>
      </c>
      <c r="GU834"/>
      <c r="GV834"/>
      <c r="GW834"/>
      <c r="GX834"/>
      <c r="GY834"/>
      <c r="GZ834"/>
      <c r="HA834"/>
      <c r="HB834"/>
      <c r="HC834"/>
    </row>
    <row r="835" spans="1:211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3.4145833333333337</v>
      </c>
      <c r="AO835">
        <v>0.45589038473562893</v>
      </c>
      <c r="AP835">
        <v>18.48558099196627</v>
      </c>
      <c r="AQ835">
        <v>3.54099945214042</v>
      </c>
      <c r="AR835">
        <v>0.47961313216584711</v>
      </c>
      <c r="AS835">
        <v>2.3514681406047595</v>
      </c>
      <c r="AT835" t="e">
        <v>#DIV/0!</v>
      </c>
      <c r="AU835" t="e">
        <v>#DIV/0!</v>
      </c>
      <c r="AV835"/>
      <c r="AW835"/>
      <c r="FY835" s="211">
        <v>830</v>
      </c>
      <c r="FZ835">
        <v>0.67658909776655374</v>
      </c>
      <c r="GA835">
        <v>0.17450094823695328</v>
      </c>
      <c r="GB835">
        <v>0</v>
      </c>
      <c r="GC835">
        <v>0</v>
      </c>
      <c r="GD835">
        <v>0</v>
      </c>
      <c r="GE835">
        <v>0</v>
      </c>
      <c r="GF835">
        <v>0.33021050058332063</v>
      </c>
      <c r="GG835">
        <v>0.29759236750664797</v>
      </c>
      <c r="GH835">
        <v>0</v>
      </c>
      <c r="GI835">
        <v>0.16431744655621389</v>
      </c>
      <c r="GJ835"/>
      <c r="GK835">
        <v>0.67810599367640734</v>
      </c>
      <c r="GL835">
        <v>0.14748101845849892</v>
      </c>
      <c r="GM835">
        <v>0</v>
      </c>
      <c r="GN835">
        <v>0</v>
      </c>
      <c r="GO835">
        <v>0</v>
      </c>
      <c r="GP835">
        <v>0</v>
      </c>
      <c r="GQ835">
        <v>0.45369793096285549</v>
      </c>
      <c r="GR835">
        <v>0.45369793096285549</v>
      </c>
      <c r="GS835">
        <v>0</v>
      </c>
      <c r="GT835">
        <v>0.22636078492785255</v>
      </c>
      <c r="GU835"/>
      <c r="GV835"/>
      <c r="GW835"/>
      <c r="GX835"/>
      <c r="GY835"/>
      <c r="GZ835"/>
      <c r="HA835"/>
      <c r="HB835"/>
      <c r="HC835"/>
    </row>
    <row r="836" spans="1:211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2.2322916666666659</v>
      </c>
      <c r="AO836">
        <v>0.34429072143144962</v>
      </c>
      <c r="AP836">
        <v>11.117417115150923</v>
      </c>
      <c r="AQ836">
        <v>2.7775300011523383</v>
      </c>
      <c r="AR836">
        <v>0.36126986961041868</v>
      </c>
      <c r="AS836">
        <v>2.0235619500047606</v>
      </c>
      <c r="AT836" t="e">
        <v>#DIV/0!</v>
      </c>
      <c r="AU836" t="e">
        <v>#DIV/0!</v>
      </c>
      <c r="AV836"/>
      <c r="AW836"/>
      <c r="FY836" s="211">
        <v>831</v>
      </c>
      <c r="FZ836">
        <v>1.1248751939005748</v>
      </c>
      <c r="GA836">
        <v>0.47460065171768845</v>
      </c>
      <c r="GB836">
        <v>7.9203986612074825E-2</v>
      </c>
      <c r="GC836">
        <v>7.8958100610881349E-2</v>
      </c>
      <c r="GD836">
        <v>2.6724553773673727E-2</v>
      </c>
      <c r="GE836">
        <v>0</v>
      </c>
      <c r="GF836">
        <v>0.66042100116664126</v>
      </c>
      <c r="GG836">
        <v>0.59518473501329594</v>
      </c>
      <c r="GH836">
        <v>0</v>
      </c>
      <c r="GI836">
        <v>0.32958286791907626</v>
      </c>
      <c r="GJ836"/>
      <c r="GK836">
        <v>1.130377061910159</v>
      </c>
      <c r="GL836">
        <v>0.40705572478708768</v>
      </c>
      <c r="GM836">
        <v>0.13091770120800852</v>
      </c>
      <c r="GN836">
        <v>0.23585576644039991</v>
      </c>
      <c r="GO836">
        <v>0.10493806523239137</v>
      </c>
      <c r="GP836">
        <v>0</v>
      </c>
      <c r="GQ836">
        <v>0.90739586192571098</v>
      </c>
      <c r="GR836">
        <v>0.90739586192571098</v>
      </c>
      <c r="GS836">
        <v>0</v>
      </c>
      <c r="GT836">
        <v>0.45472573805525396</v>
      </c>
      <c r="GU836"/>
      <c r="GV836"/>
      <c r="GW836"/>
      <c r="GX836"/>
      <c r="GY836"/>
      <c r="GZ836"/>
      <c r="HA836"/>
      <c r="HB836"/>
      <c r="HC836"/>
    </row>
    <row r="837" spans="1:211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1.7635416666666668</v>
      </c>
      <c r="AO837">
        <v>0.32138776436750888</v>
      </c>
      <c r="AP837">
        <v>8.6672961399367203</v>
      </c>
      <c r="AQ837">
        <v>2.6101209001901191</v>
      </c>
      <c r="AR837">
        <v>0.35287803691412439</v>
      </c>
      <c r="AS837">
        <v>1.844609468798273</v>
      </c>
      <c r="AT837" t="e">
        <v>#DIV/0!</v>
      </c>
      <c r="AU837" t="e">
        <v>#DIV/0!</v>
      </c>
      <c r="AV837"/>
      <c r="AW837"/>
      <c r="FY837" s="211">
        <v>832</v>
      </c>
      <c r="FZ837">
        <v>0.68108792931780937</v>
      </c>
      <c r="GA837">
        <v>8.725047411847664E-2</v>
      </c>
      <c r="GB837">
        <v>6.282592274279708E-2</v>
      </c>
      <c r="GC837">
        <v>3.4819274958961192E-2</v>
      </c>
      <c r="GD837">
        <v>0</v>
      </c>
      <c r="GE837">
        <v>0</v>
      </c>
      <c r="GF837">
        <v>0.33021050058332063</v>
      </c>
      <c r="GG837">
        <v>0.29759236750664797</v>
      </c>
      <c r="GH837">
        <v>0</v>
      </c>
      <c r="GI837">
        <v>0.18052108828905192</v>
      </c>
      <c r="GJ837"/>
      <c r="GK837">
        <v>0.67991838454512243</v>
      </c>
      <c r="GL837">
        <v>7.3740509229249462E-2</v>
      </c>
      <c r="GM837">
        <v>0.10493806523239137</v>
      </c>
      <c r="GN837">
        <v>0.10493806523239137</v>
      </c>
      <c r="GO837">
        <v>0</v>
      </c>
      <c r="GP837">
        <v>0</v>
      </c>
      <c r="GQ837">
        <v>0.45369793096285549</v>
      </c>
      <c r="GR837">
        <v>0.45369793096285549</v>
      </c>
      <c r="GS837">
        <v>0</v>
      </c>
      <c r="GT837">
        <v>0.24771087614807386</v>
      </c>
      <c r="GU837"/>
      <c r="GV837"/>
      <c r="GW837"/>
      <c r="GX837"/>
      <c r="GY837"/>
      <c r="GZ837"/>
      <c r="HA837"/>
      <c r="HB837"/>
      <c r="HC837"/>
    </row>
    <row r="838" spans="1:211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3.010416666666667</v>
      </c>
      <c r="AO838">
        <v>0.41129876431002799</v>
      </c>
      <c r="AP838">
        <v>17.199441045427207</v>
      </c>
      <c r="AQ838">
        <v>2.9068625577944123</v>
      </c>
      <c r="AR838">
        <v>0.44335662317742008</v>
      </c>
      <c r="AS838">
        <v>2.3423035897039193</v>
      </c>
      <c r="AT838" t="e">
        <v>#DIV/0!</v>
      </c>
      <c r="AU838" t="e">
        <v>#DIV/0!</v>
      </c>
      <c r="AV838"/>
      <c r="AW838"/>
      <c r="FY838" s="211">
        <v>833</v>
      </c>
      <c r="FZ838">
        <v>1.9500576878870364</v>
      </c>
      <c r="GA838">
        <v>1.636651184515324</v>
      </c>
      <c r="GB838">
        <v>0.34688574145254092</v>
      </c>
      <c r="GC838">
        <v>0.2275547511396851</v>
      </c>
      <c r="GD838">
        <v>2.6724553773673727E-2</v>
      </c>
      <c r="GE838">
        <v>0</v>
      </c>
      <c r="GF838">
        <v>0.33021050058332063</v>
      </c>
      <c r="GG838">
        <v>0.29759236750664797</v>
      </c>
      <c r="GH838">
        <v>0</v>
      </c>
      <c r="GI838">
        <v>0.45328849428197115</v>
      </c>
      <c r="GJ838"/>
      <c r="GK838">
        <v>1.9660846413931639</v>
      </c>
      <c r="GL838">
        <v>1.4070013714606024</v>
      </c>
      <c r="GM838">
        <v>0.57664959811319116</v>
      </c>
      <c r="GN838">
        <v>0.68158766334558252</v>
      </c>
      <c r="GO838">
        <v>0.10493806523239137</v>
      </c>
      <c r="GP838">
        <v>0</v>
      </c>
      <c r="GQ838">
        <v>0.45369793096285549</v>
      </c>
      <c r="GR838">
        <v>0.45369793096285549</v>
      </c>
      <c r="GS838">
        <v>0</v>
      </c>
      <c r="GT838">
        <v>0.62027404714032042</v>
      </c>
      <c r="GU838"/>
      <c r="GV838"/>
      <c r="GW838"/>
      <c r="GX838"/>
      <c r="GY838"/>
      <c r="GZ838"/>
      <c r="HA838"/>
      <c r="HB838"/>
      <c r="HC838"/>
    </row>
    <row r="839" spans="1:211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2.244791666666667</v>
      </c>
      <c r="AO839">
        <v>0.17730518086919472</v>
      </c>
      <c r="AP839">
        <v>4.2307239936264445</v>
      </c>
      <c r="AQ839">
        <v>1.0614784863527675</v>
      </c>
      <c r="AR839">
        <v>0.2037303077590622</v>
      </c>
      <c r="AS839">
        <v>1.4950738450326848</v>
      </c>
      <c r="AT839" t="e">
        <v>#DIV/0!</v>
      </c>
      <c r="AU839" t="e">
        <v>#DIV/0!</v>
      </c>
      <c r="AV839"/>
      <c r="AW839"/>
      <c r="FY839" s="211">
        <v>834</v>
      </c>
      <c r="FZ839">
        <v>1.0164914897591912</v>
      </c>
      <c r="GA839">
        <v>0.38735017759921181</v>
      </c>
      <c r="GB839">
        <v>0.14202990935487192</v>
      </c>
      <c r="GC839">
        <v>0.14859665052880375</v>
      </c>
      <c r="GD839">
        <v>5.3449107547347455E-2</v>
      </c>
      <c r="GE839">
        <v>0</v>
      </c>
      <c r="GF839">
        <v>0.66042100116664126</v>
      </c>
      <c r="GG839">
        <v>0.59518473501329594</v>
      </c>
      <c r="GH839">
        <v>0</v>
      </c>
      <c r="GI839">
        <v>0.344499674942917</v>
      </c>
      <c r="GJ839"/>
      <c r="GK839">
        <v>1.0197143307580034</v>
      </c>
      <c r="GL839">
        <v>0.33331521555783822</v>
      </c>
      <c r="GM839">
        <v>0.23585576644039991</v>
      </c>
      <c r="GN839">
        <v>0.44573189690518267</v>
      </c>
      <c r="GO839">
        <v>0.20987613046478273</v>
      </c>
      <c r="GP839">
        <v>0</v>
      </c>
      <c r="GQ839">
        <v>0.90739586192571098</v>
      </c>
      <c r="GR839">
        <v>0.90739586192571098</v>
      </c>
      <c r="GS839">
        <v>0</v>
      </c>
      <c r="GT839">
        <v>0.47456841791777937</v>
      </c>
      <c r="GU839"/>
      <c r="GV839"/>
      <c r="GW839"/>
      <c r="GX839"/>
      <c r="GY839"/>
      <c r="GZ839"/>
      <c r="HA839"/>
      <c r="HB839"/>
      <c r="HC839"/>
    </row>
    <row r="840" spans="1:211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2.2447916666666665</v>
      </c>
      <c r="AO840">
        <v>0.2854848345702381</v>
      </c>
      <c r="AP840">
        <v>9.3918810439993763</v>
      </c>
      <c r="AQ840">
        <v>1.9910941374818591</v>
      </c>
      <c r="AR840">
        <v>0.28903283169109911</v>
      </c>
      <c r="AS840">
        <v>1.8070866167382873</v>
      </c>
      <c r="AT840" t="e">
        <v>#DIV/0!</v>
      </c>
      <c r="AU840" t="e">
        <v>#DIV/0!</v>
      </c>
      <c r="AV840"/>
      <c r="AW840"/>
      <c r="FY840" s="211">
        <v>835</v>
      </c>
      <c r="FZ840">
        <v>0.47827338913329032</v>
      </c>
      <c r="GA840">
        <v>8.725047411847664E-2</v>
      </c>
      <c r="GB840">
        <v>0.204855832097669</v>
      </c>
      <c r="GC840">
        <v>0.18341592548776492</v>
      </c>
      <c r="GD840">
        <v>5.3449107547347455E-2</v>
      </c>
      <c r="GE840">
        <v>0</v>
      </c>
      <c r="GF840">
        <v>0</v>
      </c>
      <c r="GG840">
        <v>0</v>
      </c>
      <c r="GH840">
        <v>0</v>
      </c>
      <c r="GI840">
        <v>0.15215636088065082</v>
      </c>
      <c r="GJ840"/>
      <c r="GK840">
        <v>0.47726629645809993</v>
      </c>
      <c r="GL840">
        <v>7.3740509229249462E-2</v>
      </c>
      <c r="GM840">
        <v>0.34079383167279126</v>
      </c>
      <c r="GN840">
        <v>0.55066996213757402</v>
      </c>
      <c r="GO840">
        <v>0.20987613046478273</v>
      </c>
      <c r="GP840">
        <v>0</v>
      </c>
      <c r="GQ840">
        <v>0</v>
      </c>
      <c r="GR840">
        <v>0</v>
      </c>
      <c r="GS840">
        <v>0</v>
      </c>
      <c r="GT840">
        <v>0.20558725171913478</v>
      </c>
      <c r="GU840"/>
      <c r="GV840"/>
      <c r="GW840"/>
      <c r="GX840"/>
      <c r="GY840"/>
      <c r="GZ840"/>
      <c r="HA840"/>
      <c r="HB840"/>
      <c r="HC840"/>
    </row>
    <row r="841" spans="1:211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2.7749999999999999</v>
      </c>
      <c r="AO841">
        <v>0.42072751376156586</v>
      </c>
      <c r="AP841">
        <v>6.9049884890730464</v>
      </c>
      <c r="AQ841">
        <v>3.712918401209846</v>
      </c>
      <c r="AR841">
        <v>0.44364624147201581</v>
      </c>
      <c r="AS841">
        <v>2.4699622331373217</v>
      </c>
      <c r="AT841" t="e">
        <v>#DIV/0!</v>
      </c>
      <c r="AU841" t="e">
        <v>#DIV/0!</v>
      </c>
      <c r="AV841"/>
      <c r="AW841"/>
      <c r="FY841" s="211">
        <v>836</v>
      </c>
      <c r="FZ841">
        <v>1.9976710059490301</v>
      </c>
      <c r="GA841">
        <v>1.2493010069161121</v>
      </c>
      <c r="GB841">
        <v>0.23761195983622446</v>
      </c>
      <c r="GC841">
        <v>0.23687430183264407</v>
      </c>
      <c r="GD841">
        <v>8.0173661321021189E-2</v>
      </c>
      <c r="GE841">
        <v>0</v>
      </c>
      <c r="GF841">
        <v>0.33021050058332063</v>
      </c>
      <c r="GG841">
        <v>0.29759236750664797</v>
      </c>
      <c r="GH841">
        <v>0</v>
      </c>
      <c r="GI841">
        <v>0.46419599942061074</v>
      </c>
      <c r="GJ841"/>
      <c r="GK841">
        <v>2.0169718519392728</v>
      </c>
      <c r="GL841">
        <v>1.073686155902764</v>
      </c>
      <c r="GM841">
        <v>0.39275310362402555</v>
      </c>
      <c r="GN841">
        <v>0.70756729932119966</v>
      </c>
      <c r="GO841">
        <v>0.31481419569717417</v>
      </c>
      <c r="GP841">
        <v>0</v>
      </c>
      <c r="GQ841">
        <v>0.45369793096285549</v>
      </c>
      <c r="GR841">
        <v>0.45369793096285549</v>
      </c>
      <c r="GS841">
        <v>0</v>
      </c>
      <c r="GT841">
        <v>0.63564741644466549</v>
      </c>
      <c r="GU841"/>
      <c r="GV841"/>
      <c r="GW841"/>
      <c r="GX841"/>
      <c r="GY841"/>
      <c r="GZ841"/>
      <c r="HA841"/>
      <c r="HB841"/>
      <c r="HC841"/>
    </row>
    <row r="842" spans="1:211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3.4406249999999998</v>
      </c>
      <c r="AO842">
        <v>0.3250537644421706</v>
      </c>
      <c r="AP842">
        <v>12.160275103173817</v>
      </c>
      <c r="AQ842">
        <v>2.5805213853515312</v>
      </c>
      <c r="AR842">
        <v>0.34149835949982871</v>
      </c>
      <c r="AS842">
        <v>1.9409367697685069</v>
      </c>
      <c r="AT842" t="e">
        <v>#DIV/0!</v>
      </c>
      <c r="AU842" t="e">
        <v>#DIV/0!</v>
      </c>
      <c r="AV842"/>
      <c r="AW842"/>
      <c r="FY842" s="211">
        <v>837</v>
      </c>
      <c r="FZ842">
        <v>1.0129536939852737</v>
      </c>
      <c r="GA842">
        <v>0.47460065171768845</v>
      </c>
      <c r="GB842">
        <v>0</v>
      </c>
      <c r="GC842">
        <v>0</v>
      </c>
      <c r="GD842">
        <v>0</v>
      </c>
      <c r="GE842">
        <v>0</v>
      </c>
      <c r="GF842">
        <v>0</v>
      </c>
      <c r="GG842">
        <v>0</v>
      </c>
      <c r="GH842">
        <v>0</v>
      </c>
      <c r="GI842">
        <v>0.14995789175403321</v>
      </c>
      <c r="GJ842"/>
      <c r="GK842">
        <v>1.0193448256437345</v>
      </c>
      <c r="GL842">
        <v>0.40705572478708768</v>
      </c>
      <c r="GM842">
        <v>0</v>
      </c>
      <c r="GN842">
        <v>0</v>
      </c>
      <c r="GO842">
        <v>0</v>
      </c>
      <c r="GP842">
        <v>0</v>
      </c>
      <c r="GQ842">
        <v>0</v>
      </c>
      <c r="GR842">
        <v>0</v>
      </c>
      <c r="GS842">
        <v>0</v>
      </c>
      <c r="GT842">
        <v>0.20386896512874689</v>
      </c>
      <c r="GU842"/>
      <c r="GV842"/>
      <c r="GW842"/>
      <c r="GX842"/>
      <c r="GY842"/>
      <c r="GZ842"/>
      <c r="HA842"/>
      <c r="HB842"/>
      <c r="HC842"/>
    </row>
    <row r="843" spans="1:211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2.9718749999999994</v>
      </c>
      <c r="AO843">
        <v>0.36237233426301652</v>
      </c>
      <c r="AP843">
        <v>11.802245625773127</v>
      </c>
      <c r="AQ843">
        <v>2.8098951162896886</v>
      </c>
      <c r="AR843">
        <v>0.37391621345763165</v>
      </c>
      <c r="AS843">
        <v>2.1508344750698485</v>
      </c>
      <c r="AT843" t="e">
        <v>#DIV/0!</v>
      </c>
      <c r="AU843" t="e">
        <v>#DIV/0!</v>
      </c>
      <c r="AV843"/>
      <c r="AW843"/>
      <c r="FY843" s="211">
        <v>838</v>
      </c>
      <c r="FZ843">
        <v>1.0562608537410858</v>
      </c>
      <c r="GA843">
        <v>0.38735017759921181</v>
      </c>
      <c r="GB843">
        <v>6.282592274279708E-2</v>
      </c>
      <c r="GC843">
        <v>3.4819274958961192E-2</v>
      </c>
      <c r="GD843">
        <v>0</v>
      </c>
      <c r="GE843">
        <v>0</v>
      </c>
      <c r="GF843">
        <v>0.33021050058332063</v>
      </c>
      <c r="GG843">
        <v>0.29759236750664797</v>
      </c>
      <c r="GH843">
        <v>0</v>
      </c>
      <c r="GI843">
        <v>0.23584541476139639</v>
      </c>
      <c r="GJ843"/>
      <c r="GK843">
        <v>1.064779887994054</v>
      </c>
      <c r="GL843">
        <v>0.33331521555783822</v>
      </c>
      <c r="GM843">
        <v>0.10493806523239137</v>
      </c>
      <c r="GN843">
        <v>0.10493806523239137</v>
      </c>
      <c r="GO843">
        <v>0</v>
      </c>
      <c r="GP843">
        <v>0</v>
      </c>
      <c r="GQ843">
        <v>0.45369793096285549</v>
      </c>
      <c r="GR843">
        <v>0.45369793096285549</v>
      </c>
      <c r="GS843">
        <v>0</v>
      </c>
      <c r="GT843">
        <v>0.32468317683786019</v>
      </c>
      <c r="GU843"/>
      <c r="GV843"/>
      <c r="GW843"/>
      <c r="GX843"/>
      <c r="GY843"/>
      <c r="GZ843"/>
      <c r="HA843"/>
      <c r="HB843"/>
      <c r="HC843"/>
    </row>
    <row r="844" spans="1:211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2.109375</v>
      </c>
      <c r="AO844">
        <v>0.43809027442964776</v>
      </c>
      <c r="AP844">
        <v>22.667488769208767</v>
      </c>
      <c r="AQ844">
        <v>3.0519306275897158</v>
      </c>
      <c r="AR844">
        <v>0.44650251995585327</v>
      </c>
      <c r="AS844">
        <v>1.971660273592889</v>
      </c>
      <c r="AT844" t="e">
        <v>#DIV/0!</v>
      </c>
      <c r="AU844" t="e">
        <v>#DIV/0!</v>
      </c>
      <c r="AV844"/>
      <c r="AW844"/>
      <c r="FY844" s="211">
        <v>839</v>
      </c>
      <c r="FZ844">
        <v>1.1827407855477516</v>
      </c>
      <c r="GA844">
        <v>0.56185112583616514</v>
      </c>
      <c r="GB844">
        <v>7.9203986612074825E-2</v>
      </c>
      <c r="GC844">
        <v>4.4138825651920163E-2</v>
      </c>
      <c r="GD844">
        <v>0</v>
      </c>
      <c r="GE844">
        <v>0</v>
      </c>
      <c r="GF844">
        <v>0.99063150174996206</v>
      </c>
      <c r="GG844">
        <v>0.89277710251994391</v>
      </c>
      <c r="GH844">
        <v>0</v>
      </c>
      <c r="GI844">
        <v>0.38678308513100779</v>
      </c>
      <c r="GJ844"/>
      <c r="GK844">
        <v>1.1880166174932545</v>
      </c>
      <c r="GL844">
        <v>0.48079623401633714</v>
      </c>
      <c r="GM844">
        <v>0.13091770120800852</v>
      </c>
      <c r="GN844">
        <v>0.13091770120800852</v>
      </c>
      <c r="GO844">
        <v>0</v>
      </c>
      <c r="GP844">
        <v>0</v>
      </c>
      <c r="GQ844">
        <v>1.3610937928885667</v>
      </c>
      <c r="GR844">
        <v>1.3610937928885667</v>
      </c>
      <c r="GS844">
        <v>0</v>
      </c>
      <c r="GT844">
        <v>0.53600562231796589</v>
      </c>
      <c r="GU844"/>
      <c r="GV844"/>
      <c r="GW844"/>
      <c r="GX844"/>
      <c r="GY844"/>
      <c r="GZ844"/>
      <c r="HA844"/>
      <c r="HB844"/>
      <c r="HC844"/>
    </row>
    <row r="845" spans="1:211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3.1020833333333329</v>
      </c>
      <c r="AO845">
        <v>0.35771988758300943</v>
      </c>
      <c r="AP845">
        <v>12.365614526624171</v>
      </c>
      <c r="AQ845">
        <v>2.7237520159540498</v>
      </c>
      <c r="AR845">
        <v>0.37412228119989194</v>
      </c>
      <c r="AS845">
        <v>2.2622840025380837</v>
      </c>
      <c r="AT845" t="e">
        <v>#DIV/0!</v>
      </c>
      <c r="AU845" t="e">
        <v>#DIV/0!</v>
      </c>
      <c r="AV845"/>
      <c r="AW845"/>
      <c r="FY845" s="211">
        <v>840</v>
      </c>
      <c r="FZ845">
        <v>1.3451977150384329</v>
      </c>
      <c r="GA845">
        <v>0.38735017759921181</v>
      </c>
      <c r="GB845">
        <v>0.12565184548559416</v>
      </c>
      <c r="GC845">
        <v>6.9638549917922385E-2</v>
      </c>
      <c r="GD845">
        <v>0</v>
      </c>
      <c r="GE845">
        <v>0</v>
      </c>
      <c r="GF845">
        <v>0</v>
      </c>
      <c r="GG845">
        <v>0</v>
      </c>
      <c r="GH845">
        <v>0</v>
      </c>
      <c r="GI845">
        <v>0.23006773246861079</v>
      </c>
      <c r="GJ845"/>
      <c r="GK845">
        <v>1.353362067247462</v>
      </c>
      <c r="GL845">
        <v>0.33331521555783822</v>
      </c>
      <c r="GM845">
        <v>0.20987613046478273</v>
      </c>
      <c r="GN845">
        <v>0.20987613046478273</v>
      </c>
      <c r="GO845">
        <v>0</v>
      </c>
      <c r="GP845">
        <v>0</v>
      </c>
      <c r="GQ845">
        <v>0</v>
      </c>
      <c r="GR845">
        <v>0</v>
      </c>
      <c r="GS845">
        <v>0</v>
      </c>
      <c r="GT845">
        <v>0.3126476395424489</v>
      </c>
      <c r="GU845"/>
      <c r="GV845"/>
      <c r="GW845"/>
      <c r="GX845"/>
      <c r="GY845"/>
      <c r="GZ845"/>
      <c r="HA845"/>
      <c r="HB845"/>
      <c r="HC845"/>
    </row>
    <row r="846" spans="1:211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1.8229166666666665</v>
      </c>
      <c r="AO846">
        <v>0.195934365898847</v>
      </c>
      <c r="AP846">
        <v>6.4286113325709096</v>
      </c>
      <c r="AQ846">
        <v>1.6432103606496895</v>
      </c>
      <c r="AR846">
        <v>0.22636078492785255</v>
      </c>
      <c r="AS846">
        <v>1.302016649608543</v>
      </c>
      <c r="AT846" t="e">
        <v>#DIV/0!</v>
      </c>
      <c r="AU846" t="e">
        <v>#DIV/0!</v>
      </c>
      <c r="AV846"/>
      <c r="AW846"/>
      <c r="FY846" s="211">
        <v>841</v>
      </c>
      <c r="FZ846">
        <v>0.34680245294452389</v>
      </c>
      <c r="GA846">
        <v>0</v>
      </c>
      <c r="GB846">
        <v>0.28405981870974384</v>
      </c>
      <c r="GC846">
        <v>0.26237402609864635</v>
      </c>
      <c r="GD846">
        <v>8.0173661321021189E-2</v>
      </c>
      <c r="GE846">
        <v>0</v>
      </c>
      <c r="GF846">
        <v>0</v>
      </c>
      <c r="GG846">
        <v>0</v>
      </c>
      <c r="GH846">
        <v>0</v>
      </c>
      <c r="GI846">
        <v>0.16751776520005054</v>
      </c>
      <c r="GJ846"/>
      <c r="GK846">
        <v>0.34622173483650337</v>
      </c>
      <c r="GL846">
        <v>0</v>
      </c>
      <c r="GM846">
        <v>0.47171153288079981</v>
      </c>
      <c r="GN846">
        <v>0.78652572857797387</v>
      </c>
      <c r="GO846">
        <v>0.31481419569717417</v>
      </c>
      <c r="GP846">
        <v>0</v>
      </c>
      <c r="GQ846">
        <v>0</v>
      </c>
      <c r="GR846">
        <v>0</v>
      </c>
      <c r="GS846">
        <v>0</v>
      </c>
      <c r="GT846">
        <v>0.22654949268289545</v>
      </c>
      <c r="GU846"/>
      <c r="GV846"/>
      <c r="GW846"/>
      <c r="GX846"/>
      <c r="GY846"/>
      <c r="GZ846"/>
      <c r="HA846"/>
      <c r="HB846"/>
      <c r="HC846"/>
    </row>
    <row r="847" spans="1:211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2.8781249999999998</v>
      </c>
      <c r="AO847">
        <v>0.42786617814847216</v>
      </c>
      <c r="AP847">
        <v>15.730218076101565</v>
      </c>
      <c r="AQ847">
        <v>3.369551090713907</v>
      </c>
      <c r="AR847">
        <v>0.45472573805525396</v>
      </c>
      <c r="AS847">
        <v>2.4302971934639843</v>
      </c>
      <c r="AT847" t="e">
        <v>#DIV/0!</v>
      </c>
      <c r="AU847" t="e">
        <v>#DIV/0!</v>
      </c>
      <c r="AV847"/>
      <c r="AW847"/>
      <c r="FY847" s="211">
        <v>842</v>
      </c>
      <c r="FZ847">
        <v>1.3229320299135936</v>
      </c>
      <c r="GA847">
        <v>0.86195082931690026</v>
      </c>
      <c r="GB847">
        <v>0.15840797322414965</v>
      </c>
      <c r="GC847">
        <v>8.8277651303840327E-2</v>
      </c>
      <c r="GD847">
        <v>0</v>
      </c>
      <c r="GE847">
        <v>0</v>
      </c>
      <c r="GF847">
        <v>0</v>
      </c>
      <c r="GG847">
        <v>0</v>
      </c>
      <c r="GH847">
        <v>0</v>
      </c>
      <c r="GI847">
        <v>0.23459208753547661</v>
      </c>
      <c r="GJ847"/>
      <c r="GK847">
        <v>1.3334195952193499</v>
      </c>
      <c r="GL847">
        <v>0.7403709403449259</v>
      </c>
      <c r="GM847">
        <v>0.26183540241601705</v>
      </c>
      <c r="GN847">
        <v>0.26183540241601705</v>
      </c>
      <c r="GO847">
        <v>0</v>
      </c>
      <c r="GP847">
        <v>0</v>
      </c>
      <c r="GQ847">
        <v>0</v>
      </c>
      <c r="GR847">
        <v>0</v>
      </c>
      <c r="GS847">
        <v>0</v>
      </c>
      <c r="GT847">
        <v>0.31905099952707339</v>
      </c>
      <c r="GU847"/>
      <c r="GV847"/>
      <c r="GW847"/>
      <c r="GX847"/>
      <c r="GY847"/>
      <c r="GZ847"/>
      <c r="HA847"/>
      <c r="HB847"/>
      <c r="HC847"/>
    </row>
    <row r="848" spans="1:211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2.270833333333333</v>
      </c>
      <c r="AO848">
        <v>0.21186417623129397</v>
      </c>
      <c r="AP848">
        <v>7.8729872001543431</v>
      </c>
      <c r="AQ848">
        <v>1.6743075575170649</v>
      </c>
      <c r="AR848">
        <v>0.24771087614807386</v>
      </c>
      <c r="AS848">
        <v>1.4461433619500224</v>
      </c>
      <c r="AT848" t="e">
        <v>#DIV/0!</v>
      </c>
      <c r="AU848" t="e">
        <v>#DIV/0!</v>
      </c>
      <c r="AV848"/>
      <c r="AW848"/>
      <c r="FY848" s="211">
        <v>843</v>
      </c>
      <c r="FZ848">
        <v>0.86989235727230785</v>
      </c>
      <c r="GA848">
        <v>0.38735017759921181</v>
      </c>
      <c r="GB848">
        <v>6.282592274279708E-2</v>
      </c>
      <c r="GC848">
        <v>3.4819274958961192E-2</v>
      </c>
      <c r="GD848">
        <v>0</v>
      </c>
      <c r="GE848">
        <v>0</v>
      </c>
      <c r="GF848">
        <v>0</v>
      </c>
      <c r="GG848">
        <v>0</v>
      </c>
      <c r="GH848">
        <v>0</v>
      </c>
      <c r="GI848">
        <v>0.14422723115686148</v>
      </c>
      <c r="GJ848"/>
      <c r="GK848">
        <v>0.87569339653068146</v>
      </c>
      <c r="GL848">
        <v>0.33331521555783822</v>
      </c>
      <c r="GM848">
        <v>0.10493806523239137</v>
      </c>
      <c r="GN848">
        <v>0.10493806523239137</v>
      </c>
      <c r="GO848">
        <v>0</v>
      </c>
      <c r="GP848">
        <v>0</v>
      </c>
      <c r="GQ848">
        <v>0</v>
      </c>
      <c r="GR848">
        <v>0</v>
      </c>
      <c r="GS848">
        <v>0</v>
      </c>
      <c r="GT848">
        <v>0.19612629235261453</v>
      </c>
      <c r="GU848"/>
      <c r="GV848"/>
      <c r="GW848"/>
      <c r="GX848"/>
      <c r="GY848"/>
      <c r="GZ848"/>
      <c r="HA848"/>
      <c r="HB848"/>
      <c r="HC848"/>
    </row>
    <row r="849" spans="1:211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4.3250000000000002</v>
      </c>
      <c r="AO849">
        <v>0.62639312486109622</v>
      </c>
      <c r="AP849">
        <v>17.672268269025203</v>
      </c>
      <c r="AQ849">
        <v>5.2689652811402006</v>
      </c>
      <c r="AR849">
        <v>0.62027404714032042</v>
      </c>
      <c r="AS849">
        <v>3.1453441752444387</v>
      </c>
      <c r="AT849" t="e">
        <v>#DIV/0!</v>
      </c>
      <c r="AU849" t="e">
        <v>#DIV/0!</v>
      </c>
      <c r="AV849"/>
      <c r="AW849"/>
      <c r="FY849" s="211">
        <v>844</v>
      </c>
      <c r="FZ849">
        <v>1.0231916129295013</v>
      </c>
      <c r="GA849">
        <v>0.38735017759921181</v>
      </c>
      <c r="GB849">
        <v>0.12565184548559416</v>
      </c>
      <c r="GC849">
        <v>0.13927709983584477</v>
      </c>
      <c r="GD849">
        <v>5.3449107547347455E-2</v>
      </c>
      <c r="GE849">
        <v>0</v>
      </c>
      <c r="GF849">
        <v>0.33021050058332063</v>
      </c>
      <c r="GG849">
        <v>0.29759236750664797</v>
      </c>
      <c r="GH849">
        <v>0</v>
      </c>
      <c r="GI849">
        <v>0.27740242715148233</v>
      </c>
      <c r="GJ849"/>
      <c r="GK849">
        <v>1.0287823932798208</v>
      </c>
      <c r="GL849">
        <v>0.33331521555783822</v>
      </c>
      <c r="GM849">
        <v>0.20987613046478273</v>
      </c>
      <c r="GN849">
        <v>0.41975226092956547</v>
      </c>
      <c r="GO849">
        <v>0.20987613046478273</v>
      </c>
      <c r="GP849">
        <v>0</v>
      </c>
      <c r="GQ849">
        <v>0.45369793096285549</v>
      </c>
      <c r="GR849">
        <v>0.45369793096285549</v>
      </c>
      <c r="GS849">
        <v>0</v>
      </c>
      <c r="GT849">
        <v>0.38044651703444837</v>
      </c>
      <c r="GU849"/>
      <c r="GV849"/>
      <c r="GW849"/>
      <c r="GX849"/>
      <c r="GY849"/>
      <c r="GZ849"/>
      <c r="HA849"/>
      <c r="HB849"/>
      <c r="HC849"/>
    </row>
    <row r="850" spans="1:211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2.7531249999999998</v>
      </c>
      <c r="AO850">
        <v>0.45338534818954085</v>
      </c>
      <c r="AP850">
        <v>17.40931342164907</v>
      </c>
      <c r="AQ850">
        <v>3.3480227459122802</v>
      </c>
      <c r="AR850">
        <v>0.47456841791777937</v>
      </c>
      <c r="AS850">
        <v>2.4738536391535892</v>
      </c>
      <c r="AT850" t="e">
        <v>#DIV/0!</v>
      </c>
      <c r="AU850" t="e">
        <v>#DIV/0!</v>
      </c>
      <c r="AV850"/>
      <c r="AW850"/>
      <c r="FY850" s="211">
        <v>845</v>
      </c>
      <c r="FZ850">
        <v>1.2567965107306431</v>
      </c>
      <c r="GA850">
        <v>0.38735017759921181</v>
      </c>
      <c r="GB850">
        <v>6.282592274279708E-2</v>
      </c>
      <c r="GC850">
        <v>3.4819274958961192E-2</v>
      </c>
      <c r="GD850">
        <v>0</v>
      </c>
      <c r="GE850">
        <v>0</v>
      </c>
      <c r="GF850">
        <v>0</v>
      </c>
      <c r="GG850">
        <v>0</v>
      </c>
      <c r="GH850">
        <v>0</v>
      </c>
      <c r="GI850">
        <v>0.2014939353537934</v>
      </c>
      <c r="GJ850"/>
      <c r="GK850">
        <v>1.2653998663087058</v>
      </c>
      <c r="GL850">
        <v>0.33331521555783822</v>
      </c>
      <c r="GM850">
        <v>0.10493806523239137</v>
      </c>
      <c r="GN850">
        <v>0.10493806523239137</v>
      </c>
      <c r="GO850">
        <v>0</v>
      </c>
      <c r="GP850">
        <v>0</v>
      </c>
      <c r="GQ850">
        <v>0</v>
      </c>
      <c r="GR850">
        <v>0</v>
      </c>
      <c r="GS850">
        <v>0</v>
      </c>
      <c r="GT850">
        <v>0.27406758630821948</v>
      </c>
      <c r="GU850"/>
      <c r="GV850"/>
      <c r="GW850"/>
      <c r="GX850"/>
      <c r="GY850"/>
      <c r="GZ850"/>
      <c r="HA850"/>
      <c r="HB850"/>
      <c r="HC850"/>
    </row>
    <row r="851" spans="1:211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2.2864583333333335</v>
      </c>
      <c r="AO851">
        <v>0.18579339816816323</v>
      </c>
      <c r="AP851">
        <v>4.5417523114768192</v>
      </c>
      <c r="AQ851">
        <v>1.1594010892651994</v>
      </c>
      <c r="AR851">
        <v>0.20558725171913481</v>
      </c>
      <c r="AS851">
        <v>1.4450451702230809</v>
      </c>
      <c r="AT851" t="e">
        <v>#DIV/0!</v>
      </c>
      <c r="AU851" t="e">
        <v>#DIV/0!</v>
      </c>
      <c r="AV851"/>
      <c r="AW851"/>
      <c r="FY851" s="211">
        <v>846</v>
      </c>
      <c r="FZ851">
        <v>1.1188037699756856</v>
      </c>
      <c r="GA851">
        <v>0.47460065171768845</v>
      </c>
      <c r="GB851">
        <v>0.12565184548559416</v>
      </c>
      <c r="GC851">
        <v>0.10445782487688358</v>
      </c>
      <c r="GD851">
        <v>2.6724553773673727E-2</v>
      </c>
      <c r="GE851">
        <v>0</v>
      </c>
      <c r="GF851">
        <v>0.33021050058332063</v>
      </c>
      <c r="GG851">
        <v>0.29759236750664797</v>
      </c>
      <c r="GH851">
        <v>0</v>
      </c>
      <c r="GI851">
        <v>0.27611911908068271</v>
      </c>
      <c r="GJ851"/>
      <c r="GK851">
        <v>1.1243327074373175</v>
      </c>
      <c r="GL851">
        <v>0.40705572478708768</v>
      </c>
      <c r="GM851">
        <v>0.20987613046478273</v>
      </c>
      <c r="GN851">
        <v>0.31481419569717412</v>
      </c>
      <c r="GO851">
        <v>0.10493806523239137</v>
      </c>
      <c r="GP851">
        <v>0</v>
      </c>
      <c r="GQ851">
        <v>0.45369793096285549</v>
      </c>
      <c r="GR851">
        <v>0.45369793096285549</v>
      </c>
      <c r="GS851">
        <v>0</v>
      </c>
      <c r="GT851">
        <v>0.37856896681946939</v>
      </c>
      <c r="GU851"/>
      <c r="GV851"/>
      <c r="GW851"/>
      <c r="GX851"/>
      <c r="GY851"/>
      <c r="GZ851"/>
      <c r="HA851"/>
      <c r="HB851"/>
      <c r="HC851"/>
    </row>
    <row r="852" spans="1:211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3.9781250000000008</v>
      </c>
      <c r="AO852">
        <v>0.60488358848548118</v>
      </c>
      <c r="AP852">
        <v>14.237131803959405</v>
      </c>
      <c r="AQ852">
        <v>4.8936308033656113</v>
      </c>
      <c r="AR852">
        <v>0.63564741644466549</v>
      </c>
      <c r="AS852">
        <v>3.207913202662044</v>
      </c>
      <c r="AT852" t="e">
        <v>#DIV/0!</v>
      </c>
      <c r="AU852" t="e">
        <v>#DIV/0!</v>
      </c>
      <c r="AV852"/>
      <c r="AW852"/>
      <c r="FY852" s="211">
        <v>847</v>
      </c>
      <c r="FZ852">
        <v>1.2708269704047981</v>
      </c>
      <c r="GA852">
        <v>0.38735017759921181</v>
      </c>
      <c r="GB852">
        <v>0.22123389596694673</v>
      </c>
      <c r="GC852">
        <v>0.1579162012217627</v>
      </c>
      <c r="GD852">
        <v>2.6724553773673727E-2</v>
      </c>
      <c r="GE852">
        <v>0</v>
      </c>
      <c r="GF852">
        <v>0</v>
      </c>
      <c r="GG852">
        <v>0</v>
      </c>
      <c r="GH852">
        <v>0</v>
      </c>
      <c r="GI852">
        <v>0.25785638234119479</v>
      </c>
      <c r="GJ852"/>
      <c r="GK852">
        <v>1.278849678645263</v>
      </c>
      <c r="GL852">
        <v>0.33331521555783822</v>
      </c>
      <c r="GM852">
        <v>0.3667734676484084</v>
      </c>
      <c r="GN852">
        <v>0.47171153288079981</v>
      </c>
      <c r="GO852">
        <v>0.10493806523239137</v>
      </c>
      <c r="GP852">
        <v>0</v>
      </c>
      <c r="GQ852">
        <v>0</v>
      </c>
      <c r="GR852">
        <v>0</v>
      </c>
      <c r="GS852">
        <v>0</v>
      </c>
      <c r="GT852">
        <v>0.35011224230521254</v>
      </c>
      <c r="GU852"/>
      <c r="GV852"/>
      <c r="GW852"/>
      <c r="GX852"/>
      <c r="GY852"/>
      <c r="GZ852"/>
      <c r="HA852"/>
      <c r="HB852"/>
      <c r="HC852"/>
    </row>
    <row r="853" spans="1:211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1.2479166666666666</v>
      </c>
      <c r="AO853">
        <v>0.16302695155595689</v>
      </c>
      <c r="AP853">
        <v>0.83758934851731004</v>
      </c>
      <c r="AQ853">
        <v>1.6375122374569953</v>
      </c>
      <c r="AR853">
        <v>0.20386896512874686</v>
      </c>
      <c r="AS853">
        <v>1.2734781218096487</v>
      </c>
      <c r="AT853" t="e">
        <v>#DIV/0!</v>
      </c>
      <c r="AU853" t="e">
        <v>#DIV/0!</v>
      </c>
      <c r="AV853"/>
      <c r="AW853"/>
      <c r="FY853" s="211">
        <v>848</v>
      </c>
      <c r="FZ853">
        <v>1.8901720856651425</v>
      </c>
      <c r="GA853">
        <v>1.1620505327976354</v>
      </c>
      <c r="GB853">
        <v>7.9203986612074825E-2</v>
      </c>
      <c r="GC853">
        <v>0.11377737556984255</v>
      </c>
      <c r="GD853">
        <v>5.3449107547347455E-2</v>
      </c>
      <c r="GE853">
        <v>0</v>
      </c>
      <c r="GF853">
        <v>0</v>
      </c>
      <c r="GG853">
        <v>0</v>
      </c>
      <c r="GH853">
        <v>0</v>
      </c>
      <c r="GI853">
        <v>0.33007799246011127</v>
      </c>
      <c r="GJ853"/>
      <c r="GK853">
        <v>1.9042101399468139</v>
      </c>
      <c r="GL853">
        <v>0.9999456466735146</v>
      </c>
      <c r="GM853">
        <v>0.13091770120800852</v>
      </c>
      <c r="GN853">
        <v>0.34079383167279126</v>
      </c>
      <c r="GO853">
        <v>0.20987613046478273</v>
      </c>
      <c r="GP853">
        <v>0</v>
      </c>
      <c r="GQ853">
        <v>0</v>
      </c>
      <c r="GR853">
        <v>0</v>
      </c>
      <c r="GS853">
        <v>0</v>
      </c>
      <c r="GT853">
        <v>0.44900079432392104</v>
      </c>
      <c r="GU853"/>
      <c r="GV853"/>
      <c r="GW853"/>
      <c r="GX853"/>
      <c r="GY853"/>
      <c r="GZ853"/>
      <c r="HA853"/>
      <c r="HB853"/>
      <c r="HC853"/>
    </row>
    <row r="854" spans="1:211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1.7479166666666668</v>
      </c>
      <c r="AO854">
        <v>0.28400502727802462</v>
      </c>
      <c r="AP854">
        <v>9.2661229642906999</v>
      </c>
      <c r="AQ854">
        <v>2.4049045118934207</v>
      </c>
      <c r="AR854">
        <v>0.32468317683786013</v>
      </c>
      <c r="AS854">
        <v>1.5279067870686878</v>
      </c>
      <c r="AT854" t="e">
        <v>#DIV/0!</v>
      </c>
      <c r="AU854" t="e">
        <v>#DIV/0!</v>
      </c>
      <c r="AV854"/>
      <c r="AW854"/>
      <c r="FY854" s="211">
        <v>849</v>
      </c>
      <c r="FZ854">
        <v>1.0472227381050971</v>
      </c>
      <c r="GA854">
        <v>0.56185112583616514</v>
      </c>
      <c r="GB854">
        <v>7.9203986612074825E-2</v>
      </c>
      <c r="GC854">
        <v>7.8958100610881349E-2</v>
      </c>
      <c r="GD854">
        <v>2.6724553773673727E-2</v>
      </c>
      <c r="GE854">
        <v>0</v>
      </c>
      <c r="GF854">
        <v>0.33021050058332063</v>
      </c>
      <c r="GG854">
        <v>0.29759236750664797</v>
      </c>
      <c r="GH854">
        <v>0</v>
      </c>
      <c r="GI854">
        <v>0.25406848960106898</v>
      </c>
      <c r="GJ854"/>
      <c r="GK854">
        <v>1.0503724793044122</v>
      </c>
      <c r="GL854">
        <v>0.48079623401633714</v>
      </c>
      <c r="GM854">
        <v>0.13091770120800852</v>
      </c>
      <c r="GN854">
        <v>0.23585576644039991</v>
      </c>
      <c r="GO854">
        <v>0.10493806523239137</v>
      </c>
      <c r="GP854">
        <v>0</v>
      </c>
      <c r="GQ854">
        <v>0.45369793096285549</v>
      </c>
      <c r="GR854">
        <v>0.45369793096285549</v>
      </c>
      <c r="GS854">
        <v>0</v>
      </c>
      <c r="GT854">
        <v>0.34798523534153353</v>
      </c>
      <c r="GU854"/>
      <c r="GV854"/>
      <c r="GW854"/>
      <c r="GX854"/>
      <c r="GY854"/>
      <c r="GZ854"/>
      <c r="HA854"/>
      <c r="HB854"/>
      <c r="HC854"/>
    </row>
    <row r="855" spans="1:211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3.4197916666666659</v>
      </c>
      <c r="AO855">
        <v>0.5188841462020708</v>
      </c>
      <c r="AP855">
        <v>21.766890160475128</v>
      </c>
      <c r="AQ855">
        <v>4.1381264130488251</v>
      </c>
      <c r="AR855">
        <v>0.53600562231796589</v>
      </c>
      <c r="AS855">
        <v>2.4806988533892906</v>
      </c>
      <c r="AT855" t="e">
        <v>#DIV/0!</v>
      </c>
      <c r="AU855" t="e">
        <v>#DIV/0!</v>
      </c>
      <c r="AV855"/>
      <c r="AW855"/>
      <c r="FY855" s="211">
        <v>850</v>
      </c>
      <c r="FZ855">
        <v>2.7334394151161496</v>
      </c>
      <c r="GA855">
        <v>1.7239016586338005</v>
      </c>
      <c r="GB855">
        <v>0.12565184548559416</v>
      </c>
      <c r="GC855">
        <v>0.13927709983584477</v>
      </c>
      <c r="GD855">
        <v>5.3449107547347455E-2</v>
      </c>
      <c r="GE855">
        <v>0</v>
      </c>
      <c r="GF855">
        <v>0.99063150174996206</v>
      </c>
      <c r="GG855">
        <v>0.89277710251994391</v>
      </c>
      <c r="GH855">
        <v>0</v>
      </c>
      <c r="GI855">
        <v>0.65845958478781119</v>
      </c>
      <c r="GJ855"/>
      <c r="GK855">
        <v>2.7591522008937859</v>
      </c>
      <c r="GL855">
        <v>1.4807418806898518</v>
      </c>
      <c r="GM855">
        <v>0.20987613046478273</v>
      </c>
      <c r="GN855">
        <v>0.41975226092956547</v>
      </c>
      <c r="GO855">
        <v>0.20987613046478273</v>
      </c>
      <c r="GP855">
        <v>0</v>
      </c>
      <c r="GQ855">
        <v>1.3610937928885667</v>
      </c>
      <c r="GR855">
        <v>1.3610937928885667</v>
      </c>
      <c r="GS855">
        <v>0</v>
      </c>
      <c r="GT855">
        <v>0.90799965094238355</v>
      </c>
      <c r="GU855"/>
      <c r="GV855"/>
      <c r="GW855"/>
      <c r="GX855"/>
      <c r="GY855"/>
      <c r="GZ855"/>
      <c r="HA855"/>
      <c r="HB855"/>
      <c r="HC855"/>
    </row>
    <row r="856" spans="1:211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2.1854166666666668</v>
      </c>
      <c r="AO856">
        <v>0.24190771832773147</v>
      </c>
      <c r="AP856">
        <v>4.7637467520720715</v>
      </c>
      <c r="AQ856">
        <v>2.1579060205097722</v>
      </c>
      <c r="AR856">
        <v>0.3126476395424489</v>
      </c>
      <c r="AS856">
        <v>1.9444303158683791</v>
      </c>
      <c r="AT856" t="e">
        <v>#DIV/0!</v>
      </c>
      <c r="AU856" t="e">
        <v>#DIV/0!</v>
      </c>
      <c r="AV856"/>
      <c r="AW856"/>
      <c r="FY856" s="211">
        <v>851</v>
      </c>
      <c r="FZ856">
        <v>0.79320506491840304</v>
      </c>
      <c r="GA856">
        <v>0.17450094823695328</v>
      </c>
      <c r="GB856">
        <v>0.12565184548559416</v>
      </c>
      <c r="GC856">
        <v>0.13927709983584477</v>
      </c>
      <c r="GD856">
        <v>5.3449107547347455E-2</v>
      </c>
      <c r="GE856">
        <v>0</v>
      </c>
      <c r="GF856">
        <v>0.66042100116664126</v>
      </c>
      <c r="GG856">
        <v>0.59518473501329594</v>
      </c>
      <c r="GH856">
        <v>0</v>
      </c>
      <c r="GI856">
        <v>0.30760792770907847</v>
      </c>
      <c r="GJ856"/>
      <c r="GK856">
        <v>0.79128612400229537</v>
      </c>
      <c r="GL856">
        <v>0.14748101845849892</v>
      </c>
      <c r="GM856">
        <v>0.20987613046478273</v>
      </c>
      <c r="GN856">
        <v>0.41975226092956547</v>
      </c>
      <c r="GO856">
        <v>0.20987613046478273</v>
      </c>
      <c r="GP856">
        <v>0</v>
      </c>
      <c r="GQ856">
        <v>0.90739586192571098</v>
      </c>
      <c r="GR856">
        <v>0.90739586192571098</v>
      </c>
      <c r="GS856">
        <v>0</v>
      </c>
      <c r="GT856">
        <v>0.42368684937151435</v>
      </c>
      <c r="GU856"/>
      <c r="GV856"/>
      <c r="GW856"/>
      <c r="GX856"/>
      <c r="GY856"/>
      <c r="GZ856"/>
      <c r="HA856"/>
      <c r="HB856"/>
      <c r="HC856"/>
    </row>
    <row r="857" spans="1:211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2.0208333333333335</v>
      </c>
      <c r="AO857">
        <v>0.21458226846753464</v>
      </c>
      <c r="AP857">
        <v>5.9006608386754733</v>
      </c>
      <c r="AQ857">
        <v>1.1409277242739859</v>
      </c>
      <c r="AR857">
        <v>0.22654949268289548</v>
      </c>
      <c r="AS857">
        <v>1.4643459254061439</v>
      </c>
      <c r="AT857" t="e">
        <v>#DIV/0!</v>
      </c>
      <c r="AU857" t="e">
        <v>#DIV/0!</v>
      </c>
      <c r="AV857"/>
      <c r="AW857"/>
      <c r="FY857" s="211">
        <v>852</v>
      </c>
      <c r="FZ857">
        <v>0.75506310048457526</v>
      </c>
      <c r="GA857">
        <v>0.47460065171768845</v>
      </c>
      <c r="GB857">
        <v>0.204855832097669</v>
      </c>
      <c r="GC857">
        <v>0.11377737556984255</v>
      </c>
      <c r="GD857">
        <v>0</v>
      </c>
      <c r="GE857">
        <v>0</v>
      </c>
      <c r="GF857">
        <v>0.99063150174996206</v>
      </c>
      <c r="GG857">
        <v>0.89277710251994391</v>
      </c>
      <c r="GH857">
        <v>0</v>
      </c>
      <c r="GI857">
        <v>0.35435752649861513</v>
      </c>
      <c r="GJ857"/>
      <c r="GK857">
        <v>0.7585499347234832</v>
      </c>
      <c r="GL857">
        <v>0.40705572478708768</v>
      </c>
      <c r="GM857">
        <v>0.34079383167279126</v>
      </c>
      <c r="GN857">
        <v>0.34079383167279126</v>
      </c>
      <c r="GO857">
        <v>0</v>
      </c>
      <c r="GP857">
        <v>0</v>
      </c>
      <c r="GQ857">
        <v>1.3610937928885667</v>
      </c>
      <c r="GR857">
        <v>1.3610937928885667</v>
      </c>
      <c r="GS857">
        <v>0</v>
      </c>
      <c r="GT857">
        <v>0.4920875118569682</v>
      </c>
      <c r="GU857"/>
      <c r="GV857"/>
      <c r="GW857"/>
      <c r="GX857"/>
      <c r="GY857"/>
      <c r="GZ857"/>
      <c r="HA857"/>
      <c r="HB857"/>
      <c r="HC857"/>
    </row>
    <row r="858" spans="1:211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2.1520833333333331</v>
      </c>
      <c r="AO858">
        <v>0.29165123399233833</v>
      </c>
      <c r="AP858">
        <v>4.6255628510585485</v>
      </c>
      <c r="AQ858">
        <v>2.6661605712939607</v>
      </c>
      <c r="AR858">
        <v>0.31905099952707344</v>
      </c>
      <c r="AS858">
        <v>1.8413067825636487</v>
      </c>
      <c r="AT858" t="e">
        <v>#DIV/0!</v>
      </c>
      <c r="AU858" t="e">
        <v>#DIV/0!</v>
      </c>
      <c r="AV858"/>
      <c r="AW858"/>
      <c r="FY858" s="211">
        <v>853</v>
      </c>
      <c r="FZ858">
        <v>1.1031231263519896</v>
      </c>
      <c r="GA858">
        <v>0.38735017759921181</v>
      </c>
      <c r="GB858">
        <v>0.28405981870974384</v>
      </c>
      <c r="GC858">
        <v>0.1927354761807239</v>
      </c>
      <c r="GD858">
        <v>2.6724553773673727E-2</v>
      </c>
      <c r="GE858">
        <v>0</v>
      </c>
      <c r="GF858">
        <v>0.33021050058332063</v>
      </c>
      <c r="GG858">
        <v>0.29759236750664797</v>
      </c>
      <c r="GH858">
        <v>0</v>
      </c>
      <c r="GI858">
        <v>0.3125077953228349</v>
      </c>
      <c r="GJ858"/>
      <c r="GK858">
        <v>1.1118744933773654</v>
      </c>
      <c r="GL858">
        <v>0.33331521555783822</v>
      </c>
      <c r="GM858">
        <v>0.47171153288079981</v>
      </c>
      <c r="GN858">
        <v>0.57664959811319116</v>
      </c>
      <c r="GO858">
        <v>0.10493806523239137</v>
      </c>
      <c r="GP858">
        <v>0</v>
      </c>
      <c r="GQ858">
        <v>0.45369793096285549</v>
      </c>
      <c r="GR858">
        <v>0.45369793096285549</v>
      </c>
      <c r="GS858">
        <v>0</v>
      </c>
      <c r="GT858">
        <v>0.42844440449068244</v>
      </c>
      <c r="GU858"/>
      <c r="GV858"/>
      <c r="GW858"/>
      <c r="GX858"/>
      <c r="GY858"/>
      <c r="GZ858"/>
      <c r="HA858"/>
      <c r="HB858"/>
      <c r="HC858"/>
    </row>
    <row r="859" spans="1:211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1.6958333333333335</v>
      </c>
      <c r="AO859">
        <v>0.16150110349059171</v>
      </c>
      <c r="AP859">
        <v>3.047387347445877</v>
      </c>
      <c r="AQ859">
        <v>1.4991149637301393</v>
      </c>
      <c r="AR859">
        <v>0.19612629235261453</v>
      </c>
      <c r="AS859">
        <v>1.178080386609949</v>
      </c>
      <c r="AT859" t="e">
        <v>#DIV/0!</v>
      </c>
      <c r="AU859" t="e">
        <v>#DIV/0!</v>
      </c>
      <c r="AV859"/>
      <c r="AW859"/>
      <c r="FY859" s="211">
        <v>854</v>
      </c>
      <c r="FZ859">
        <v>1.7315106593446066</v>
      </c>
      <c r="GA859">
        <v>0.86195082931690026</v>
      </c>
      <c r="GB859">
        <v>0.15840797322414965</v>
      </c>
      <c r="GC859">
        <v>8.8277651303840327E-2</v>
      </c>
      <c r="GD859">
        <v>0</v>
      </c>
      <c r="GE859">
        <v>0</v>
      </c>
      <c r="GF859">
        <v>0</v>
      </c>
      <c r="GG859">
        <v>0</v>
      </c>
      <c r="GH859">
        <v>0</v>
      </c>
      <c r="GI859">
        <v>0.29501089855796137</v>
      </c>
      <c r="GJ859"/>
      <c r="GK859">
        <v>1.7468521954108998</v>
      </c>
      <c r="GL859">
        <v>0.7403709403449259</v>
      </c>
      <c r="GM859">
        <v>0.26183540241601705</v>
      </c>
      <c r="GN859">
        <v>0.26183540241601705</v>
      </c>
      <c r="GO859">
        <v>0</v>
      </c>
      <c r="GP859">
        <v>0</v>
      </c>
      <c r="GQ859">
        <v>0</v>
      </c>
      <c r="GR859">
        <v>0</v>
      </c>
      <c r="GS859">
        <v>0</v>
      </c>
      <c r="GT859">
        <v>0.40173751956538339</v>
      </c>
      <c r="GU859"/>
      <c r="GV859"/>
      <c r="GW859"/>
      <c r="GX859"/>
      <c r="GY859"/>
      <c r="GZ859"/>
      <c r="HA859"/>
      <c r="HB859"/>
      <c r="HC859"/>
    </row>
    <row r="860" spans="1:211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2.7791666666666663</v>
      </c>
      <c r="AO860">
        <v>0.34894445096569493</v>
      </c>
      <c r="AP860">
        <v>10.972889737898928</v>
      </c>
      <c r="AQ860">
        <v>2.634125138638951</v>
      </c>
      <c r="AR860">
        <v>0.38044651703444837</v>
      </c>
      <c r="AS860">
        <v>1.9280817955929954</v>
      </c>
      <c r="AT860" t="e">
        <v>#DIV/0!</v>
      </c>
      <c r="AU860" t="e">
        <v>#DIV/0!</v>
      </c>
      <c r="AV860"/>
      <c r="AW860"/>
      <c r="FY860" s="211">
        <v>855</v>
      </c>
      <c r="FZ860">
        <v>1.715575270764901</v>
      </c>
      <c r="GA860">
        <v>0.86195082931690026</v>
      </c>
      <c r="GB860">
        <v>0</v>
      </c>
      <c r="GC860">
        <v>6.9638549917922385E-2</v>
      </c>
      <c r="GD860">
        <v>5.3449107547347455E-2</v>
      </c>
      <c r="GE860">
        <v>0</v>
      </c>
      <c r="GF860">
        <v>0.33021050058332063</v>
      </c>
      <c r="GG860">
        <v>0.29759236750664797</v>
      </c>
      <c r="GH860">
        <v>0</v>
      </c>
      <c r="GI860">
        <v>0.34883408554855211</v>
      </c>
      <c r="GJ860"/>
      <c r="GK860">
        <v>1.7307512417647457</v>
      </c>
      <c r="GL860">
        <v>0.7403709403449259</v>
      </c>
      <c r="GM860">
        <v>0</v>
      </c>
      <c r="GN860">
        <v>0.20987613046478273</v>
      </c>
      <c r="GO860">
        <v>0.20987613046478273</v>
      </c>
      <c r="GP860">
        <v>0</v>
      </c>
      <c r="GQ860">
        <v>0.45369793096285549</v>
      </c>
      <c r="GR860">
        <v>0.45369793096285549</v>
      </c>
      <c r="GS860">
        <v>0</v>
      </c>
      <c r="GT860">
        <v>0.47886506063847684</v>
      </c>
      <c r="GU860"/>
      <c r="GV860"/>
      <c r="GW860"/>
      <c r="GX860"/>
      <c r="GY860"/>
      <c r="GZ860"/>
      <c r="HA860"/>
      <c r="HB860"/>
      <c r="HC860"/>
    </row>
    <row r="861" spans="1:211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1.6333333333333333</v>
      </c>
      <c r="AO861">
        <v>0.20826587986395464</v>
      </c>
      <c r="AP861">
        <v>3.0891540397028039</v>
      </c>
      <c r="AQ861">
        <v>1.9432858213854065</v>
      </c>
      <c r="AR861">
        <v>0.27406758630821942</v>
      </c>
      <c r="AS861">
        <v>1.5642809382278964</v>
      </c>
      <c r="AT861" t="e">
        <v>#DIV/0!</v>
      </c>
      <c r="AU861" t="e">
        <v>#DIV/0!</v>
      </c>
      <c r="AV861"/>
      <c r="AW861"/>
      <c r="FY861" s="211">
        <v>856</v>
      </c>
      <c r="FZ861">
        <v>0.95768200498380196</v>
      </c>
      <c r="GA861">
        <v>0.38735017759921181</v>
      </c>
      <c r="GB861">
        <v>0.23761195983622446</v>
      </c>
      <c r="GC861">
        <v>0.16723575191472168</v>
      </c>
      <c r="GD861">
        <v>2.6724553773673727E-2</v>
      </c>
      <c r="GE861">
        <v>0</v>
      </c>
      <c r="GF861">
        <v>0.66042100116664126</v>
      </c>
      <c r="GG861">
        <v>0.59518473501329594</v>
      </c>
      <c r="GH861">
        <v>0</v>
      </c>
      <c r="GI861">
        <v>0.34367705023855055</v>
      </c>
      <c r="GJ861"/>
      <c r="GK861">
        <v>0.96086651961975744</v>
      </c>
      <c r="GL861">
        <v>0.33331521555783822</v>
      </c>
      <c r="GM861">
        <v>0.39275310362402555</v>
      </c>
      <c r="GN861">
        <v>0.4976911688564169</v>
      </c>
      <c r="GO861">
        <v>0.10493806523239137</v>
      </c>
      <c r="GP861">
        <v>0</v>
      </c>
      <c r="GQ861">
        <v>0.90739586192571098</v>
      </c>
      <c r="GR861">
        <v>0.90739586192571098</v>
      </c>
      <c r="GS861">
        <v>0</v>
      </c>
      <c r="GT861">
        <v>0.47319071008037705</v>
      </c>
      <c r="GU861"/>
      <c r="GV861"/>
      <c r="GW861"/>
      <c r="GX861"/>
      <c r="GY861"/>
      <c r="GZ861"/>
      <c r="HA861"/>
      <c r="HB861"/>
      <c r="HC861"/>
    </row>
    <row r="862" spans="1:211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2.6437499999999998</v>
      </c>
      <c r="AO862">
        <v>0.34469816523639335</v>
      </c>
      <c r="AP862">
        <v>10.377343931834355</v>
      </c>
      <c r="AQ862">
        <v>2.7541606330001769</v>
      </c>
      <c r="AR862">
        <v>0.37856896681946939</v>
      </c>
      <c r="AS862">
        <v>2.1303718316027243</v>
      </c>
      <c r="AT862" t="e">
        <v>#DIV/0!</v>
      </c>
      <c r="AU862" t="e">
        <v>#DIV/0!</v>
      </c>
      <c r="AV862"/>
      <c r="AW862"/>
      <c r="FY862" s="211">
        <v>857</v>
      </c>
      <c r="FZ862">
        <v>1.3765576626297593</v>
      </c>
      <c r="GA862">
        <v>0.56185112583616514</v>
      </c>
      <c r="GB862">
        <v>0.23761195983622446</v>
      </c>
      <c r="GC862">
        <v>0.16723575191472168</v>
      </c>
      <c r="GD862">
        <v>2.6724553773673727E-2</v>
      </c>
      <c r="GE862">
        <v>0</v>
      </c>
      <c r="GF862">
        <v>0.33021050058332063</v>
      </c>
      <c r="GG862">
        <v>0.29759236750664797</v>
      </c>
      <c r="GH862">
        <v>0</v>
      </c>
      <c r="GI862">
        <v>0.3414760999966483</v>
      </c>
      <c r="GJ862"/>
      <c r="GK862">
        <v>1.3870439238428467</v>
      </c>
      <c r="GL862">
        <v>0.48079623401633714</v>
      </c>
      <c r="GM862">
        <v>0.39275310362402555</v>
      </c>
      <c r="GN862">
        <v>0.4976911688564169</v>
      </c>
      <c r="GO862">
        <v>0.10493806523239137</v>
      </c>
      <c r="GP862">
        <v>0</v>
      </c>
      <c r="GQ862">
        <v>0.45369793096285549</v>
      </c>
      <c r="GR862">
        <v>0.45369793096285549</v>
      </c>
      <c r="GS862">
        <v>0</v>
      </c>
      <c r="GT862">
        <v>0.46768660473242385</v>
      </c>
      <c r="GU862"/>
      <c r="GV862"/>
      <c r="GW862"/>
      <c r="GX862"/>
      <c r="GY862"/>
      <c r="GZ862"/>
      <c r="HA862"/>
      <c r="HB862"/>
      <c r="HC862"/>
    </row>
    <row r="863" spans="1:211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2.9458333333333337</v>
      </c>
      <c r="AO863">
        <v>0.2905700202269913</v>
      </c>
      <c r="AP863">
        <v>6.8427317573272264</v>
      </c>
      <c r="AQ863">
        <v>2.3219081813075881</v>
      </c>
      <c r="AR863">
        <v>0.35011224230521254</v>
      </c>
      <c r="AS863">
        <v>2.0216249967667106</v>
      </c>
      <c r="AT863" t="e">
        <v>#DIV/0!</v>
      </c>
      <c r="AU863" t="e">
        <v>#DIV/0!</v>
      </c>
      <c r="AV863"/>
      <c r="AW863"/>
      <c r="FY863" s="211">
        <v>858</v>
      </c>
      <c r="FZ863">
        <v>1.032031304872028</v>
      </c>
      <c r="GA863">
        <v>0.77470035519842362</v>
      </c>
      <c r="GB863">
        <v>0.12565184548559416</v>
      </c>
      <c r="GC863">
        <v>6.9638549917922385E-2</v>
      </c>
      <c r="GD863">
        <v>0</v>
      </c>
      <c r="GE863">
        <v>0</v>
      </c>
      <c r="GF863">
        <v>0.33021050058332063</v>
      </c>
      <c r="GG863">
        <v>0.29759236750664797</v>
      </c>
      <c r="GH863">
        <v>0</v>
      </c>
      <c r="GI863">
        <v>0.24772955725588036</v>
      </c>
      <c r="GJ863"/>
      <c r="GK863">
        <v>1.039934445980319</v>
      </c>
      <c r="GL863">
        <v>0.66663043111567644</v>
      </c>
      <c r="GM863">
        <v>0.20987613046478273</v>
      </c>
      <c r="GN863">
        <v>0.20987613046478273</v>
      </c>
      <c r="GO863">
        <v>0</v>
      </c>
      <c r="GP863">
        <v>0</v>
      </c>
      <c r="GQ863">
        <v>0.45369793096285549</v>
      </c>
      <c r="GR863">
        <v>0.45369793096285549</v>
      </c>
      <c r="GS863">
        <v>0</v>
      </c>
      <c r="GT863">
        <v>0.34070170148159151</v>
      </c>
      <c r="GU863"/>
      <c r="GV863"/>
      <c r="GW863"/>
      <c r="GX863"/>
      <c r="GY863"/>
      <c r="GZ863"/>
      <c r="HA863"/>
      <c r="HB863"/>
      <c r="HC863"/>
    </row>
    <row r="864" spans="1:211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3.3843749999999999</v>
      </c>
      <c r="AO864">
        <v>0.40347442442898318</v>
      </c>
      <c r="AP864">
        <v>5.5488788662843298</v>
      </c>
      <c r="AQ864">
        <v>3.628731080652154</v>
      </c>
      <c r="AR864">
        <v>0.44900079432392104</v>
      </c>
      <c r="AS864">
        <v>2.5643979865784647</v>
      </c>
      <c r="AT864" t="e">
        <v>#DIV/0!</v>
      </c>
      <c r="AU864" t="e">
        <v>#DIV/0!</v>
      </c>
      <c r="AV864"/>
      <c r="AW864"/>
      <c r="FY864" s="211">
        <v>859</v>
      </c>
      <c r="FZ864">
        <v>0.82279265678656843</v>
      </c>
      <c r="GA864">
        <v>0.47460065171768845</v>
      </c>
      <c r="GB864">
        <v>0.30043788257902154</v>
      </c>
      <c r="GC864">
        <v>0.16723575191472168</v>
      </c>
      <c r="GD864">
        <v>0</v>
      </c>
      <c r="GE864">
        <v>0</v>
      </c>
      <c r="GF864">
        <v>0.66042100116664126</v>
      </c>
      <c r="GG864">
        <v>0.59518473501329594</v>
      </c>
      <c r="GH864">
        <v>0</v>
      </c>
      <c r="GI864">
        <v>0.32367490400174137</v>
      </c>
      <c r="GJ864"/>
      <c r="GK864">
        <v>0.82624608947989109</v>
      </c>
      <c r="GL864">
        <v>0.40705572478708768</v>
      </c>
      <c r="GM864">
        <v>0.4976911688564169</v>
      </c>
      <c r="GN864">
        <v>0.4976911688564169</v>
      </c>
      <c r="GO864">
        <v>0</v>
      </c>
      <c r="GP864">
        <v>0</v>
      </c>
      <c r="GQ864">
        <v>0.90739586192571098</v>
      </c>
      <c r="GR864">
        <v>0.90739586192571098</v>
      </c>
      <c r="GS864">
        <v>0</v>
      </c>
      <c r="GT864">
        <v>0.4462666240524038</v>
      </c>
      <c r="GU864"/>
      <c r="GV864"/>
      <c r="GW864"/>
      <c r="GX864"/>
      <c r="GY864"/>
      <c r="GZ864"/>
      <c r="HA864"/>
      <c r="HB864"/>
      <c r="HC864"/>
    </row>
    <row r="865" spans="1:211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2.6177083333333329</v>
      </c>
      <c r="AO865">
        <v>0.32582613434687929</v>
      </c>
      <c r="AP865">
        <v>9.146404042182116</v>
      </c>
      <c r="AQ865">
        <v>2.6758318626289297</v>
      </c>
      <c r="AR865">
        <v>0.34798523534153353</v>
      </c>
      <c r="AS865">
        <v>2.2162698725012855</v>
      </c>
      <c r="AT865" t="e">
        <v>#DIV/0!</v>
      </c>
      <c r="AU865" t="e">
        <v>#DIV/0!</v>
      </c>
      <c r="AV865"/>
      <c r="AW865"/>
      <c r="FY865" s="211">
        <v>860</v>
      </c>
      <c r="FZ865">
        <v>1.1367591691301082</v>
      </c>
      <c r="GA865">
        <v>0.86195082931690026</v>
      </c>
      <c r="GB865">
        <v>0</v>
      </c>
      <c r="GC865">
        <v>0</v>
      </c>
      <c r="GD865">
        <v>0</v>
      </c>
      <c r="GE865">
        <v>0</v>
      </c>
      <c r="GF865">
        <v>0.99063150174996206</v>
      </c>
      <c r="GG865">
        <v>0.89277710251994391</v>
      </c>
      <c r="GH865">
        <v>0</v>
      </c>
      <c r="GI865">
        <v>0.36048546099332346</v>
      </c>
      <c r="GJ865"/>
      <c r="GK865">
        <v>1.1446686069467258</v>
      </c>
      <c r="GL865">
        <v>0.7403709403449259</v>
      </c>
      <c r="GM865">
        <v>0</v>
      </c>
      <c r="GN865">
        <v>0</v>
      </c>
      <c r="GO865">
        <v>0</v>
      </c>
      <c r="GP865">
        <v>0</v>
      </c>
      <c r="GQ865">
        <v>1.3610937928885667</v>
      </c>
      <c r="GR865">
        <v>1.3610937928885667</v>
      </c>
      <c r="GS865">
        <v>0</v>
      </c>
      <c r="GT865">
        <v>0.50115247996705847</v>
      </c>
      <c r="GU865"/>
      <c r="GV865"/>
      <c r="GW865"/>
      <c r="GX865"/>
      <c r="GY865"/>
      <c r="GZ865"/>
      <c r="HA865"/>
      <c r="HB865"/>
      <c r="HC865"/>
    </row>
    <row r="866" spans="1:211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4.3979166666666663</v>
      </c>
      <c r="AO866">
        <v>0.8709585840162285</v>
      </c>
      <c r="AP866">
        <v>24.882277709128452</v>
      </c>
      <c r="AQ866">
        <v>7.3175873156764535</v>
      </c>
      <c r="AR866">
        <v>0.90799965094238355</v>
      </c>
      <c r="AS866">
        <v>4.1464970147313531</v>
      </c>
      <c r="AT866" t="e">
        <v>#DIV/0!</v>
      </c>
      <c r="AU866" t="e">
        <v>#DIV/0!</v>
      </c>
      <c r="AV866"/>
      <c r="AW866"/>
      <c r="FY866" s="211">
        <v>861</v>
      </c>
      <c r="FZ866">
        <v>1.1436592300819948</v>
      </c>
      <c r="GA866">
        <v>0.56185112583616514</v>
      </c>
      <c r="GB866">
        <v>0.14202990935487192</v>
      </c>
      <c r="GC866">
        <v>0.11377737556984255</v>
      </c>
      <c r="GD866">
        <v>2.6724553773673727E-2</v>
      </c>
      <c r="GE866">
        <v>0</v>
      </c>
      <c r="GF866">
        <v>0</v>
      </c>
      <c r="GG866">
        <v>0</v>
      </c>
      <c r="GH866">
        <v>0</v>
      </c>
      <c r="GI866">
        <v>0.21967355574915248</v>
      </c>
      <c r="GJ866"/>
      <c r="GK866">
        <v>1.1492820047016332</v>
      </c>
      <c r="GL866">
        <v>0.48079623401633714</v>
      </c>
      <c r="GM866">
        <v>0.23585576644039991</v>
      </c>
      <c r="GN866">
        <v>0.34079383167279126</v>
      </c>
      <c r="GO866">
        <v>0.10493806523239137</v>
      </c>
      <c r="GP866">
        <v>0</v>
      </c>
      <c r="GQ866">
        <v>0</v>
      </c>
      <c r="GR866">
        <v>0</v>
      </c>
      <c r="GS866">
        <v>0</v>
      </c>
      <c r="GT866">
        <v>0.29801516727488492</v>
      </c>
      <c r="GU866"/>
      <c r="GV866"/>
      <c r="GW866"/>
      <c r="GX866"/>
      <c r="GY866"/>
      <c r="GZ866"/>
      <c r="HA866"/>
      <c r="HB866"/>
      <c r="HC866"/>
    </row>
    <row r="867" spans="1:211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3.8333333333333335</v>
      </c>
      <c r="AO867">
        <v>0.4016750237542861</v>
      </c>
      <c r="AP867">
        <v>15.687343986248919</v>
      </c>
      <c r="AQ867">
        <v>2.8492977299131583</v>
      </c>
      <c r="AR867">
        <v>0.42368684937151435</v>
      </c>
      <c r="AS867">
        <v>2.4378425848008178</v>
      </c>
      <c r="AT867" t="e">
        <v>#DIV/0!</v>
      </c>
      <c r="AU867" t="e">
        <v>#DIV/0!</v>
      </c>
      <c r="AV867"/>
      <c r="AW867"/>
      <c r="FY867" s="211">
        <v>862</v>
      </c>
      <c r="FZ867">
        <v>0.98652564150533095</v>
      </c>
      <c r="GA867">
        <v>0.47460065171768845</v>
      </c>
      <c r="GB867">
        <v>0.15840797322414965</v>
      </c>
      <c r="GC867">
        <v>0.1579162012217627</v>
      </c>
      <c r="GD867">
        <v>5.3449107547347455E-2</v>
      </c>
      <c r="GE867">
        <v>0</v>
      </c>
      <c r="GF867">
        <v>0</v>
      </c>
      <c r="GG867">
        <v>0</v>
      </c>
      <c r="GH867">
        <v>0</v>
      </c>
      <c r="GI867">
        <v>0.2158449172445058</v>
      </c>
      <c r="GJ867"/>
      <c r="GK867">
        <v>0.99016356477529222</v>
      </c>
      <c r="GL867">
        <v>0.40705572478708768</v>
      </c>
      <c r="GM867">
        <v>0.26183540241601705</v>
      </c>
      <c r="GN867">
        <v>0.47171153288079981</v>
      </c>
      <c r="GO867">
        <v>0.20987613046478273</v>
      </c>
      <c r="GP867">
        <v>0</v>
      </c>
      <c r="GQ867">
        <v>0</v>
      </c>
      <c r="GR867">
        <v>0</v>
      </c>
      <c r="GS867">
        <v>0</v>
      </c>
      <c r="GT867">
        <v>0.29237501953121847</v>
      </c>
      <c r="GU867"/>
      <c r="GV867"/>
      <c r="GW867"/>
      <c r="GX867"/>
      <c r="GY867"/>
      <c r="GZ867"/>
      <c r="HA867"/>
      <c r="HB867"/>
      <c r="HC867"/>
    </row>
    <row r="868" spans="1:211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2.5447916666666668</v>
      </c>
      <c r="AO868">
        <v>0.50614684204902549</v>
      </c>
      <c r="AP868">
        <v>24.038558719255505</v>
      </c>
      <c r="AQ868">
        <v>3.7860630906382964</v>
      </c>
      <c r="AR868">
        <v>0.4920875118569682</v>
      </c>
      <c r="AS868">
        <v>2.2707121323108961</v>
      </c>
      <c r="AT868" t="e">
        <v>#DIV/0!</v>
      </c>
      <c r="AU868" t="e">
        <v>#DIV/0!</v>
      </c>
      <c r="AV868"/>
      <c r="AW868"/>
      <c r="FY868" s="211">
        <v>863</v>
      </c>
      <c r="FZ868">
        <v>1.6210996800920037</v>
      </c>
      <c r="GA868">
        <v>1.1620505327976354</v>
      </c>
      <c r="GB868">
        <v>0.23761195983622446</v>
      </c>
      <c r="GC868">
        <v>0.13241647695576048</v>
      </c>
      <c r="GD868">
        <v>0</v>
      </c>
      <c r="GE868">
        <v>0</v>
      </c>
      <c r="GF868">
        <v>0.33021050058332063</v>
      </c>
      <c r="GG868">
        <v>0.29759236750664797</v>
      </c>
      <c r="GH868">
        <v>0</v>
      </c>
      <c r="GI868">
        <v>0.36223136896143937</v>
      </c>
      <c r="GJ868"/>
      <c r="GK868">
        <v>1.6327694258353258</v>
      </c>
      <c r="GL868">
        <v>0.9999456466735146</v>
      </c>
      <c r="GM868">
        <v>0.39275310362402555</v>
      </c>
      <c r="GN868">
        <v>0.39275310362402555</v>
      </c>
      <c r="GO868">
        <v>0</v>
      </c>
      <c r="GP868">
        <v>0</v>
      </c>
      <c r="GQ868">
        <v>0.45369793096285549</v>
      </c>
      <c r="GR868">
        <v>0.45369793096285549</v>
      </c>
      <c r="GS868">
        <v>0</v>
      </c>
      <c r="GT868">
        <v>0.49584409208444136</v>
      </c>
      <c r="GU868"/>
      <c r="GV868"/>
      <c r="GW868"/>
      <c r="GX868"/>
      <c r="GY868"/>
      <c r="GZ868"/>
      <c r="HA868"/>
      <c r="HB868"/>
      <c r="HC868"/>
    </row>
    <row r="869" spans="1:211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2.2374999999999998</v>
      </c>
      <c r="AO869">
        <v>0.39343291715779793</v>
      </c>
      <c r="AP869">
        <v>13.499122675079006</v>
      </c>
      <c r="AQ869">
        <v>2.9343038160281463</v>
      </c>
      <c r="AR869">
        <v>0.42844440449068244</v>
      </c>
      <c r="AS869">
        <v>2.4390978696666101</v>
      </c>
      <c r="AT869" t="e">
        <v>#DIV/0!</v>
      </c>
      <c r="AU869" t="e">
        <v>#DIV/0!</v>
      </c>
      <c r="AV869"/>
      <c r="AW869"/>
      <c r="FY869" s="211">
        <v>864</v>
      </c>
      <c r="FZ869">
        <v>0.76897847848956347</v>
      </c>
      <c r="GA869">
        <v>0</v>
      </c>
      <c r="GB869">
        <v>0.23761195983622446</v>
      </c>
      <c r="GC869">
        <v>0.13241647695576048</v>
      </c>
      <c r="GD869">
        <v>0</v>
      </c>
      <c r="GE869">
        <v>0</v>
      </c>
      <c r="GF869">
        <v>0</v>
      </c>
      <c r="GG869">
        <v>0</v>
      </c>
      <c r="GH869">
        <v>0</v>
      </c>
      <c r="GI869">
        <v>0.17215293178508451</v>
      </c>
      <c r="GJ869"/>
      <c r="GK869">
        <v>0.77041594250638257</v>
      </c>
      <c r="GL869">
        <v>0</v>
      </c>
      <c r="GM869">
        <v>0.39275310362402555</v>
      </c>
      <c r="GN869">
        <v>0.39275310362402555</v>
      </c>
      <c r="GO869">
        <v>0</v>
      </c>
      <c r="GP869">
        <v>0</v>
      </c>
      <c r="GQ869">
        <v>0</v>
      </c>
      <c r="GR869">
        <v>0</v>
      </c>
      <c r="GS869">
        <v>0</v>
      </c>
      <c r="GT869">
        <v>0.23263380922608165</v>
      </c>
      <c r="GU869"/>
      <c r="GV869"/>
      <c r="GW869"/>
      <c r="GX869"/>
      <c r="GY869"/>
      <c r="GZ869"/>
      <c r="HA869"/>
      <c r="HB869"/>
      <c r="HC869"/>
    </row>
    <row r="870" spans="1:211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2.4020833333333331</v>
      </c>
      <c r="AO870">
        <v>0.34126314601532426</v>
      </c>
      <c r="AP870">
        <v>4.6135992184471402</v>
      </c>
      <c r="AQ870">
        <v>3.1351580117474582</v>
      </c>
      <c r="AR870">
        <v>0.40173751956538339</v>
      </c>
      <c r="AS870">
        <v>2.2945038418661503</v>
      </c>
      <c r="AT870" t="e">
        <v>#DIV/0!</v>
      </c>
      <c r="AU870" t="e">
        <v>#DIV/0!</v>
      </c>
      <c r="AV870"/>
      <c r="AW870"/>
      <c r="FY870" s="211">
        <v>865</v>
      </c>
      <c r="FZ870">
        <v>0.93604932120066731</v>
      </c>
      <c r="GA870">
        <v>0.47460065171768845</v>
      </c>
      <c r="GB870">
        <v>0</v>
      </c>
      <c r="GC870">
        <v>3.4819274958961192E-2</v>
      </c>
      <c r="GD870">
        <v>2.6724553773673727E-2</v>
      </c>
      <c r="GE870">
        <v>0</v>
      </c>
      <c r="GF870">
        <v>0.66042100116664126</v>
      </c>
      <c r="GG870">
        <v>0.59518473501329594</v>
      </c>
      <c r="GH870">
        <v>0</v>
      </c>
      <c r="GI870">
        <v>0.28226047433307128</v>
      </c>
      <c r="GJ870"/>
      <c r="GK870">
        <v>0.93915758768296276</v>
      </c>
      <c r="GL870">
        <v>0.40705572478708768</v>
      </c>
      <c r="GM870">
        <v>0</v>
      </c>
      <c r="GN870">
        <v>0.10493806523239137</v>
      </c>
      <c r="GO870">
        <v>0.10493806523239137</v>
      </c>
      <c r="GP870">
        <v>0</v>
      </c>
      <c r="GQ870">
        <v>0.90739586192571098</v>
      </c>
      <c r="GR870">
        <v>0.90739586192571098</v>
      </c>
      <c r="GS870">
        <v>0</v>
      </c>
      <c r="GT870">
        <v>0.390298302968213</v>
      </c>
      <c r="GU870"/>
      <c r="GV870"/>
      <c r="GW870"/>
      <c r="GX870"/>
      <c r="GY870"/>
      <c r="GZ870"/>
      <c r="HA870"/>
      <c r="HB870"/>
      <c r="HC870"/>
    </row>
    <row r="871" spans="1:211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2.4854166666666666</v>
      </c>
      <c r="AO871">
        <v>0.4277135365603425</v>
      </c>
      <c r="AP871">
        <v>10.783970159695698</v>
      </c>
      <c r="AQ871">
        <v>3.6772507111855921</v>
      </c>
      <c r="AR871">
        <v>0.47886506063847684</v>
      </c>
      <c r="AS871">
        <v>2.3103354677053725</v>
      </c>
      <c r="AT871" t="e">
        <v>#DIV/0!</v>
      </c>
      <c r="AU871" t="e">
        <v>#DIV/0!</v>
      </c>
      <c r="AV871"/>
      <c r="AW871"/>
      <c r="FY871" s="211">
        <v>866</v>
      </c>
      <c r="FZ871">
        <v>0.76701031264906105</v>
      </c>
      <c r="GA871">
        <v>0.38735017759921181</v>
      </c>
      <c r="GB871">
        <v>7.9203986612074825E-2</v>
      </c>
      <c r="GC871">
        <v>0.11377737556984255</v>
      </c>
      <c r="GD871">
        <v>5.3449107547347455E-2</v>
      </c>
      <c r="GE871">
        <v>0</v>
      </c>
      <c r="GF871">
        <v>0.66042100116664126</v>
      </c>
      <c r="GG871">
        <v>0.59518473501329594</v>
      </c>
      <c r="GH871">
        <v>0</v>
      </c>
      <c r="GI871">
        <v>0.29206043409350035</v>
      </c>
      <c r="GJ871"/>
      <c r="GK871">
        <v>0.77030314047841797</v>
      </c>
      <c r="GL871">
        <v>0.33331521555783822</v>
      </c>
      <c r="GM871">
        <v>0.13091770120800852</v>
      </c>
      <c r="GN871">
        <v>0.34079383167279126</v>
      </c>
      <c r="GO871">
        <v>0.20987613046478273</v>
      </c>
      <c r="GP871">
        <v>0</v>
      </c>
      <c r="GQ871">
        <v>0.90739586192571098</v>
      </c>
      <c r="GR871">
        <v>0.90739586192571098</v>
      </c>
      <c r="GS871">
        <v>0</v>
      </c>
      <c r="GT871">
        <v>0.40369856681538402</v>
      </c>
      <c r="GU871"/>
      <c r="GV871"/>
      <c r="GW871"/>
      <c r="GX871"/>
      <c r="GY871"/>
      <c r="GZ871"/>
      <c r="HA871"/>
      <c r="HB871"/>
      <c r="HC871"/>
    </row>
    <row r="872" spans="1:211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3.2843749999999998</v>
      </c>
      <c r="AO872">
        <v>0.45775465068222287</v>
      </c>
      <c r="AP872">
        <v>19.376066766900731</v>
      </c>
      <c r="AQ872">
        <v>3.3758872345261217</v>
      </c>
      <c r="AR872">
        <v>0.47319071008037705</v>
      </c>
      <c r="AS872">
        <v>2.5082198104753397</v>
      </c>
      <c r="AT872" t="e">
        <v>#DIV/0!</v>
      </c>
      <c r="AU872" t="e">
        <v>#DIV/0!</v>
      </c>
      <c r="AV872"/>
      <c r="AW872"/>
      <c r="FY872" s="211">
        <v>867</v>
      </c>
      <c r="FZ872">
        <v>1.237498856972969</v>
      </c>
      <c r="GA872">
        <v>0.9492013034353769</v>
      </c>
      <c r="GB872">
        <v>0</v>
      </c>
      <c r="GC872">
        <v>3.4819274958961192E-2</v>
      </c>
      <c r="GD872">
        <v>2.6724553773673727E-2</v>
      </c>
      <c r="GE872">
        <v>0</v>
      </c>
      <c r="GF872">
        <v>0</v>
      </c>
      <c r="GG872">
        <v>0</v>
      </c>
      <c r="GH872">
        <v>0</v>
      </c>
      <c r="GI872">
        <v>0.19866445402091412</v>
      </c>
      <c r="GJ872"/>
      <c r="GK872">
        <v>1.2450550200219135</v>
      </c>
      <c r="GL872">
        <v>0.81411144957417536</v>
      </c>
      <c r="GM872">
        <v>0</v>
      </c>
      <c r="GN872">
        <v>0.10493806523239137</v>
      </c>
      <c r="GO872">
        <v>0.10493806523239137</v>
      </c>
      <c r="GP872">
        <v>0</v>
      </c>
      <c r="GQ872">
        <v>0</v>
      </c>
      <c r="GR872">
        <v>0</v>
      </c>
      <c r="GS872">
        <v>0</v>
      </c>
      <c r="GT872">
        <v>0.26999861705086098</v>
      </c>
      <c r="GU872"/>
      <c r="GV872"/>
      <c r="GW872"/>
      <c r="GX872"/>
      <c r="GY872"/>
      <c r="GZ872"/>
      <c r="HA872"/>
      <c r="HB872"/>
      <c r="HC872"/>
    </row>
    <row r="873" spans="1:211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3.5031249999999994</v>
      </c>
      <c r="AO873">
        <v>0.42383049622301516</v>
      </c>
      <c r="AP873">
        <v>12.379754848020822</v>
      </c>
      <c r="AQ873">
        <v>3.3392600220771618</v>
      </c>
      <c r="AR873">
        <v>0.46768660473242391</v>
      </c>
      <c r="AS873">
        <v>2.432642430493043</v>
      </c>
      <c r="AT873" t="e">
        <v>#DIV/0!</v>
      </c>
      <c r="AU873" t="e">
        <v>#DIV/0!</v>
      </c>
      <c r="AV873"/>
      <c r="AW873"/>
      <c r="FY873" s="211">
        <v>868</v>
      </c>
      <c r="FZ873">
        <v>0.87938219320566413</v>
      </c>
      <c r="GA873">
        <v>0.38735017759921181</v>
      </c>
      <c r="GB873">
        <v>0.204855832097669</v>
      </c>
      <c r="GC873">
        <v>0.14859665052880375</v>
      </c>
      <c r="GD873">
        <v>2.6724553773673727E-2</v>
      </c>
      <c r="GE873">
        <v>0</v>
      </c>
      <c r="GF873">
        <v>0</v>
      </c>
      <c r="GG873">
        <v>0</v>
      </c>
      <c r="GH873">
        <v>0</v>
      </c>
      <c r="GI873">
        <v>0.19594893622685344</v>
      </c>
      <c r="GJ873"/>
      <c r="GK873">
        <v>0.88531361952179277</v>
      </c>
      <c r="GL873">
        <v>0.33331521555783822</v>
      </c>
      <c r="GM873">
        <v>0.34079383167279126</v>
      </c>
      <c r="GN873">
        <v>0.44573189690518267</v>
      </c>
      <c r="GO873">
        <v>0.10493806523239137</v>
      </c>
      <c r="GP873">
        <v>0</v>
      </c>
      <c r="GQ873">
        <v>0</v>
      </c>
      <c r="GR873">
        <v>0</v>
      </c>
      <c r="GS873">
        <v>0</v>
      </c>
      <c r="GT873">
        <v>0.26620910328539504</v>
      </c>
      <c r="GU873"/>
      <c r="GV873"/>
      <c r="GW873"/>
      <c r="GX873"/>
      <c r="GY873"/>
      <c r="GZ873"/>
      <c r="HA873"/>
      <c r="HB873"/>
      <c r="HC873"/>
    </row>
    <row r="874" spans="1:211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1.7562500000000001</v>
      </c>
      <c r="AO874">
        <v>0.33744147014328629</v>
      </c>
      <c r="AP874">
        <v>10.922992386192336</v>
      </c>
      <c r="AQ874">
        <v>2.8775544808198172</v>
      </c>
      <c r="AR874">
        <v>0.34070170148159151</v>
      </c>
      <c r="AS874">
        <v>1.8765358328640953</v>
      </c>
      <c r="AT874" t="e">
        <v>#DIV/0!</v>
      </c>
      <c r="AU874" t="e">
        <v>#DIV/0!</v>
      </c>
      <c r="AV874"/>
      <c r="AW874"/>
      <c r="FY874" s="211">
        <v>869</v>
      </c>
      <c r="FZ874">
        <v>0.7328820970400971</v>
      </c>
      <c r="GA874">
        <v>0.17450094823695328</v>
      </c>
      <c r="GB874">
        <v>0</v>
      </c>
      <c r="GC874">
        <v>0</v>
      </c>
      <c r="GD874">
        <v>0</v>
      </c>
      <c r="GE874">
        <v>0</v>
      </c>
      <c r="GF874">
        <v>0.66042100116664126</v>
      </c>
      <c r="GG874">
        <v>0.59518473501329594</v>
      </c>
      <c r="GH874">
        <v>0</v>
      </c>
      <c r="GI874">
        <v>0.23682055859530959</v>
      </c>
      <c r="GJ874"/>
      <c r="GK874">
        <v>0.73151358565537639</v>
      </c>
      <c r="GL874">
        <v>0.14748101845849892</v>
      </c>
      <c r="GM874">
        <v>0</v>
      </c>
      <c r="GN874">
        <v>0</v>
      </c>
      <c r="GO874">
        <v>0</v>
      </c>
      <c r="GP874">
        <v>0</v>
      </c>
      <c r="GQ874">
        <v>0.90739586192571098</v>
      </c>
      <c r="GR874">
        <v>0.90739586192571098</v>
      </c>
      <c r="GS874">
        <v>0</v>
      </c>
      <c r="GT874">
        <v>0.32778188951621745</v>
      </c>
      <c r="GU874"/>
      <c r="GV874"/>
      <c r="GW874"/>
      <c r="GX874"/>
      <c r="GY874"/>
      <c r="GZ874"/>
      <c r="HA874"/>
      <c r="HB874"/>
      <c r="HC874"/>
    </row>
    <row r="875" spans="1:211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2.9510416666666668</v>
      </c>
      <c r="AO875">
        <v>0.44897424998836383</v>
      </c>
      <c r="AP875">
        <v>19.587277525041301</v>
      </c>
      <c r="AQ875">
        <v>3.3443475831796787</v>
      </c>
      <c r="AR875">
        <v>0.4462666240524038</v>
      </c>
      <c r="AS875">
        <v>2.3349609426216609</v>
      </c>
      <c r="AT875" t="e">
        <v>#DIV/0!</v>
      </c>
      <c r="AU875" t="e">
        <v>#DIV/0!</v>
      </c>
      <c r="AV875"/>
      <c r="AW875"/>
      <c r="FY875" s="211">
        <v>870</v>
      </c>
      <c r="FZ875">
        <v>0.49175140148186641</v>
      </c>
      <c r="GA875">
        <v>0.26175142235542992</v>
      </c>
      <c r="GB875">
        <v>6.282592274279708E-2</v>
      </c>
      <c r="GC875">
        <v>6.9638549917922385E-2</v>
      </c>
      <c r="GD875">
        <v>2.6724553773673727E-2</v>
      </c>
      <c r="GE875">
        <v>0</v>
      </c>
      <c r="GF875">
        <v>0.66042100116664126</v>
      </c>
      <c r="GG875">
        <v>0.59518473501329594</v>
      </c>
      <c r="GH875">
        <v>0</v>
      </c>
      <c r="GI875">
        <v>0.23196821372575013</v>
      </c>
      <c r="GJ875"/>
      <c r="GK875">
        <v>0.49123426734043041</v>
      </c>
      <c r="GL875">
        <v>0.22122152768774839</v>
      </c>
      <c r="GM875">
        <v>0.10493806523239137</v>
      </c>
      <c r="GN875">
        <v>0.20987613046478273</v>
      </c>
      <c r="GO875">
        <v>0.10493806523239137</v>
      </c>
      <c r="GP875">
        <v>0</v>
      </c>
      <c r="GQ875">
        <v>0.90739586192571098</v>
      </c>
      <c r="GR875">
        <v>0.90739586192571098</v>
      </c>
      <c r="GS875">
        <v>0</v>
      </c>
      <c r="GT875">
        <v>0.32170125194618482</v>
      </c>
      <c r="GU875"/>
      <c r="GV875"/>
      <c r="GW875"/>
      <c r="GX875"/>
      <c r="GY875"/>
      <c r="GZ875"/>
      <c r="HA875"/>
      <c r="HB875"/>
      <c r="HC875"/>
    </row>
    <row r="876" spans="1:211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1.9854166666666664</v>
      </c>
      <c r="AO876">
        <v>0.51083796130358439</v>
      </c>
      <c r="AP876">
        <v>20.510599661125664</v>
      </c>
      <c r="AQ876">
        <v>4.242604063710238</v>
      </c>
      <c r="AR876">
        <v>0.50115247996705847</v>
      </c>
      <c r="AS876">
        <v>2.25324936103772</v>
      </c>
      <c r="AT876" t="e">
        <v>#DIV/0!</v>
      </c>
      <c r="AU876" t="e">
        <v>#DIV/0!</v>
      </c>
      <c r="AV876"/>
      <c r="AW876"/>
      <c r="FY876" s="211">
        <v>871</v>
      </c>
      <c r="FZ876">
        <v>0.68474376920111213</v>
      </c>
      <c r="GA876">
        <v>0</v>
      </c>
      <c r="GB876">
        <v>0.18847776822839127</v>
      </c>
      <c r="GC876">
        <v>0.10445782487688361</v>
      </c>
      <c r="GD876">
        <v>0</v>
      </c>
      <c r="GE876">
        <v>0</v>
      </c>
      <c r="GF876">
        <v>0.33021050058332063</v>
      </c>
      <c r="GG876">
        <v>0.29759236750664797</v>
      </c>
      <c r="GH876">
        <v>0</v>
      </c>
      <c r="GI876">
        <v>0.21191063480150507</v>
      </c>
      <c r="GJ876"/>
      <c r="GK876">
        <v>0.68584695473087121</v>
      </c>
      <c r="GL876">
        <v>0</v>
      </c>
      <c r="GM876">
        <v>0.31481419569717417</v>
      </c>
      <c r="GN876">
        <v>0.31481419569717417</v>
      </c>
      <c r="GO876">
        <v>0</v>
      </c>
      <c r="GP876">
        <v>0</v>
      </c>
      <c r="GQ876">
        <v>0.45369793096285549</v>
      </c>
      <c r="GR876">
        <v>0.45369793096285549</v>
      </c>
      <c r="GS876">
        <v>0</v>
      </c>
      <c r="GT876">
        <v>0.29087181627818015</v>
      </c>
      <c r="GU876"/>
      <c r="GV876"/>
      <c r="GW876"/>
      <c r="GX876"/>
      <c r="GY876"/>
      <c r="GZ876"/>
      <c r="HA876"/>
      <c r="HB876"/>
      <c r="HC876"/>
    </row>
    <row r="877" spans="1:211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2.7427083333333333</v>
      </c>
      <c r="AO877">
        <v>0.26096810693384376</v>
      </c>
      <c r="AP877">
        <v>4.2274421373383682</v>
      </c>
      <c r="AQ877">
        <v>2.2077157503657006</v>
      </c>
      <c r="AR877">
        <v>0.29801516727488492</v>
      </c>
      <c r="AS877">
        <v>1.9858744959041199</v>
      </c>
      <c r="AT877" t="e">
        <v>#DIV/0!</v>
      </c>
      <c r="AU877" t="e">
        <v>#DIV/0!</v>
      </c>
      <c r="AV877"/>
      <c r="AW877"/>
      <c r="FY877" s="211">
        <v>872</v>
      </c>
      <c r="FZ877">
        <v>0.93231588974145707</v>
      </c>
      <c r="GA877">
        <v>0.38735017759921181</v>
      </c>
      <c r="GB877">
        <v>0.204855832097669</v>
      </c>
      <c r="GC877">
        <v>0.14859665052880375</v>
      </c>
      <c r="GD877">
        <v>2.6724553773673727E-2</v>
      </c>
      <c r="GE877">
        <v>0</v>
      </c>
      <c r="GF877">
        <v>0</v>
      </c>
      <c r="GG877">
        <v>0</v>
      </c>
      <c r="GH877">
        <v>0</v>
      </c>
      <c r="GI877">
        <v>0.20378905623738897</v>
      </c>
      <c r="GJ877"/>
      <c r="GK877">
        <v>0.93845257937794557</v>
      </c>
      <c r="GL877">
        <v>0.33331521555783822</v>
      </c>
      <c r="GM877">
        <v>0.34079383167279126</v>
      </c>
      <c r="GN877">
        <v>0.44573189690518267</v>
      </c>
      <c r="GO877">
        <v>0.10493806523239137</v>
      </c>
      <c r="GP877">
        <v>0</v>
      </c>
      <c r="GQ877">
        <v>0</v>
      </c>
      <c r="GR877">
        <v>0</v>
      </c>
      <c r="GS877">
        <v>0</v>
      </c>
      <c r="GT877">
        <v>0.27683689525662564</v>
      </c>
      <c r="GU877"/>
      <c r="GV877"/>
      <c r="GW877"/>
      <c r="GX877"/>
      <c r="GY877"/>
      <c r="GZ877"/>
      <c r="HA877"/>
      <c r="HB877"/>
      <c r="HC877"/>
    </row>
    <row r="878" spans="1:211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2.4874999999999998</v>
      </c>
      <c r="AO878">
        <v>0.26330173748551983</v>
      </c>
      <c r="AP878">
        <v>4.6323059669679116</v>
      </c>
      <c r="AQ878">
        <v>2.0467444924607849</v>
      </c>
      <c r="AR878">
        <v>0.29237501953121847</v>
      </c>
      <c r="AS878">
        <v>1.9949927446997795</v>
      </c>
      <c r="AT878" t="e">
        <v>#DIV/0!</v>
      </c>
      <c r="AU878" t="e">
        <v>#DIV/0!</v>
      </c>
      <c r="AV878"/>
      <c r="AW878"/>
      <c r="FY878" s="211">
        <v>873</v>
      </c>
      <c r="FZ878">
        <v>1.2607673700646891</v>
      </c>
      <c r="GA878">
        <v>0.38735017759921181</v>
      </c>
      <c r="GB878">
        <v>7.9203986612074825E-2</v>
      </c>
      <c r="GC878">
        <v>7.8958100610881349E-2</v>
      </c>
      <c r="GD878">
        <v>2.6724553773673727E-2</v>
      </c>
      <c r="GE878">
        <v>0</v>
      </c>
      <c r="GF878">
        <v>0</v>
      </c>
      <c r="GG878">
        <v>0</v>
      </c>
      <c r="GH878">
        <v>0</v>
      </c>
      <c r="GI878">
        <v>0.22151360331684827</v>
      </c>
      <c r="GJ878"/>
      <c r="GK878">
        <v>1.2684575762812023</v>
      </c>
      <c r="GL878">
        <v>0.33331521555783822</v>
      </c>
      <c r="GM878">
        <v>0.13091770120800852</v>
      </c>
      <c r="GN878">
        <v>0.23585576644039991</v>
      </c>
      <c r="GO878">
        <v>0.10493806523239137</v>
      </c>
      <c r="GP878">
        <v>0</v>
      </c>
      <c r="GQ878">
        <v>0</v>
      </c>
      <c r="GR878">
        <v>0</v>
      </c>
      <c r="GS878">
        <v>0</v>
      </c>
      <c r="GT878">
        <v>0.30086266854432042</v>
      </c>
      <c r="GU878"/>
      <c r="GV878"/>
      <c r="GW878"/>
      <c r="GX878"/>
      <c r="GY878"/>
      <c r="GZ878"/>
      <c r="HA878"/>
      <c r="HB878"/>
      <c r="HC878"/>
    </row>
    <row r="879" spans="1:211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3.8427083333333334</v>
      </c>
      <c r="AO879">
        <v>0.48214612337670443</v>
      </c>
      <c r="AP879">
        <v>14.573896137355353</v>
      </c>
      <c r="AQ879">
        <v>4.143212886733032</v>
      </c>
      <c r="AR879">
        <v>0.49584409208444141</v>
      </c>
      <c r="AS879">
        <v>2.5724621907229293</v>
      </c>
      <c r="AT879" t="e">
        <v>#DIV/0!</v>
      </c>
      <c r="AU879" t="e">
        <v>#DIV/0!</v>
      </c>
      <c r="AV879"/>
      <c r="AW879"/>
      <c r="FY879" s="211">
        <v>874</v>
      </c>
      <c r="FZ879">
        <v>1.3017324096905873</v>
      </c>
      <c r="GA879">
        <v>0.77470035519842362</v>
      </c>
      <c r="GB879">
        <v>0</v>
      </c>
      <c r="GC879">
        <v>6.9638549917922385E-2</v>
      </c>
      <c r="GD879">
        <v>5.3449107547347455E-2</v>
      </c>
      <c r="GE879">
        <v>0</v>
      </c>
      <c r="GF879">
        <v>0.66042100116664126</v>
      </c>
      <c r="GG879">
        <v>0.59518473501329594</v>
      </c>
      <c r="GH879">
        <v>0</v>
      </c>
      <c r="GI879">
        <v>0.35163941467993076</v>
      </c>
      <c r="GJ879"/>
      <c r="GK879">
        <v>1.3143988681407832</v>
      </c>
      <c r="GL879">
        <v>0.66663043111567644</v>
      </c>
      <c r="GM879">
        <v>0</v>
      </c>
      <c r="GN879">
        <v>0.20987613046478273</v>
      </c>
      <c r="GO879">
        <v>0.20987613046478273</v>
      </c>
      <c r="GP879">
        <v>0</v>
      </c>
      <c r="GQ879">
        <v>0.90739586192571098</v>
      </c>
      <c r="GR879">
        <v>0.90739586192571098</v>
      </c>
      <c r="GS879">
        <v>0</v>
      </c>
      <c r="GT879">
        <v>0.4863341721062554</v>
      </c>
      <c r="GU879"/>
      <c r="GV879"/>
      <c r="GW879"/>
      <c r="GX879"/>
      <c r="GY879"/>
      <c r="GZ879"/>
      <c r="HA879"/>
      <c r="HB879"/>
      <c r="HC879"/>
    </row>
    <row r="880" spans="1:211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2.359375</v>
      </c>
      <c r="AO880">
        <v>0.1788555958980515</v>
      </c>
      <c r="AP880">
        <v>4.5238710981807291</v>
      </c>
      <c r="AQ880">
        <v>1.311159847066633</v>
      </c>
      <c r="AR880">
        <v>0.23263380922608165</v>
      </c>
      <c r="AS880">
        <v>1.695349895031224</v>
      </c>
      <c r="AT880" t="e">
        <v>#DIV/0!</v>
      </c>
      <c r="AU880" t="e">
        <v>#DIV/0!</v>
      </c>
      <c r="AV880"/>
      <c r="AW880"/>
      <c r="FY880" s="211">
        <v>875</v>
      </c>
      <c r="FZ880">
        <v>1.3064311790234195</v>
      </c>
      <c r="GA880">
        <v>0.47460065171768845</v>
      </c>
      <c r="GB880">
        <v>6.282592274279708E-2</v>
      </c>
      <c r="GC880">
        <v>3.4819274958961192E-2</v>
      </c>
      <c r="GD880">
        <v>0</v>
      </c>
      <c r="GE880">
        <v>0</v>
      </c>
      <c r="GF880">
        <v>0.66042100116664126</v>
      </c>
      <c r="GG880">
        <v>0.59518473501329594</v>
      </c>
      <c r="GH880">
        <v>0</v>
      </c>
      <c r="GI880">
        <v>0.33709542595286479</v>
      </c>
      <c r="GJ880"/>
      <c r="GK880">
        <v>1.3117565942425884</v>
      </c>
      <c r="GL880">
        <v>0.40705572478708768</v>
      </c>
      <c r="GM880">
        <v>0.10493806523239137</v>
      </c>
      <c r="GN880">
        <v>0.10493806523239137</v>
      </c>
      <c r="GO880">
        <v>0</v>
      </c>
      <c r="GP880">
        <v>0</v>
      </c>
      <c r="GQ880">
        <v>0.90739586192571098</v>
      </c>
      <c r="GR880">
        <v>0.90739586192571098</v>
      </c>
      <c r="GS880">
        <v>0</v>
      </c>
      <c r="GT880">
        <v>0.46481810428013814</v>
      </c>
      <c r="GU880"/>
      <c r="GV880"/>
      <c r="GW880"/>
      <c r="GX880"/>
      <c r="GY880"/>
      <c r="GZ880"/>
      <c r="HA880"/>
      <c r="HB880"/>
      <c r="HC880"/>
    </row>
    <row r="881" spans="1:211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2.4666666666666663</v>
      </c>
      <c r="AO881">
        <v>0.37611794697544687</v>
      </c>
      <c r="AP881">
        <v>15.28252149742519</v>
      </c>
      <c r="AQ881">
        <v>3.0100600121639989</v>
      </c>
      <c r="AR881">
        <v>0.390298302968213</v>
      </c>
      <c r="AS881">
        <v>2.0452453780009772</v>
      </c>
      <c r="AT881" t="e">
        <v>#DIV/0!</v>
      </c>
      <c r="AU881" t="e">
        <v>#DIV/0!</v>
      </c>
      <c r="AV881"/>
      <c r="AW881"/>
      <c r="FY881" s="211">
        <v>876</v>
      </c>
      <c r="FZ881">
        <v>0.98283400223566364</v>
      </c>
      <c r="GA881">
        <v>0.38735017759921181</v>
      </c>
      <c r="GB881">
        <v>0.28405981870974384</v>
      </c>
      <c r="GC881">
        <v>0.2275547511396851</v>
      </c>
      <c r="GD881">
        <v>5.3449107547347455E-2</v>
      </c>
      <c r="GE881">
        <v>0</v>
      </c>
      <c r="GF881">
        <v>0.33021050058332063</v>
      </c>
      <c r="GG881">
        <v>0.29759236750664797</v>
      </c>
      <c r="GH881">
        <v>0</v>
      </c>
      <c r="GI881">
        <v>0.31013838539553285</v>
      </c>
      <c r="GJ881"/>
      <c r="GK881">
        <v>0.99147575494700568</v>
      </c>
      <c r="GL881">
        <v>0.33331521555783822</v>
      </c>
      <c r="GM881">
        <v>0.47171153288079981</v>
      </c>
      <c r="GN881">
        <v>0.68158766334558252</v>
      </c>
      <c r="GO881">
        <v>0.20987613046478273</v>
      </c>
      <c r="GP881">
        <v>0</v>
      </c>
      <c r="GQ881">
        <v>0.45369793096285549</v>
      </c>
      <c r="GR881">
        <v>0.45369793096285549</v>
      </c>
      <c r="GS881">
        <v>0</v>
      </c>
      <c r="GT881">
        <v>0.42535226985108876</v>
      </c>
      <c r="GU881"/>
      <c r="GV881"/>
      <c r="GW881"/>
      <c r="GX881"/>
      <c r="GY881"/>
      <c r="GZ881"/>
      <c r="HA881"/>
      <c r="HB881"/>
      <c r="HC881"/>
    </row>
    <row r="882" spans="1:211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2.4510416666666672</v>
      </c>
      <c r="AO882">
        <v>0.40036963100486445</v>
      </c>
      <c r="AP882">
        <v>15.942437829715161</v>
      </c>
      <c r="AQ882">
        <v>2.9484571302509752</v>
      </c>
      <c r="AR882">
        <v>0.40369856681538402</v>
      </c>
      <c r="AS882">
        <v>1.9296680088256231</v>
      </c>
      <c r="AT882" t="e">
        <v>#DIV/0!</v>
      </c>
      <c r="AU882" t="e">
        <v>#DIV/0!</v>
      </c>
      <c r="AV882"/>
      <c r="AW882"/>
      <c r="FY882" s="211">
        <v>877</v>
      </c>
      <c r="FZ882">
        <v>1.4621245739767903</v>
      </c>
      <c r="GA882">
        <v>0.86195082931690026</v>
      </c>
      <c r="GB882">
        <v>6.282592274279708E-2</v>
      </c>
      <c r="GC882">
        <v>6.9638549917922385E-2</v>
      </c>
      <c r="GD882">
        <v>2.6724553773673727E-2</v>
      </c>
      <c r="GE882">
        <v>0</v>
      </c>
      <c r="GF882">
        <v>0.33021050058332063</v>
      </c>
      <c r="GG882">
        <v>0.29759236750664797</v>
      </c>
      <c r="GH882">
        <v>0</v>
      </c>
      <c r="GI882">
        <v>0.31149594671393088</v>
      </c>
      <c r="GJ882"/>
      <c r="GK882">
        <v>1.4695169130371832</v>
      </c>
      <c r="GL882">
        <v>0.7403709403449259</v>
      </c>
      <c r="GM882">
        <v>0.10493806523239137</v>
      </c>
      <c r="GN882">
        <v>0.20987613046478273</v>
      </c>
      <c r="GO882">
        <v>0.10493806523239137</v>
      </c>
      <c r="GP882">
        <v>0</v>
      </c>
      <c r="GQ882">
        <v>0.45369793096285549</v>
      </c>
      <c r="GR882">
        <v>0.45369793096285549</v>
      </c>
      <c r="GS882">
        <v>0</v>
      </c>
      <c r="GT882">
        <v>0.42661819489296432</v>
      </c>
      <c r="GU882"/>
      <c r="GV882"/>
      <c r="GW882"/>
      <c r="GX882"/>
      <c r="GY882"/>
      <c r="GZ882"/>
      <c r="HA882"/>
      <c r="HB882"/>
      <c r="HC882"/>
    </row>
    <row r="883" spans="1:211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2.4229166666666666</v>
      </c>
      <c r="AO883">
        <v>0.25390412171117321</v>
      </c>
      <c r="AP883">
        <v>3.4523670988121511</v>
      </c>
      <c r="AQ883">
        <v>2.4469084431618948</v>
      </c>
      <c r="AR883">
        <v>0.26999861705086098</v>
      </c>
      <c r="AS883">
        <v>1.6805636736477954</v>
      </c>
      <c r="AT883" t="e">
        <v>#DIV/0!</v>
      </c>
      <c r="AU883" t="e">
        <v>#DIV/0!</v>
      </c>
      <c r="AV883"/>
      <c r="AW883"/>
      <c r="FY883" s="211">
        <v>878</v>
      </c>
      <c r="FZ883">
        <v>0.57148710478701314</v>
      </c>
      <c r="GA883">
        <v>0</v>
      </c>
      <c r="GB883">
        <v>0.204855832097669</v>
      </c>
      <c r="GC883">
        <v>0.11377737556984255</v>
      </c>
      <c r="GD883">
        <v>0</v>
      </c>
      <c r="GE883">
        <v>0</v>
      </c>
      <c r="GF883">
        <v>0</v>
      </c>
      <c r="GG883">
        <v>0</v>
      </c>
      <c r="GH883">
        <v>0</v>
      </c>
      <c r="GI883">
        <v>0.13498574359294846</v>
      </c>
      <c r="GJ883"/>
      <c r="GK883">
        <v>0.57293545652779931</v>
      </c>
      <c r="GL883">
        <v>0</v>
      </c>
      <c r="GM883">
        <v>0.34079383167279126</v>
      </c>
      <c r="GN883">
        <v>0.34079383167279126</v>
      </c>
      <c r="GO883">
        <v>0</v>
      </c>
      <c r="GP883">
        <v>0</v>
      </c>
      <c r="GQ883">
        <v>0</v>
      </c>
      <c r="GR883">
        <v>0</v>
      </c>
      <c r="GS883">
        <v>0</v>
      </c>
      <c r="GT883">
        <v>0.18274585764011816</v>
      </c>
      <c r="GU883"/>
      <c r="GV883"/>
      <c r="GW883"/>
      <c r="GX883"/>
      <c r="GY883"/>
      <c r="GZ883"/>
      <c r="HA883"/>
      <c r="HB883"/>
      <c r="HC883"/>
    </row>
    <row r="884" spans="1:211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2.1489583333333333</v>
      </c>
      <c r="AO884">
        <v>0.23763017321753913</v>
      </c>
      <c r="AP884">
        <v>5.9248757546741659</v>
      </c>
      <c r="AQ884">
        <v>1.8428583434318757</v>
      </c>
      <c r="AR884">
        <v>0.2662091032853951</v>
      </c>
      <c r="AS884">
        <v>1.6208927348089617</v>
      </c>
      <c r="AT884" t="e">
        <v>#DIV/0!</v>
      </c>
      <c r="AU884" t="e">
        <v>#DIV/0!</v>
      </c>
      <c r="AV884"/>
      <c r="AW884"/>
      <c r="FY884" s="211">
        <v>879</v>
      </c>
      <c r="FZ884">
        <v>0.82291500299223719</v>
      </c>
      <c r="GA884">
        <v>8.725047411847664E-2</v>
      </c>
      <c r="GB884">
        <v>0</v>
      </c>
      <c r="GC884">
        <v>3.4819274958961192E-2</v>
      </c>
      <c r="GD884">
        <v>2.6724553773673727E-2</v>
      </c>
      <c r="GE884">
        <v>0</v>
      </c>
      <c r="GF884">
        <v>0.33021050058332063</v>
      </c>
      <c r="GG884">
        <v>0.29759236750664797</v>
      </c>
      <c r="GH884">
        <v>0</v>
      </c>
      <c r="GI884">
        <v>0.20138792329043237</v>
      </c>
      <c r="GJ884"/>
      <c r="GK884">
        <v>0.82701498659371242</v>
      </c>
      <c r="GL884">
        <v>7.3740509229249462E-2</v>
      </c>
      <c r="GM884">
        <v>0</v>
      </c>
      <c r="GN884">
        <v>0.10493806523239137</v>
      </c>
      <c r="GO884">
        <v>0.10493806523239137</v>
      </c>
      <c r="GP884">
        <v>0</v>
      </c>
      <c r="GQ884">
        <v>0.45369793096285549</v>
      </c>
      <c r="GR884">
        <v>0.45369793096285549</v>
      </c>
      <c r="GS884">
        <v>0</v>
      </c>
      <c r="GT884">
        <v>0.27713019655779186</v>
      </c>
      <c r="GU884"/>
      <c r="GV884"/>
      <c r="GW884"/>
      <c r="GX884"/>
      <c r="GY884"/>
      <c r="GZ884"/>
      <c r="HA884"/>
      <c r="HB884"/>
      <c r="HC884"/>
    </row>
    <row r="885" spans="1:211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2.7500000000000004</v>
      </c>
      <c r="AO885">
        <v>0.30215682174815151</v>
      </c>
      <c r="AP885">
        <v>12.947816608928314</v>
      </c>
      <c r="AQ885">
        <v>2.3998093400522968</v>
      </c>
      <c r="AR885">
        <v>0.32778188951621745</v>
      </c>
      <c r="AS885">
        <v>1.7819873973455302</v>
      </c>
      <c r="AT885" t="e">
        <v>#DIV/0!</v>
      </c>
      <c r="AU885" t="e">
        <v>#DIV/0!</v>
      </c>
      <c r="AV885"/>
      <c r="AW885"/>
      <c r="FY885" s="211">
        <v>880</v>
      </c>
      <c r="FZ885">
        <v>1.038616346373171</v>
      </c>
      <c r="GA885">
        <v>0.47460065171768845</v>
      </c>
      <c r="GB885">
        <v>6.282592274279708E-2</v>
      </c>
      <c r="GC885">
        <v>6.9638549917922385E-2</v>
      </c>
      <c r="GD885">
        <v>2.6724553773673727E-2</v>
      </c>
      <c r="GE885">
        <v>0</v>
      </c>
      <c r="GF885">
        <v>0.33021050058332063</v>
      </c>
      <c r="GG885">
        <v>0.29759236750664797</v>
      </c>
      <c r="GH885">
        <v>0</v>
      </c>
      <c r="GI885">
        <v>0.24867906321494812</v>
      </c>
      <c r="GJ885"/>
      <c r="GK885">
        <v>1.0474187039484788</v>
      </c>
      <c r="GL885">
        <v>0.40705572478708768</v>
      </c>
      <c r="GM885">
        <v>0.10493806523239137</v>
      </c>
      <c r="GN885">
        <v>0.20987613046478273</v>
      </c>
      <c r="GO885">
        <v>0.10493806523239137</v>
      </c>
      <c r="GP885">
        <v>0</v>
      </c>
      <c r="GQ885">
        <v>0.45369793096285549</v>
      </c>
      <c r="GR885">
        <v>0.45369793096285549</v>
      </c>
      <c r="GS885">
        <v>0</v>
      </c>
      <c r="GT885">
        <v>0.34219855307522346</v>
      </c>
      <c r="GU885"/>
      <c r="GV885"/>
      <c r="GW885"/>
      <c r="GX885"/>
      <c r="GY885"/>
      <c r="GZ885"/>
      <c r="HA885"/>
      <c r="HB885"/>
      <c r="HC885"/>
    </row>
    <row r="886" spans="1:211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1.7083333333333333</v>
      </c>
      <c r="AO886">
        <v>0.32687010317553511</v>
      </c>
      <c r="AP886">
        <v>13.793846896876873</v>
      </c>
      <c r="AQ886">
        <v>2.4002658001773769</v>
      </c>
      <c r="AR886">
        <v>0.32170125194618482</v>
      </c>
      <c r="AS886">
        <v>1.6173043713085942</v>
      </c>
      <c r="AT886" t="e">
        <v>#DIV/0!</v>
      </c>
      <c r="AU886" t="e">
        <v>#DIV/0!</v>
      </c>
      <c r="AV886"/>
      <c r="AW886"/>
      <c r="FY886" s="211">
        <v>881</v>
      </c>
      <c r="FZ886">
        <v>0.60278811753967154</v>
      </c>
      <c r="GA886">
        <v>8.725047411847664E-2</v>
      </c>
      <c r="GB886">
        <v>7.9203986612074825E-2</v>
      </c>
      <c r="GC886">
        <v>4.4138825651920163E-2</v>
      </c>
      <c r="GD886">
        <v>0</v>
      </c>
      <c r="GE886">
        <v>0</v>
      </c>
      <c r="GF886">
        <v>0.33021050058332063</v>
      </c>
      <c r="GG886">
        <v>0.29759236750664797</v>
      </c>
      <c r="GH886">
        <v>0</v>
      </c>
      <c r="GI886">
        <v>0.17278048187108269</v>
      </c>
      <c r="GJ886"/>
      <c r="GK886">
        <v>0.60436548444715787</v>
      </c>
      <c r="GL886">
        <v>7.3740509229249462E-2</v>
      </c>
      <c r="GM886">
        <v>0.13091770120800852</v>
      </c>
      <c r="GN886">
        <v>0.13091770120800852</v>
      </c>
      <c r="GO886">
        <v>0</v>
      </c>
      <c r="GP886">
        <v>0</v>
      </c>
      <c r="GQ886">
        <v>0.45369793096285549</v>
      </c>
      <c r="GR886">
        <v>0.45369793096285549</v>
      </c>
      <c r="GS886">
        <v>0</v>
      </c>
      <c r="GT886">
        <v>0.23779622332360439</v>
      </c>
      <c r="GU886"/>
      <c r="GV886"/>
      <c r="GW886"/>
      <c r="GX886"/>
      <c r="GY886"/>
      <c r="GZ886"/>
      <c r="HA886"/>
      <c r="HB886"/>
      <c r="HC886"/>
    </row>
    <row r="887" spans="1:211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2.520833333333333</v>
      </c>
      <c r="AO887">
        <v>0.25137430243291109</v>
      </c>
      <c r="AP887">
        <v>10.050426622500011</v>
      </c>
      <c r="AQ887">
        <v>1.8173928651978608</v>
      </c>
      <c r="AR887">
        <v>0.29087181627818015</v>
      </c>
      <c r="AS887">
        <v>1.6053041572346798</v>
      </c>
      <c r="AT887" t="e">
        <v>#DIV/0!</v>
      </c>
      <c r="AU887" t="e">
        <v>#DIV/0!</v>
      </c>
      <c r="AV887"/>
      <c r="AW887"/>
      <c r="FY887" s="211">
        <v>882</v>
      </c>
      <c r="FZ887">
        <v>0.9846798218704973</v>
      </c>
      <c r="GA887">
        <v>0.47460065171768845</v>
      </c>
      <c r="GB887">
        <v>6.282592274279708E-2</v>
      </c>
      <c r="GC887">
        <v>6.9638549917922385E-2</v>
      </c>
      <c r="GD887">
        <v>2.6724553773673727E-2</v>
      </c>
      <c r="GE887">
        <v>0</v>
      </c>
      <c r="GF887">
        <v>0.33021050058332063</v>
      </c>
      <c r="GG887">
        <v>0.29759236750664797</v>
      </c>
      <c r="GH887">
        <v>0</v>
      </c>
      <c r="GI887">
        <v>0.24076291198593136</v>
      </c>
      <c r="GJ887"/>
      <c r="GK887">
        <v>0.99081965986114895</v>
      </c>
      <c r="GL887">
        <v>0.40705572478708768</v>
      </c>
      <c r="GM887">
        <v>0.10493806523239137</v>
      </c>
      <c r="GN887">
        <v>0.20987613046478273</v>
      </c>
      <c r="GO887">
        <v>0.10493806523239137</v>
      </c>
      <c r="GP887">
        <v>0</v>
      </c>
      <c r="GQ887">
        <v>0.45369793096285549</v>
      </c>
      <c r="GR887">
        <v>0.45369793096285549</v>
      </c>
      <c r="GS887">
        <v>0</v>
      </c>
      <c r="GT887">
        <v>0.33087874425775748</v>
      </c>
      <c r="GU887"/>
      <c r="GV887"/>
      <c r="GW887"/>
      <c r="GX887"/>
      <c r="GY887"/>
      <c r="GZ887"/>
      <c r="HA887"/>
      <c r="HB887"/>
      <c r="HC887"/>
    </row>
    <row r="888" spans="1:211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1.8989583333333333</v>
      </c>
      <c r="AO888">
        <v>0.24400684840027745</v>
      </c>
      <c r="AP888">
        <v>5.7440607979912253</v>
      </c>
      <c r="AQ888">
        <v>1.9036321599782042</v>
      </c>
      <c r="AR888">
        <v>0.27683689525662564</v>
      </c>
      <c r="AS888">
        <v>1.6417811357532015</v>
      </c>
      <c r="AT888" t="e">
        <v>#DIV/0!</v>
      </c>
      <c r="AU888" t="e">
        <v>#DIV/0!</v>
      </c>
      <c r="AV888"/>
      <c r="AW888"/>
      <c r="FY888" s="211">
        <v>883</v>
      </c>
      <c r="FZ888">
        <v>0.46143607404696385</v>
      </c>
      <c r="GA888">
        <v>0</v>
      </c>
      <c r="GB888">
        <v>0.22123389596694673</v>
      </c>
      <c r="GC888">
        <v>0.12309692626280153</v>
      </c>
      <c r="GD888">
        <v>0</v>
      </c>
      <c r="GE888">
        <v>0</v>
      </c>
      <c r="GF888">
        <v>0.66042100116664126</v>
      </c>
      <c r="GG888">
        <v>0.59518473501329594</v>
      </c>
      <c r="GH888">
        <v>0</v>
      </c>
      <c r="GI888">
        <v>0.25076308311024087</v>
      </c>
      <c r="GJ888"/>
      <c r="GK888">
        <v>0.46302969345295331</v>
      </c>
      <c r="GL888">
        <v>0</v>
      </c>
      <c r="GM888">
        <v>0.3667734676484084</v>
      </c>
      <c r="GN888">
        <v>0.3667734676484084</v>
      </c>
      <c r="GO888">
        <v>0</v>
      </c>
      <c r="GP888">
        <v>0</v>
      </c>
      <c r="GQ888">
        <v>0.90739586192571098</v>
      </c>
      <c r="GR888">
        <v>0.90739586192571098</v>
      </c>
      <c r="GS888">
        <v>0</v>
      </c>
      <c r="GT888">
        <v>0.34743980460541457</v>
      </c>
      <c r="GU888"/>
      <c r="GV888"/>
      <c r="GW888"/>
      <c r="GX888"/>
      <c r="GY888"/>
      <c r="GZ888"/>
      <c r="HA888"/>
      <c r="HB888"/>
      <c r="HC888"/>
    </row>
    <row r="889" spans="1:211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2.9197916666666668</v>
      </c>
      <c r="AO889">
        <v>0.23743469932641609</v>
      </c>
      <c r="AP889">
        <v>4.1980585653110261</v>
      </c>
      <c r="AQ889">
        <v>2.0545177919773789</v>
      </c>
      <c r="AR889">
        <v>0.30086266854432042</v>
      </c>
      <c r="AS889">
        <v>1.830223934450113</v>
      </c>
      <c r="AT889" t="e">
        <v>#DIV/0!</v>
      </c>
      <c r="AU889" t="e">
        <v>#DIV/0!</v>
      </c>
      <c r="AV889"/>
      <c r="AW889"/>
      <c r="FY889" s="211">
        <v>884</v>
      </c>
      <c r="FZ889">
        <v>0.86016509346411607</v>
      </c>
      <c r="GA889">
        <v>0.56185112583616514</v>
      </c>
      <c r="GB889">
        <v>0.14202990935487192</v>
      </c>
      <c r="GC889">
        <v>0.14859665052880375</v>
      </c>
      <c r="GD889">
        <v>5.3449107547347455E-2</v>
      </c>
      <c r="GE889">
        <v>0</v>
      </c>
      <c r="GF889">
        <v>1.3208420023332825</v>
      </c>
      <c r="GG889">
        <v>1.1903694700265919</v>
      </c>
      <c r="GH889">
        <v>0</v>
      </c>
      <c r="GI889">
        <v>0.44946554840638753</v>
      </c>
      <c r="GJ889"/>
      <c r="GK889">
        <v>0.86372047187209122</v>
      </c>
      <c r="GL889">
        <v>0.48079623401633714</v>
      </c>
      <c r="GM889">
        <v>0.23585576644039991</v>
      </c>
      <c r="GN889">
        <v>0.44573189690518267</v>
      </c>
      <c r="GO889">
        <v>0.20987613046478273</v>
      </c>
      <c r="GP889">
        <v>0</v>
      </c>
      <c r="GQ889">
        <v>1.814791723851422</v>
      </c>
      <c r="GR889">
        <v>1.814791723851422</v>
      </c>
      <c r="GS889">
        <v>0</v>
      </c>
      <c r="GT889">
        <v>0.62484881852573904</v>
      </c>
      <c r="GU889"/>
      <c r="GV889"/>
      <c r="GW889"/>
      <c r="GX889"/>
      <c r="GY889"/>
      <c r="GZ889"/>
      <c r="HA889"/>
      <c r="HB889"/>
      <c r="HC889"/>
    </row>
    <row r="890" spans="1:211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2.1208333333333336</v>
      </c>
      <c r="AO890">
        <v>0.47019074561437024</v>
      </c>
      <c r="AP890">
        <v>17.265885354715934</v>
      </c>
      <c r="AQ890">
        <v>3.8067655732141485</v>
      </c>
      <c r="AR890">
        <v>0.4863341721062554</v>
      </c>
      <c r="AS890">
        <v>2.9858867781364142</v>
      </c>
      <c r="AT890" t="e">
        <v>#DIV/0!</v>
      </c>
      <c r="AU890" t="e">
        <v>#DIV/0!</v>
      </c>
      <c r="AV890"/>
      <c r="AW890"/>
      <c r="FY890" s="211">
        <v>885</v>
      </c>
      <c r="FZ890">
        <v>1.2624175540142302</v>
      </c>
      <c r="GA890">
        <v>0.64910159995464167</v>
      </c>
      <c r="GB890">
        <v>0.15840797322414965</v>
      </c>
      <c r="GC890">
        <v>8.8277651303840327E-2</v>
      </c>
      <c r="GD890">
        <v>0</v>
      </c>
      <c r="GE890">
        <v>0</v>
      </c>
      <c r="GF890">
        <v>0.33021050058332063</v>
      </c>
      <c r="GG890">
        <v>0.29759236750664797</v>
      </c>
      <c r="GH890">
        <v>0</v>
      </c>
      <c r="GI890">
        <v>0.28985668171694945</v>
      </c>
      <c r="GJ890"/>
      <c r="GK890">
        <v>1.2674659780045971</v>
      </c>
      <c r="GL890">
        <v>0.55453674324558655</v>
      </c>
      <c r="GM890">
        <v>0.26183540241601705</v>
      </c>
      <c r="GN890">
        <v>0.26183540241601705</v>
      </c>
      <c r="GO890">
        <v>0</v>
      </c>
      <c r="GP890">
        <v>0</v>
      </c>
      <c r="GQ890">
        <v>0.45369793096285549</v>
      </c>
      <c r="GR890">
        <v>0.45369793096285549</v>
      </c>
      <c r="GS890">
        <v>0</v>
      </c>
      <c r="GT890">
        <v>0.39659986227669397</v>
      </c>
      <c r="GU890"/>
      <c r="GV890"/>
      <c r="GW890"/>
      <c r="GX890"/>
      <c r="GY890"/>
      <c r="GZ890"/>
      <c r="HA890"/>
      <c r="HB890"/>
      <c r="HC890"/>
    </row>
    <row r="891" spans="1:211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2.7166666666666663</v>
      </c>
      <c r="AO891">
        <v>0.42082982776260192</v>
      </c>
      <c r="AP891">
        <v>15.398292675807332</v>
      </c>
      <c r="AQ891">
        <v>3.4713781905756678</v>
      </c>
      <c r="AR891">
        <v>0.46481810428013814</v>
      </c>
      <c r="AS891">
        <v>2.6081376073367615</v>
      </c>
      <c r="AT891" t="e">
        <v>#DIV/0!</v>
      </c>
      <c r="AU891" t="e">
        <v>#DIV/0!</v>
      </c>
      <c r="AV891"/>
      <c r="AW891"/>
      <c r="FY891" s="211">
        <v>886</v>
      </c>
      <c r="FZ891">
        <v>1.0621366419806821</v>
      </c>
      <c r="GA891">
        <v>0.47460065171768845</v>
      </c>
      <c r="GB891">
        <v>0.14202990935487192</v>
      </c>
      <c r="GC891">
        <v>0.11377737556984255</v>
      </c>
      <c r="GD891">
        <v>2.6724553773673727E-2</v>
      </c>
      <c r="GE891">
        <v>0</v>
      </c>
      <c r="GF891">
        <v>0.66042100116664126</v>
      </c>
      <c r="GG891">
        <v>0.59518473501329594</v>
      </c>
      <c r="GH891">
        <v>0</v>
      </c>
      <c r="GI891">
        <v>0.3356565212364146</v>
      </c>
      <c r="GJ891"/>
      <c r="GK891">
        <v>1.0704887392761473</v>
      </c>
      <c r="GL891">
        <v>0.40705572478708768</v>
      </c>
      <c r="GM891">
        <v>0.23585576644039991</v>
      </c>
      <c r="GN891">
        <v>0.34079383167279126</v>
      </c>
      <c r="GO891">
        <v>0.10493806523239137</v>
      </c>
      <c r="GP891">
        <v>0</v>
      </c>
      <c r="GQ891">
        <v>0.90739586192571098</v>
      </c>
      <c r="GR891">
        <v>0.90739586192571098</v>
      </c>
      <c r="GS891">
        <v>0</v>
      </c>
      <c r="GT891">
        <v>0.46373568657492992</v>
      </c>
      <c r="GU891"/>
      <c r="GV891"/>
      <c r="GW891"/>
      <c r="GX891"/>
      <c r="GY891"/>
      <c r="GZ891"/>
      <c r="HA891"/>
      <c r="HB891"/>
      <c r="HC891"/>
    </row>
    <row r="892" spans="1:211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2.2270833333333333</v>
      </c>
      <c r="AO892">
        <v>0.40207144289728092</v>
      </c>
      <c r="AP892">
        <v>13.418865801185461</v>
      </c>
      <c r="AQ892">
        <v>2.8731891107171537</v>
      </c>
      <c r="AR892">
        <v>0.4253522698510887</v>
      </c>
      <c r="AS892">
        <v>2.2344539061644229</v>
      </c>
      <c r="AT892" t="e">
        <v>#DIV/0!</v>
      </c>
      <c r="AU892" t="e">
        <v>#DIV/0!</v>
      </c>
      <c r="AV892"/>
      <c r="AW892"/>
      <c r="FY892" s="211">
        <v>887</v>
      </c>
      <c r="FZ892">
        <v>1.6619537657129704</v>
      </c>
      <c r="GA892">
        <v>0.86195082931690026</v>
      </c>
      <c r="GB892">
        <v>0.22123389596694673</v>
      </c>
      <c r="GC892">
        <v>0.1579162012217627</v>
      </c>
      <c r="GD892">
        <v>2.6724553773673727E-2</v>
      </c>
      <c r="GE892">
        <v>0</v>
      </c>
      <c r="GF892">
        <v>0.99063150174996206</v>
      </c>
      <c r="GG892">
        <v>0.89277710251994391</v>
      </c>
      <c r="GH892">
        <v>0</v>
      </c>
      <c r="GI892">
        <v>0.50801440916405316</v>
      </c>
      <c r="GJ892"/>
      <c r="GK892">
        <v>1.6712813374641633</v>
      </c>
      <c r="GL892">
        <v>0.7403709403449259</v>
      </c>
      <c r="GM892">
        <v>0.3667734676484084</v>
      </c>
      <c r="GN892">
        <v>0.47171153288079981</v>
      </c>
      <c r="GO892">
        <v>0.10493806523239137</v>
      </c>
      <c r="GP892">
        <v>0</v>
      </c>
      <c r="GQ892">
        <v>1.3610937928885667</v>
      </c>
      <c r="GR892">
        <v>1.3610937928885667</v>
      </c>
      <c r="GS892">
        <v>0</v>
      </c>
      <c r="GT892">
        <v>0.70081733264670598</v>
      </c>
      <c r="GU892"/>
      <c r="GV892"/>
      <c r="GW892"/>
      <c r="GX892"/>
      <c r="GY892"/>
      <c r="GZ892"/>
      <c r="HA892"/>
      <c r="HB892"/>
      <c r="HC892"/>
    </row>
    <row r="893" spans="1:211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2.7979166666666666</v>
      </c>
      <c r="AO893">
        <v>0.39636541711303497</v>
      </c>
      <c r="AP893">
        <v>9.9262287245872933</v>
      </c>
      <c r="AQ893">
        <v>3.4225632445319834</v>
      </c>
      <c r="AR893">
        <v>0.42661819489296432</v>
      </c>
      <c r="AS893">
        <v>2.5473934722759948</v>
      </c>
      <c r="AT893" t="e">
        <v>#DIV/0!</v>
      </c>
      <c r="AU893" t="e">
        <v>#DIV/0!</v>
      </c>
      <c r="AV893"/>
      <c r="AW893"/>
      <c r="FY893" s="211">
        <v>888</v>
      </c>
      <c r="FZ893">
        <v>0.59292415288485512</v>
      </c>
      <c r="GA893">
        <v>8.725047411847664E-2</v>
      </c>
      <c r="GB893">
        <v>0.14202990935487192</v>
      </c>
      <c r="GC893">
        <v>7.8958100610881349E-2</v>
      </c>
      <c r="GD893">
        <v>0</v>
      </c>
      <c r="GE893">
        <v>0</v>
      </c>
      <c r="GF893">
        <v>0</v>
      </c>
      <c r="GG893">
        <v>0</v>
      </c>
      <c r="GH893">
        <v>0</v>
      </c>
      <c r="GI893">
        <v>0.12270775834207784</v>
      </c>
      <c r="GJ893"/>
      <c r="GK893">
        <v>0.5943088852738454</v>
      </c>
      <c r="GL893">
        <v>7.3740509229249462E-2</v>
      </c>
      <c r="GM893">
        <v>0.23585576644039991</v>
      </c>
      <c r="GN893">
        <v>0.23585576644039991</v>
      </c>
      <c r="GO893">
        <v>0</v>
      </c>
      <c r="GP893">
        <v>0</v>
      </c>
      <c r="GQ893">
        <v>0</v>
      </c>
      <c r="GR893">
        <v>0</v>
      </c>
      <c r="GS893">
        <v>0</v>
      </c>
      <c r="GT893">
        <v>0.16603293034284908</v>
      </c>
      <c r="GU893"/>
      <c r="GV893"/>
      <c r="GW893"/>
      <c r="GX893"/>
      <c r="GY893"/>
      <c r="GZ893"/>
      <c r="HA893"/>
      <c r="HB893"/>
      <c r="HC893"/>
    </row>
    <row r="894" spans="1:211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2.203125</v>
      </c>
      <c r="AO894">
        <v>0.14372689775135</v>
      </c>
      <c r="AP894">
        <v>4.0511119595584004</v>
      </c>
      <c r="AQ894">
        <v>1.0251060560474732</v>
      </c>
      <c r="AR894">
        <v>0.18274585764011816</v>
      </c>
      <c r="AS894">
        <v>1.1825801918023728</v>
      </c>
      <c r="AT894" t="e">
        <v>#DIV/0!</v>
      </c>
      <c r="AU894" t="e">
        <v>#DIV/0!</v>
      </c>
      <c r="AV894"/>
      <c r="AW894"/>
      <c r="FY894" s="211">
        <v>889</v>
      </c>
      <c r="FZ894">
        <v>1.1126732367800796</v>
      </c>
      <c r="GA894">
        <v>0.47460065171768845</v>
      </c>
      <c r="GB894">
        <v>0.204855832097669</v>
      </c>
      <c r="GC894">
        <v>0.14859665052880375</v>
      </c>
      <c r="GD894">
        <v>2.6724553773673727E-2</v>
      </c>
      <c r="GE894">
        <v>0</v>
      </c>
      <c r="GF894">
        <v>0.33021050058332063</v>
      </c>
      <c r="GG894">
        <v>0.29759236750664797</v>
      </c>
      <c r="GH894">
        <v>0</v>
      </c>
      <c r="GI894">
        <v>0.29470969246706857</v>
      </c>
      <c r="GJ894"/>
      <c r="GK894">
        <v>1.1149811165690222</v>
      </c>
      <c r="GL894">
        <v>0.40705572478708768</v>
      </c>
      <c r="GM894">
        <v>0.34079383167279126</v>
      </c>
      <c r="GN894">
        <v>0.44573189690518267</v>
      </c>
      <c r="GO894">
        <v>0.10493806523239137</v>
      </c>
      <c r="GP894">
        <v>0</v>
      </c>
      <c r="GQ894">
        <v>0.45369793096285549</v>
      </c>
      <c r="GR894">
        <v>0.45369793096285549</v>
      </c>
      <c r="GS894">
        <v>0</v>
      </c>
      <c r="GT894">
        <v>0.40288218888741206</v>
      </c>
      <c r="GU894"/>
      <c r="GV894"/>
      <c r="GW894"/>
      <c r="GX894"/>
      <c r="GY894"/>
      <c r="GZ894"/>
      <c r="HA894"/>
      <c r="HB894"/>
      <c r="HC894"/>
    </row>
    <row r="895" spans="1:211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1.5208333333333333</v>
      </c>
      <c r="AO895">
        <v>0.22951576847712474</v>
      </c>
      <c r="AP895">
        <v>7.4871148318667506</v>
      </c>
      <c r="AQ895">
        <v>1.8009000972237497</v>
      </c>
      <c r="AR895">
        <v>0.27713019655779186</v>
      </c>
      <c r="AS895">
        <v>1.5007162474458733</v>
      </c>
      <c r="AT895" t="e">
        <v>#DIV/0!</v>
      </c>
      <c r="AU895" t="e">
        <v>#DIV/0!</v>
      </c>
      <c r="AV895"/>
      <c r="AW895"/>
      <c r="FY895" s="211">
        <v>890</v>
      </c>
      <c r="FZ895">
        <v>1.6656054779320382</v>
      </c>
      <c r="GA895">
        <v>1.1620505327976354</v>
      </c>
      <c r="GB895">
        <v>7.9203986612074825E-2</v>
      </c>
      <c r="GC895">
        <v>7.8958100610881349E-2</v>
      </c>
      <c r="GD895">
        <v>2.6724553773673727E-2</v>
      </c>
      <c r="GE895">
        <v>0</v>
      </c>
      <c r="GF895">
        <v>0.66042100116664126</v>
      </c>
      <c r="GG895">
        <v>0.59518473501329594</v>
      </c>
      <c r="GH895">
        <v>0</v>
      </c>
      <c r="GI895">
        <v>0.4093804386814916</v>
      </c>
      <c r="GJ895"/>
      <c r="GK895">
        <v>1.6830554833269979</v>
      </c>
      <c r="GL895">
        <v>0.9999456466735146</v>
      </c>
      <c r="GM895">
        <v>0.13091770120800852</v>
      </c>
      <c r="GN895">
        <v>0.23585576644039991</v>
      </c>
      <c r="GO895">
        <v>0.10493806523239137</v>
      </c>
      <c r="GP895">
        <v>0</v>
      </c>
      <c r="GQ895">
        <v>0.90739586192571098</v>
      </c>
      <c r="GR895">
        <v>0.90739586192571098</v>
      </c>
      <c r="GS895">
        <v>0</v>
      </c>
      <c r="GT895">
        <v>0.56526142233862176</v>
      </c>
      <c r="GU895"/>
      <c r="GV895"/>
      <c r="GW895"/>
      <c r="GX895"/>
      <c r="GY895"/>
      <c r="GZ895"/>
      <c r="HA895"/>
      <c r="HB895"/>
      <c r="HC895"/>
    </row>
    <row r="896" spans="1:211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1.4666666666666666</v>
      </c>
      <c r="AO896">
        <v>0.31238211046660663</v>
      </c>
      <c r="AP896">
        <v>8.1258403179047587</v>
      </c>
      <c r="AQ896">
        <v>2.5488879558301694</v>
      </c>
      <c r="AR896">
        <v>0.3421985530752234</v>
      </c>
      <c r="AS896">
        <v>1.6073564177127739</v>
      </c>
      <c r="AT896" t="e">
        <v>#DIV/0!</v>
      </c>
      <c r="AU896" t="e">
        <v>#DIV/0!</v>
      </c>
      <c r="AV896"/>
      <c r="AW896"/>
      <c r="FY896" s="211">
        <v>891</v>
      </c>
      <c r="FZ896">
        <v>0.96458206593568807</v>
      </c>
      <c r="GA896">
        <v>0.17450094823695328</v>
      </c>
      <c r="GB896">
        <v>7.9203986612074825E-2</v>
      </c>
      <c r="GC896">
        <v>4.4138825651920163E-2</v>
      </c>
      <c r="GD896">
        <v>0</v>
      </c>
      <c r="GE896">
        <v>0</v>
      </c>
      <c r="GF896">
        <v>0</v>
      </c>
      <c r="GG896">
        <v>0</v>
      </c>
      <c r="GH896">
        <v>0</v>
      </c>
      <c r="GI896">
        <v>0.16235435483827357</v>
      </c>
      <c r="GJ896"/>
      <c r="GK896">
        <v>0.96547991737466443</v>
      </c>
      <c r="GL896">
        <v>0.14748101845849892</v>
      </c>
      <c r="GM896">
        <v>0.13091770120800852</v>
      </c>
      <c r="GN896">
        <v>0.13091770120800852</v>
      </c>
      <c r="GO896">
        <v>0</v>
      </c>
      <c r="GP896">
        <v>0</v>
      </c>
      <c r="GQ896">
        <v>0</v>
      </c>
      <c r="GR896">
        <v>0</v>
      </c>
      <c r="GS896">
        <v>0</v>
      </c>
      <c r="GT896">
        <v>0.21927952371653461</v>
      </c>
      <c r="GU896"/>
      <c r="GV896"/>
      <c r="GW896"/>
      <c r="GX896"/>
      <c r="GY896"/>
      <c r="GZ896"/>
      <c r="HA896"/>
      <c r="HB896"/>
      <c r="HC896"/>
    </row>
    <row r="897" spans="1:211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1.8802083333333335</v>
      </c>
      <c r="AO897">
        <v>0.20851334813417396</v>
      </c>
      <c r="AP897">
        <v>7.9123016998034092</v>
      </c>
      <c r="AQ897">
        <v>1.6139647538831945</v>
      </c>
      <c r="AR897">
        <v>0.23779622332360439</v>
      </c>
      <c r="AS897">
        <v>1.2531986323669695</v>
      </c>
      <c r="AT897" t="e">
        <v>#DIV/0!</v>
      </c>
      <c r="AU897" t="e">
        <v>#DIV/0!</v>
      </c>
      <c r="AV897"/>
      <c r="AW897"/>
      <c r="FY897" s="211">
        <v>892</v>
      </c>
      <c r="FZ897">
        <v>0.94003749761588717</v>
      </c>
      <c r="GA897">
        <v>0.56185112583616514</v>
      </c>
      <c r="GB897">
        <v>7.9203986612074825E-2</v>
      </c>
      <c r="GC897">
        <v>4.4138825651920163E-2</v>
      </c>
      <c r="GD897">
        <v>0</v>
      </c>
      <c r="GE897">
        <v>0</v>
      </c>
      <c r="GF897">
        <v>0</v>
      </c>
      <c r="GG897">
        <v>0</v>
      </c>
      <c r="GH897">
        <v>0</v>
      </c>
      <c r="GI897">
        <v>0.15864024917800706</v>
      </c>
      <c r="GJ897"/>
      <c r="GK897">
        <v>0.94350533557418204</v>
      </c>
      <c r="GL897">
        <v>0.48079623401633714</v>
      </c>
      <c r="GM897">
        <v>0.13091770120800852</v>
      </c>
      <c r="GN897">
        <v>0.13091770120800852</v>
      </c>
      <c r="GO897">
        <v>0</v>
      </c>
      <c r="GP897">
        <v>0</v>
      </c>
      <c r="GQ897">
        <v>0</v>
      </c>
      <c r="GR897">
        <v>0</v>
      </c>
      <c r="GS897">
        <v>0</v>
      </c>
      <c r="GT897">
        <v>0.21488460735643813</v>
      </c>
      <c r="GU897"/>
      <c r="GV897"/>
      <c r="GW897"/>
      <c r="GX897"/>
      <c r="GY897"/>
      <c r="GZ897"/>
      <c r="HA897"/>
      <c r="HB897"/>
      <c r="HC897"/>
    </row>
    <row r="898" spans="1:211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1.7791666666666668</v>
      </c>
      <c r="AO898">
        <v>0.30559022517612705</v>
      </c>
      <c r="AP898">
        <v>8.5542682956979039</v>
      </c>
      <c r="AQ898">
        <v>2.4870352800984787</v>
      </c>
      <c r="AR898">
        <v>0.33087874425775748</v>
      </c>
      <c r="AS898">
        <v>1.6685260688591077</v>
      </c>
      <c r="AT898" t="e">
        <v>#DIV/0!</v>
      </c>
      <c r="AU898" t="e">
        <v>#DIV/0!</v>
      </c>
      <c r="AV898"/>
      <c r="AW898"/>
      <c r="FY898" s="211">
        <v>893</v>
      </c>
      <c r="FZ898">
        <v>1.2917533633666043</v>
      </c>
      <c r="GA898">
        <v>0.56185112583616514</v>
      </c>
      <c r="GB898">
        <v>0.15840797322414965</v>
      </c>
      <c r="GC898">
        <v>0.12309692626280153</v>
      </c>
      <c r="GD898">
        <v>2.6724553773673727E-2</v>
      </c>
      <c r="GE898">
        <v>0</v>
      </c>
      <c r="GF898">
        <v>0</v>
      </c>
      <c r="GG898">
        <v>0</v>
      </c>
      <c r="GH898">
        <v>0</v>
      </c>
      <c r="GI898">
        <v>0.24541269135597982</v>
      </c>
      <c r="GJ898"/>
      <c r="GK898">
        <v>1.302758464413813</v>
      </c>
      <c r="GL898">
        <v>0.48079623401633714</v>
      </c>
      <c r="GM898">
        <v>0.26183540241601705</v>
      </c>
      <c r="GN898">
        <v>0.3667734676484084</v>
      </c>
      <c r="GO898">
        <v>0.10493806523239137</v>
      </c>
      <c r="GP898">
        <v>0</v>
      </c>
      <c r="GQ898">
        <v>0</v>
      </c>
      <c r="GR898">
        <v>0</v>
      </c>
      <c r="GS898">
        <v>0</v>
      </c>
      <c r="GT898">
        <v>0.3339063864124443</v>
      </c>
      <c r="GU898"/>
      <c r="GV898"/>
      <c r="GW898"/>
      <c r="GX898"/>
      <c r="GY898"/>
      <c r="GZ898"/>
      <c r="HA898"/>
      <c r="HB898"/>
      <c r="HC898"/>
    </row>
    <row r="899" spans="1:211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1.7916666666666667</v>
      </c>
      <c r="AO899">
        <v>0.33588081572066064</v>
      </c>
      <c r="AP899">
        <v>16.692288547543072</v>
      </c>
      <c r="AQ899">
        <v>2.3121357155668902</v>
      </c>
      <c r="AR899">
        <v>0.34743980460541457</v>
      </c>
      <c r="AS899">
        <v>1.604722156912221</v>
      </c>
      <c r="AT899" t="e">
        <v>#DIV/0!</v>
      </c>
      <c r="AU899" t="e">
        <v>#DIV/0!</v>
      </c>
      <c r="AV899"/>
      <c r="AW899"/>
      <c r="FY899" s="211">
        <v>894</v>
      </c>
      <c r="FZ899">
        <v>1.0273582823808887</v>
      </c>
      <c r="GA899">
        <v>0.56185112583616514</v>
      </c>
      <c r="GB899">
        <v>0.12565184548559416</v>
      </c>
      <c r="GC899">
        <v>0.10445782487688358</v>
      </c>
      <c r="GD899">
        <v>2.6724553773673727E-2</v>
      </c>
      <c r="GE899">
        <v>0</v>
      </c>
      <c r="GF899">
        <v>0.33021050058332063</v>
      </c>
      <c r="GG899">
        <v>0.29759236750664797</v>
      </c>
      <c r="GH899">
        <v>0</v>
      </c>
      <c r="GI899">
        <v>0.26255429912081485</v>
      </c>
      <c r="GJ899"/>
      <c r="GK899">
        <v>1.0332310141624927</v>
      </c>
      <c r="GL899">
        <v>0.48079623401633714</v>
      </c>
      <c r="GM899">
        <v>0.20987613046478273</v>
      </c>
      <c r="GN899">
        <v>0.31481419569717412</v>
      </c>
      <c r="GO899">
        <v>0.10493806523239137</v>
      </c>
      <c r="GP899">
        <v>0</v>
      </c>
      <c r="GQ899">
        <v>0.45369793096285549</v>
      </c>
      <c r="GR899">
        <v>0.45369793096285549</v>
      </c>
      <c r="GS899">
        <v>0</v>
      </c>
      <c r="GT899">
        <v>0.36034862816450447</v>
      </c>
      <c r="GU899"/>
      <c r="GV899"/>
      <c r="GW899"/>
      <c r="GX899"/>
      <c r="GY899"/>
      <c r="GZ899"/>
      <c r="HA899"/>
      <c r="HB899"/>
      <c r="HC899"/>
    </row>
    <row r="900" spans="1:211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2.6906249999999998</v>
      </c>
      <c r="AO900">
        <v>0.64904127659273769</v>
      </c>
      <c r="AP900">
        <v>28.812694202165211</v>
      </c>
      <c r="AQ900">
        <v>4.7267689074975658</v>
      </c>
      <c r="AR900">
        <v>0.62484881852573904</v>
      </c>
      <c r="AS900">
        <v>2.8808120024287334</v>
      </c>
      <c r="AT900" t="e">
        <v>#DIV/0!</v>
      </c>
      <c r="AU900" t="e">
        <v>#DIV/0!</v>
      </c>
      <c r="AV900"/>
      <c r="AW900"/>
      <c r="FY900" s="211">
        <v>895</v>
      </c>
      <c r="FZ900">
        <v>0.70802663693378798</v>
      </c>
      <c r="GA900">
        <v>8.725047411847664E-2</v>
      </c>
      <c r="GB900">
        <v>7.9203986612074825E-2</v>
      </c>
      <c r="GC900">
        <v>4.4138825651920163E-2</v>
      </c>
      <c r="GD900">
        <v>0</v>
      </c>
      <c r="GE900">
        <v>0</v>
      </c>
      <c r="GF900">
        <v>0.66042100116664126</v>
      </c>
      <c r="GG900">
        <v>0.59518473501329594</v>
      </c>
      <c r="GH900">
        <v>0</v>
      </c>
      <c r="GI900">
        <v>0.25254318553032956</v>
      </c>
      <c r="GJ900"/>
      <c r="GK900">
        <v>0.70656428839106056</v>
      </c>
      <c r="GL900">
        <v>7.3740509229249462E-2</v>
      </c>
      <c r="GM900">
        <v>0.13091770120800852</v>
      </c>
      <c r="GN900">
        <v>0.13091770120800852</v>
      </c>
      <c r="GO900">
        <v>0</v>
      </c>
      <c r="GP900">
        <v>0</v>
      </c>
      <c r="GQ900">
        <v>0.90739586192571098</v>
      </c>
      <c r="GR900">
        <v>0.90739586192571098</v>
      </c>
      <c r="GS900">
        <v>0</v>
      </c>
      <c r="GT900">
        <v>0.34897557030495602</v>
      </c>
      <c r="GU900"/>
      <c r="GV900"/>
      <c r="GW900"/>
      <c r="GX900"/>
      <c r="GY900"/>
      <c r="GZ900"/>
      <c r="HA900"/>
      <c r="HB900"/>
      <c r="HC900"/>
    </row>
    <row r="901" spans="1:211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3.7687500000000007</v>
      </c>
      <c r="AO901">
        <v>0.36496692502846229</v>
      </c>
      <c r="AP901">
        <v>10.80567408017691</v>
      </c>
      <c r="AQ901">
        <v>3.0758643283037799</v>
      </c>
      <c r="AR901">
        <v>0.39659986227669392</v>
      </c>
      <c r="AS901">
        <v>2.3290822436675152</v>
      </c>
      <c r="AT901" t="e">
        <v>#DIV/0!</v>
      </c>
      <c r="AU901" t="e">
        <v>#DIV/0!</v>
      </c>
      <c r="AV901"/>
      <c r="AW901"/>
      <c r="FY901" s="211">
        <v>896</v>
      </c>
      <c r="FZ901">
        <v>0.93194606311628092</v>
      </c>
      <c r="GA901">
        <v>0.26175142235542992</v>
      </c>
      <c r="GB901">
        <v>7.9203986612074825E-2</v>
      </c>
      <c r="GC901">
        <v>7.8958100610881349E-2</v>
      </c>
      <c r="GD901">
        <v>2.6724553773673727E-2</v>
      </c>
      <c r="GE901">
        <v>0</v>
      </c>
      <c r="GF901">
        <v>0.33021050058332063</v>
      </c>
      <c r="GG901">
        <v>0.29759236750664797</v>
      </c>
      <c r="GH901">
        <v>0</v>
      </c>
      <c r="GI901">
        <v>0.23703666524378028</v>
      </c>
      <c r="GJ901"/>
      <c r="GK901">
        <v>0.93322603523808612</v>
      </c>
      <c r="GL901">
        <v>0.22122152768774839</v>
      </c>
      <c r="GM901">
        <v>0.13091770120800852</v>
      </c>
      <c r="GN901">
        <v>0.23585576644039991</v>
      </c>
      <c r="GO901">
        <v>0.10493806523239137</v>
      </c>
      <c r="GP901">
        <v>0</v>
      </c>
      <c r="GQ901">
        <v>0.45369793096285549</v>
      </c>
      <c r="GR901">
        <v>0.45369793096285549</v>
      </c>
      <c r="GS901">
        <v>0</v>
      </c>
      <c r="GT901">
        <v>0.3245559465282683</v>
      </c>
      <c r="GU901"/>
      <c r="GV901"/>
      <c r="GW901"/>
      <c r="GX901"/>
      <c r="GY901"/>
      <c r="GZ901"/>
      <c r="HA901"/>
      <c r="HB901"/>
      <c r="HC901"/>
    </row>
    <row r="902" spans="1:211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2.4302083333333333</v>
      </c>
      <c r="AO902">
        <v>0.44376595378351691</v>
      </c>
      <c r="AP902">
        <v>16.592893157491819</v>
      </c>
      <c r="AQ902">
        <v>3.4105313898131109</v>
      </c>
      <c r="AR902">
        <v>0.46373568657492992</v>
      </c>
      <c r="AS902">
        <v>2.1334500848866056</v>
      </c>
      <c r="AT902" t="e">
        <v>#DIV/0!</v>
      </c>
      <c r="AU902" t="e">
        <v>#DIV/0!</v>
      </c>
      <c r="AV902"/>
      <c r="AW902"/>
      <c r="FY902" s="211">
        <v>897</v>
      </c>
      <c r="FZ902">
        <v>1.4413753343950861</v>
      </c>
      <c r="GA902">
        <v>0.86195082931690026</v>
      </c>
      <c r="GB902">
        <v>6.282592274279708E-2</v>
      </c>
      <c r="GC902">
        <v>0.10445782487688358</v>
      </c>
      <c r="GD902">
        <v>5.3449107547347455E-2</v>
      </c>
      <c r="GE902">
        <v>0</v>
      </c>
      <c r="GF902">
        <v>0.66042100116664126</v>
      </c>
      <c r="GG902">
        <v>0.59518473501329594</v>
      </c>
      <c r="GH902">
        <v>0</v>
      </c>
      <c r="GI902">
        <v>0.38778284366540061</v>
      </c>
      <c r="GJ902"/>
      <c r="GK902">
        <v>1.4544744287355664</v>
      </c>
      <c r="GL902">
        <v>0.7403709403449259</v>
      </c>
      <c r="GM902">
        <v>0.10493806523239137</v>
      </c>
      <c r="GN902">
        <v>0.31481419569717412</v>
      </c>
      <c r="GO902">
        <v>0.20987613046478273</v>
      </c>
      <c r="GP902">
        <v>0</v>
      </c>
      <c r="GQ902">
        <v>0.90739586192571098</v>
      </c>
      <c r="GR902">
        <v>0.90739586192571098</v>
      </c>
      <c r="GS902">
        <v>0</v>
      </c>
      <c r="GT902">
        <v>0.53533689727169032</v>
      </c>
      <c r="GU902"/>
      <c r="GV902"/>
      <c r="GW902"/>
      <c r="GX902"/>
      <c r="GY902"/>
      <c r="GZ902"/>
      <c r="HA902"/>
      <c r="HB902"/>
      <c r="HC902"/>
    </row>
    <row r="903" spans="1:211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4.4749999999999996</v>
      </c>
      <c r="AO903">
        <v>0.6778080261994528</v>
      </c>
      <c r="AP903">
        <v>26.176706423428897</v>
      </c>
      <c r="AQ903">
        <v>5.3212022594262125</v>
      </c>
      <c r="AR903">
        <v>0.70081733264670598</v>
      </c>
      <c r="AS903">
        <v>3.618800248675504</v>
      </c>
      <c r="AT903" t="e">
        <v>#DIV/0!</v>
      </c>
      <c r="AU903" t="e">
        <v>#DIV/0!</v>
      </c>
      <c r="AV903"/>
      <c r="AW903"/>
      <c r="FY903" s="211">
        <v>898</v>
      </c>
      <c r="FZ903">
        <v>0.92467187344293444</v>
      </c>
      <c r="GA903">
        <v>0.56185112583616514</v>
      </c>
      <c r="GB903">
        <v>0.14202990935487192</v>
      </c>
      <c r="GC903">
        <v>0.14859665052880375</v>
      </c>
      <c r="GD903">
        <v>5.3449107547347455E-2</v>
      </c>
      <c r="GE903">
        <v>0</v>
      </c>
      <c r="GF903">
        <v>0</v>
      </c>
      <c r="GG903">
        <v>0</v>
      </c>
      <c r="GH903">
        <v>0</v>
      </c>
      <c r="GI903">
        <v>0.20273379655077006</v>
      </c>
      <c r="GJ903"/>
      <c r="GK903">
        <v>0.92817626130097763</v>
      </c>
      <c r="GL903">
        <v>0.48079623401633714</v>
      </c>
      <c r="GM903">
        <v>0.23585576644039991</v>
      </c>
      <c r="GN903">
        <v>0.44573189690518267</v>
      </c>
      <c r="GO903">
        <v>0.20987613046478273</v>
      </c>
      <c r="GP903">
        <v>0</v>
      </c>
      <c r="GQ903">
        <v>0</v>
      </c>
      <c r="GR903">
        <v>0</v>
      </c>
      <c r="GS903">
        <v>0</v>
      </c>
      <c r="GT903">
        <v>0.27478163164123204</v>
      </c>
      <c r="GU903"/>
      <c r="GV903"/>
      <c r="GW903"/>
      <c r="GX903"/>
      <c r="GY903"/>
      <c r="GZ903"/>
      <c r="HA903"/>
      <c r="HB903"/>
      <c r="HC903"/>
    </row>
    <row r="904" spans="1:211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2.255208333333333</v>
      </c>
      <c r="AO904">
        <v>0.13057938577267439</v>
      </c>
      <c r="AP904">
        <v>3.139022614046354</v>
      </c>
      <c r="AQ904">
        <v>1.023870395311163</v>
      </c>
      <c r="AR904">
        <v>0.16603293034284908</v>
      </c>
      <c r="AS904">
        <v>1.1065705222779623</v>
      </c>
      <c r="AT904" t="e">
        <v>#DIV/0!</v>
      </c>
      <c r="AU904" t="e">
        <v>#DIV/0!</v>
      </c>
      <c r="AV904"/>
      <c r="AW904"/>
      <c r="FY904" s="211">
        <v>899</v>
      </c>
      <c r="FZ904">
        <v>0.86623651738900498</v>
      </c>
      <c r="GA904">
        <v>0.38735017759921181</v>
      </c>
      <c r="GB904">
        <v>0.12565184548559416</v>
      </c>
      <c r="GC904">
        <v>6.9638549917922385E-2</v>
      </c>
      <c r="GD904">
        <v>0</v>
      </c>
      <c r="GE904">
        <v>0</v>
      </c>
      <c r="GF904">
        <v>0.66042100116664126</v>
      </c>
      <c r="GG904">
        <v>0.59518473501329594</v>
      </c>
      <c r="GH904">
        <v>0</v>
      </c>
      <c r="GI904">
        <v>0.28735734952625458</v>
      </c>
      <c r="GJ904"/>
      <c r="GK904">
        <v>0.86976482634493268</v>
      </c>
      <c r="GL904">
        <v>0.33331521555783822</v>
      </c>
      <c r="GM904">
        <v>0.20987613046478273</v>
      </c>
      <c r="GN904">
        <v>0.20987613046478273</v>
      </c>
      <c r="GO904">
        <v>0</v>
      </c>
      <c r="GP904">
        <v>0</v>
      </c>
      <c r="GQ904">
        <v>0.90739586192571098</v>
      </c>
      <c r="GR904">
        <v>0.90739586192571098</v>
      </c>
      <c r="GS904">
        <v>0</v>
      </c>
      <c r="GT904">
        <v>0.39740736374708524</v>
      </c>
      <c r="GU904"/>
      <c r="GV904"/>
      <c r="GW904"/>
      <c r="GX904"/>
      <c r="GY904"/>
      <c r="GZ904"/>
      <c r="HA904"/>
      <c r="HB904"/>
      <c r="HC904"/>
    </row>
    <row r="905" spans="1:211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4.0552083333333346</v>
      </c>
      <c r="AO905">
        <v>0.37237786859795974</v>
      </c>
      <c r="AP905">
        <v>12.565299299842486</v>
      </c>
      <c r="AQ905">
        <v>2.8899634854549516</v>
      </c>
      <c r="AR905">
        <v>0.40288218888741206</v>
      </c>
      <c r="AS905">
        <v>2.3493207695048239</v>
      </c>
      <c r="AT905" t="e">
        <v>#DIV/0!</v>
      </c>
      <c r="AU905" t="e">
        <v>#DIV/0!</v>
      </c>
      <c r="AV905"/>
      <c r="AW905"/>
      <c r="FY905" s="211">
        <v>900</v>
      </c>
      <c r="FZ905">
        <v>1.0450027897488035</v>
      </c>
      <c r="GA905">
        <v>0.38735017759921181</v>
      </c>
      <c r="GB905">
        <v>0.204855832097669</v>
      </c>
      <c r="GC905">
        <v>0.11377737556984255</v>
      </c>
      <c r="GD905">
        <v>0</v>
      </c>
      <c r="GE905">
        <v>0</v>
      </c>
      <c r="GF905">
        <v>0.33021050058332063</v>
      </c>
      <c r="GG905">
        <v>0.29759236750664797</v>
      </c>
      <c r="GH905">
        <v>0</v>
      </c>
      <c r="GI905">
        <v>0.26912474678744219</v>
      </c>
      <c r="GJ905"/>
      <c r="GK905">
        <v>1.0505921982080679</v>
      </c>
      <c r="GL905">
        <v>0.33331521555783822</v>
      </c>
      <c r="GM905">
        <v>0.34079383167279126</v>
      </c>
      <c r="GN905">
        <v>0.34079383167279126</v>
      </c>
      <c r="GO905">
        <v>0</v>
      </c>
      <c r="GP905">
        <v>0</v>
      </c>
      <c r="GQ905">
        <v>0.45369793096285549</v>
      </c>
      <c r="GR905">
        <v>0.45369793096285549</v>
      </c>
      <c r="GS905">
        <v>0</v>
      </c>
      <c r="GT905">
        <v>0.36901679216874295</v>
      </c>
      <c r="GU905"/>
      <c r="GV905"/>
      <c r="GW905"/>
      <c r="GX905"/>
      <c r="GY905"/>
      <c r="GZ905"/>
      <c r="HA905"/>
      <c r="HB905"/>
      <c r="HC905"/>
    </row>
    <row r="906" spans="1:211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2.0614583333333334</v>
      </c>
      <c r="AO906">
        <v>0.55347658090713547</v>
      </c>
      <c r="AP906">
        <v>16.202785793659665</v>
      </c>
      <c r="AQ906">
        <v>4.6775288265877322</v>
      </c>
      <c r="AR906">
        <v>0.56526142233862176</v>
      </c>
      <c r="AS906">
        <v>2.5646474322753567</v>
      </c>
      <c r="AT906" t="e">
        <v>#DIV/0!</v>
      </c>
      <c r="AU906" t="e">
        <v>#DIV/0!</v>
      </c>
      <c r="AV906"/>
      <c r="AW906"/>
      <c r="FY906" s="211">
        <v>901</v>
      </c>
      <c r="FZ906">
        <v>1.1279785864582987</v>
      </c>
      <c r="GA906">
        <v>0.38735017759921181</v>
      </c>
      <c r="GB906">
        <v>6.282592274279708E-2</v>
      </c>
      <c r="GC906">
        <v>6.9638549917922385E-2</v>
      </c>
      <c r="GD906">
        <v>2.6724553773673727E-2</v>
      </c>
      <c r="GE906">
        <v>0</v>
      </c>
      <c r="GF906">
        <v>1.6510525029166032</v>
      </c>
      <c r="GG906">
        <v>1.48796183753324</v>
      </c>
      <c r="GH906">
        <v>0</v>
      </c>
      <c r="GI906">
        <v>0.5182185487745633</v>
      </c>
      <c r="GJ906"/>
      <c r="GK906">
        <v>1.1368237906416812</v>
      </c>
      <c r="GL906">
        <v>0.33331521555783822</v>
      </c>
      <c r="GM906">
        <v>0.10493806523239137</v>
      </c>
      <c r="GN906">
        <v>0.20987613046478273</v>
      </c>
      <c r="GO906">
        <v>0.10493806523239137</v>
      </c>
      <c r="GP906">
        <v>0</v>
      </c>
      <c r="GQ906">
        <v>2.2684896548142777</v>
      </c>
      <c r="GR906">
        <v>2.2684896548142777</v>
      </c>
      <c r="GS906">
        <v>0</v>
      </c>
      <c r="GT906">
        <v>0.72303791518414828</v>
      </c>
      <c r="GU906"/>
      <c r="GV906"/>
      <c r="GW906"/>
      <c r="GX906"/>
      <c r="GY906"/>
      <c r="GZ906"/>
      <c r="HA906"/>
      <c r="HB906"/>
      <c r="HC906"/>
    </row>
    <row r="907" spans="1:211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3.0572916666666661</v>
      </c>
      <c r="AO907">
        <v>0.1594075861965715</v>
      </c>
      <c r="AP907">
        <v>2.0017633609164838</v>
      </c>
      <c r="AQ907">
        <v>1.4247801812749099</v>
      </c>
      <c r="AR907">
        <v>0.21927952371653459</v>
      </c>
      <c r="AS907">
        <v>1.5647946642658674</v>
      </c>
      <c r="AT907" t="e">
        <v>#DIV/0!</v>
      </c>
      <c r="AU907" t="e">
        <v>#DIV/0!</v>
      </c>
      <c r="AV907"/>
      <c r="AW907"/>
      <c r="FY907" s="211">
        <v>902</v>
      </c>
      <c r="FZ907">
        <v>0.36558648912594394</v>
      </c>
      <c r="GA907">
        <v>8.725047411847664E-2</v>
      </c>
      <c r="GB907">
        <v>0.15840797322414965</v>
      </c>
      <c r="GC907">
        <v>8.8277651303840327E-2</v>
      </c>
      <c r="GD907">
        <v>0</v>
      </c>
      <c r="GE907">
        <v>0</v>
      </c>
      <c r="GF907">
        <v>0.33021050058332063</v>
      </c>
      <c r="GG907">
        <v>0.29759236750664797</v>
      </c>
      <c r="GH907">
        <v>0</v>
      </c>
      <c r="GI907">
        <v>0.15708517046774861</v>
      </c>
      <c r="GJ907"/>
      <c r="GK907">
        <v>0.36512667762797757</v>
      </c>
      <c r="GL907">
        <v>7.3740509229249462E-2</v>
      </c>
      <c r="GM907">
        <v>0.26183540241601705</v>
      </c>
      <c r="GN907">
        <v>0.26183540241601705</v>
      </c>
      <c r="GO907">
        <v>0</v>
      </c>
      <c r="GP907">
        <v>0</v>
      </c>
      <c r="GQ907">
        <v>0.45369793096285549</v>
      </c>
      <c r="GR907">
        <v>0.45369793096285549</v>
      </c>
      <c r="GS907">
        <v>0</v>
      </c>
      <c r="GT907">
        <v>0.21613200220137002</v>
      </c>
      <c r="GU907"/>
      <c r="GV907"/>
      <c r="GW907"/>
      <c r="GX907"/>
      <c r="GY907"/>
      <c r="GZ907"/>
      <c r="HA907"/>
      <c r="HB907"/>
      <c r="HC907"/>
    </row>
    <row r="908" spans="1:211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2.0760416666666659</v>
      </c>
      <c r="AO908">
        <v>0.19010215793629742</v>
      </c>
      <c r="AP908">
        <v>2.6126685808770498</v>
      </c>
      <c r="AQ908">
        <v>1.7838716848940543</v>
      </c>
      <c r="AR908">
        <v>0.21488460735643811</v>
      </c>
      <c r="AS908">
        <v>1.5062283801272405</v>
      </c>
      <c r="AT908" t="e">
        <v>#DIV/0!</v>
      </c>
      <c r="AU908" t="e">
        <v>#DIV/0!</v>
      </c>
      <c r="AV908"/>
      <c r="AW908"/>
      <c r="FY908" s="211">
        <v>903</v>
      </c>
      <c r="FZ908">
        <v>0.81544517763359825</v>
      </c>
      <c r="GA908">
        <v>0.47460065171768845</v>
      </c>
      <c r="GB908">
        <v>0</v>
      </c>
      <c r="GC908">
        <v>6.9638549917922385E-2</v>
      </c>
      <c r="GD908">
        <v>5.3449107547347455E-2</v>
      </c>
      <c r="GE908">
        <v>0</v>
      </c>
      <c r="GF908">
        <v>0.33021050058332063</v>
      </c>
      <c r="GG908">
        <v>0.29759236750664797</v>
      </c>
      <c r="GH908">
        <v>0</v>
      </c>
      <c r="GI908">
        <v>0.21567650283036882</v>
      </c>
      <c r="GJ908"/>
      <c r="GK908">
        <v>0.82162970946585567</v>
      </c>
      <c r="GL908">
        <v>0.40705572478708768</v>
      </c>
      <c r="GM908">
        <v>0</v>
      </c>
      <c r="GN908">
        <v>0.20987613046478273</v>
      </c>
      <c r="GO908">
        <v>0.20987613046478273</v>
      </c>
      <c r="GP908">
        <v>0</v>
      </c>
      <c r="GQ908">
        <v>0.45369793096285549</v>
      </c>
      <c r="GR908">
        <v>0.45369793096285549</v>
      </c>
      <c r="GS908">
        <v>0</v>
      </c>
      <c r="GT908">
        <v>0.2970407541786988</v>
      </c>
      <c r="GU908"/>
      <c r="GV908"/>
      <c r="GW908"/>
      <c r="GX908"/>
      <c r="GY908"/>
      <c r="GZ908"/>
      <c r="HA908"/>
      <c r="HB908"/>
      <c r="HC908"/>
    </row>
    <row r="909" spans="1:211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2.2270833333333333</v>
      </c>
      <c r="AO909">
        <v>0.28510080201394111</v>
      </c>
      <c r="AP909">
        <v>3.7202400283888046</v>
      </c>
      <c r="AQ909">
        <v>2.4072466338193741</v>
      </c>
      <c r="AR909">
        <v>0.3339063864124443</v>
      </c>
      <c r="AS909">
        <v>1.862353431603937</v>
      </c>
      <c r="AT909" t="e">
        <v>#DIV/0!</v>
      </c>
      <c r="AU909" t="e">
        <v>#DIV/0!</v>
      </c>
      <c r="AV909"/>
      <c r="AW909"/>
      <c r="FY909" s="211">
        <v>904</v>
      </c>
      <c r="FZ909">
        <v>1.0934376547333406</v>
      </c>
      <c r="GA909">
        <v>0.56185112583616514</v>
      </c>
      <c r="GB909">
        <v>7.9203986612074825E-2</v>
      </c>
      <c r="GC909">
        <v>7.8958100610881349E-2</v>
      </c>
      <c r="GD909">
        <v>2.6724553773673727E-2</v>
      </c>
      <c r="GE909">
        <v>0</v>
      </c>
      <c r="GF909">
        <v>0.33021050058332063</v>
      </c>
      <c r="GG909">
        <v>0.29759236750664797</v>
      </c>
      <c r="GH909">
        <v>0</v>
      </c>
      <c r="GI909">
        <v>0.26076122506513977</v>
      </c>
      <c r="GJ909"/>
      <c r="GK909">
        <v>1.1019187671955057</v>
      </c>
      <c r="GL909">
        <v>0.48079623401633714</v>
      </c>
      <c r="GM909">
        <v>0.13091770120800852</v>
      </c>
      <c r="GN909">
        <v>0.23585576644039991</v>
      </c>
      <c r="GO909">
        <v>0.10493806523239137</v>
      </c>
      <c r="GP909">
        <v>0</v>
      </c>
      <c r="GQ909">
        <v>0.45369793096285549</v>
      </c>
      <c r="GR909">
        <v>0.45369793096285549</v>
      </c>
      <c r="GS909">
        <v>0</v>
      </c>
      <c r="GT909">
        <v>0.35829449291975224</v>
      </c>
      <c r="GU909"/>
      <c r="GV909"/>
      <c r="GW909"/>
      <c r="GX909"/>
      <c r="GY909"/>
      <c r="GZ909"/>
      <c r="HA909"/>
      <c r="HB909"/>
      <c r="HC909"/>
    </row>
    <row r="910" spans="1:211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2.1229166666666659</v>
      </c>
      <c r="AO910">
        <v>0.34114001296633933</v>
      </c>
      <c r="AP910">
        <v>9.6737147182155354</v>
      </c>
      <c r="AQ910">
        <v>2.736400799563989</v>
      </c>
      <c r="AR910">
        <v>0.36034862816450447</v>
      </c>
      <c r="AS910">
        <v>2.0676969162636873</v>
      </c>
      <c r="AT910" t="e">
        <v>#DIV/0!</v>
      </c>
      <c r="AU910" t="e">
        <v>#DIV/0!</v>
      </c>
      <c r="AV910"/>
      <c r="AW910"/>
      <c r="FY910" s="211">
        <v>905</v>
      </c>
      <c r="FZ910">
        <v>0.35609665319258771</v>
      </c>
      <c r="GA910">
        <v>0</v>
      </c>
      <c r="GB910">
        <v>6.282592274279708E-2</v>
      </c>
      <c r="GC910">
        <v>3.4819274958961192E-2</v>
      </c>
      <c r="GD910">
        <v>0</v>
      </c>
      <c r="GE910">
        <v>0</v>
      </c>
      <c r="GF910">
        <v>0.66042100116664126</v>
      </c>
      <c r="GG910">
        <v>0.59518473501329594</v>
      </c>
      <c r="GH910">
        <v>0</v>
      </c>
      <c r="GI910">
        <v>0.19640531313066462</v>
      </c>
      <c r="GJ910"/>
      <c r="GK910">
        <v>0.35550645463686636</v>
      </c>
      <c r="GL910">
        <v>0</v>
      </c>
      <c r="GM910">
        <v>0.10493806523239137</v>
      </c>
      <c r="GN910">
        <v>0.10493806523239137</v>
      </c>
      <c r="GO910">
        <v>0</v>
      </c>
      <c r="GP910">
        <v>0</v>
      </c>
      <c r="GQ910">
        <v>0.90739586192571098</v>
      </c>
      <c r="GR910">
        <v>0.90739586192571098</v>
      </c>
      <c r="GS910">
        <v>0</v>
      </c>
      <c r="GT910">
        <v>0.27356807635899372</v>
      </c>
      <c r="GU910"/>
      <c r="GV910"/>
      <c r="GW910"/>
      <c r="GX910"/>
      <c r="GY910"/>
      <c r="GZ910"/>
      <c r="HA910"/>
      <c r="HB910"/>
      <c r="HC910"/>
    </row>
    <row r="911" spans="1:211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2.9947916666666665</v>
      </c>
      <c r="AO911">
        <v>0.32059074941927046</v>
      </c>
      <c r="AP911">
        <v>14.442249728795989</v>
      </c>
      <c r="AQ911">
        <v>2.4267688450265266</v>
      </c>
      <c r="AR911">
        <v>0.34897557030495596</v>
      </c>
      <c r="AS911">
        <v>1.9185217480077705</v>
      </c>
      <c r="AT911" t="e">
        <v>#DIV/0!</v>
      </c>
      <c r="AU911" t="e">
        <v>#DIV/0!</v>
      </c>
      <c r="AV911"/>
      <c r="AW911"/>
      <c r="FY911" s="211">
        <v>906</v>
      </c>
      <c r="FZ911">
        <v>0.84941634495180374</v>
      </c>
      <c r="GA911">
        <v>0.47460065171768845</v>
      </c>
      <c r="GB911">
        <v>0.14202990935487192</v>
      </c>
      <c r="GC911">
        <v>7.8958100610881349E-2</v>
      </c>
      <c r="GD911">
        <v>0</v>
      </c>
      <c r="GE911">
        <v>0</v>
      </c>
      <c r="GF911">
        <v>0.66042100116664126</v>
      </c>
      <c r="GG911">
        <v>0.59518473501329594</v>
      </c>
      <c r="GH911">
        <v>0</v>
      </c>
      <c r="GI911">
        <v>0.28872755891519059</v>
      </c>
      <c r="GJ911"/>
      <c r="GK911">
        <v>0.85576285353908166</v>
      </c>
      <c r="GL911">
        <v>0.40705572478708768</v>
      </c>
      <c r="GM911">
        <v>0.23585576644039991</v>
      </c>
      <c r="GN911">
        <v>0.23585576644039991</v>
      </c>
      <c r="GO911">
        <v>0</v>
      </c>
      <c r="GP911">
        <v>0</v>
      </c>
      <c r="GQ911">
        <v>0.90739586192571098</v>
      </c>
      <c r="GR911">
        <v>0.90739586192571098</v>
      </c>
      <c r="GS911">
        <v>0</v>
      </c>
      <c r="GT911">
        <v>0.3998028963810385</v>
      </c>
      <c r="GU911"/>
      <c r="GV911"/>
      <c r="GW911"/>
      <c r="GX911"/>
      <c r="GY911"/>
      <c r="GZ911"/>
      <c r="HA911"/>
      <c r="HB911"/>
      <c r="HC911"/>
    </row>
    <row r="912" spans="1:211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2.5781249999999996</v>
      </c>
      <c r="AO912">
        <v>0.2858110904260614</v>
      </c>
      <c r="AP912">
        <v>7.999015916729034</v>
      </c>
      <c r="AQ912">
        <v>2.2434236598020898</v>
      </c>
      <c r="AR912">
        <v>0.32455594652826825</v>
      </c>
      <c r="AS912">
        <v>1.9301985443447707</v>
      </c>
      <c r="AT912" t="e">
        <v>#DIV/0!</v>
      </c>
      <c r="AU912" t="e">
        <v>#DIV/0!</v>
      </c>
      <c r="AV912"/>
      <c r="AW912"/>
      <c r="FY912" s="211">
        <v>907</v>
      </c>
      <c r="FZ912">
        <v>1.2925158010184312</v>
      </c>
      <c r="GA912">
        <v>0.86195082931690026</v>
      </c>
      <c r="GB912">
        <v>7.9203986612074825E-2</v>
      </c>
      <c r="GC912">
        <v>0.11377737556984255</v>
      </c>
      <c r="GD912">
        <v>5.3449107547347455E-2</v>
      </c>
      <c r="GE912">
        <v>0</v>
      </c>
      <c r="GF912">
        <v>0.33021050058332063</v>
      </c>
      <c r="GG912">
        <v>0.29759236750664797</v>
      </c>
      <c r="GH912">
        <v>0</v>
      </c>
      <c r="GI912">
        <v>0.30576001730378671</v>
      </c>
      <c r="GJ912"/>
      <c r="GK912">
        <v>1.2998905864596888</v>
      </c>
      <c r="GL912">
        <v>0.7403709403449259</v>
      </c>
      <c r="GM912">
        <v>0.13091770120800852</v>
      </c>
      <c r="GN912">
        <v>0.34079383167279126</v>
      </c>
      <c r="GO912">
        <v>0.20987613046478273</v>
      </c>
      <c r="GP912">
        <v>0</v>
      </c>
      <c r="GQ912">
        <v>0.45369793096285549</v>
      </c>
      <c r="GR912">
        <v>0.45369793096285549</v>
      </c>
      <c r="GS912">
        <v>0</v>
      </c>
      <c r="GT912">
        <v>0.41887646981906712</v>
      </c>
      <c r="GU912"/>
      <c r="GV912"/>
      <c r="GW912"/>
      <c r="GX912"/>
      <c r="GY912"/>
      <c r="GZ912"/>
      <c r="HA912"/>
      <c r="HB912"/>
      <c r="HC912"/>
    </row>
    <row r="913" spans="1:211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2.0270833333333331</v>
      </c>
      <c r="AO913">
        <v>0.51746023815979536</v>
      </c>
      <c r="AP913">
        <v>14.970047673281602</v>
      </c>
      <c r="AQ913">
        <v>4.167447598724352</v>
      </c>
      <c r="AR913">
        <v>0.53533689727169032</v>
      </c>
      <c r="AS913">
        <v>2.5103743923498021</v>
      </c>
      <c r="AT913" t="e">
        <v>#DIV/0!</v>
      </c>
      <c r="AU913" t="e">
        <v>#DIV/0!</v>
      </c>
      <c r="AV913"/>
      <c r="AW913"/>
      <c r="FY913" s="211">
        <v>908</v>
      </c>
      <c r="FZ913">
        <v>0.92473511037788647</v>
      </c>
      <c r="GA913">
        <v>0</v>
      </c>
      <c r="GB913">
        <v>7.9203986612074825E-2</v>
      </c>
      <c r="GC913">
        <v>4.4138825651920163E-2</v>
      </c>
      <c r="GD913">
        <v>0</v>
      </c>
      <c r="GE913">
        <v>0</v>
      </c>
      <c r="GF913">
        <v>0.33021050058332063</v>
      </c>
      <c r="GG913">
        <v>0.29759236750664797</v>
      </c>
      <c r="GH913">
        <v>0</v>
      </c>
      <c r="GI913">
        <v>0.22052154760506942</v>
      </c>
      <c r="GJ913"/>
      <c r="GK913">
        <v>0.92563792201934558</v>
      </c>
      <c r="GL913">
        <v>0</v>
      </c>
      <c r="GM913">
        <v>0.13091770120800852</v>
      </c>
      <c r="GN913">
        <v>0.13091770120800852</v>
      </c>
      <c r="GO913">
        <v>0</v>
      </c>
      <c r="GP913">
        <v>0</v>
      </c>
      <c r="GQ913">
        <v>0.45369793096285549</v>
      </c>
      <c r="GR913">
        <v>0.45369793096285549</v>
      </c>
      <c r="GS913">
        <v>0</v>
      </c>
      <c r="GT913">
        <v>0.30205071083804191</v>
      </c>
      <c r="GU913"/>
      <c r="GV913"/>
      <c r="GW913"/>
      <c r="GX913"/>
      <c r="GY913"/>
      <c r="GZ913"/>
      <c r="HA913"/>
      <c r="HB913"/>
      <c r="HC913"/>
    </row>
    <row r="914" spans="1:211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2.4197916666666663</v>
      </c>
      <c r="AO914">
        <v>0.25752179207689124</v>
      </c>
      <c r="AP914">
        <v>4.091603400056151</v>
      </c>
      <c r="AQ914">
        <v>2.0333324632608929</v>
      </c>
      <c r="AR914">
        <v>0.27478163164123204</v>
      </c>
      <c r="AS914">
        <v>1.8630932693974334</v>
      </c>
      <c r="AT914" t="e">
        <v>#DIV/0!</v>
      </c>
      <c r="AU914" t="e">
        <v>#DIV/0!</v>
      </c>
      <c r="AV914"/>
      <c r="AW914"/>
      <c r="FY914" s="211">
        <v>909</v>
      </c>
      <c r="FZ914">
        <v>0.74304259884046586</v>
      </c>
      <c r="GA914">
        <v>0</v>
      </c>
      <c r="GB914">
        <v>0.12565184548559416</v>
      </c>
      <c r="GC914">
        <v>0.10445782487688358</v>
      </c>
      <c r="GD914">
        <v>2.6724553773673727E-2</v>
      </c>
      <c r="GE914">
        <v>0</v>
      </c>
      <c r="GF914">
        <v>0</v>
      </c>
      <c r="GG914">
        <v>0</v>
      </c>
      <c r="GH914">
        <v>0</v>
      </c>
      <c r="GI914">
        <v>0.15638720976690762</v>
      </c>
      <c r="GJ914"/>
      <c r="GK914">
        <v>0.74723012289162138</v>
      </c>
      <c r="GL914">
        <v>0</v>
      </c>
      <c r="GM914">
        <v>0.20987613046478273</v>
      </c>
      <c r="GN914">
        <v>0.31481419569717412</v>
      </c>
      <c r="GO914">
        <v>0.10493806523239137</v>
      </c>
      <c r="GP914">
        <v>0</v>
      </c>
      <c r="GQ914">
        <v>0</v>
      </c>
      <c r="GR914">
        <v>0</v>
      </c>
      <c r="GS914">
        <v>0</v>
      </c>
      <c r="GT914">
        <v>0.21240886371775911</v>
      </c>
      <c r="GU914"/>
      <c r="GV914"/>
      <c r="GW914"/>
      <c r="GX914"/>
      <c r="GY914"/>
      <c r="GZ914"/>
      <c r="HA914"/>
      <c r="HB914"/>
      <c r="HC914"/>
    </row>
    <row r="915" spans="1:211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1.9145833333333333</v>
      </c>
      <c r="AO915">
        <v>0.38350313904308436</v>
      </c>
      <c r="AP915">
        <v>16.654668893237439</v>
      </c>
      <c r="AQ915">
        <v>2.991840176097925</v>
      </c>
      <c r="AR915">
        <v>0.39740736374708524</v>
      </c>
      <c r="AS915">
        <v>2.0193006044171731</v>
      </c>
      <c r="AT915" t="e">
        <v>#DIV/0!</v>
      </c>
      <c r="AU915" t="e">
        <v>#DIV/0!</v>
      </c>
      <c r="AV915"/>
      <c r="AW915"/>
      <c r="FY915" s="211">
        <v>910</v>
      </c>
      <c r="FZ915">
        <v>1.2602781596740624</v>
      </c>
      <c r="GA915">
        <v>0.17450094823695328</v>
      </c>
      <c r="GB915">
        <v>0.14202990935487192</v>
      </c>
      <c r="GC915">
        <v>0.11377737556984255</v>
      </c>
      <c r="GD915">
        <v>2.6724553773673727E-2</v>
      </c>
      <c r="GE915">
        <v>0</v>
      </c>
      <c r="GF915">
        <v>0.33021050058332063</v>
      </c>
      <c r="GG915">
        <v>0.29759236750664797</v>
      </c>
      <c r="GH915">
        <v>0</v>
      </c>
      <c r="GI915">
        <v>0.30101745978862943</v>
      </c>
      <c r="GJ915"/>
      <c r="GK915">
        <v>1.2664373955453434</v>
      </c>
      <c r="GL915">
        <v>0.14748101845849892</v>
      </c>
      <c r="GM915">
        <v>0.23585576644039991</v>
      </c>
      <c r="GN915">
        <v>0.34079383167279126</v>
      </c>
      <c r="GO915">
        <v>0.10493806523239137</v>
      </c>
      <c r="GP915">
        <v>0</v>
      </c>
      <c r="GQ915">
        <v>0.45369793096285549</v>
      </c>
      <c r="GR915">
        <v>0.45369793096285549</v>
      </c>
      <c r="GS915">
        <v>0</v>
      </c>
      <c r="GT915">
        <v>0.4121858316361981</v>
      </c>
      <c r="GU915"/>
      <c r="GV915"/>
      <c r="GW915"/>
      <c r="GX915"/>
      <c r="GY915"/>
      <c r="GZ915"/>
      <c r="HA915"/>
      <c r="HB915"/>
      <c r="HC915"/>
    </row>
    <row r="916" spans="1:211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2.5864583333333329</v>
      </c>
      <c r="AO916">
        <v>0.33419077312059425</v>
      </c>
      <c r="AP916">
        <v>12.334688917854406</v>
      </c>
      <c r="AQ916">
        <v>2.6479137898929377</v>
      </c>
      <c r="AR916">
        <v>0.36901679216874295</v>
      </c>
      <c r="AS916">
        <v>2.0333050309969338</v>
      </c>
      <c r="AT916" t="e">
        <v>#DIV/0!</v>
      </c>
      <c r="AU916" t="e">
        <v>#DIV/0!</v>
      </c>
      <c r="AV916"/>
      <c r="AW916"/>
      <c r="FY916" s="211">
        <v>911</v>
      </c>
      <c r="FZ916">
        <v>0.38360512521531875</v>
      </c>
      <c r="GA916">
        <v>0</v>
      </c>
      <c r="GB916">
        <v>7.9203986612074825E-2</v>
      </c>
      <c r="GC916">
        <v>7.8958100610881349E-2</v>
      </c>
      <c r="GD916">
        <v>2.6724553773673727E-2</v>
      </c>
      <c r="GE916">
        <v>0</v>
      </c>
      <c r="GF916">
        <v>0.33021050058332063</v>
      </c>
      <c r="GG916">
        <v>0.29759236750664797</v>
      </c>
      <c r="GH916">
        <v>0</v>
      </c>
      <c r="GI916">
        <v>0.15581585748499704</v>
      </c>
      <c r="GJ916"/>
      <c r="GK916">
        <v>0.38292423785575391</v>
      </c>
      <c r="GL916">
        <v>0</v>
      </c>
      <c r="GM916">
        <v>0.13091770120800852</v>
      </c>
      <c r="GN916">
        <v>0.23585576644039991</v>
      </c>
      <c r="GO916">
        <v>0.10493806523239137</v>
      </c>
      <c r="GP916">
        <v>0</v>
      </c>
      <c r="GQ916">
        <v>0.45369793096285549</v>
      </c>
      <c r="GR916">
        <v>0.45369793096285549</v>
      </c>
      <c r="GS916">
        <v>0</v>
      </c>
      <c r="GT916">
        <v>0.21449558705180188</v>
      </c>
      <c r="GU916"/>
      <c r="GV916"/>
      <c r="GW916"/>
      <c r="GX916"/>
      <c r="GY916"/>
      <c r="GZ916"/>
      <c r="HA916"/>
      <c r="HB916"/>
      <c r="HC916"/>
    </row>
    <row r="917" spans="1:211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1.9458333333333329</v>
      </c>
      <c r="AO917">
        <v>0.71499084919417888</v>
      </c>
      <c r="AP917">
        <v>33.71902623976937</v>
      </c>
      <c r="AQ917">
        <v>5.3317506797163103</v>
      </c>
      <c r="AR917">
        <v>0.72303791518414817</v>
      </c>
      <c r="AS917">
        <v>2.91541288790456</v>
      </c>
      <c r="AT917" t="e">
        <v>#DIV/0!</v>
      </c>
      <c r="AU917" t="e">
        <v>#DIV/0!</v>
      </c>
      <c r="AV917"/>
      <c r="AW917"/>
      <c r="FY917" s="211">
        <v>912</v>
      </c>
      <c r="FZ917">
        <v>1.1884380807511805</v>
      </c>
      <c r="GA917">
        <v>0.38735017759921181</v>
      </c>
      <c r="GB917">
        <v>0</v>
      </c>
      <c r="GC917">
        <v>0</v>
      </c>
      <c r="GD917">
        <v>0</v>
      </c>
      <c r="GE917">
        <v>0</v>
      </c>
      <c r="GF917">
        <v>0.33021050058332063</v>
      </c>
      <c r="GG917">
        <v>0.29759236750664797</v>
      </c>
      <c r="GH917">
        <v>0</v>
      </c>
      <c r="GI917">
        <v>0.2400786774842234</v>
      </c>
      <c r="GJ917"/>
      <c r="GK917">
        <v>1.1936245957838949</v>
      </c>
      <c r="GL917">
        <v>0.33331521555783822</v>
      </c>
      <c r="GM917">
        <v>0</v>
      </c>
      <c r="GN917">
        <v>0</v>
      </c>
      <c r="GO917">
        <v>0</v>
      </c>
      <c r="GP917">
        <v>0</v>
      </c>
      <c r="GQ917">
        <v>0.45369793096285549</v>
      </c>
      <c r="GR917">
        <v>0.45369793096285549</v>
      </c>
      <c r="GS917">
        <v>0</v>
      </c>
      <c r="GT917">
        <v>0.32946450534935007</v>
      </c>
      <c r="GU917"/>
      <c r="GV917"/>
      <c r="GW917"/>
      <c r="GX917"/>
      <c r="GY917"/>
      <c r="GZ917"/>
      <c r="HA917"/>
      <c r="HB917"/>
      <c r="HC917"/>
    </row>
    <row r="918" spans="1:211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1.5416666666666667</v>
      </c>
      <c r="AO918">
        <v>0.20860658558163422</v>
      </c>
      <c r="AP918">
        <v>9.3073022007047115</v>
      </c>
      <c r="AQ918">
        <v>1.4844106263301278</v>
      </c>
      <c r="AR918">
        <v>0.21613200220137002</v>
      </c>
      <c r="AS918">
        <v>1.3026970275583487</v>
      </c>
      <c r="AT918" t="e">
        <v>#DIV/0!</v>
      </c>
      <c r="AU918" t="e">
        <v>#DIV/0!</v>
      </c>
      <c r="AV918"/>
      <c r="AW918"/>
      <c r="FY918" s="211">
        <v>913</v>
      </c>
      <c r="FZ918">
        <v>1.9744657297922616</v>
      </c>
      <c r="GA918">
        <v>1.3365514810345887</v>
      </c>
      <c r="GB918">
        <v>0.26768175484046608</v>
      </c>
      <c r="GC918">
        <v>0.14859665052880378</v>
      </c>
      <c r="GD918">
        <v>0</v>
      </c>
      <c r="GE918">
        <v>0</v>
      </c>
      <c r="GF918">
        <v>0</v>
      </c>
      <c r="GG918">
        <v>0</v>
      </c>
      <c r="GH918">
        <v>0</v>
      </c>
      <c r="GI918">
        <v>0.35795528582560632</v>
      </c>
      <c r="GJ918"/>
      <c r="GK918">
        <v>1.9910309563983517</v>
      </c>
      <c r="GL918">
        <v>1.1474266651320135</v>
      </c>
      <c r="GM918">
        <v>0.44573189690518267</v>
      </c>
      <c r="GN918">
        <v>0.44573189690518267</v>
      </c>
      <c r="GO918">
        <v>0</v>
      </c>
      <c r="GP918">
        <v>0</v>
      </c>
      <c r="GQ918">
        <v>0</v>
      </c>
      <c r="GR918">
        <v>0</v>
      </c>
      <c r="GS918">
        <v>0</v>
      </c>
      <c r="GT918">
        <v>0.48735257066070686</v>
      </c>
      <c r="GU918"/>
      <c r="GV918"/>
      <c r="GW918"/>
      <c r="GX918"/>
      <c r="GY918"/>
      <c r="GZ918"/>
      <c r="HA918"/>
      <c r="HB918"/>
      <c r="HC918"/>
    </row>
    <row r="919" spans="1:211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1.4666666666666663</v>
      </c>
      <c r="AO919">
        <v>0.28528743112869187</v>
      </c>
      <c r="AP919">
        <v>9.6270392454313765</v>
      </c>
      <c r="AQ919">
        <v>2.256612857736894</v>
      </c>
      <c r="AR919">
        <v>0.2970407541786988</v>
      </c>
      <c r="AS919">
        <v>1.4679902036361416</v>
      </c>
      <c r="AT919" t="e">
        <v>#DIV/0!</v>
      </c>
      <c r="AU919" t="e">
        <v>#DIV/0!</v>
      </c>
      <c r="AV919"/>
      <c r="AW919"/>
      <c r="FY919" s="211">
        <v>914</v>
      </c>
      <c r="FZ919">
        <v>0.70010939337406497</v>
      </c>
      <c r="GA919">
        <v>8.725047411847664E-2</v>
      </c>
      <c r="GB919">
        <v>0.37964186919109638</v>
      </c>
      <c r="GC919">
        <v>0.28101312748456425</v>
      </c>
      <c r="GD919">
        <v>5.3449107547347455E-2</v>
      </c>
      <c r="GE919">
        <v>0</v>
      </c>
      <c r="GF919">
        <v>0.33021050058332063</v>
      </c>
      <c r="GG919">
        <v>0.29759236750664797</v>
      </c>
      <c r="GH919">
        <v>0</v>
      </c>
      <c r="GI919">
        <v>0.29180569473378637</v>
      </c>
      <c r="GJ919"/>
      <c r="GK919">
        <v>0.70117602900407561</v>
      </c>
      <c r="GL919">
        <v>7.3740509229249462E-2</v>
      </c>
      <c r="GM919">
        <v>0.62860887006442545</v>
      </c>
      <c r="GN919">
        <v>0.83848500052920816</v>
      </c>
      <c r="GO919">
        <v>0.20987613046478273</v>
      </c>
      <c r="GP919">
        <v>0</v>
      </c>
      <c r="GQ919">
        <v>0.45369793096285549</v>
      </c>
      <c r="GR919">
        <v>0.45369793096285549</v>
      </c>
      <c r="GS919">
        <v>0</v>
      </c>
      <c r="GT919">
        <v>0.39867179209922782</v>
      </c>
      <c r="GU919"/>
      <c r="GV919"/>
      <c r="GW919"/>
      <c r="GX919"/>
      <c r="GY919"/>
      <c r="GZ919"/>
      <c r="HA919"/>
      <c r="HB919"/>
      <c r="HC919"/>
    </row>
    <row r="920" spans="1:211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1.9927083333333329</v>
      </c>
      <c r="AO920">
        <v>0.33201168889381061</v>
      </c>
      <c r="AP920">
        <v>8.4845219905596281</v>
      </c>
      <c r="AQ920">
        <v>2.7287395147212443</v>
      </c>
      <c r="AR920">
        <v>0.35829449291975224</v>
      </c>
      <c r="AS920">
        <v>1.9225776154208722</v>
      </c>
      <c r="AT920" t="e">
        <v>#DIV/0!</v>
      </c>
      <c r="AU920" t="e">
        <v>#DIV/0!</v>
      </c>
      <c r="AV920"/>
      <c r="AW920"/>
      <c r="FY920" s="211">
        <v>915</v>
      </c>
      <c r="FZ920">
        <v>0.74349001704154971</v>
      </c>
      <c r="GA920">
        <v>0.47460065171768845</v>
      </c>
      <c r="GB920">
        <v>0.23761195983622446</v>
      </c>
      <c r="GC920">
        <v>0.16723575191472168</v>
      </c>
      <c r="GD920">
        <v>2.6724553773673727E-2</v>
      </c>
      <c r="GE920">
        <v>0</v>
      </c>
      <c r="GF920">
        <v>0.33021050058332063</v>
      </c>
      <c r="GG920">
        <v>0.29759236750664797</v>
      </c>
      <c r="GH920">
        <v>0</v>
      </c>
      <c r="GI920">
        <v>0.24783785682446191</v>
      </c>
      <c r="GJ920"/>
      <c r="GK920">
        <v>0.74723310515074948</v>
      </c>
      <c r="GL920">
        <v>0.40705572478708768</v>
      </c>
      <c r="GM920">
        <v>0.39275310362402555</v>
      </c>
      <c r="GN920">
        <v>0.4976911688564169</v>
      </c>
      <c r="GO920">
        <v>0.10493806523239137</v>
      </c>
      <c r="GP920">
        <v>0</v>
      </c>
      <c r="GQ920">
        <v>0.45369793096285549</v>
      </c>
      <c r="GR920">
        <v>0.45369793096285549</v>
      </c>
      <c r="GS920">
        <v>0</v>
      </c>
      <c r="GT920">
        <v>0.3397244409940044</v>
      </c>
      <c r="GU920"/>
      <c r="GV920"/>
      <c r="GW920"/>
      <c r="GX920"/>
      <c r="GY920"/>
      <c r="GZ920"/>
      <c r="HA920"/>
      <c r="HB920"/>
      <c r="HC920"/>
    </row>
    <row r="921" spans="1:211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1.15625</v>
      </c>
      <c r="AO921">
        <v>0.26537423853120645</v>
      </c>
      <c r="AP921">
        <v>13.692573768416871</v>
      </c>
      <c r="AQ921">
        <v>1.9057529002049478</v>
      </c>
      <c r="AR921">
        <v>0.27356807635899372</v>
      </c>
      <c r="AS921">
        <v>1.3308216362687426</v>
      </c>
      <c r="AT921" t="e">
        <v>#DIV/0!</v>
      </c>
      <c r="AU921" t="e">
        <v>#DIV/0!</v>
      </c>
      <c r="AV921"/>
      <c r="AW921"/>
      <c r="FY921" s="211">
        <v>916</v>
      </c>
      <c r="FZ921">
        <v>1.0368695630596541</v>
      </c>
      <c r="GA921">
        <v>0.26175142235542992</v>
      </c>
      <c r="GB921">
        <v>7.9203986612074825E-2</v>
      </c>
      <c r="GC921">
        <v>4.4138825651920163E-2</v>
      </c>
      <c r="GD921">
        <v>0</v>
      </c>
      <c r="GE921">
        <v>0</v>
      </c>
      <c r="GF921">
        <v>0.33021050058332063</v>
      </c>
      <c r="GG921">
        <v>0.29759236750664797</v>
      </c>
      <c r="GH921">
        <v>0</v>
      </c>
      <c r="GI921">
        <v>0.23712739971951752</v>
      </c>
      <c r="GJ921"/>
      <c r="GK921">
        <v>1.0382956993952412</v>
      </c>
      <c r="GL921">
        <v>0.22122152768774839</v>
      </c>
      <c r="GM921">
        <v>0.13091770120800852</v>
      </c>
      <c r="GN921">
        <v>0.13091770120800852</v>
      </c>
      <c r="GO921">
        <v>0</v>
      </c>
      <c r="GP921">
        <v>0</v>
      </c>
      <c r="GQ921">
        <v>0.45369793096285549</v>
      </c>
      <c r="GR921">
        <v>0.45369793096285549</v>
      </c>
      <c r="GS921">
        <v>0</v>
      </c>
      <c r="GT921">
        <v>0.32458226631322107</v>
      </c>
      <c r="GU921"/>
      <c r="GV921"/>
      <c r="GW921"/>
      <c r="GX921"/>
      <c r="GY921"/>
      <c r="GZ921"/>
      <c r="HA921"/>
      <c r="HB921"/>
      <c r="HC921"/>
    </row>
    <row r="922" spans="1:211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1.9406249999999996</v>
      </c>
      <c r="AO922">
        <v>0.39491247314394295</v>
      </c>
      <c r="AP922">
        <v>16.219661351604717</v>
      </c>
      <c r="AQ922">
        <v>3.0893383017303733</v>
      </c>
      <c r="AR922">
        <v>0.3998028963810385</v>
      </c>
      <c r="AS922">
        <v>1.7701503352059773</v>
      </c>
      <c r="AT922" t="e">
        <v>#DIV/0!</v>
      </c>
      <c r="AU922" t="e">
        <v>#DIV/0!</v>
      </c>
      <c r="AV922"/>
      <c r="AW922"/>
      <c r="FY922" s="211">
        <v>917</v>
      </c>
      <c r="FZ922">
        <v>0.53885110196760577</v>
      </c>
      <c r="GA922">
        <v>8.725047411847664E-2</v>
      </c>
      <c r="GB922">
        <v>0.23761195983622446</v>
      </c>
      <c r="GC922">
        <v>0.20205502687368287</v>
      </c>
      <c r="GD922">
        <v>5.3449107547347455E-2</v>
      </c>
      <c r="GE922">
        <v>0</v>
      </c>
      <c r="GF922">
        <v>0</v>
      </c>
      <c r="GG922">
        <v>0</v>
      </c>
      <c r="GH922">
        <v>0</v>
      </c>
      <c r="GI922">
        <v>0.16894511760194489</v>
      </c>
      <c r="GJ922"/>
      <c r="GK922">
        <v>0.54068157439122078</v>
      </c>
      <c r="GL922">
        <v>7.3740509229249462E-2</v>
      </c>
      <c r="GM922">
        <v>0.39275310362402555</v>
      </c>
      <c r="GN922">
        <v>0.60262923408880831</v>
      </c>
      <c r="GO922">
        <v>0.20987613046478273</v>
      </c>
      <c r="GP922">
        <v>0</v>
      </c>
      <c r="GQ922">
        <v>0</v>
      </c>
      <c r="GR922">
        <v>0</v>
      </c>
      <c r="GS922">
        <v>0</v>
      </c>
      <c r="GT922">
        <v>0.22866216169600581</v>
      </c>
      <c r="GU922"/>
      <c r="GV922"/>
      <c r="GW922"/>
      <c r="GX922"/>
      <c r="GY922"/>
      <c r="GZ922"/>
      <c r="HA922"/>
      <c r="HB922"/>
      <c r="HC922"/>
    </row>
    <row r="923" spans="1:211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3.0843749999999996</v>
      </c>
      <c r="AO923">
        <v>0.40481215218949751</v>
      </c>
      <c r="AP923">
        <v>10.452071012714065</v>
      </c>
      <c r="AQ923">
        <v>3.3344599854583521</v>
      </c>
      <c r="AR923">
        <v>0.41887646981906712</v>
      </c>
      <c r="AS923">
        <v>2.4533785789894349</v>
      </c>
      <c r="AT923" t="e">
        <v>#DIV/0!</v>
      </c>
      <c r="AU923" t="e">
        <v>#DIV/0!</v>
      </c>
      <c r="AV923"/>
      <c r="AW923"/>
      <c r="FY923" s="211">
        <v>918</v>
      </c>
      <c r="FZ923">
        <v>0.59671669361478241</v>
      </c>
      <c r="GA923">
        <v>8.725047411847664E-2</v>
      </c>
      <c r="GB923">
        <v>0.14202990935487192</v>
      </c>
      <c r="GC923">
        <v>7.8958100610881349E-2</v>
      </c>
      <c r="GD923">
        <v>0</v>
      </c>
      <c r="GE923">
        <v>0</v>
      </c>
      <c r="GF923">
        <v>0.66042100116664126</v>
      </c>
      <c r="GG923">
        <v>0.59518473501329594</v>
      </c>
      <c r="GH923">
        <v>0</v>
      </c>
      <c r="GI923">
        <v>0.25141086360227738</v>
      </c>
      <c r="GJ923"/>
      <c r="GK923">
        <v>0.5983211299743163</v>
      </c>
      <c r="GL923">
        <v>7.3740509229249462E-2</v>
      </c>
      <c r="GM923">
        <v>0.23585576644039991</v>
      </c>
      <c r="GN923">
        <v>0.23585576644039991</v>
      </c>
      <c r="GO923">
        <v>0</v>
      </c>
      <c r="GP923">
        <v>0</v>
      </c>
      <c r="GQ923">
        <v>0.90739586192571098</v>
      </c>
      <c r="GR923">
        <v>0.90739586192571098</v>
      </c>
      <c r="GS923">
        <v>0</v>
      </c>
      <c r="GT923">
        <v>0.34831455166808545</v>
      </c>
      <c r="GU923"/>
      <c r="GV923"/>
      <c r="GW923"/>
      <c r="GX923"/>
      <c r="GY923"/>
      <c r="GZ923"/>
      <c r="HA923"/>
      <c r="HB923"/>
      <c r="HC923"/>
    </row>
    <row r="924" spans="1:211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2.7135416666666665</v>
      </c>
      <c r="AO924">
        <v>0.23969198971991154</v>
      </c>
      <c r="AP924">
        <v>7.7134159692770314</v>
      </c>
      <c r="AQ924">
        <v>1.8964023383369195</v>
      </c>
      <c r="AR924">
        <v>0.30205071083804191</v>
      </c>
      <c r="AS924">
        <v>1.8974035199295252</v>
      </c>
      <c r="AT924" t="e">
        <v>#DIV/0!</v>
      </c>
      <c r="AU924" t="e">
        <v>#DIV/0!</v>
      </c>
      <c r="AV924"/>
      <c r="AW924"/>
      <c r="FY924" s="211">
        <v>919</v>
      </c>
      <c r="FZ924">
        <v>1.5584834743777805</v>
      </c>
      <c r="GA924">
        <v>0.77470035519842362</v>
      </c>
      <c r="GB924">
        <v>0.28405981870974384</v>
      </c>
      <c r="GC924">
        <v>0.2275547511396851</v>
      </c>
      <c r="GD924">
        <v>5.3449107547347455E-2</v>
      </c>
      <c r="GE924">
        <v>0</v>
      </c>
      <c r="GF924">
        <v>0.66042100116664126</v>
      </c>
      <c r="GG924">
        <v>0.59518473501329594</v>
      </c>
      <c r="GH924">
        <v>0</v>
      </c>
      <c r="GI924">
        <v>0.45934589868967324</v>
      </c>
      <c r="GJ924"/>
      <c r="GK924">
        <v>1.5736500003151357</v>
      </c>
      <c r="GL924">
        <v>0.66663043111567644</v>
      </c>
      <c r="GM924">
        <v>0.47171153288079981</v>
      </c>
      <c r="GN924">
        <v>0.68158766334558252</v>
      </c>
      <c r="GO924">
        <v>0.20987613046478273</v>
      </c>
      <c r="GP924">
        <v>0</v>
      </c>
      <c r="GQ924">
        <v>0.90739586192571098</v>
      </c>
      <c r="GR924">
        <v>0.90739586192571098</v>
      </c>
      <c r="GS924">
        <v>0</v>
      </c>
      <c r="GT924">
        <v>0.63252670511728581</v>
      </c>
      <c r="GU924"/>
      <c r="GV924"/>
      <c r="GW924"/>
      <c r="GX924"/>
      <c r="GY924"/>
      <c r="GZ924"/>
      <c r="HA924"/>
      <c r="HB924"/>
      <c r="HC924"/>
    </row>
    <row r="925" spans="1:211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1.3437499999999998</v>
      </c>
      <c r="AO925">
        <v>0.15892673780037286</v>
      </c>
      <c r="AP925">
        <v>2.5633117906332585</v>
      </c>
      <c r="AQ925">
        <v>1.156264032743525</v>
      </c>
      <c r="AR925">
        <v>0.21240886371775913</v>
      </c>
      <c r="AS925">
        <v>1.3284411012189143</v>
      </c>
      <c r="AT925" t="e">
        <v>#DIV/0!</v>
      </c>
      <c r="AU925" t="e">
        <v>#DIV/0!</v>
      </c>
      <c r="AV925"/>
      <c r="AW925"/>
      <c r="FY925" s="211">
        <v>920</v>
      </c>
      <c r="FZ925">
        <v>0.56578980958358416</v>
      </c>
      <c r="GA925">
        <v>0.17450094823695328</v>
      </c>
      <c r="GB925">
        <v>6.282592274279708E-2</v>
      </c>
      <c r="GC925">
        <v>0.13927709983584477</v>
      </c>
      <c r="GD925">
        <v>8.0173661321021189E-2</v>
      </c>
      <c r="GE925">
        <v>0</v>
      </c>
      <c r="GF925">
        <v>0.99063150174996206</v>
      </c>
      <c r="GG925">
        <v>0.89277710251994391</v>
      </c>
      <c r="GH925">
        <v>0</v>
      </c>
      <c r="GI925">
        <v>0.33787049524435236</v>
      </c>
      <c r="GJ925"/>
      <c r="GK925">
        <v>0.5673274782371589</v>
      </c>
      <c r="GL925">
        <v>0.14748101845849892</v>
      </c>
      <c r="GM925">
        <v>0.10493806523239137</v>
      </c>
      <c r="GN925">
        <v>0.41975226092956547</v>
      </c>
      <c r="GO925">
        <v>0.31481419569717417</v>
      </c>
      <c r="GP925">
        <v>0</v>
      </c>
      <c r="GQ925">
        <v>1.3610937928885667</v>
      </c>
      <c r="GR925">
        <v>1.3610937928885667</v>
      </c>
      <c r="GS925">
        <v>0</v>
      </c>
      <c r="GT925">
        <v>0.4696347064110582</v>
      </c>
      <c r="GU925"/>
      <c r="GV925"/>
      <c r="GW925"/>
      <c r="GX925"/>
      <c r="GY925"/>
      <c r="GZ925"/>
      <c r="HA925"/>
      <c r="HB925"/>
      <c r="HC925"/>
    </row>
    <row r="926" spans="1:211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2.9635416666666661</v>
      </c>
      <c r="AO926">
        <v>0.34150877709113336</v>
      </c>
      <c r="AP926">
        <v>9.1325501481303739</v>
      </c>
      <c r="AQ926">
        <v>2.6461312744880021</v>
      </c>
      <c r="AR926">
        <v>0.4121858316361981</v>
      </c>
      <c r="AS926">
        <v>2.1561249188469271</v>
      </c>
      <c r="AT926" t="e">
        <v>#DIV/0!</v>
      </c>
      <c r="AU926" t="e">
        <v>#DIV/0!</v>
      </c>
      <c r="AV926"/>
      <c r="AW926"/>
      <c r="FY926" s="211">
        <v>921</v>
      </c>
      <c r="FZ926">
        <v>1.1533447017006437</v>
      </c>
      <c r="GA926">
        <v>0.47460065171768845</v>
      </c>
      <c r="GB926">
        <v>0.18847776822839127</v>
      </c>
      <c r="GC926">
        <v>0.10445782487688361</v>
      </c>
      <c r="GD926">
        <v>0</v>
      </c>
      <c r="GE926">
        <v>0</v>
      </c>
      <c r="GF926">
        <v>0</v>
      </c>
      <c r="GG926">
        <v>0</v>
      </c>
      <c r="GH926">
        <v>0</v>
      </c>
      <c r="GI926">
        <v>0.21715452615838016</v>
      </c>
      <c r="GJ926"/>
      <c r="GK926">
        <v>1.1592377308834929</v>
      </c>
      <c r="GL926">
        <v>0.40705572478708768</v>
      </c>
      <c r="GM926">
        <v>0.31481419569717417</v>
      </c>
      <c r="GN926">
        <v>0.31481419569717417</v>
      </c>
      <c r="GO926">
        <v>0</v>
      </c>
      <c r="GP926">
        <v>0</v>
      </c>
      <c r="GQ926">
        <v>0</v>
      </c>
      <c r="GR926">
        <v>0</v>
      </c>
      <c r="GS926">
        <v>0</v>
      </c>
      <c r="GT926">
        <v>0.29481038531613341</v>
      </c>
      <c r="GU926"/>
      <c r="GV926"/>
      <c r="GW926"/>
      <c r="GX926"/>
      <c r="GY926"/>
      <c r="GZ926"/>
      <c r="HA926"/>
      <c r="HB926"/>
      <c r="HC926"/>
    </row>
    <row r="927" spans="1:211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1.4531250000000002</v>
      </c>
      <c r="AO927">
        <v>0.19765272197140665</v>
      </c>
      <c r="AP927">
        <v>7.8773574639733344</v>
      </c>
      <c r="AQ927">
        <v>1.3521104917869142</v>
      </c>
      <c r="AR927">
        <v>0.21449558705180188</v>
      </c>
      <c r="AS927">
        <v>1.2445891934689188</v>
      </c>
      <c r="AT927" t="e">
        <v>#DIV/0!</v>
      </c>
      <c r="AU927" t="e">
        <v>#DIV/0!</v>
      </c>
      <c r="AV927"/>
      <c r="AW927"/>
      <c r="FY927" s="211">
        <v>922</v>
      </c>
      <c r="FZ927">
        <v>1.1205719980346116</v>
      </c>
      <c r="GA927">
        <v>0.47460065171768845</v>
      </c>
      <c r="GB927">
        <v>7.9203986612074825E-2</v>
      </c>
      <c r="GC927">
        <v>0.11377737556984255</v>
      </c>
      <c r="GD927">
        <v>5.3449107547347455E-2</v>
      </c>
      <c r="GE927">
        <v>0</v>
      </c>
      <c r="GF927">
        <v>0.33021050058332063</v>
      </c>
      <c r="GG927">
        <v>0.29759236750664797</v>
      </c>
      <c r="GH927">
        <v>0</v>
      </c>
      <c r="GI927">
        <v>0.28024518556140088</v>
      </c>
      <c r="GJ927"/>
      <c r="GK927">
        <v>1.1289001742321922</v>
      </c>
      <c r="GL927">
        <v>0.40705572478708768</v>
      </c>
      <c r="GM927">
        <v>0.13091770120800852</v>
      </c>
      <c r="GN927">
        <v>0.34079383167279126</v>
      </c>
      <c r="GO927">
        <v>0.20987613046478273</v>
      </c>
      <c r="GP927">
        <v>0</v>
      </c>
      <c r="GQ927">
        <v>0.45369793096285549</v>
      </c>
      <c r="GR927">
        <v>0.45369793096285549</v>
      </c>
      <c r="GS927">
        <v>0</v>
      </c>
      <c r="GT927">
        <v>0.3846783873735678</v>
      </c>
      <c r="GU927"/>
      <c r="GV927"/>
      <c r="GW927"/>
      <c r="GX927"/>
      <c r="GY927"/>
      <c r="GZ927"/>
      <c r="HA927"/>
      <c r="HB927"/>
      <c r="HC927"/>
    </row>
    <row r="928" spans="1:211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3.0708333333333329</v>
      </c>
      <c r="AO928">
        <v>0.27638001786167943</v>
      </c>
      <c r="AP928">
        <v>8.8889651983797684</v>
      </c>
      <c r="AQ928">
        <v>2.4436698039245845</v>
      </c>
      <c r="AR928">
        <v>0.32946450534935007</v>
      </c>
      <c r="AS928">
        <v>1.8648945035705911</v>
      </c>
      <c r="AT928" t="e">
        <v>#DIV/0!</v>
      </c>
      <c r="AU928" t="e">
        <v>#DIV/0!</v>
      </c>
      <c r="AV928"/>
      <c r="AW928"/>
      <c r="FY928" s="211">
        <v>923</v>
      </c>
      <c r="FZ928">
        <v>0.89924664892987261</v>
      </c>
      <c r="GA928">
        <v>0.38735017759921181</v>
      </c>
      <c r="GB928">
        <v>0.14202990935487192</v>
      </c>
      <c r="GC928">
        <v>0.11377737556984255</v>
      </c>
      <c r="GD928">
        <v>2.6724553773673727E-2</v>
      </c>
      <c r="GE928">
        <v>0</v>
      </c>
      <c r="GF928">
        <v>0</v>
      </c>
      <c r="GG928">
        <v>0</v>
      </c>
      <c r="GH928">
        <v>0</v>
      </c>
      <c r="GI928">
        <v>0.18351643819503777</v>
      </c>
      <c r="GJ928"/>
      <c r="GK928">
        <v>0.90245508466371227</v>
      </c>
      <c r="GL928">
        <v>0.33331521555783822</v>
      </c>
      <c r="GM928">
        <v>0.23585576644039991</v>
      </c>
      <c r="GN928">
        <v>0.34079383167279126</v>
      </c>
      <c r="GO928">
        <v>0.10493806523239137</v>
      </c>
      <c r="GP928">
        <v>0</v>
      </c>
      <c r="GQ928">
        <v>0</v>
      </c>
      <c r="GR928">
        <v>0</v>
      </c>
      <c r="GS928">
        <v>0</v>
      </c>
      <c r="GT928">
        <v>0.24864978326730072</v>
      </c>
      <c r="GU928"/>
      <c r="GV928"/>
      <c r="GW928"/>
      <c r="GX928"/>
      <c r="GY928"/>
      <c r="GZ928"/>
      <c r="HA928"/>
      <c r="HB928"/>
      <c r="HC928"/>
    </row>
    <row r="929" spans="1:211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3.7072916666666664</v>
      </c>
      <c r="AO929">
        <v>0.45172739860014371</v>
      </c>
      <c r="AP929">
        <v>8.3802404074315042</v>
      </c>
      <c r="AQ929">
        <v>4.0852509020217269</v>
      </c>
      <c r="AR929">
        <v>0.48735257066070686</v>
      </c>
      <c r="AS929">
        <v>2.7322633893501065</v>
      </c>
      <c r="AT929" t="e">
        <v>#DIV/0!</v>
      </c>
      <c r="AU929" t="e">
        <v>#DIV/0!</v>
      </c>
      <c r="AV929"/>
      <c r="AW929"/>
      <c r="FY929" s="211">
        <v>924</v>
      </c>
      <c r="FZ929">
        <v>1.028619982968014</v>
      </c>
      <c r="GA929">
        <v>8.725047411847664E-2</v>
      </c>
      <c r="GB929">
        <v>0.15840797322414965</v>
      </c>
      <c r="GC929">
        <v>0.1579162012217627</v>
      </c>
      <c r="GD929">
        <v>5.3449107547347455E-2</v>
      </c>
      <c r="GE929">
        <v>0</v>
      </c>
      <c r="GF929">
        <v>0.33021050058332063</v>
      </c>
      <c r="GG929">
        <v>0.29759236750664797</v>
      </c>
      <c r="GH929">
        <v>0</v>
      </c>
      <c r="GI929">
        <v>0.28609223300911624</v>
      </c>
      <c r="GJ929"/>
      <c r="GK929">
        <v>1.034488262302786</v>
      </c>
      <c r="GL929">
        <v>7.3740509229249462E-2</v>
      </c>
      <c r="GM929">
        <v>0.26183540241601705</v>
      </c>
      <c r="GN929">
        <v>0.47171153288079981</v>
      </c>
      <c r="GO929">
        <v>0.20987613046478273</v>
      </c>
      <c r="GP929">
        <v>0</v>
      </c>
      <c r="GQ929">
        <v>0.45369793096285549</v>
      </c>
      <c r="GR929">
        <v>0.45369793096285549</v>
      </c>
      <c r="GS929">
        <v>0</v>
      </c>
      <c r="GT929">
        <v>0.3919795452292883</v>
      </c>
      <c r="GU929"/>
      <c r="GV929"/>
      <c r="GW929"/>
      <c r="GX929"/>
      <c r="GY929"/>
      <c r="GZ929"/>
      <c r="HA929"/>
      <c r="HB929"/>
      <c r="HC929"/>
    </row>
    <row r="930" spans="1:211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3.7708333333333344</v>
      </c>
      <c r="AO930">
        <v>0.37579541933166805</v>
      </c>
      <c r="AP930">
        <v>14.431027302628264</v>
      </c>
      <c r="AQ930">
        <v>2.4210725345393049</v>
      </c>
      <c r="AR930">
        <v>0.39867179209922793</v>
      </c>
      <c r="AS930">
        <v>2.2307261656988651</v>
      </c>
      <c r="AT930" t="e">
        <v>#DIV/0!</v>
      </c>
      <c r="AU930" t="e">
        <v>#DIV/0!</v>
      </c>
      <c r="AV930"/>
      <c r="AW930"/>
      <c r="FY930" s="211">
        <v>925</v>
      </c>
      <c r="FZ930">
        <v>0.83872804536627399</v>
      </c>
      <c r="GA930">
        <v>0.47460065171768845</v>
      </c>
      <c r="GB930">
        <v>0.12565184548559416</v>
      </c>
      <c r="GC930">
        <v>0.10445782487688358</v>
      </c>
      <c r="GD930">
        <v>2.6724553773673727E-2</v>
      </c>
      <c r="GE930">
        <v>0</v>
      </c>
      <c r="GF930">
        <v>0.99063150174996206</v>
      </c>
      <c r="GG930">
        <v>0.89277710251994391</v>
      </c>
      <c r="GH930">
        <v>0</v>
      </c>
      <c r="GI930">
        <v>0.3628083089002106</v>
      </c>
      <c r="GJ930"/>
      <c r="GK930">
        <v>0.84234704312604491</v>
      </c>
      <c r="GL930">
        <v>0.40705572478708768</v>
      </c>
      <c r="GM930">
        <v>0.20987613046478273</v>
      </c>
      <c r="GN930">
        <v>0.31481419569717412</v>
      </c>
      <c r="GO930">
        <v>0.10493806523239137</v>
      </c>
      <c r="GP930">
        <v>0</v>
      </c>
      <c r="GQ930">
        <v>1.3610937928885667</v>
      </c>
      <c r="GR930">
        <v>1.3610937928885667</v>
      </c>
      <c r="GS930">
        <v>0</v>
      </c>
      <c r="GT930">
        <v>0.50365100634235715</v>
      </c>
      <c r="GU930"/>
      <c r="GV930"/>
      <c r="GW930"/>
      <c r="GX930"/>
      <c r="GY930"/>
      <c r="GZ930"/>
      <c r="HA930"/>
      <c r="HB930"/>
      <c r="HC930"/>
    </row>
    <row r="931" spans="1:211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2.3364583333333329</v>
      </c>
      <c r="AO931">
        <v>0.33967914705703856</v>
      </c>
      <c r="AP931">
        <v>12.128444913222538</v>
      </c>
      <c r="AQ931">
        <v>2.5253036591982889</v>
      </c>
      <c r="AR931">
        <v>0.3397244409940044</v>
      </c>
      <c r="AS931">
        <v>1.9506592801373959</v>
      </c>
      <c r="AT931" t="e">
        <v>#DIV/0!</v>
      </c>
      <c r="AU931" t="e">
        <v>#DIV/0!</v>
      </c>
      <c r="AV931"/>
      <c r="AW931"/>
      <c r="FY931" s="211">
        <v>926</v>
      </c>
      <c r="FZ931">
        <v>1.1267210135354084</v>
      </c>
      <c r="GA931">
        <v>0.64910159995464167</v>
      </c>
      <c r="GB931">
        <v>0.14202990935487192</v>
      </c>
      <c r="GC931">
        <v>0.11377737556984255</v>
      </c>
      <c r="GD931">
        <v>2.6724553773673727E-2</v>
      </c>
      <c r="GE931">
        <v>0</v>
      </c>
      <c r="GF931">
        <v>0.33021050058332063</v>
      </c>
      <c r="GG931">
        <v>0.29759236750664797</v>
      </c>
      <c r="GH931">
        <v>0</v>
      </c>
      <c r="GI931">
        <v>0.28131408854540174</v>
      </c>
      <c r="GJ931"/>
      <c r="GK931">
        <v>1.1297209668243025</v>
      </c>
      <c r="GL931">
        <v>0.55453674324558655</v>
      </c>
      <c r="GM931">
        <v>0.23585576644039991</v>
      </c>
      <c r="GN931">
        <v>0.34079383167279126</v>
      </c>
      <c r="GO931">
        <v>0.10493806523239137</v>
      </c>
      <c r="GP931">
        <v>0</v>
      </c>
      <c r="GQ931">
        <v>0.45369793096285549</v>
      </c>
      <c r="GR931">
        <v>0.45369793096285549</v>
      </c>
      <c r="GS931">
        <v>0</v>
      </c>
      <c r="GT931">
        <v>0.3848425458919898</v>
      </c>
      <c r="GU931"/>
      <c r="GV931"/>
      <c r="GW931"/>
      <c r="GX931"/>
      <c r="GY931"/>
      <c r="GZ931"/>
      <c r="HA931"/>
      <c r="HB931"/>
      <c r="HC931"/>
    </row>
    <row r="932" spans="1:211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2.5885416666666661</v>
      </c>
      <c r="AO932">
        <v>0.27533307577379385</v>
      </c>
      <c r="AP932">
        <v>7.7961983219832334</v>
      </c>
      <c r="AQ932">
        <v>2.286894065488565</v>
      </c>
      <c r="AR932">
        <v>0.32458226631322101</v>
      </c>
      <c r="AS932">
        <v>2.0548278724698039</v>
      </c>
      <c r="AT932" t="e">
        <v>#DIV/0!</v>
      </c>
      <c r="AU932" t="e">
        <v>#DIV/0!</v>
      </c>
      <c r="AV932"/>
      <c r="AW932"/>
      <c r="FY932" s="211">
        <v>927</v>
      </c>
      <c r="FZ932">
        <v>1.3935734707522536</v>
      </c>
      <c r="GA932">
        <v>0.38735017759921181</v>
      </c>
      <c r="GB932">
        <v>7.9203986612074825E-2</v>
      </c>
      <c r="GC932">
        <v>0.11377737556984255</v>
      </c>
      <c r="GD932">
        <v>5.3449107547347455E-2</v>
      </c>
      <c r="GE932">
        <v>0</v>
      </c>
      <c r="GF932">
        <v>0.66042100116664126</v>
      </c>
      <c r="GG932">
        <v>0.59518473501329594</v>
      </c>
      <c r="GH932">
        <v>0</v>
      </c>
      <c r="GI932">
        <v>0.38480038070399558</v>
      </c>
      <c r="GJ932"/>
      <c r="GK932">
        <v>1.4013813998394462</v>
      </c>
      <c r="GL932">
        <v>0.33331521555783822</v>
      </c>
      <c r="GM932">
        <v>0.13091770120800852</v>
      </c>
      <c r="GN932">
        <v>0.34079383167279126</v>
      </c>
      <c r="GO932">
        <v>0.20987613046478273</v>
      </c>
      <c r="GP932">
        <v>0</v>
      </c>
      <c r="GQ932">
        <v>0.90739586192571098</v>
      </c>
      <c r="GR932">
        <v>0.90739586192571098</v>
      </c>
      <c r="GS932">
        <v>0</v>
      </c>
      <c r="GT932">
        <v>0.5299142186875897</v>
      </c>
      <c r="GU932"/>
      <c r="GV932"/>
      <c r="GW932"/>
      <c r="GX932"/>
      <c r="GY932"/>
      <c r="GZ932"/>
      <c r="HA932"/>
      <c r="HB932"/>
      <c r="HC932"/>
    </row>
    <row r="933" spans="1:211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2.0677083333333335</v>
      </c>
      <c r="AO933">
        <v>0.20483427134940926</v>
      </c>
      <c r="AP933">
        <v>4.9427539555950846</v>
      </c>
      <c r="AQ933">
        <v>1.2881627879452824</v>
      </c>
      <c r="AR933">
        <v>0.22866216169600587</v>
      </c>
      <c r="AS933">
        <v>1.6255973845042264</v>
      </c>
      <c r="AT933" t="e">
        <v>#DIV/0!</v>
      </c>
      <c r="AU933" t="e">
        <v>#DIV/0!</v>
      </c>
      <c r="AV933"/>
      <c r="AW933"/>
      <c r="FY933" s="211">
        <v>928</v>
      </c>
      <c r="FZ933">
        <v>1.144739649624783</v>
      </c>
      <c r="GA933">
        <v>0.47460065171768845</v>
      </c>
      <c r="GB933">
        <v>0.14202990935487192</v>
      </c>
      <c r="GC933">
        <v>0.11377737556984255</v>
      </c>
      <c r="GD933">
        <v>2.6724553773673727E-2</v>
      </c>
      <c r="GE933">
        <v>0</v>
      </c>
      <c r="GF933">
        <v>0.66042100116664126</v>
      </c>
      <c r="GG933">
        <v>0.59518473501329594</v>
      </c>
      <c r="GH933">
        <v>0</v>
      </c>
      <c r="GI933">
        <v>0.34806518510347917</v>
      </c>
      <c r="GJ933"/>
      <c r="GK933">
        <v>1.1475185270520787</v>
      </c>
      <c r="GL933">
        <v>0.40705572478708768</v>
      </c>
      <c r="GM933">
        <v>0.23585576644039991</v>
      </c>
      <c r="GN933">
        <v>0.34079383167279126</v>
      </c>
      <c r="GO933">
        <v>0.10493806523239137</v>
      </c>
      <c r="GP933">
        <v>0</v>
      </c>
      <c r="GQ933">
        <v>0.90739586192571098</v>
      </c>
      <c r="GR933">
        <v>0.90739586192571098</v>
      </c>
      <c r="GS933">
        <v>0</v>
      </c>
      <c r="GT933">
        <v>0.47914164413011617</v>
      </c>
      <c r="GU933"/>
      <c r="GV933"/>
      <c r="GW933"/>
      <c r="GX933"/>
      <c r="GY933"/>
      <c r="GZ933"/>
      <c r="HA933"/>
      <c r="HB933"/>
      <c r="HC933"/>
    </row>
    <row r="934" spans="1:211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2.046875</v>
      </c>
      <c r="AO934">
        <v>0.33068794476038726</v>
      </c>
      <c r="AP934">
        <v>15.360128502147871</v>
      </c>
      <c r="AQ934">
        <v>2.4119717774812273</v>
      </c>
      <c r="AR934">
        <v>0.34831455166808545</v>
      </c>
      <c r="AS934">
        <v>1.6754575925353044</v>
      </c>
      <c r="AT934" t="e">
        <v>#DIV/0!</v>
      </c>
      <c r="AU934" t="e">
        <v>#DIV/0!</v>
      </c>
      <c r="AV934"/>
      <c r="AW934"/>
      <c r="FY934" s="211">
        <v>929</v>
      </c>
      <c r="FZ934">
        <v>1.4279187667919189</v>
      </c>
      <c r="GA934">
        <v>0.56185112583616514</v>
      </c>
      <c r="GB934">
        <v>0.22123389596694673</v>
      </c>
      <c r="GC934">
        <v>0.12309692626280153</v>
      </c>
      <c r="GD934">
        <v>0</v>
      </c>
      <c r="GE934">
        <v>0</v>
      </c>
      <c r="GF934">
        <v>0.33021050058332063</v>
      </c>
      <c r="GG934">
        <v>0.29759236750664797</v>
      </c>
      <c r="GH934">
        <v>0</v>
      </c>
      <c r="GI934">
        <v>0.32975761110605961</v>
      </c>
      <c r="GJ934"/>
      <c r="GK934">
        <v>1.4359509200948732</v>
      </c>
      <c r="GL934">
        <v>0.48079623401633714</v>
      </c>
      <c r="GM934">
        <v>0.3667734676484084</v>
      </c>
      <c r="GN934">
        <v>0.3667734676484084</v>
      </c>
      <c r="GO934">
        <v>0</v>
      </c>
      <c r="GP934">
        <v>0</v>
      </c>
      <c r="GQ934">
        <v>0.45369793096285549</v>
      </c>
      <c r="GR934">
        <v>0.45369793096285549</v>
      </c>
      <c r="GS934">
        <v>0</v>
      </c>
      <c r="GT934">
        <v>0.45128446374122744</v>
      </c>
      <c r="GU934"/>
      <c r="GV934"/>
      <c r="GW934"/>
      <c r="GX934"/>
      <c r="GY934"/>
      <c r="GZ934"/>
      <c r="HA934"/>
      <c r="HB934"/>
      <c r="HC934"/>
    </row>
    <row r="935" spans="1:211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3.1104166666666671</v>
      </c>
      <c r="AO935">
        <v>0.6050774187090685</v>
      </c>
      <c r="AP935">
        <v>20.698957996766339</v>
      </c>
      <c r="AQ935">
        <v>4.6131991418425908</v>
      </c>
      <c r="AR935">
        <v>0.63252670511728581</v>
      </c>
      <c r="AS935">
        <v>2.9418337329090196</v>
      </c>
      <c r="AT935" t="e">
        <v>#DIV/0!</v>
      </c>
      <c r="AU935" t="e">
        <v>#DIV/0!</v>
      </c>
      <c r="AV935"/>
      <c r="AW935"/>
      <c r="FY935" s="211">
        <v>930</v>
      </c>
      <c r="FZ935">
        <v>0.99819962640861637</v>
      </c>
      <c r="GA935">
        <v>0.47460065171768845</v>
      </c>
      <c r="GB935">
        <v>7.9203986612074825E-2</v>
      </c>
      <c r="GC935">
        <v>4.4138825651920163E-2</v>
      </c>
      <c r="GD935">
        <v>0</v>
      </c>
      <c r="GE935">
        <v>0</v>
      </c>
      <c r="GF935">
        <v>0</v>
      </c>
      <c r="GG935">
        <v>0</v>
      </c>
      <c r="GH935">
        <v>0</v>
      </c>
      <c r="GI935">
        <v>0.16710961326572224</v>
      </c>
      <c r="GJ935"/>
      <c r="GK935">
        <v>1.0068048292202101</v>
      </c>
      <c r="GL935">
        <v>0.40705572478708768</v>
      </c>
      <c r="GM935">
        <v>0.13091770120800852</v>
      </c>
      <c r="GN935">
        <v>0.13091770120800852</v>
      </c>
      <c r="GO935">
        <v>0</v>
      </c>
      <c r="GP935">
        <v>0</v>
      </c>
      <c r="GQ935">
        <v>0</v>
      </c>
      <c r="GR935">
        <v>0</v>
      </c>
      <c r="GS935">
        <v>0</v>
      </c>
      <c r="GT935">
        <v>0.22754450608564375</v>
      </c>
      <c r="GU935"/>
      <c r="GV935"/>
      <c r="GW935"/>
      <c r="GX935"/>
      <c r="GY935"/>
      <c r="GZ935"/>
      <c r="HA935"/>
      <c r="HB935"/>
      <c r="HC935"/>
    </row>
    <row r="936" spans="1:211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2.322916666666667</v>
      </c>
      <c r="AO936">
        <v>0.47461353107429805</v>
      </c>
      <c r="AP936">
        <v>20.125377498986865</v>
      </c>
      <c r="AQ936">
        <v>3.2438465412344586</v>
      </c>
      <c r="AR936">
        <v>0.4696347064110582</v>
      </c>
      <c r="AS936">
        <v>2.1735104640459451</v>
      </c>
      <c r="AT936" t="e">
        <v>#DIV/0!</v>
      </c>
      <c r="AU936" t="e">
        <v>#DIV/0!</v>
      </c>
      <c r="AV936"/>
      <c r="AW936"/>
      <c r="FY936" s="211">
        <v>931</v>
      </c>
      <c r="FZ936">
        <v>1.0043486419094132</v>
      </c>
      <c r="GA936">
        <v>0.47460065171768845</v>
      </c>
      <c r="GB936">
        <v>0.12565184548559416</v>
      </c>
      <c r="GC936">
        <v>0.10445782487688358</v>
      </c>
      <c r="GD936">
        <v>2.6724553773673727E-2</v>
      </c>
      <c r="GE936">
        <v>0</v>
      </c>
      <c r="GF936">
        <v>0</v>
      </c>
      <c r="GG936">
        <v>0</v>
      </c>
      <c r="GH936">
        <v>0</v>
      </c>
      <c r="GI936">
        <v>0.19514664295387188</v>
      </c>
      <c r="GJ936"/>
      <c r="GK936">
        <v>1.0076256218123203</v>
      </c>
      <c r="GL936">
        <v>0.40705572478708768</v>
      </c>
      <c r="GM936">
        <v>0.20987613046478273</v>
      </c>
      <c r="GN936">
        <v>0.31481419569717412</v>
      </c>
      <c r="GO936">
        <v>0.10493806523239137</v>
      </c>
      <c r="GP936">
        <v>0</v>
      </c>
      <c r="GQ936">
        <v>0</v>
      </c>
      <c r="GR936">
        <v>0</v>
      </c>
      <c r="GS936">
        <v>0</v>
      </c>
      <c r="GT936">
        <v>0.26448796350189885</v>
      </c>
      <c r="GU936"/>
      <c r="GV936"/>
      <c r="GW936"/>
      <c r="GX936"/>
      <c r="GY936"/>
      <c r="GZ936"/>
      <c r="HA936"/>
      <c r="HB936"/>
      <c r="HC936"/>
    </row>
    <row r="937" spans="1:211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2.4041666666666663</v>
      </c>
      <c r="AO937">
        <v>0.24907322323810618</v>
      </c>
      <c r="AP937">
        <v>5.3624878219513104</v>
      </c>
      <c r="AQ937">
        <v>2.1380354726819872</v>
      </c>
      <c r="AR937">
        <v>0.29481038531613341</v>
      </c>
      <c r="AS937">
        <v>1.7086769834384636</v>
      </c>
      <c r="AT937" t="e">
        <v>#DIV/0!</v>
      </c>
      <c r="AU937" t="e">
        <v>#DIV/0!</v>
      </c>
      <c r="AV937"/>
      <c r="AW937"/>
      <c r="FY937" s="211">
        <v>932</v>
      </c>
      <c r="FZ937">
        <v>1.7523188337649791</v>
      </c>
      <c r="GA937">
        <v>0.9492013034353769</v>
      </c>
      <c r="GB937">
        <v>0.204855832097669</v>
      </c>
      <c r="GC937">
        <v>0.14859665052880375</v>
      </c>
      <c r="GD937">
        <v>2.6724553773673727E-2</v>
      </c>
      <c r="GE937">
        <v>0</v>
      </c>
      <c r="GF937">
        <v>0.33021050058332063</v>
      </c>
      <c r="GG937">
        <v>0.29759236750664797</v>
      </c>
      <c r="GH937">
        <v>0</v>
      </c>
      <c r="GI937">
        <v>0.38924091125752458</v>
      </c>
      <c r="GJ937"/>
      <c r="GK937">
        <v>1.7641465083885426</v>
      </c>
      <c r="GL937">
        <v>0.81411144957417536</v>
      </c>
      <c r="GM937">
        <v>0.34079383167279126</v>
      </c>
      <c r="GN937">
        <v>0.44573189690518267</v>
      </c>
      <c r="GO937">
        <v>0.10493806523239137</v>
      </c>
      <c r="GP937">
        <v>0</v>
      </c>
      <c r="GQ937">
        <v>0.45369793096285549</v>
      </c>
      <c r="GR937">
        <v>0.45369793096285549</v>
      </c>
      <c r="GS937">
        <v>0</v>
      </c>
      <c r="GT937">
        <v>0.53271526725131613</v>
      </c>
      <c r="GU937"/>
      <c r="GV937"/>
      <c r="GW937"/>
      <c r="GX937"/>
      <c r="GY937"/>
      <c r="GZ937"/>
      <c r="HA937"/>
      <c r="HB937"/>
      <c r="HC937"/>
    </row>
    <row r="938" spans="1:211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2.4406249999999998</v>
      </c>
      <c r="AO938">
        <v>0.35096178116641419</v>
      </c>
      <c r="AP938">
        <v>9.2859932386458937</v>
      </c>
      <c r="AQ938">
        <v>2.7496511731329343</v>
      </c>
      <c r="AR938">
        <v>0.3846783873735678</v>
      </c>
      <c r="AS938">
        <v>1.911640925726136</v>
      </c>
      <c r="AT938" t="e">
        <v>#DIV/0!</v>
      </c>
      <c r="AU938" t="e">
        <v>#DIV/0!</v>
      </c>
      <c r="AV938"/>
      <c r="AW938"/>
      <c r="FY938" s="211">
        <v>933</v>
      </c>
      <c r="FZ938">
        <v>0.93661908560742002</v>
      </c>
      <c r="GA938">
        <v>0.47460065171768845</v>
      </c>
      <c r="GB938">
        <v>0</v>
      </c>
      <c r="GC938">
        <v>3.4819274958961192E-2</v>
      </c>
      <c r="GD938">
        <v>2.6724553773673727E-2</v>
      </c>
      <c r="GE938">
        <v>0</v>
      </c>
      <c r="GF938">
        <v>0.33021050058332063</v>
      </c>
      <c r="GG938">
        <v>0.29759236750664797</v>
      </c>
      <c r="GH938">
        <v>0</v>
      </c>
      <c r="GI938">
        <v>0.21826523486677599</v>
      </c>
      <c r="GJ938"/>
      <c r="GK938">
        <v>0.9399294670559124</v>
      </c>
      <c r="GL938">
        <v>0.40705572478708768</v>
      </c>
      <c r="GM938">
        <v>0</v>
      </c>
      <c r="GN938">
        <v>0.10493806523239137</v>
      </c>
      <c r="GO938">
        <v>0.10493806523239137</v>
      </c>
      <c r="GP938">
        <v>0</v>
      </c>
      <c r="GQ938">
        <v>0.45369793096285549</v>
      </c>
      <c r="GR938">
        <v>0.45369793096285549</v>
      </c>
      <c r="GS938">
        <v>0</v>
      </c>
      <c r="GT938">
        <v>0.29971309265023183</v>
      </c>
      <c r="GU938"/>
      <c r="GV938"/>
      <c r="GW938"/>
      <c r="GX938"/>
      <c r="GY938"/>
      <c r="GZ938"/>
      <c r="HA938"/>
      <c r="HB938"/>
      <c r="HC938"/>
    </row>
    <row r="939" spans="1:211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2.4718749999999998</v>
      </c>
      <c r="AO939">
        <v>0.21660077468344338</v>
      </c>
      <c r="AP939">
        <v>4.9209576622675817</v>
      </c>
      <c r="AQ939">
        <v>1.7526451034225106</v>
      </c>
      <c r="AR939">
        <v>0.24864978326730072</v>
      </c>
      <c r="AS939">
        <v>1.5793695092644644</v>
      </c>
      <c r="AT939" t="e">
        <v>#DIV/0!</v>
      </c>
      <c r="AU939" t="e">
        <v>#DIV/0!</v>
      </c>
      <c r="AV939"/>
      <c r="AW939"/>
      <c r="FY939" s="211">
        <v>934</v>
      </c>
      <c r="FZ939">
        <v>1.130435962689428</v>
      </c>
      <c r="GA939">
        <v>0.47460065171768845</v>
      </c>
      <c r="GB939">
        <v>0.26768175484046608</v>
      </c>
      <c r="GC939">
        <v>0.14859665052880378</v>
      </c>
      <c r="GD939">
        <v>0</v>
      </c>
      <c r="GE939">
        <v>0</v>
      </c>
      <c r="GF939">
        <v>0</v>
      </c>
      <c r="GG939">
        <v>0</v>
      </c>
      <c r="GH939">
        <v>0</v>
      </c>
      <c r="GI939">
        <v>0.23308528224910591</v>
      </c>
      <c r="GJ939"/>
      <c r="GK939">
        <v>1.1389567734055046</v>
      </c>
      <c r="GL939">
        <v>0.40705572478708768</v>
      </c>
      <c r="GM939">
        <v>0.44573189690518267</v>
      </c>
      <c r="GN939">
        <v>0.44573189690518267</v>
      </c>
      <c r="GO939">
        <v>0</v>
      </c>
      <c r="GP939">
        <v>0</v>
      </c>
      <c r="GQ939">
        <v>0</v>
      </c>
      <c r="GR939">
        <v>0</v>
      </c>
      <c r="GS939">
        <v>0</v>
      </c>
      <c r="GT939">
        <v>0.31693773406213743</v>
      </c>
      <c r="GU939"/>
      <c r="GV939"/>
      <c r="GW939"/>
      <c r="GX939"/>
      <c r="GY939"/>
      <c r="GZ939"/>
      <c r="HA939"/>
      <c r="HB939"/>
      <c r="HC939"/>
    </row>
    <row r="940" spans="1:211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3.145833333333333</v>
      </c>
      <c r="AO940">
        <v>0.3351027244448635</v>
      </c>
      <c r="AP940">
        <v>9.7617700151587705</v>
      </c>
      <c r="AQ940">
        <v>2.3995388401788356</v>
      </c>
      <c r="AR940">
        <v>0.3919795452292883</v>
      </c>
      <c r="AS940">
        <v>2.200978762855375</v>
      </c>
      <c r="AT940" t="e">
        <v>#DIV/0!</v>
      </c>
      <c r="AU940" t="e">
        <v>#DIV/0!</v>
      </c>
      <c r="AV940"/>
      <c r="AW940"/>
      <c r="FY940" s="211">
        <v>935</v>
      </c>
      <c r="FZ940">
        <v>0.9008192413035061</v>
      </c>
      <c r="GA940">
        <v>0.38735017759921181</v>
      </c>
      <c r="GB940">
        <v>6.282592274279708E-2</v>
      </c>
      <c r="GC940">
        <v>3.4819274958961192E-2</v>
      </c>
      <c r="GD940">
        <v>0</v>
      </c>
      <c r="GE940">
        <v>0</v>
      </c>
      <c r="GF940">
        <v>0.66042100116664126</v>
      </c>
      <c r="GG940">
        <v>0.59518473501329594</v>
      </c>
      <c r="GH940">
        <v>0</v>
      </c>
      <c r="GI940">
        <v>0.27695688930521278</v>
      </c>
      <c r="GJ940"/>
      <c r="GK940">
        <v>0.90668704826783886</v>
      </c>
      <c r="GL940">
        <v>0.33331521555783822</v>
      </c>
      <c r="GM940">
        <v>0.10493806523239137</v>
      </c>
      <c r="GN940">
        <v>0.10493806523239137</v>
      </c>
      <c r="GO940">
        <v>0</v>
      </c>
      <c r="GP940">
        <v>0</v>
      </c>
      <c r="GQ940">
        <v>0.90739586192571098</v>
      </c>
      <c r="GR940">
        <v>0.90739586192571098</v>
      </c>
      <c r="GS940">
        <v>0</v>
      </c>
      <c r="GT940">
        <v>0.38380419508518826</v>
      </c>
      <c r="GU940"/>
      <c r="GV940"/>
      <c r="GW940"/>
      <c r="GX940"/>
      <c r="GY940"/>
      <c r="GZ940"/>
      <c r="HA940"/>
      <c r="HB940"/>
      <c r="HC940"/>
    </row>
    <row r="941" spans="1:211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2.1229166666666663</v>
      </c>
      <c r="AO941">
        <v>0.51048697514269714</v>
      </c>
      <c r="AP941">
        <v>22.334143959418903</v>
      </c>
      <c r="AQ941">
        <v>3.8163798343902302</v>
      </c>
      <c r="AR941">
        <v>0.50365100634235715</v>
      </c>
      <c r="AS941">
        <v>2.4300584779317784</v>
      </c>
      <c r="AT941" t="e">
        <v>#DIV/0!</v>
      </c>
      <c r="AU941" t="e">
        <v>#DIV/0!</v>
      </c>
      <c r="AV941"/>
      <c r="AW941"/>
      <c r="FY941" s="211">
        <v>936</v>
      </c>
      <c r="FZ941">
        <v>0.66330672110327016</v>
      </c>
      <c r="GA941">
        <v>0</v>
      </c>
      <c r="GB941">
        <v>0.14202990935487192</v>
      </c>
      <c r="GC941">
        <v>0.11377737556984255</v>
      </c>
      <c r="GD941">
        <v>2.6724553773673727E-2</v>
      </c>
      <c r="GE941">
        <v>0</v>
      </c>
      <c r="GF941">
        <v>0</v>
      </c>
      <c r="GG941">
        <v>0</v>
      </c>
      <c r="GH941">
        <v>0</v>
      </c>
      <c r="GI941">
        <v>0.14860417992757702</v>
      </c>
      <c r="GJ941"/>
      <c r="GK941">
        <v>0.66447352598482512</v>
      </c>
      <c r="GL941">
        <v>0</v>
      </c>
      <c r="GM941">
        <v>0.23585576644039991</v>
      </c>
      <c r="GN941">
        <v>0.34079383167279126</v>
      </c>
      <c r="GO941">
        <v>0.10493806523239137</v>
      </c>
      <c r="GP941">
        <v>0</v>
      </c>
      <c r="GQ941">
        <v>0</v>
      </c>
      <c r="GR941">
        <v>0</v>
      </c>
      <c r="GS941">
        <v>0</v>
      </c>
      <c r="GT941">
        <v>0.20105347153152328</v>
      </c>
      <c r="GU941"/>
      <c r="GV941"/>
      <c r="GW941"/>
      <c r="GX941"/>
      <c r="GY941"/>
      <c r="GZ941"/>
      <c r="HA941"/>
      <c r="HB941"/>
      <c r="HC941"/>
    </row>
    <row r="942" spans="1:211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3.3364583333333329</v>
      </c>
      <c r="AO942">
        <v>0.36580837812331723</v>
      </c>
      <c r="AP942">
        <v>10.574768638785889</v>
      </c>
      <c r="AQ942">
        <v>2.9674714088238088</v>
      </c>
      <c r="AR942">
        <v>0.3848425458919898</v>
      </c>
      <c r="AS942">
        <v>2.2590047744896378</v>
      </c>
      <c r="AT942" t="e">
        <v>#DIV/0!</v>
      </c>
      <c r="AU942" t="e">
        <v>#DIV/0!</v>
      </c>
      <c r="AV942"/>
      <c r="AW942"/>
      <c r="FY942" s="211">
        <v>937</v>
      </c>
      <c r="FZ942">
        <v>1.3699308289390733</v>
      </c>
      <c r="GA942">
        <v>0.86195082931690026</v>
      </c>
      <c r="GB942">
        <v>6.282592274279708E-2</v>
      </c>
      <c r="GC942">
        <v>0.13927709983584477</v>
      </c>
      <c r="GD942">
        <v>8.0173661321021189E-2</v>
      </c>
      <c r="GE942">
        <v>0</v>
      </c>
      <c r="GF942">
        <v>0.33021050058332063</v>
      </c>
      <c r="GG942">
        <v>0.29759236750664797</v>
      </c>
      <c r="GH942">
        <v>0</v>
      </c>
      <c r="GI942">
        <v>0.32873870922076015</v>
      </c>
      <c r="GJ942"/>
      <c r="GK942">
        <v>1.3775424673979564</v>
      </c>
      <c r="GL942">
        <v>0.7403709403449259</v>
      </c>
      <c r="GM942">
        <v>0.10493806523239137</v>
      </c>
      <c r="GN942">
        <v>0.41975226092956547</v>
      </c>
      <c r="GO942">
        <v>0.31481419569717417</v>
      </c>
      <c r="GP942">
        <v>0</v>
      </c>
      <c r="GQ942">
        <v>0.45369793096285549</v>
      </c>
      <c r="GR942">
        <v>0.45369793096285549</v>
      </c>
      <c r="GS942">
        <v>0</v>
      </c>
      <c r="GT942">
        <v>0.45019853185807551</v>
      </c>
      <c r="GU942"/>
      <c r="GV942"/>
      <c r="GW942"/>
      <c r="GX942"/>
      <c r="GY942"/>
      <c r="GZ942"/>
      <c r="HA942"/>
      <c r="HB942"/>
      <c r="HC942"/>
    </row>
    <row r="943" spans="1:211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3.2010416666666672</v>
      </c>
      <c r="AO943">
        <v>0.47609902212818789</v>
      </c>
      <c r="AP943">
        <v>16.721989958205899</v>
      </c>
      <c r="AQ943">
        <v>3.6677602349646632</v>
      </c>
      <c r="AR943">
        <v>0.52991421868758959</v>
      </c>
      <c r="AS943">
        <v>2.7866707720936819</v>
      </c>
      <c r="AT943" t="e">
        <v>#DIV/0!</v>
      </c>
      <c r="AU943" t="e">
        <v>#DIV/0!</v>
      </c>
      <c r="AV943"/>
      <c r="AW943"/>
      <c r="FY943" s="211">
        <v>938</v>
      </c>
      <c r="FZ943">
        <v>1.3075664057406406</v>
      </c>
      <c r="GA943">
        <v>0.86195082931690026</v>
      </c>
      <c r="GB943">
        <v>0.12565184548559416</v>
      </c>
      <c r="GC943">
        <v>0.10445782487688358</v>
      </c>
      <c r="GD943">
        <v>2.6724553773673727E-2</v>
      </c>
      <c r="GE943">
        <v>0</v>
      </c>
      <c r="GF943">
        <v>0.66042100116664126</v>
      </c>
      <c r="GG943">
        <v>0.59518473501329594</v>
      </c>
      <c r="GH943">
        <v>0</v>
      </c>
      <c r="GI943">
        <v>0.36802488472539974</v>
      </c>
      <c r="GJ943"/>
      <c r="GK943">
        <v>1.3180905209461455</v>
      </c>
      <c r="GL943">
        <v>0.7403709403449259</v>
      </c>
      <c r="GM943">
        <v>0.20987613046478273</v>
      </c>
      <c r="GN943">
        <v>0.31481419569717412</v>
      </c>
      <c r="GO943">
        <v>0.10493806523239137</v>
      </c>
      <c r="GP943">
        <v>0</v>
      </c>
      <c r="GQ943">
        <v>0.90739586192571098</v>
      </c>
      <c r="GR943">
        <v>0.90739586192571098</v>
      </c>
      <c r="GS943">
        <v>0</v>
      </c>
      <c r="GT943">
        <v>0.50806011571380616</v>
      </c>
      <c r="GU943"/>
      <c r="GV943"/>
      <c r="GW943"/>
      <c r="GX943"/>
      <c r="GY943"/>
      <c r="GZ943"/>
      <c r="HA943"/>
      <c r="HB943"/>
      <c r="HC943"/>
    </row>
    <row r="944" spans="1:211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3.4302083333333337</v>
      </c>
      <c r="AO944">
        <v>0.45300952831662877</v>
      </c>
      <c r="AP944">
        <v>17.231635625710915</v>
      </c>
      <c r="AQ944">
        <v>3.5055430613242766</v>
      </c>
      <c r="AR944">
        <v>0.47914164413011617</v>
      </c>
      <c r="AS944">
        <v>2.4776609458302485</v>
      </c>
      <c r="AT944" t="e">
        <v>#DIV/0!</v>
      </c>
      <c r="AU944" t="e">
        <v>#DIV/0!</v>
      </c>
      <c r="AV944"/>
      <c r="AW944"/>
      <c r="FY944" s="211">
        <v>939</v>
      </c>
      <c r="FZ944">
        <v>1.2698830772765852</v>
      </c>
      <c r="GA944">
        <v>0.38735017759921181</v>
      </c>
      <c r="GB944">
        <v>7.9203986612074825E-2</v>
      </c>
      <c r="GC944">
        <v>4.4138825651920163E-2</v>
      </c>
      <c r="GD944">
        <v>0</v>
      </c>
      <c r="GE944">
        <v>0</v>
      </c>
      <c r="GF944">
        <v>0.33021050058332063</v>
      </c>
      <c r="GG944">
        <v>0.29759236750664797</v>
      </c>
      <c r="GH944">
        <v>0</v>
      </c>
      <c r="GI944">
        <v>0.27147909409633175</v>
      </c>
      <c r="GJ944"/>
      <c r="GK944">
        <v>1.2776414230901123</v>
      </c>
      <c r="GL944">
        <v>0.33331521555783822</v>
      </c>
      <c r="GM944">
        <v>0.13091770120800852</v>
      </c>
      <c r="GN944">
        <v>0.13091770120800852</v>
      </c>
      <c r="GO944">
        <v>0</v>
      </c>
      <c r="GP944">
        <v>0</v>
      </c>
      <c r="GQ944">
        <v>0.45369793096285549</v>
      </c>
      <c r="GR944">
        <v>0.45369793096285549</v>
      </c>
      <c r="GS944">
        <v>0</v>
      </c>
      <c r="GT944">
        <v>0.37245141105219531</v>
      </c>
      <c r="GU944"/>
      <c r="GV944"/>
      <c r="GW944"/>
      <c r="GX944"/>
      <c r="GY944"/>
      <c r="GZ944"/>
      <c r="HA944"/>
      <c r="HB944"/>
      <c r="HC944"/>
    </row>
    <row r="945" spans="1:211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3.3416666666666663</v>
      </c>
      <c r="AO945">
        <v>0.40089744150749651</v>
      </c>
      <c r="AP945">
        <v>11.860904992731454</v>
      </c>
      <c r="AQ945">
        <v>3.2916611940538605</v>
      </c>
      <c r="AR945">
        <v>0.45128446374122738</v>
      </c>
      <c r="AS945">
        <v>2.5818069600596005</v>
      </c>
      <c r="AT945" t="e">
        <v>#DIV/0!</v>
      </c>
      <c r="AU945" t="e">
        <v>#DIV/0!</v>
      </c>
      <c r="AV945"/>
      <c r="AW945"/>
      <c r="FY945" s="211">
        <v>940</v>
      </c>
      <c r="FZ945">
        <v>0.93034772390095433</v>
      </c>
      <c r="GA945">
        <v>0.77470035519842362</v>
      </c>
      <c r="GB945">
        <v>0</v>
      </c>
      <c r="GC945">
        <v>3.4819274958961192E-2</v>
      </c>
      <c r="GD945">
        <v>2.6724553773673727E-2</v>
      </c>
      <c r="GE945">
        <v>0</v>
      </c>
      <c r="GF945">
        <v>0.33021050058332063</v>
      </c>
      <c r="GG945">
        <v>0.29759236750664797</v>
      </c>
      <c r="GH945">
        <v>0</v>
      </c>
      <c r="GI945">
        <v>0.21719730320478758</v>
      </c>
      <c r="GJ945"/>
      <c r="GK945">
        <v>0.93833977734998086</v>
      </c>
      <c r="GL945">
        <v>0.66663043111567644</v>
      </c>
      <c r="GM945">
        <v>0</v>
      </c>
      <c r="GN945">
        <v>0.10493806523239137</v>
      </c>
      <c r="GO945">
        <v>0.10493806523239137</v>
      </c>
      <c r="GP945">
        <v>0</v>
      </c>
      <c r="GQ945">
        <v>0.45369793096285549</v>
      </c>
      <c r="GR945">
        <v>0.45369793096285549</v>
      </c>
      <c r="GS945">
        <v>0</v>
      </c>
      <c r="GT945">
        <v>0.29939515470904554</v>
      </c>
      <c r="GU945"/>
      <c r="GV945"/>
      <c r="GW945"/>
      <c r="GX945"/>
      <c r="GY945"/>
      <c r="GZ945"/>
      <c r="HA945"/>
      <c r="HB945"/>
      <c r="HC945"/>
    </row>
    <row r="946" spans="1:211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1.4718749999999998</v>
      </c>
      <c r="AO946">
        <v>0.19032404625089586</v>
      </c>
      <c r="AP946">
        <v>2.27548892184786</v>
      </c>
      <c r="AQ946">
        <v>1.7632527036560219</v>
      </c>
      <c r="AR946">
        <v>0.22754450608564372</v>
      </c>
      <c r="AS946">
        <v>1.3258951887072581</v>
      </c>
      <c r="AT946" t="e">
        <v>#DIV/0!</v>
      </c>
      <c r="AU946" t="e">
        <v>#DIV/0!</v>
      </c>
      <c r="AV946"/>
      <c r="AW946"/>
      <c r="FY946" s="211">
        <v>941</v>
      </c>
      <c r="FZ946">
        <v>0.93243527350690769</v>
      </c>
      <c r="GA946">
        <v>0.47460065171768845</v>
      </c>
      <c r="GB946">
        <v>0</v>
      </c>
      <c r="GC946">
        <v>6.9638549917922385E-2</v>
      </c>
      <c r="GD946">
        <v>5.3449107547347455E-2</v>
      </c>
      <c r="GE946">
        <v>0</v>
      </c>
      <c r="GF946">
        <v>0</v>
      </c>
      <c r="GG946">
        <v>0</v>
      </c>
      <c r="GH946">
        <v>0</v>
      </c>
      <c r="GI946">
        <v>0.16904352786803853</v>
      </c>
      <c r="GJ946"/>
      <c r="GK946">
        <v>0.93524621597394475</v>
      </c>
      <c r="GL946">
        <v>0.40705572478708768</v>
      </c>
      <c r="GM946">
        <v>0</v>
      </c>
      <c r="GN946">
        <v>0.20987613046478273</v>
      </c>
      <c r="GO946">
        <v>0.20987613046478273</v>
      </c>
      <c r="GP946">
        <v>0</v>
      </c>
      <c r="GQ946">
        <v>0</v>
      </c>
      <c r="GR946">
        <v>0</v>
      </c>
      <c r="GS946">
        <v>0</v>
      </c>
      <c r="GT946">
        <v>0.22902446928774553</v>
      </c>
      <c r="GU946"/>
      <c r="GV946"/>
      <c r="GW946"/>
      <c r="GX946"/>
      <c r="GY946"/>
      <c r="GZ946"/>
      <c r="HA946"/>
      <c r="HB946"/>
      <c r="HC946"/>
    </row>
    <row r="947" spans="1:211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2.2166666666666668</v>
      </c>
      <c r="AO947">
        <v>0.23087977014956546</v>
      </c>
      <c r="AP947">
        <v>3.9856400538665135</v>
      </c>
      <c r="AQ947">
        <v>1.930930160717125</v>
      </c>
      <c r="AR947">
        <v>0.26448796350189885</v>
      </c>
      <c r="AS947">
        <v>1.8195996588124379</v>
      </c>
      <c r="AT947" t="e">
        <v>#DIV/0!</v>
      </c>
      <c r="AU947" t="e">
        <v>#DIV/0!</v>
      </c>
      <c r="AV947"/>
      <c r="AW947"/>
      <c r="FY947" s="211">
        <v>942</v>
      </c>
      <c r="FZ947">
        <v>0.6541277769564221</v>
      </c>
      <c r="GA947">
        <v>0.47460065171768845</v>
      </c>
      <c r="GB947">
        <v>0</v>
      </c>
      <c r="GC947">
        <v>3.4819274958961192E-2</v>
      </c>
      <c r="GD947">
        <v>2.6724553773673727E-2</v>
      </c>
      <c r="GE947">
        <v>0</v>
      </c>
      <c r="GF947">
        <v>0.66042100116664126</v>
      </c>
      <c r="GG947">
        <v>0.59518473501329594</v>
      </c>
      <c r="GH947">
        <v>0</v>
      </c>
      <c r="GI947">
        <v>0.24045468804810535</v>
      </c>
      <c r="GJ947"/>
      <c r="GK947">
        <v>0.65782801845754713</v>
      </c>
      <c r="GL947">
        <v>0.40705572478708768</v>
      </c>
      <c r="GM947">
        <v>0</v>
      </c>
      <c r="GN947">
        <v>0.10493806523239137</v>
      </c>
      <c r="GO947">
        <v>0.10493806523239137</v>
      </c>
      <c r="GP947">
        <v>0</v>
      </c>
      <c r="GQ947">
        <v>0.90739586192571098</v>
      </c>
      <c r="GR947">
        <v>0.90739586192571098</v>
      </c>
      <c r="GS947">
        <v>0</v>
      </c>
      <c r="GT947">
        <v>0.33403238912312994</v>
      </c>
      <c r="GU947"/>
      <c r="GV947"/>
      <c r="GW947"/>
      <c r="GX947"/>
      <c r="GY947"/>
      <c r="GZ947"/>
      <c r="HA947"/>
      <c r="HB947"/>
      <c r="HC947"/>
    </row>
    <row r="948" spans="1:211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4.2406250000000014</v>
      </c>
      <c r="AO948">
        <v>0.49098328809501102</v>
      </c>
      <c r="AP948">
        <v>13.145414366077672</v>
      </c>
      <c r="AQ948">
        <v>4.0987409529479955</v>
      </c>
      <c r="AR948">
        <v>0.53271526725131613</v>
      </c>
      <c r="AS948">
        <v>2.9394150707045603</v>
      </c>
      <c r="AT948" t="e">
        <v>#DIV/0!</v>
      </c>
      <c r="AU948" t="e">
        <v>#DIV/0!</v>
      </c>
      <c r="AV948"/>
      <c r="AW948"/>
      <c r="FY948" s="211">
        <v>943</v>
      </c>
      <c r="FZ948">
        <v>0.97513087666642406</v>
      </c>
      <c r="GA948">
        <v>0.38735017759921181</v>
      </c>
      <c r="GB948">
        <v>0.15840797322414965</v>
      </c>
      <c r="GC948">
        <v>0.12309692626280153</v>
      </c>
      <c r="GD948">
        <v>2.6724553773673727E-2</v>
      </c>
      <c r="GE948">
        <v>0</v>
      </c>
      <c r="GF948">
        <v>0.33021050058332063</v>
      </c>
      <c r="GG948">
        <v>0.29759236750664797</v>
      </c>
      <c r="GH948">
        <v>0</v>
      </c>
      <c r="GI948">
        <v>0.2627981270564666</v>
      </c>
      <c r="GJ948"/>
      <c r="GK948">
        <v>0.97789220047458403</v>
      </c>
      <c r="GL948">
        <v>0.33331521555783822</v>
      </c>
      <c r="GM948">
        <v>0.26183540241601705</v>
      </c>
      <c r="GN948">
        <v>0.3667734676484084</v>
      </c>
      <c r="GO948">
        <v>0.10493806523239137</v>
      </c>
      <c r="GP948">
        <v>0</v>
      </c>
      <c r="GQ948">
        <v>0.45369793096285549</v>
      </c>
      <c r="GR948">
        <v>0.45369793096285549</v>
      </c>
      <c r="GS948">
        <v>0</v>
      </c>
      <c r="GT948">
        <v>0.35967271981716964</v>
      </c>
      <c r="GU948"/>
      <c r="GV948"/>
      <c r="GW948"/>
      <c r="GX948"/>
      <c r="GY948"/>
      <c r="GZ948"/>
      <c r="HA948"/>
      <c r="HB948"/>
      <c r="HC948"/>
    </row>
    <row r="949" spans="1:211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2.0395833333333329</v>
      </c>
      <c r="AO949">
        <v>0.2763970276883726</v>
      </c>
      <c r="AP949">
        <v>8.8845145160449341</v>
      </c>
      <c r="AQ949">
        <v>2.3188316690144881</v>
      </c>
      <c r="AR949">
        <v>0.29971309265023183</v>
      </c>
      <c r="AS949">
        <v>1.7501422018953039</v>
      </c>
      <c r="AT949" t="e">
        <v>#DIV/0!</v>
      </c>
      <c r="AU949" t="e">
        <v>#DIV/0!</v>
      </c>
      <c r="AV949"/>
      <c r="AW949"/>
      <c r="FY949" s="211">
        <v>944</v>
      </c>
      <c r="FZ949">
        <v>1.3231909025338382</v>
      </c>
      <c r="GA949">
        <v>0.47460065171768845</v>
      </c>
      <c r="GB949">
        <v>0.15840797322414965</v>
      </c>
      <c r="GC949">
        <v>0.19273547618072395</v>
      </c>
      <c r="GD949">
        <v>8.0173661321021189E-2</v>
      </c>
      <c r="GE949">
        <v>0</v>
      </c>
      <c r="GF949">
        <v>0.33021050058332063</v>
      </c>
      <c r="GG949">
        <v>0.29759236750664797</v>
      </c>
      <c r="GH949">
        <v>0</v>
      </c>
      <c r="GI949">
        <v>0.34514914942613495</v>
      </c>
      <c r="GJ949"/>
      <c r="GK949">
        <v>1.3312167591284663</v>
      </c>
      <c r="GL949">
        <v>0.40705572478708768</v>
      </c>
      <c r="GM949">
        <v>0.26183540241601705</v>
      </c>
      <c r="GN949">
        <v>0.57664959811319116</v>
      </c>
      <c r="GO949">
        <v>0.31481419569717417</v>
      </c>
      <c r="GP949">
        <v>0</v>
      </c>
      <c r="GQ949">
        <v>0.45369793096285549</v>
      </c>
      <c r="GR949">
        <v>0.45369793096285549</v>
      </c>
      <c r="GS949">
        <v>0</v>
      </c>
      <c r="GT949">
        <v>0.47231285764090264</v>
      </c>
      <c r="GU949"/>
      <c r="GV949"/>
      <c r="GW949"/>
      <c r="GX949"/>
      <c r="GY949"/>
      <c r="GZ949"/>
      <c r="HA949"/>
      <c r="HB949"/>
      <c r="HC949"/>
    </row>
    <row r="950" spans="1:211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2.0656249999999998</v>
      </c>
      <c r="AO950">
        <v>0.27544140260650951</v>
      </c>
      <c r="AP950">
        <v>6.2978768089218446</v>
      </c>
      <c r="AQ950">
        <v>2.2544003020254921</v>
      </c>
      <c r="AR950">
        <v>0.31693773406213743</v>
      </c>
      <c r="AS950">
        <v>1.8011640075653281</v>
      </c>
      <c r="AT950" t="e">
        <v>#DIV/0!</v>
      </c>
      <c r="AU950" t="e">
        <v>#DIV/0!</v>
      </c>
      <c r="AV950"/>
      <c r="AW950"/>
      <c r="FY950" s="211">
        <v>945</v>
      </c>
      <c r="FZ950">
        <v>1.3558645698785536</v>
      </c>
      <c r="GA950">
        <v>0.77470035519842362</v>
      </c>
      <c r="GB950">
        <v>6.282592274279708E-2</v>
      </c>
      <c r="GC950">
        <v>3.4819274958961192E-2</v>
      </c>
      <c r="GD950">
        <v>0</v>
      </c>
      <c r="GE950">
        <v>0</v>
      </c>
      <c r="GF950">
        <v>0.99063150174996206</v>
      </c>
      <c r="GG950">
        <v>0.89277710251994391</v>
      </c>
      <c r="GH950">
        <v>0</v>
      </c>
      <c r="GI950">
        <v>0.40819674451730065</v>
      </c>
      <c r="GJ950"/>
      <c r="GK950">
        <v>1.3713334154188614</v>
      </c>
      <c r="GL950">
        <v>0.66663043111567644</v>
      </c>
      <c r="GM950">
        <v>0.10493806523239137</v>
      </c>
      <c r="GN950">
        <v>0.10493806523239137</v>
      </c>
      <c r="GO950">
        <v>0</v>
      </c>
      <c r="GP950">
        <v>0</v>
      </c>
      <c r="GQ950">
        <v>1.3610937928885667</v>
      </c>
      <c r="GR950">
        <v>1.3610937928885667</v>
      </c>
      <c r="GS950">
        <v>0</v>
      </c>
      <c r="GT950">
        <v>0.56747305470796383</v>
      </c>
      <c r="GU950"/>
      <c r="GV950"/>
      <c r="GW950"/>
      <c r="GX950"/>
      <c r="GY950"/>
      <c r="GZ950"/>
      <c r="HA950"/>
      <c r="HB950"/>
      <c r="HC950"/>
    </row>
    <row r="951" spans="1:211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1.9250000000000003</v>
      </c>
      <c r="AO951">
        <v>0.36484743132270703</v>
      </c>
      <c r="AP951">
        <v>15.470414795002972</v>
      </c>
      <c r="AQ951">
        <v>2.9183772420896261</v>
      </c>
      <c r="AR951">
        <v>0.38380419508518826</v>
      </c>
      <c r="AS951">
        <v>1.7555266507768115</v>
      </c>
      <c r="AT951" t="e">
        <v>#DIV/0!</v>
      </c>
      <c r="AU951" t="e">
        <v>#DIV/0!</v>
      </c>
      <c r="AV951"/>
      <c r="AW951"/>
      <c r="FY951" s="211">
        <v>946</v>
      </c>
      <c r="FZ951">
        <v>0.6966277444306459</v>
      </c>
      <c r="GA951">
        <v>0.47460065171768845</v>
      </c>
      <c r="GB951">
        <v>0.26768175484046608</v>
      </c>
      <c r="GC951">
        <v>0.21823520044672617</v>
      </c>
      <c r="GD951">
        <v>5.3449107547347455E-2</v>
      </c>
      <c r="GE951">
        <v>0</v>
      </c>
      <c r="GF951">
        <v>0.33021050058332063</v>
      </c>
      <c r="GG951">
        <v>0.29759236750664797</v>
      </c>
      <c r="GH951">
        <v>0</v>
      </c>
      <c r="GI951">
        <v>0.26391992191167912</v>
      </c>
      <c r="GJ951"/>
      <c r="GK951">
        <v>0.70013849976743814</v>
      </c>
      <c r="GL951">
        <v>0.40705572478708768</v>
      </c>
      <c r="GM951">
        <v>0.44573189690518267</v>
      </c>
      <c r="GN951">
        <v>0.65560802736996537</v>
      </c>
      <c r="GO951">
        <v>0.20987613046478273</v>
      </c>
      <c r="GP951">
        <v>0</v>
      </c>
      <c r="GQ951">
        <v>0.45369793096285549</v>
      </c>
      <c r="GR951">
        <v>0.45369793096285549</v>
      </c>
      <c r="GS951">
        <v>0</v>
      </c>
      <c r="GT951">
        <v>0.36188889162005183</v>
      </c>
      <c r="GU951"/>
      <c r="GV951"/>
      <c r="GW951"/>
      <c r="GX951"/>
      <c r="GY951"/>
      <c r="GZ951"/>
      <c r="HA951"/>
      <c r="HB951"/>
      <c r="HC951"/>
    </row>
    <row r="952" spans="1:211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2.515625</v>
      </c>
      <c r="AO952">
        <v>0.1547114660861931</v>
      </c>
      <c r="AP952">
        <v>2.9270912115802536</v>
      </c>
      <c r="AQ952">
        <v>1.0944427397292356</v>
      </c>
      <c r="AR952">
        <v>0.20105347153152328</v>
      </c>
      <c r="AS952">
        <v>1.3857798042486271</v>
      </c>
      <c r="AT952" t="e">
        <v>#DIV/0!</v>
      </c>
      <c r="AU952" t="e">
        <v>#DIV/0!</v>
      </c>
      <c r="AV952"/>
      <c r="AW952"/>
      <c r="FY952" s="211">
        <v>947</v>
      </c>
      <c r="FZ952">
        <v>0.77789855001616726</v>
      </c>
      <c r="GA952">
        <v>8.725047411847664E-2</v>
      </c>
      <c r="GB952">
        <v>0.204855832097669</v>
      </c>
      <c r="GC952">
        <v>0.21823520044672617</v>
      </c>
      <c r="GD952">
        <v>8.0173661321021189E-2</v>
      </c>
      <c r="GE952">
        <v>0</v>
      </c>
      <c r="GF952">
        <v>0.33021050058332063</v>
      </c>
      <c r="GG952">
        <v>0.29759236750664797</v>
      </c>
      <c r="GH952">
        <v>0</v>
      </c>
      <c r="GI952">
        <v>0.27602981078516231</v>
      </c>
      <c r="GJ952"/>
      <c r="GK952">
        <v>0.77926428612454446</v>
      </c>
      <c r="GL952">
        <v>7.3740509229249462E-2</v>
      </c>
      <c r="GM952">
        <v>0.34079383167279126</v>
      </c>
      <c r="GN952">
        <v>0.65560802736996537</v>
      </c>
      <c r="GO952">
        <v>0.31481419569717417</v>
      </c>
      <c r="GP952">
        <v>0</v>
      </c>
      <c r="GQ952">
        <v>0.45369793096285549</v>
      </c>
      <c r="GR952">
        <v>0.45369793096285549</v>
      </c>
      <c r="GS952">
        <v>0</v>
      </c>
      <c r="GT952">
        <v>0.37771404889147303</v>
      </c>
      <c r="GU952"/>
      <c r="GV952"/>
      <c r="GW952"/>
      <c r="GX952"/>
      <c r="GY952"/>
      <c r="GZ952"/>
      <c r="HA952"/>
      <c r="HB952"/>
      <c r="HC952"/>
    </row>
    <row r="953" spans="1:211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3.0270833333333327</v>
      </c>
      <c r="AO953">
        <v>0.43150123233857995</v>
      </c>
      <c r="AP953">
        <v>9.9593099474622324</v>
      </c>
      <c r="AQ953">
        <v>3.4706999194663659</v>
      </c>
      <c r="AR953">
        <v>0.45019853185807546</v>
      </c>
      <c r="AS953">
        <v>2.4146804042715018</v>
      </c>
      <c r="AT953" t="e">
        <v>#DIV/0!</v>
      </c>
      <c r="AU953" t="e">
        <v>#DIV/0!</v>
      </c>
      <c r="AV953"/>
      <c r="AW953"/>
      <c r="FY953" s="211">
        <v>948</v>
      </c>
      <c r="FZ953">
        <v>1.0428604329684172</v>
      </c>
      <c r="GA953">
        <v>0.56185112583616514</v>
      </c>
      <c r="GB953">
        <v>0</v>
      </c>
      <c r="GC953">
        <v>3.4819274958961192E-2</v>
      </c>
      <c r="GD953">
        <v>2.6724553773673727E-2</v>
      </c>
      <c r="GE953">
        <v>0</v>
      </c>
      <c r="GF953">
        <v>0.33021050058332063</v>
      </c>
      <c r="GG953">
        <v>0.29759236750664797</v>
      </c>
      <c r="GH953">
        <v>0</v>
      </c>
      <c r="GI953">
        <v>0.23403024871574485</v>
      </c>
      <c r="GJ953"/>
      <c r="GK953">
        <v>1.0455883552309919</v>
      </c>
      <c r="GL953">
        <v>0.48079623401633714</v>
      </c>
      <c r="GM953">
        <v>0</v>
      </c>
      <c r="GN953">
        <v>0.10493806523239137</v>
      </c>
      <c r="GO953">
        <v>0.10493806523239137</v>
      </c>
      <c r="GP953">
        <v>0</v>
      </c>
      <c r="GQ953">
        <v>0.45369793096285549</v>
      </c>
      <c r="GR953">
        <v>0.45369793096285549</v>
      </c>
      <c r="GS953">
        <v>0</v>
      </c>
      <c r="GT953">
        <v>0.32084487028524777</v>
      </c>
      <c r="GU953"/>
      <c r="GV953"/>
      <c r="GW953"/>
      <c r="GX953"/>
      <c r="GY953"/>
      <c r="GZ953"/>
      <c r="HA953"/>
      <c r="HB953"/>
      <c r="HC953"/>
    </row>
    <row r="954" spans="1:211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2.1520833333333331</v>
      </c>
      <c r="AO954">
        <v>0.50109416922506478</v>
      </c>
      <c r="AP954">
        <v>16.599891781453678</v>
      </c>
      <c r="AQ954">
        <v>4.0499820800990296</v>
      </c>
      <c r="AR954">
        <v>0.50806011571380616</v>
      </c>
      <c r="AS954">
        <v>2.4201918988215367</v>
      </c>
      <c r="AT954" t="e">
        <v>#DIV/0!</v>
      </c>
      <c r="AU954" t="e">
        <v>#DIV/0!</v>
      </c>
      <c r="AV954"/>
      <c r="AW954"/>
      <c r="FY954" s="211">
        <v>949</v>
      </c>
      <c r="FZ954">
        <v>0.83473986895105401</v>
      </c>
      <c r="GA954">
        <v>0.47460065171768845</v>
      </c>
      <c r="GB954">
        <v>7.9203986612074825E-2</v>
      </c>
      <c r="GC954">
        <v>7.8958100610881349E-2</v>
      </c>
      <c r="GD954">
        <v>2.6724553773673727E-2</v>
      </c>
      <c r="GE954">
        <v>0</v>
      </c>
      <c r="GF954">
        <v>0.33021050058332063</v>
      </c>
      <c r="GG954">
        <v>0.29759236750664797</v>
      </c>
      <c r="GH954">
        <v>0</v>
      </c>
      <c r="GI954">
        <v>0.22256961935626837</v>
      </c>
      <c r="GJ954"/>
      <c r="GK954">
        <v>0.83799929523482586</v>
      </c>
      <c r="GL954">
        <v>0.40705572478708768</v>
      </c>
      <c r="GM954">
        <v>0.13091770120800852</v>
      </c>
      <c r="GN954">
        <v>0.23585576644039991</v>
      </c>
      <c r="GO954">
        <v>0.10493806523239137</v>
      </c>
      <c r="GP954">
        <v>0</v>
      </c>
      <c r="GQ954">
        <v>0.45369793096285549</v>
      </c>
      <c r="GR954">
        <v>0.45369793096285549</v>
      </c>
      <c r="GS954">
        <v>0</v>
      </c>
      <c r="GT954">
        <v>0.30551059852761625</v>
      </c>
      <c r="GU954"/>
      <c r="GV954"/>
      <c r="GW954"/>
      <c r="GX954"/>
      <c r="GY954"/>
      <c r="GZ954"/>
      <c r="HA954"/>
      <c r="HB954"/>
      <c r="HC954"/>
    </row>
    <row r="955" spans="1:211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3.1697916666666663</v>
      </c>
      <c r="AO955">
        <v>0.31526393140418735</v>
      </c>
      <c r="AP955">
        <v>10.376534782172623</v>
      </c>
      <c r="AQ955">
        <v>2.6798580293260925</v>
      </c>
      <c r="AR955">
        <v>0.37245141105219526</v>
      </c>
      <c r="AS955">
        <v>2.0452925491955778</v>
      </c>
      <c r="AT955" t="e">
        <v>#DIV/0!</v>
      </c>
      <c r="AU955" t="e">
        <v>#DIV/0!</v>
      </c>
      <c r="AV955"/>
      <c r="AW955"/>
      <c r="FY955" s="211">
        <v>950</v>
      </c>
      <c r="FZ955">
        <v>1.0211083654198321</v>
      </c>
      <c r="GA955">
        <v>0.47460065171768845</v>
      </c>
      <c r="GB955">
        <v>0.34688574145254092</v>
      </c>
      <c r="GC955">
        <v>0.19273547618072395</v>
      </c>
      <c r="GD955">
        <v>0</v>
      </c>
      <c r="GE955">
        <v>0</v>
      </c>
      <c r="GF955">
        <v>0.33021050058332063</v>
      </c>
      <c r="GG955">
        <v>0.29759236750664797</v>
      </c>
      <c r="GH955">
        <v>0</v>
      </c>
      <c r="GI955">
        <v>0.30043299326844175</v>
      </c>
      <c r="GJ955"/>
      <c r="GK955">
        <v>1.0270857866981984</v>
      </c>
      <c r="GL955">
        <v>0.40705572478708768</v>
      </c>
      <c r="GM955">
        <v>0.57664959811319116</v>
      </c>
      <c r="GN955">
        <v>0.57664959811319116</v>
      </c>
      <c r="GO955">
        <v>0</v>
      </c>
      <c r="GP955">
        <v>0</v>
      </c>
      <c r="GQ955">
        <v>0.45369793096285549</v>
      </c>
      <c r="GR955">
        <v>0.45369793096285549</v>
      </c>
      <c r="GS955">
        <v>0</v>
      </c>
      <c r="GT955">
        <v>0.41148666315484905</v>
      </c>
      <c r="GU955"/>
      <c r="GV955"/>
      <c r="GW955"/>
      <c r="GX955"/>
      <c r="GY955"/>
      <c r="GZ955"/>
      <c r="HA955"/>
      <c r="HB955"/>
      <c r="HC955"/>
    </row>
    <row r="956" spans="1:211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1.7041666666666668</v>
      </c>
      <c r="AO956">
        <v>0.30216373555651965</v>
      </c>
      <c r="AP956">
        <v>9.7858431033834865</v>
      </c>
      <c r="AQ956">
        <v>2.6115920791267691</v>
      </c>
      <c r="AR956">
        <v>0.29939515470904554</v>
      </c>
      <c r="AS956">
        <v>1.3795013166912256</v>
      </c>
      <c r="AT956" t="e">
        <v>#DIV/0!</v>
      </c>
      <c r="AU956" t="e">
        <v>#DIV/0!</v>
      </c>
      <c r="AV956"/>
      <c r="AW956"/>
      <c r="FY956" s="211">
        <v>951</v>
      </c>
      <c r="FZ956">
        <v>0.71358740572264123</v>
      </c>
      <c r="GA956">
        <v>8.725047411847664E-2</v>
      </c>
      <c r="GB956">
        <v>0.14202990935487192</v>
      </c>
      <c r="GC956">
        <v>7.8958100610881349E-2</v>
      </c>
      <c r="GD956">
        <v>0</v>
      </c>
      <c r="GE956">
        <v>0</v>
      </c>
      <c r="GF956">
        <v>0</v>
      </c>
      <c r="GG956">
        <v>0</v>
      </c>
      <c r="GH956">
        <v>0</v>
      </c>
      <c r="GI956">
        <v>0.14058819225224989</v>
      </c>
      <c r="GJ956"/>
      <c r="GK956">
        <v>0.7151439998864062</v>
      </c>
      <c r="GL956">
        <v>7.3740509229249462E-2</v>
      </c>
      <c r="GM956">
        <v>0.23585576644039991</v>
      </c>
      <c r="GN956">
        <v>0.23585576644039991</v>
      </c>
      <c r="GO956">
        <v>0</v>
      </c>
      <c r="GP956">
        <v>0</v>
      </c>
      <c r="GQ956">
        <v>0</v>
      </c>
      <c r="GR956">
        <v>0</v>
      </c>
      <c r="GS956">
        <v>0</v>
      </c>
      <c r="GT956">
        <v>0.19019995326536124</v>
      </c>
      <c r="GU956"/>
      <c r="GV956"/>
      <c r="GW956"/>
      <c r="GX956"/>
      <c r="GY956"/>
      <c r="GZ956"/>
      <c r="HA956"/>
      <c r="HB956"/>
      <c r="HC956"/>
    </row>
    <row r="957" spans="1:211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2.4770833333333337</v>
      </c>
      <c r="AO957">
        <v>0.19910786709783432</v>
      </c>
      <c r="AP957">
        <v>4.2203696802046089</v>
      </c>
      <c r="AQ957">
        <v>1.6991671105579045</v>
      </c>
      <c r="AR957">
        <v>0.22902446928774547</v>
      </c>
      <c r="AS957">
        <v>1.7031007465173598</v>
      </c>
      <c r="AT957" t="e">
        <v>#DIV/0!</v>
      </c>
      <c r="AU957" t="e">
        <v>#DIV/0!</v>
      </c>
      <c r="AV957"/>
      <c r="AW957"/>
      <c r="FY957" s="211">
        <v>952</v>
      </c>
      <c r="FZ957">
        <v>1.2741230362075964</v>
      </c>
      <c r="GA957">
        <v>0.77470035519842362</v>
      </c>
      <c r="GB957">
        <v>0.14202990935487192</v>
      </c>
      <c r="GC957">
        <v>0.14859665052880375</v>
      </c>
      <c r="GD957">
        <v>5.3449107547347455E-2</v>
      </c>
      <c r="GE957">
        <v>0</v>
      </c>
      <c r="GF957">
        <v>0.66042100116664126</v>
      </c>
      <c r="GG957">
        <v>0.59518473501329594</v>
      </c>
      <c r="GH957">
        <v>0</v>
      </c>
      <c r="GI957">
        <v>0.38256015403657628</v>
      </c>
      <c r="GJ957"/>
      <c r="GK957">
        <v>1.2816566500497113</v>
      </c>
      <c r="GL957">
        <v>0.66663043111567644</v>
      </c>
      <c r="GM957">
        <v>0.23585576644039991</v>
      </c>
      <c r="GN957">
        <v>0.44573189690518267</v>
      </c>
      <c r="GO957">
        <v>0.20987613046478273</v>
      </c>
      <c r="GP957">
        <v>0</v>
      </c>
      <c r="GQ957">
        <v>0.90739586192571098</v>
      </c>
      <c r="GR957">
        <v>0.90739586192571098</v>
      </c>
      <c r="GS957">
        <v>0</v>
      </c>
      <c r="GT957">
        <v>0.52695688177612099</v>
      </c>
      <c r="GU957"/>
      <c r="GV957"/>
      <c r="GW957"/>
      <c r="GX957"/>
      <c r="GY957"/>
      <c r="GZ957"/>
      <c r="HA957"/>
      <c r="HB957"/>
      <c r="HC957"/>
    </row>
    <row r="958" spans="1:211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1.4666666666666663</v>
      </c>
      <c r="AO958">
        <v>0.34235839866839696</v>
      </c>
      <c r="AP958">
        <v>14.71043038198945</v>
      </c>
      <c r="AQ958">
        <v>2.6863326816347879</v>
      </c>
      <c r="AR958">
        <v>0.33403238912312994</v>
      </c>
      <c r="AS958">
        <v>1.6005481597582865</v>
      </c>
      <c r="AT958" t="e">
        <v>#DIV/0!</v>
      </c>
      <c r="AU958" t="e">
        <v>#DIV/0!</v>
      </c>
      <c r="AV958"/>
      <c r="AW958"/>
      <c r="FY958" s="211">
        <v>953</v>
      </c>
      <c r="FZ958">
        <v>1.3890746392009976</v>
      </c>
      <c r="GA958">
        <v>0.47460065171768845</v>
      </c>
      <c r="GB958">
        <v>0.37964186919109638</v>
      </c>
      <c r="GC958">
        <v>0.28101312748456425</v>
      </c>
      <c r="GD958">
        <v>5.3449107547347455E-2</v>
      </c>
      <c r="GE958">
        <v>0</v>
      </c>
      <c r="GF958">
        <v>0.33021050058332063</v>
      </c>
      <c r="GG958">
        <v>0.29759236750664797</v>
      </c>
      <c r="GH958">
        <v>0</v>
      </c>
      <c r="GI958">
        <v>0.39365012151915435</v>
      </c>
      <c r="GJ958"/>
      <c r="GK958">
        <v>1.3995690089707309</v>
      </c>
      <c r="GL958">
        <v>0.40705572478708768</v>
      </c>
      <c r="GM958">
        <v>0.62860887006442545</v>
      </c>
      <c r="GN958">
        <v>0.83848500052920816</v>
      </c>
      <c r="GO958">
        <v>0.20987613046478273</v>
      </c>
      <c r="GP958">
        <v>0</v>
      </c>
      <c r="GQ958">
        <v>0.45369793096285549</v>
      </c>
      <c r="GR958">
        <v>0.45369793096285549</v>
      </c>
      <c r="GS958">
        <v>0</v>
      </c>
      <c r="GT958">
        <v>0.53835038809255897</v>
      </c>
      <c r="GU958"/>
      <c r="GV958"/>
      <c r="GW958"/>
      <c r="GX958"/>
      <c r="GY958"/>
      <c r="GZ958"/>
      <c r="HA958"/>
      <c r="HB958"/>
      <c r="HC958"/>
    </row>
    <row r="959" spans="1:211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3.3833333333333337</v>
      </c>
      <c r="AO959">
        <v>0.33118229330721199</v>
      </c>
      <c r="AP959">
        <v>11.813764093157516</v>
      </c>
      <c r="AQ959">
        <v>2.5613115026726962</v>
      </c>
      <c r="AR959">
        <v>0.35967271981716969</v>
      </c>
      <c r="AS959">
        <v>2.0522027307371107</v>
      </c>
      <c r="AT959" t="e">
        <v>#DIV/0!</v>
      </c>
      <c r="AU959" t="e">
        <v>#DIV/0!</v>
      </c>
      <c r="AV959"/>
      <c r="AW959"/>
      <c r="FY959" s="211">
        <v>954</v>
      </c>
      <c r="FZ959">
        <v>1.4337945550315152</v>
      </c>
      <c r="GA959">
        <v>0.56185112583616514</v>
      </c>
      <c r="GB959">
        <v>7.9203986612074825E-2</v>
      </c>
      <c r="GC959">
        <v>7.8958100610881349E-2</v>
      </c>
      <c r="GD959">
        <v>2.6724553773673727E-2</v>
      </c>
      <c r="GE959">
        <v>0</v>
      </c>
      <c r="GF959">
        <v>0</v>
      </c>
      <c r="GG959">
        <v>0</v>
      </c>
      <c r="GH959">
        <v>0</v>
      </c>
      <c r="GI959">
        <v>0.24715567567509195</v>
      </c>
      <c r="GJ959"/>
      <c r="GK959">
        <v>1.4416597713769663</v>
      </c>
      <c r="GL959">
        <v>0.48079623401633714</v>
      </c>
      <c r="GM959">
        <v>0.13091770120800852</v>
      </c>
      <c r="GN959">
        <v>0.23585576644039991</v>
      </c>
      <c r="GO959">
        <v>0.10493806523239137</v>
      </c>
      <c r="GP959">
        <v>0</v>
      </c>
      <c r="GQ959">
        <v>0</v>
      </c>
      <c r="GR959">
        <v>0</v>
      </c>
      <c r="GS959">
        <v>0</v>
      </c>
      <c r="GT959">
        <v>0.33550310756347324</v>
      </c>
      <c r="GU959"/>
      <c r="GV959"/>
      <c r="GW959"/>
      <c r="GX959"/>
      <c r="GY959"/>
      <c r="GZ959"/>
      <c r="HA959"/>
      <c r="HB959"/>
      <c r="HC959"/>
    </row>
    <row r="960" spans="1:211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3.3416666666666672</v>
      </c>
      <c r="AO960">
        <v>0.42712803997085497</v>
      </c>
      <c r="AP960">
        <v>11.281239910675257</v>
      </c>
      <c r="AQ960">
        <v>3.2020606824935252</v>
      </c>
      <c r="AR960">
        <v>0.47231285764090264</v>
      </c>
      <c r="AS960">
        <v>2.4978519504962007</v>
      </c>
      <c r="AT960" t="e">
        <v>#DIV/0!</v>
      </c>
      <c r="AU960" t="e">
        <v>#DIV/0!</v>
      </c>
      <c r="AV960"/>
      <c r="AW960"/>
      <c r="FY960" s="211">
        <v>955</v>
      </c>
      <c r="FZ960">
        <v>1.6868092258192795</v>
      </c>
      <c r="GA960">
        <v>1.0364517775538535</v>
      </c>
      <c r="GB960">
        <v>7.9203986612074825E-2</v>
      </c>
      <c r="GC960">
        <v>4.4138825651920163E-2</v>
      </c>
      <c r="GD960">
        <v>0</v>
      </c>
      <c r="GE960">
        <v>0</v>
      </c>
      <c r="GF960">
        <v>0.33021050058332063</v>
      </c>
      <c r="GG960">
        <v>0.29759236750664797</v>
      </c>
      <c r="GH960">
        <v>0</v>
      </c>
      <c r="GI960">
        <v>0.33322952495529623</v>
      </c>
      <c r="GJ960"/>
      <c r="GK960">
        <v>1.696230634728479</v>
      </c>
      <c r="GL960">
        <v>0.88785195880342482</v>
      </c>
      <c r="GM960">
        <v>0.13091770120800852</v>
      </c>
      <c r="GN960">
        <v>0.13091770120800852</v>
      </c>
      <c r="GO960">
        <v>0</v>
      </c>
      <c r="GP960">
        <v>0</v>
      </c>
      <c r="GQ960">
        <v>0.45369793096285549</v>
      </c>
      <c r="GR960">
        <v>0.45369793096285549</v>
      </c>
      <c r="GS960">
        <v>0</v>
      </c>
      <c r="GT960">
        <v>0.45616925337986863</v>
      </c>
      <c r="GU960"/>
      <c r="GV960"/>
      <c r="GW960"/>
      <c r="GX960"/>
      <c r="GY960"/>
      <c r="GZ960"/>
      <c r="HA960"/>
      <c r="HB960"/>
      <c r="HC960"/>
    </row>
    <row r="961" spans="1:211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1.8083333333333336</v>
      </c>
      <c r="AO961">
        <v>0.55375006174844177</v>
      </c>
      <c r="AP961">
        <v>21.778920371675259</v>
      </c>
      <c r="AQ961">
        <v>4.5198154715659422</v>
      </c>
      <c r="AR961">
        <v>0.56747305470796383</v>
      </c>
      <c r="AS961">
        <v>3.5452455934973091</v>
      </c>
      <c r="AT961" t="e">
        <v>#DIV/0!</v>
      </c>
      <c r="AU961" t="e">
        <v>#DIV/0!</v>
      </c>
      <c r="AV961"/>
      <c r="AW961"/>
      <c r="FY961" s="211">
        <v>956</v>
      </c>
      <c r="FZ961">
        <v>0.79491435813866129</v>
      </c>
      <c r="GA961">
        <v>0</v>
      </c>
      <c r="GB961">
        <v>6.282592274279708E-2</v>
      </c>
      <c r="GC961">
        <v>6.9638549917922385E-2</v>
      </c>
      <c r="GD961">
        <v>2.6724553773673727E-2</v>
      </c>
      <c r="GE961">
        <v>0</v>
      </c>
      <c r="GF961">
        <v>0</v>
      </c>
      <c r="GG961">
        <v>0</v>
      </c>
      <c r="GH961">
        <v>0</v>
      </c>
      <c r="GI961">
        <v>0.14878111512273315</v>
      </c>
      <c r="GJ961"/>
      <c r="GK961">
        <v>0.79360176212114386</v>
      </c>
      <c r="GL961">
        <v>0</v>
      </c>
      <c r="GM961">
        <v>0.10493806523239137</v>
      </c>
      <c r="GN961">
        <v>0.20987613046478273</v>
      </c>
      <c r="GO961">
        <v>0.10493806523239137</v>
      </c>
      <c r="GP961">
        <v>0</v>
      </c>
      <c r="GQ961">
        <v>0</v>
      </c>
      <c r="GR961">
        <v>0</v>
      </c>
      <c r="GS961">
        <v>0</v>
      </c>
      <c r="GT961">
        <v>0.20069557851718534</v>
      </c>
      <c r="GU961"/>
      <c r="GV961"/>
      <c r="GW961"/>
      <c r="GX961"/>
      <c r="GY961"/>
      <c r="GZ961"/>
      <c r="HA961"/>
      <c r="HB961"/>
      <c r="HC961"/>
    </row>
    <row r="962" spans="1:211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2.5343749999999998</v>
      </c>
      <c r="AO962">
        <v>0.36876950328402203</v>
      </c>
      <c r="AP962">
        <v>13.022582585877039</v>
      </c>
      <c r="AQ962">
        <v>2.6023172489845221</v>
      </c>
      <c r="AR962">
        <v>0.36188889162005183</v>
      </c>
      <c r="AS962">
        <v>1.9156496892896726</v>
      </c>
      <c r="AT962" t="e">
        <v>#DIV/0!</v>
      </c>
      <c r="AU962" t="e">
        <v>#DIV/0!</v>
      </c>
      <c r="AV962"/>
      <c r="AW962"/>
      <c r="FY962" s="211">
        <v>957</v>
      </c>
      <c r="FZ962">
        <v>0.98467982187049752</v>
      </c>
      <c r="GA962">
        <v>0.38735017759921181</v>
      </c>
      <c r="GB962">
        <v>0.26768175484046608</v>
      </c>
      <c r="GC962">
        <v>0.18341592548776492</v>
      </c>
      <c r="GD962">
        <v>2.6724553773673727E-2</v>
      </c>
      <c r="GE962">
        <v>0</v>
      </c>
      <c r="GF962">
        <v>0</v>
      </c>
      <c r="GG962">
        <v>0</v>
      </c>
      <c r="GH962">
        <v>0</v>
      </c>
      <c r="GI962">
        <v>0.22700810229356988</v>
      </c>
      <c r="GJ962"/>
      <c r="GK962">
        <v>0.99081965986114917</v>
      </c>
      <c r="GL962">
        <v>0.33331521555783822</v>
      </c>
      <c r="GM962">
        <v>0.44573189690518267</v>
      </c>
      <c r="GN962">
        <v>0.55066996213757402</v>
      </c>
      <c r="GO962">
        <v>0.10493806523239137</v>
      </c>
      <c r="GP962">
        <v>0</v>
      </c>
      <c r="GQ962">
        <v>0</v>
      </c>
      <c r="GR962">
        <v>0</v>
      </c>
      <c r="GS962">
        <v>0</v>
      </c>
      <c r="GT962">
        <v>0.30829792439974463</v>
      </c>
      <c r="GU962"/>
      <c r="GV962"/>
      <c r="GW962"/>
      <c r="GX962"/>
      <c r="GY962"/>
      <c r="GZ962"/>
      <c r="HA962"/>
      <c r="HB962"/>
      <c r="HC962"/>
    </row>
    <row r="963" spans="1:211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2.8281249999999996</v>
      </c>
      <c r="AO963">
        <v>0.34493307609109081</v>
      </c>
      <c r="AP963">
        <v>10.709302762775909</v>
      </c>
      <c r="AQ963">
        <v>2.2722463968751914</v>
      </c>
      <c r="AR963">
        <v>0.37771404889147303</v>
      </c>
      <c r="AS963">
        <v>2.0396813492304573</v>
      </c>
      <c r="AT963" t="e">
        <v>#DIV/0!</v>
      </c>
      <c r="AU963" t="e">
        <v>#DIV/0!</v>
      </c>
      <c r="AV963"/>
      <c r="AW963"/>
      <c r="FY963" s="211">
        <v>958</v>
      </c>
      <c r="FZ963">
        <v>1.0772057290080825</v>
      </c>
      <c r="GA963">
        <v>0.56185112583616514</v>
      </c>
      <c r="GB963">
        <v>0.18847776822839127</v>
      </c>
      <c r="GC963">
        <v>0.13927709983584477</v>
      </c>
      <c r="GD963">
        <v>2.6724553773673727E-2</v>
      </c>
      <c r="GE963">
        <v>0</v>
      </c>
      <c r="GF963">
        <v>0</v>
      </c>
      <c r="GG963">
        <v>0</v>
      </c>
      <c r="GH963">
        <v>0</v>
      </c>
      <c r="GI963">
        <v>0.22141301343006695</v>
      </c>
      <c r="GJ963"/>
      <c r="GK963">
        <v>1.0801578754864192</v>
      </c>
      <c r="GL963">
        <v>0.48079623401633714</v>
      </c>
      <c r="GM963">
        <v>0.31481419569717417</v>
      </c>
      <c r="GN963">
        <v>0.41975226092956547</v>
      </c>
      <c r="GO963">
        <v>0.10493806523239137</v>
      </c>
      <c r="GP963">
        <v>0</v>
      </c>
      <c r="GQ963">
        <v>0</v>
      </c>
      <c r="GR963">
        <v>0</v>
      </c>
      <c r="GS963">
        <v>0</v>
      </c>
      <c r="GT963">
        <v>0.29998202728319689</v>
      </c>
      <c r="GU963"/>
      <c r="GV963"/>
      <c r="GW963"/>
      <c r="GX963"/>
      <c r="GY963"/>
      <c r="GZ963"/>
      <c r="HA963"/>
      <c r="HB963"/>
      <c r="HC963"/>
    </row>
    <row r="964" spans="1:211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3.0812499999999994</v>
      </c>
      <c r="AO964">
        <v>0.29645014519230706</v>
      </c>
      <c r="AP964">
        <v>9.1981950371583245</v>
      </c>
      <c r="AQ964">
        <v>2.5280885043429304</v>
      </c>
      <c r="AR964">
        <v>0.32084487028524777</v>
      </c>
      <c r="AS964">
        <v>1.8161779267936926</v>
      </c>
      <c r="AT964" t="e">
        <v>#DIV/0!</v>
      </c>
      <c r="AU964" t="e">
        <v>#DIV/0!</v>
      </c>
      <c r="AV964"/>
      <c r="AW964"/>
      <c r="FY964" s="211">
        <v>959</v>
      </c>
      <c r="FZ964">
        <v>0.88729943676538681</v>
      </c>
      <c r="GA964">
        <v>0.47460065171768845</v>
      </c>
      <c r="GB964">
        <v>7.9203986612074825E-2</v>
      </c>
      <c r="GC964">
        <v>4.4138825651920163E-2</v>
      </c>
      <c r="GD964">
        <v>0</v>
      </c>
      <c r="GE964">
        <v>0</v>
      </c>
      <c r="GF964">
        <v>0.66042100116664126</v>
      </c>
      <c r="GG964">
        <v>0.59518473501329594</v>
      </c>
      <c r="GH964">
        <v>0</v>
      </c>
      <c r="GI964">
        <v>0.27897243641269309</v>
      </c>
      <c r="GJ964"/>
      <c r="GK964">
        <v>0.8907018789087775</v>
      </c>
      <c r="GL964">
        <v>0.40705572478708768</v>
      </c>
      <c r="GM964">
        <v>0.13091770120800852</v>
      </c>
      <c r="GN964">
        <v>0.13091770120800852</v>
      </c>
      <c r="GO964">
        <v>0</v>
      </c>
      <c r="GP964">
        <v>0</v>
      </c>
      <c r="GQ964">
        <v>0.90739586192571098</v>
      </c>
      <c r="GR964">
        <v>0.90739586192571098</v>
      </c>
      <c r="GS964">
        <v>0</v>
      </c>
      <c r="GT964">
        <v>0.38580308840849942</v>
      </c>
      <c r="GU964"/>
      <c r="GV964"/>
      <c r="GW964"/>
      <c r="GX964"/>
      <c r="GY964"/>
      <c r="GZ964"/>
      <c r="HA964"/>
      <c r="HB964"/>
      <c r="HC964"/>
    </row>
    <row r="965" spans="1:211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2.3885416666666663</v>
      </c>
      <c r="AO965">
        <v>0.29296730133560406</v>
      </c>
      <c r="AP965">
        <v>9.3383808159016475</v>
      </c>
      <c r="AQ965">
        <v>2.3445996491116095</v>
      </c>
      <c r="AR965">
        <v>0.30551059852761625</v>
      </c>
      <c r="AS965">
        <v>1.8190460062527432</v>
      </c>
      <c r="AT965" t="e">
        <v>#DIV/0!</v>
      </c>
      <c r="AU965" t="e">
        <v>#DIV/0!</v>
      </c>
      <c r="AV965"/>
      <c r="AW965"/>
      <c r="FY965" s="211">
        <v>960</v>
      </c>
      <c r="FZ965">
        <v>1.6210263906123803</v>
      </c>
      <c r="GA965">
        <v>0.86195082931690026</v>
      </c>
      <c r="GB965">
        <v>7.9203986612074825E-2</v>
      </c>
      <c r="GC965">
        <v>4.4138825651920163E-2</v>
      </c>
      <c r="GD965">
        <v>0</v>
      </c>
      <c r="GE965">
        <v>0</v>
      </c>
      <c r="GF965">
        <v>0.33021050058332063</v>
      </c>
      <c r="GG965">
        <v>0.29759236750664797</v>
      </c>
      <c r="GH965">
        <v>0</v>
      </c>
      <c r="GI965">
        <v>0.32339734021136546</v>
      </c>
      <c r="GJ965"/>
      <c r="GK965">
        <v>1.6332028197583992</v>
      </c>
      <c r="GL965">
        <v>0.7403709403449259</v>
      </c>
      <c r="GM965">
        <v>0.13091770120800852</v>
      </c>
      <c r="GN965">
        <v>0.13091770120800852</v>
      </c>
      <c r="GO965">
        <v>0</v>
      </c>
      <c r="GP965">
        <v>0</v>
      </c>
      <c r="GQ965">
        <v>0.45369793096285549</v>
      </c>
      <c r="GR965">
        <v>0.45369793096285549</v>
      </c>
      <c r="GS965">
        <v>0</v>
      </c>
      <c r="GT965">
        <v>0.44356369038585258</v>
      </c>
      <c r="GU965"/>
      <c r="GV965"/>
      <c r="GW965"/>
      <c r="GX965"/>
      <c r="GY965"/>
      <c r="GZ965"/>
      <c r="HA965"/>
      <c r="HB965"/>
      <c r="HC965"/>
    </row>
    <row r="966" spans="1:211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2.8416666666666663</v>
      </c>
      <c r="AO966">
        <v>0.39063232327922287</v>
      </c>
      <c r="AP966">
        <v>14.403153155613841</v>
      </c>
      <c r="AQ966">
        <v>2.9635660961291963</v>
      </c>
      <c r="AR966">
        <v>0.41148666315484905</v>
      </c>
      <c r="AS966">
        <v>2.0683443152369412</v>
      </c>
      <c r="AT966" t="e">
        <v>#DIV/0!</v>
      </c>
      <c r="AU966" t="e">
        <v>#DIV/0!</v>
      </c>
      <c r="AV966"/>
      <c r="AW966"/>
      <c r="FY966" s="211">
        <v>961</v>
      </c>
      <c r="FZ966">
        <v>0.5718612335084734</v>
      </c>
      <c r="GA966">
        <v>8.725047411847664E-2</v>
      </c>
      <c r="GB966">
        <v>0.26768175484046608</v>
      </c>
      <c r="GC966">
        <v>0.18341592548776492</v>
      </c>
      <c r="GD966">
        <v>2.6724553773673727E-2</v>
      </c>
      <c r="GE966">
        <v>0</v>
      </c>
      <c r="GF966">
        <v>0.33021050058332063</v>
      </c>
      <c r="GG966">
        <v>0.29759236750664797</v>
      </c>
      <c r="GH966">
        <v>0</v>
      </c>
      <c r="GI966">
        <v>0.23002789621268691</v>
      </c>
      <c r="GJ966"/>
      <c r="GK966">
        <v>0.57337183271000058</v>
      </c>
      <c r="GL966">
        <v>7.3740509229249462E-2</v>
      </c>
      <c r="GM966">
        <v>0.44573189690518267</v>
      </c>
      <c r="GN966">
        <v>0.55066996213757402</v>
      </c>
      <c r="GO966">
        <v>0.10493806523239137</v>
      </c>
      <c r="GP966">
        <v>0</v>
      </c>
      <c r="GQ966">
        <v>0.45369793096285549</v>
      </c>
      <c r="GR966">
        <v>0.45369793096285549</v>
      </c>
      <c r="GS966">
        <v>0</v>
      </c>
      <c r="GT966">
        <v>0.31554794516208601</v>
      </c>
      <c r="GU966"/>
      <c r="GV966"/>
      <c r="GW966"/>
      <c r="GX966"/>
      <c r="GY966"/>
      <c r="GZ966"/>
      <c r="HA966"/>
      <c r="HB966"/>
      <c r="HC966"/>
    </row>
    <row r="967" spans="1:211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2.067708333333333</v>
      </c>
      <c r="AO967">
        <v>0.14507959952618169</v>
      </c>
      <c r="AP967">
        <v>2.975846493687448</v>
      </c>
      <c r="AQ967">
        <v>1.1624140820591209</v>
      </c>
      <c r="AR967">
        <v>0.19019995326536124</v>
      </c>
      <c r="AS967">
        <v>1.2564966797820536</v>
      </c>
      <c r="AT967" t="e">
        <v>#DIV/0!</v>
      </c>
      <c r="AU967" t="e">
        <v>#DIV/0!</v>
      </c>
      <c r="AV967"/>
      <c r="AW967"/>
      <c r="FY967" s="211">
        <v>962</v>
      </c>
      <c r="FZ967">
        <v>0.74090024206007965</v>
      </c>
      <c r="GA967">
        <v>0.17450094823695328</v>
      </c>
      <c r="GB967">
        <v>0.12565184548559416</v>
      </c>
      <c r="GC967">
        <v>6.9638549917922385E-2</v>
      </c>
      <c r="GD967">
        <v>0</v>
      </c>
      <c r="GE967">
        <v>0</v>
      </c>
      <c r="GF967">
        <v>0.33021050058332063</v>
      </c>
      <c r="GG967">
        <v>0.29759236750664797</v>
      </c>
      <c r="GH967">
        <v>0</v>
      </c>
      <c r="GI967">
        <v>0.20477052884414854</v>
      </c>
      <c r="GJ967"/>
      <c r="GK967">
        <v>0.74222627991454548</v>
      </c>
      <c r="GL967">
        <v>0.14748101845849892</v>
      </c>
      <c r="GM967">
        <v>0.20987613046478273</v>
      </c>
      <c r="GN967">
        <v>0.20987613046478273</v>
      </c>
      <c r="GO967">
        <v>0</v>
      </c>
      <c r="GP967">
        <v>0</v>
      </c>
      <c r="GQ967">
        <v>0.45369793096285549</v>
      </c>
      <c r="GR967">
        <v>0.45369793096285549</v>
      </c>
      <c r="GS967">
        <v>0</v>
      </c>
      <c r="GT967">
        <v>0.28116006826843676</v>
      </c>
      <c r="GU967"/>
      <c r="GV967"/>
      <c r="GW967"/>
      <c r="GX967"/>
      <c r="GY967"/>
      <c r="GZ967"/>
      <c r="HA967"/>
      <c r="HB967"/>
      <c r="HC967"/>
    </row>
    <row r="968" spans="1:211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3.3343750000000001</v>
      </c>
      <c r="AO968">
        <v>0.51814994806032966</v>
      </c>
      <c r="AP968">
        <v>18.327356538253216</v>
      </c>
      <c r="AQ968">
        <v>4.0310649490535564</v>
      </c>
      <c r="AR968">
        <v>0.52695688177612099</v>
      </c>
      <c r="AS968">
        <v>2.5954260342340212</v>
      </c>
      <c r="AT968" t="e">
        <v>#DIV/0!</v>
      </c>
      <c r="AU968" t="e">
        <v>#DIV/0!</v>
      </c>
      <c r="AV968"/>
      <c r="AW968"/>
      <c r="FY968" s="211">
        <v>963</v>
      </c>
      <c r="FZ968">
        <v>0.70016850264478192</v>
      </c>
      <c r="GA968">
        <v>8.725047411847664E-2</v>
      </c>
      <c r="GB968">
        <v>7.9203986612074825E-2</v>
      </c>
      <c r="GC968">
        <v>0.11377737556984255</v>
      </c>
      <c r="GD968">
        <v>5.3449107547347455E-2</v>
      </c>
      <c r="GE968">
        <v>0</v>
      </c>
      <c r="GF968">
        <v>0.33021050058332063</v>
      </c>
      <c r="GG968">
        <v>0.29759236750664797</v>
      </c>
      <c r="GH968">
        <v>0</v>
      </c>
      <c r="GI968">
        <v>0.21804877459325925</v>
      </c>
      <c r="GJ968"/>
      <c r="GK968">
        <v>0.70448326539952921</v>
      </c>
      <c r="GL968">
        <v>7.3740509229249462E-2</v>
      </c>
      <c r="GM968">
        <v>0.13091770120800852</v>
      </c>
      <c r="GN968">
        <v>0.34079383167279126</v>
      </c>
      <c r="GO968">
        <v>0.20987613046478273</v>
      </c>
      <c r="GP968">
        <v>0</v>
      </c>
      <c r="GQ968">
        <v>0.45369793096285549</v>
      </c>
      <c r="GR968">
        <v>0.45369793096285549</v>
      </c>
      <c r="GS968">
        <v>0</v>
      </c>
      <c r="GT968">
        <v>0.2997950056070352</v>
      </c>
      <c r="GU968"/>
      <c r="GV968"/>
      <c r="GW968"/>
      <c r="GX968"/>
      <c r="GY968"/>
      <c r="GZ968"/>
      <c r="HA968"/>
      <c r="HB968"/>
      <c r="HC968"/>
    </row>
    <row r="969" spans="1:211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3.7270833333333337</v>
      </c>
      <c r="AO969">
        <v>0.49293409848345054</v>
      </c>
      <c r="AP969">
        <v>15.50739871515847</v>
      </c>
      <c r="AQ969">
        <v>3.5992323847508176</v>
      </c>
      <c r="AR969">
        <v>0.53835038809255897</v>
      </c>
      <c r="AS969">
        <v>2.8564561112918354</v>
      </c>
      <c r="AT969" t="e">
        <v>#DIV/0!</v>
      </c>
      <c r="AU969" t="e">
        <v>#DIV/0!</v>
      </c>
      <c r="AV969"/>
      <c r="AW969"/>
      <c r="FY969" s="211">
        <v>964</v>
      </c>
      <c r="FZ969">
        <v>1.1827407855477512</v>
      </c>
      <c r="GA969">
        <v>0.56185112583616514</v>
      </c>
      <c r="GB969">
        <v>0.23761195983622446</v>
      </c>
      <c r="GC969">
        <v>0.20205502687368287</v>
      </c>
      <c r="GD969">
        <v>5.3449107547347455E-2</v>
      </c>
      <c r="GE969">
        <v>0</v>
      </c>
      <c r="GF969">
        <v>0.66042100116664126</v>
      </c>
      <c r="GG969">
        <v>0.59518473501329594</v>
      </c>
      <c r="GH969">
        <v>0</v>
      </c>
      <c r="GI969">
        <v>0.39243237155882532</v>
      </c>
      <c r="GJ969"/>
      <c r="GK969">
        <v>1.1880166174932545</v>
      </c>
      <c r="GL969">
        <v>0.48079623401633714</v>
      </c>
      <c r="GM969">
        <v>0.39275310362402555</v>
      </c>
      <c r="GN969">
        <v>0.60262923408880831</v>
      </c>
      <c r="GO969">
        <v>0.20987613046478273</v>
      </c>
      <c r="GP969">
        <v>0</v>
      </c>
      <c r="GQ969">
        <v>0.90739586192571098</v>
      </c>
      <c r="GR969">
        <v>0.90739586192571098</v>
      </c>
      <c r="GS969">
        <v>0</v>
      </c>
      <c r="GT969">
        <v>0.53960834270155478</v>
      </c>
      <c r="GU969"/>
      <c r="GV969"/>
      <c r="GW969"/>
      <c r="GX969"/>
      <c r="GY969"/>
      <c r="GZ969"/>
      <c r="HA969"/>
      <c r="HB969"/>
      <c r="HC969"/>
    </row>
    <row r="970" spans="1:211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3.0031249999999998</v>
      </c>
      <c r="AO970">
        <v>0.27296706458375769</v>
      </c>
      <c r="AP970">
        <v>3.0901175440317719</v>
      </c>
      <c r="AQ970">
        <v>2.4276879975394023</v>
      </c>
      <c r="AR970">
        <v>0.33550310756347324</v>
      </c>
      <c r="AS970">
        <v>2.143428617914287</v>
      </c>
      <c r="AT970" t="e">
        <v>#DIV/0!</v>
      </c>
      <c r="AU970" t="e">
        <v>#DIV/0!</v>
      </c>
      <c r="AV970"/>
      <c r="AW970"/>
      <c r="FY970" s="211">
        <v>965</v>
      </c>
      <c r="FZ970">
        <v>1.3644924063558888</v>
      </c>
      <c r="GA970">
        <v>0.47460065171768845</v>
      </c>
      <c r="GB970">
        <v>7.9203986612074825E-2</v>
      </c>
      <c r="GC970">
        <v>7.8958100610881349E-2</v>
      </c>
      <c r="GD970">
        <v>2.6724553773673727E-2</v>
      </c>
      <c r="GE970">
        <v>0</v>
      </c>
      <c r="GF970">
        <v>0</v>
      </c>
      <c r="GG970">
        <v>0</v>
      </c>
      <c r="GH970">
        <v>0</v>
      </c>
      <c r="GI970">
        <v>0.23696084899451031</v>
      </c>
      <c r="GJ970"/>
      <c r="GK970">
        <v>1.3697316530164321</v>
      </c>
      <c r="GL970">
        <v>0.40705572478708768</v>
      </c>
      <c r="GM970">
        <v>0.13091770120800852</v>
      </c>
      <c r="GN970">
        <v>0.23585576644039991</v>
      </c>
      <c r="GO970">
        <v>0.10493806523239137</v>
      </c>
      <c r="GP970">
        <v>0</v>
      </c>
      <c r="GQ970">
        <v>0</v>
      </c>
      <c r="GR970">
        <v>0</v>
      </c>
      <c r="GS970">
        <v>0</v>
      </c>
      <c r="GT970">
        <v>0.32111748389136641</v>
      </c>
      <c r="GU970"/>
      <c r="GV970"/>
      <c r="GW970"/>
      <c r="GX970"/>
      <c r="GY970"/>
      <c r="GZ970"/>
      <c r="HA970"/>
      <c r="HB970"/>
      <c r="HC970"/>
    </row>
    <row r="971" spans="1:211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3.8760416666666671</v>
      </c>
      <c r="AO971">
        <v>0.42094831112535003</v>
      </c>
      <c r="AP971">
        <v>10.206192218999311</v>
      </c>
      <c r="AQ971">
        <v>3.8076362086823927</v>
      </c>
      <c r="AR971">
        <v>0.45616925337986863</v>
      </c>
      <c r="AS971">
        <v>2.52997599322847</v>
      </c>
      <c r="AT971" t="e">
        <v>#DIV/0!</v>
      </c>
      <c r="AU971" t="e">
        <v>#DIV/0!</v>
      </c>
      <c r="AV971"/>
      <c r="AW971"/>
      <c r="FY971" s="211">
        <v>966</v>
      </c>
      <c r="FZ971">
        <v>1.292141672296971</v>
      </c>
      <c r="GA971">
        <v>0.77470035519842362</v>
      </c>
      <c r="GB971">
        <v>7.9203986612074825E-2</v>
      </c>
      <c r="GC971">
        <v>7.8958100610881349E-2</v>
      </c>
      <c r="GD971">
        <v>2.6724553773673727E-2</v>
      </c>
      <c r="GE971">
        <v>0</v>
      </c>
      <c r="GF971">
        <v>0.33021050058332063</v>
      </c>
      <c r="GG971">
        <v>0.29759236750664797</v>
      </c>
      <c r="GH971">
        <v>0</v>
      </c>
      <c r="GI971">
        <v>0.29024899332091675</v>
      </c>
      <c r="GJ971"/>
      <c r="GK971">
        <v>1.2994542102774878</v>
      </c>
      <c r="GL971">
        <v>0.66663043111567644</v>
      </c>
      <c r="GM971">
        <v>0.13091770120800852</v>
      </c>
      <c r="GN971">
        <v>0.23585576644039991</v>
      </c>
      <c r="GO971">
        <v>0.10493806523239137</v>
      </c>
      <c r="GP971">
        <v>0</v>
      </c>
      <c r="GQ971">
        <v>0.45369793096285549</v>
      </c>
      <c r="GR971">
        <v>0.45369793096285549</v>
      </c>
      <c r="GS971">
        <v>0</v>
      </c>
      <c r="GT971">
        <v>0.39780158153614864</v>
      </c>
      <c r="GU971"/>
      <c r="GV971"/>
      <c r="GW971"/>
      <c r="GX971"/>
      <c r="GY971"/>
      <c r="GZ971"/>
      <c r="HA971"/>
      <c r="HB971"/>
      <c r="HC971"/>
    </row>
    <row r="972" spans="1:211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2.2291666666666665</v>
      </c>
      <c r="AO972">
        <v>0.14140496015678947</v>
      </c>
      <c r="AP972">
        <v>1.2816558953166293</v>
      </c>
      <c r="AQ972">
        <v>1.1028844996957876</v>
      </c>
      <c r="AR972">
        <v>0.20069557851718528</v>
      </c>
      <c r="AS972">
        <v>1.6656423555952167</v>
      </c>
      <c r="AT972" t="e">
        <v>#DIV/0!</v>
      </c>
      <c r="AU972" t="e">
        <v>#DIV/0!</v>
      </c>
      <c r="AV972"/>
      <c r="AW972"/>
      <c r="FY972" s="211">
        <v>967</v>
      </c>
      <c r="FZ972">
        <v>0.73590923767797911</v>
      </c>
      <c r="GA972">
        <v>0</v>
      </c>
      <c r="GB972">
        <v>0.14202990935487192</v>
      </c>
      <c r="GC972">
        <v>0.11377737556984255</v>
      </c>
      <c r="GD972">
        <v>2.6724553773673727E-2</v>
      </c>
      <c r="GE972">
        <v>0</v>
      </c>
      <c r="GF972">
        <v>0.33021050058332063</v>
      </c>
      <c r="GG972">
        <v>0.29759236750664797</v>
      </c>
      <c r="GH972">
        <v>0</v>
      </c>
      <c r="GI972">
        <v>0.22351806535546212</v>
      </c>
      <c r="GJ972"/>
      <c r="GK972">
        <v>0.73441844779214938</v>
      </c>
      <c r="GL972">
        <v>0</v>
      </c>
      <c r="GM972">
        <v>0.23585576644039991</v>
      </c>
      <c r="GN972">
        <v>0.34079383167279126</v>
      </c>
      <c r="GO972">
        <v>0.10493806523239137</v>
      </c>
      <c r="GP972">
        <v>0</v>
      </c>
      <c r="GQ972">
        <v>0.45369793096285549</v>
      </c>
      <c r="GR972">
        <v>0.45369793096285549</v>
      </c>
      <c r="GS972">
        <v>0</v>
      </c>
      <c r="GT972">
        <v>0.30578204208555926</v>
      </c>
      <c r="GU972"/>
      <c r="GV972"/>
      <c r="GW972"/>
      <c r="GX972"/>
      <c r="GY972"/>
      <c r="GZ972"/>
      <c r="HA972"/>
      <c r="HB972"/>
      <c r="HC972"/>
    </row>
    <row r="973" spans="1:211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2.0760416666666668</v>
      </c>
      <c r="AO973">
        <v>0.27337727240938803</v>
      </c>
      <c r="AP973">
        <v>7.0793611366907392</v>
      </c>
      <c r="AQ973">
        <v>2.076860335865184</v>
      </c>
      <c r="AR973">
        <v>0.30829792439974463</v>
      </c>
      <c r="AS973">
        <v>1.7747015208481867</v>
      </c>
      <c r="AT973" t="e">
        <v>#DIV/0!</v>
      </c>
      <c r="AU973" t="e">
        <v>#DIV/0!</v>
      </c>
      <c r="AV973"/>
      <c r="AW973"/>
      <c r="FY973" s="211">
        <v>968</v>
      </c>
      <c r="FZ973">
        <v>0.80540702203889825</v>
      </c>
      <c r="GA973">
        <v>8.725047411847664E-2</v>
      </c>
      <c r="GB973">
        <v>0.18847776822839127</v>
      </c>
      <c r="GC973">
        <v>0.10445782487688361</v>
      </c>
      <c r="GD973">
        <v>0</v>
      </c>
      <c r="GE973">
        <v>0</v>
      </c>
      <c r="GF973">
        <v>0.33021050058332063</v>
      </c>
      <c r="GG973">
        <v>0.29759236750664797</v>
      </c>
      <c r="GH973">
        <v>0</v>
      </c>
      <c r="GI973">
        <v>0.22979106871167712</v>
      </c>
      <c r="GJ973"/>
      <c r="GK973">
        <v>0.80668206934343201</v>
      </c>
      <c r="GL973">
        <v>7.3740509229249462E-2</v>
      </c>
      <c r="GM973">
        <v>0.31481419569717417</v>
      </c>
      <c r="GN973">
        <v>0.31481419569717417</v>
      </c>
      <c r="GO973">
        <v>0</v>
      </c>
      <c r="GP973">
        <v>0</v>
      </c>
      <c r="GQ973">
        <v>0.45369793096285549</v>
      </c>
      <c r="GR973">
        <v>0.45369793096285549</v>
      </c>
      <c r="GS973">
        <v>0</v>
      </c>
      <c r="GT973">
        <v>0.31503883920069231</v>
      </c>
      <c r="GU973"/>
      <c r="GV973"/>
      <c r="GW973"/>
      <c r="GX973"/>
      <c r="GY973"/>
      <c r="GZ973"/>
      <c r="HA973"/>
      <c r="HB973"/>
      <c r="HC973"/>
    </row>
    <row r="974" spans="1:211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3.1854166666666663</v>
      </c>
      <c r="AO974">
        <v>0.27004406586450841</v>
      </c>
      <c r="AP974">
        <v>5.4848936562548456</v>
      </c>
      <c r="AQ974">
        <v>2.2149492901122247</v>
      </c>
      <c r="AR974">
        <v>0.29998202728319689</v>
      </c>
      <c r="AS974">
        <v>1.894384363713487</v>
      </c>
      <c r="AT974" t="e">
        <v>#DIV/0!</v>
      </c>
      <c r="AU974" t="e">
        <v>#DIV/0!</v>
      </c>
      <c r="AV974"/>
      <c r="AW974"/>
      <c r="FY974" s="211">
        <v>969</v>
      </c>
      <c r="FZ974">
        <v>0.99505444166134938</v>
      </c>
      <c r="GA974">
        <v>0.38735017759921181</v>
      </c>
      <c r="GB974">
        <v>0.22123389596694673</v>
      </c>
      <c r="GC974">
        <v>0.1579162012217627</v>
      </c>
      <c r="GD974">
        <v>2.6724553773673727E-2</v>
      </c>
      <c r="GE974">
        <v>0</v>
      </c>
      <c r="GF974">
        <v>0.33021050058332063</v>
      </c>
      <c r="GG974">
        <v>0.29759236750664797</v>
      </c>
      <c r="GH974">
        <v>0</v>
      </c>
      <c r="GI974">
        <v>0.28119322006898895</v>
      </c>
      <c r="GJ974"/>
      <c r="GK974">
        <v>0.99834090201195735</v>
      </c>
      <c r="GL974">
        <v>0.33331521555783822</v>
      </c>
      <c r="GM974">
        <v>0.3667734676484084</v>
      </c>
      <c r="GN974">
        <v>0.47171153288079981</v>
      </c>
      <c r="GO974">
        <v>0.10493806523239137</v>
      </c>
      <c r="GP974">
        <v>0</v>
      </c>
      <c r="GQ974">
        <v>0.45369793096285549</v>
      </c>
      <c r="GR974">
        <v>0.45369793096285549</v>
      </c>
      <c r="GS974">
        <v>0</v>
      </c>
      <c r="GT974">
        <v>0.38475007317112259</v>
      </c>
      <c r="GU974"/>
      <c r="GV974"/>
      <c r="GW974"/>
      <c r="GX974"/>
      <c r="GY974"/>
      <c r="GZ974"/>
      <c r="HA974"/>
      <c r="HB974"/>
      <c r="HC974"/>
    </row>
    <row r="975" spans="1:211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2.4510416666666663</v>
      </c>
      <c r="AO975">
        <v>0.37601878183718035</v>
      </c>
      <c r="AP975">
        <v>15.406925378835645</v>
      </c>
      <c r="AQ975">
        <v>3.0198210733397008</v>
      </c>
      <c r="AR975">
        <v>0.38580308840849942</v>
      </c>
      <c r="AS975">
        <v>1.8530829329368526</v>
      </c>
      <c r="AT975" t="e">
        <v>#DIV/0!</v>
      </c>
      <c r="AU975" t="e">
        <v>#DIV/0!</v>
      </c>
      <c r="AV975"/>
      <c r="AW975"/>
      <c r="FY975" s="211">
        <v>970</v>
      </c>
      <c r="FZ975">
        <v>1.2063201904259795</v>
      </c>
      <c r="GA975">
        <v>0.47460065171768845</v>
      </c>
      <c r="GB975">
        <v>0.14202990935487192</v>
      </c>
      <c r="GC975">
        <v>0.11377737556984255</v>
      </c>
      <c r="GD975">
        <v>2.6724553773673727E-2</v>
      </c>
      <c r="GE975">
        <v>0</v>
      </c>
      <c r="GF975">
        <v>0</v>
      </c>
      <c r="GG975">
        <v>0</v>
      </c>
      <c r="GH975">
        <v>0</v>
      </c>
      <c r="GI975">
        <v>0.22888915396159643</v>
      </c>
      <c r="GJ975"/>
      <c r="GK975">
        <v>1.2143938892163764</v>
      </c>
      <c r="GL975">
        <v>0.40705572478708768</v>
      </c>
      <c r="GM975">
        <v>0.23585576644039991</v>
      </c>
      <c r="GN975">
        <v>0.34079383167279126</v>
      </c>
      <c r="GO975">
        <v>0.10493806523239137</v>
      </c>
      <c r="GP975">
        <v>0</v>
      </c>
      <c r="GQ975">
        <v>0</v>
      </c>
      <c r="GR975">
        <v>0</v>
      </c>
      <c r="GS975">
        <v>0</v>
      </c>
      <c r="GT975">
        <v>0.31103754417783358</v>
      </c>
      <c r="GU975"/>
      <c r="GV975"/>
      <c r="GW975"/>
      <c r="GX975"/>
      <c r="GY975"/>
      <c r="GZ975"/>
      <c r="HA975"/>
      <c r="HB975"/>
      <c r="HC975"/>
    </row>
    <row r="976" spans="1:211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2.9177083333333336</v>
      </c>
      <c r="AO976">
        <v>0.39863687148309063</v>
      </c>
      <c r="AP976">
        <v>10.148821584050626</v>
      </c>
      <c r="AQ976">
        <v>3.5575202404946094</v>
      </c>
      <c r="AR976">
        <v>0.44356369038585258</v>
      </c>
      <c r="AS976">
        <v>2.3866062283952694</v>
      </c>
      <c r="AT976" t="e">
        <v>#DIV/0!</v>
      </c>
      <c r="AU976" t="e">
        <v>#DIV/0!</v>
      </c>
      <c r="AV976"/>
      <c r="AW976"/>
      <c r="FY976" s="211">
        <v>971</v>
      </c>
      <c r="FZ976">
        <v>0.84391881309790229</v>
      </c>
      <c r="GA976">
        <v>8.725047411847664E-2</v>
      </c>
      <c r="GB976">
        <v>0.28405981870974384</v>
      </c>
      <c r="GC976">
        <v>0.1579162012217627</v>
      </c>
      <c r="GD976">
        <v>0</v>
      </c>
      <c r="GE976">
        <v>0</v>
      </c>
      <c r="GF976">
        <v>0</v>
      </c>
      <c r="GG976">
        <v>0</v>
      </c>
      <c r="GH976">
        <v>0</v>
      </c>
      <c r="GI976">
        <v>0.19479283226449923</v>
      </c>
      <c r="GJ976"/>
      <c r="GK976">
        <v>0.84464480276210385</v>
      </c>
      <c r="GL976">
        <v>7.3740509229249462E-2</v>
      </c>
      <c r="GM976">
        <v>0.47171153288079981</v>
      </c>
      <c r="GN976">
        <v>0.47171153288079981</v>
      </c>
      <c r="GO976">
        <v>0</v>
      </c>
      <c r="GP976">
        <v>0</v>
      </c>
      <c r="GQ976">
        <v>0</v>
      </c>
      <c r="GR976">
        <v>0</v>
      </c>
      <c r="GS976">
        <v>0</v>
      </c>
      <c r="GT976">
        <v>0.26327126712858073</v>
      </c>
      <c r="GU976"/>
      <c r="GV976"/>
      <c r="GW976"/>
      <c r="GX976"/>
      <c r="GY976"/>
      <c r="GZ976"/>
      <c r="HA976"/>
      <c r="HB976"/>
      <c r="HC976"/>
    </row>
    <row r="977" spans="1:211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2.3385416666666665</v>
      </c>
      <c r="AO977">
        <v>0.29713960733021949</v>
      </c>
      <c r="AP977">
        <v>11.899694286376285</v>
      </c>
      <c r="AQ977">
        <v>1.9947647060315106</v>
      </c>
      <c r="AR977">
        <v>0.31554794516208601</v>
      </c>
      <c r="AS977">
        <v>1.7782227300564539</v>
      </c>
      <c r="AT977" t="e">
        <v>#DIV/0!</v>
      </c>
      <c r="AU977" t="e">
        <v>#DIV/0!</v>
      </c>
      <c r="AV977"/>
      <c r="AW977"/>
      <c r="FY977" s="211">
        <v>972</v>
      </c>
      <c r="FZ977">
        <v>1.4379569223866189</v>
      </c>
      <c r="GA977">
        <v>0.86195082931690026</v>
      </c>
      <c r="GB977">
        <v>0</v>
      </c>
      <c r="GC977">
        <v>6.9638549917922385E-2</v>
      </c>
      <c r="GD977">
        <v>5.3449107547347455E-2</v>
      </c>
      <c r="GE977">
        <v>0</v>
      </c>
      <c r="GF977">
        <v>0.99063150174996206</v>
      </c>
      <c r="GG977">
        <v>0.89277710251994391</v>
      </c>
      <c r="GH977">
        <v>0</v>
      </c>
      <c r="GI977">
        <v>0.43589711025813005</v>
      </c>
      <c r="GJ977"/>
      <c r="GK977">
        <v>1.4508985602172968</v>
      </c>
      <c r="GL977">
        <v>0.7403709403449259</v>
      </c>
      <c r="GM977">
        <v>0</v>
      </c>
      <c r="GN977">
        <v>0.20987613046478273</v>
      </c>
      <c r="GO977">
        <v>0.20987613046478273</v>
      </c>
      <c r="GP977">
        <v>0</v>
      </c>
      <c r="GQ977">
        <v>1.3610937928885667</v>
      </c>
      <c r="GR977">
        <v>1.3610937928885667</v>
      </c>
      <c r="GS977">
        <v>0</v>
      </c>
      <c r="GT977">
        <v>0.60437369671412922</v>
      </c>
      <c r="GU977"/>
      <c r="GV977"/>
      <c r="GW977"/>
      <c r="GX977"/>
      <c r="GY977"/>
      <c r="GZ977"/>
      <c r="HA977"/>
      <c r="HB977"/>
      <c r="HC977"/>
    </row>
    <row r="978" spans="1:211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2.239583333333333</v>
      </c>
      <c r="AO978">
        <v>0.24980154894967574</v>
      </c>
      <c r="AP978">
        <v>9.0320874884418316</v>
      </c>
      <c r="AQ978">
        <v>1.9432649826346668</v>
      </c>
      <c r="AR978">
        <v>0.2811600682684367</v>
      </c>
      <c r="AS978">
        <v>1.6898511100937743</v>
      </c>
      <c r="AT978" t="e">
        <v>#DIV/0!</v>
      </c>
      <c r="AU978" t="e">
        <v>#DIV/0!</v>
      </c>
      <c r="AV978"/>
      <c r="AW978"/>
      <c r="FY978" s="211">
        <v>973</v>
      </c>
      <c r="FZ978">
        <v>0.5427801691121088</v>
      </c>
      <c r="GA978">
        <v>0</v>
      </c>
      <c r="GB978">
        <v>0</v>
      </c>
      <c r="GC978">
        <v>3.4819274958961192E-2</v>
      </c>
      <c r="GD978">
        <v>2.6724553773673727E-2</v>
      </c>
      <c r="GE978">
        <v>0</v>
      </c>
      <c r="GF978">
        <v>0.66042100116664126</v>
      </c>
      <c r="GG978">
        <v>0.59518473501329594</v>
      </c>
      <c r="GH978">
        <v>0</v>
      </c>
      <c r="GI978">
        <v>0.22409061625308152</v>
      </c>
      <c r="GJ978"/>
      <c r="GK978">
        <v>0.54172208588698645</v>
      </c>
      <c r="GL978">
        <v>0</v>
      </c>
      <c r="GM978">
        <v>0</v>
      </c>
      <c r="GN978">
        <v>0.10493806523239137</v>
      </c>
      <c r="GO978">
        <v>0.10493806523239137</v>
      </c>
      <c r="GP978">
        <v>0</v>
      </c>
      <c r="GQ978">
        <v>0.90739586192571098</v>
      </c>
      <c r="GR978">
        <v>0.90739586192571098</v>
      </c>
      <c r="GS978">
        <v>0</v>
      </c>
      <c r="GT978">
        <v>0.31081120260901773</v>
      </c>
      <c r="GU978"/>
      <c r="GV978"/>
      <c r="GW978"/>
      <c r="GX978"/>
      <c r="GY978"/>
      <c r="GZ978"/>
      <c r="HA978"/>
      <c r="HB978"/>
      <c r="HC978"/>
    </row>
    <row r="979" spans="1:211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1.609375</v>
      </c>
      <c r="AO979">
        <v>0.26670023055071079</v>
      </c>
      <c r="AP979">
        <v>7.9502990906478885</v>
      </c>
      <c r="AQ979">
        <v>1.8797010891757515</v>
      </c>
      <c r="AR979">
        <v>0.29979500560703526</v>
      </c>
      <c r="AS979">
        <v>1.6622438406212809</v>
      </c>
      <c r="AT979" t="e">
        <v>#DIV/0!</v>
      </c>
      <c r="AU979" t="e">
        <v>#DIV/0!</v>
      </c>
      <c r="AV979"/>
      <c r="AW979"/>
      <c r="FY979" s="211">
        <v>974</v>
      </c>
      <c r="FZ979">
        <v>1.3871840649364027</v>
      </c>
      <c r="GA979">
        <v>1.0364517775538535</v>
      </c>
      <c r="GB979">
        <v>0.14202990935487192</v>
      </c>
      <c r="GC979">
        <v>0.11377737556984255</v>
      </c>
      <c r="GD979">
        <v>2.6724553773673727E-2</v>
      </c>
      <c r="GE979">
        <v>0</v>
      </c>
      <c r="GF979">
        <v>0.33021050058332063</v>
      </c>
      <c r="GG979">
        <v>0.29759236750664797</v>
      </c>
      <c r="GH979">
        <v>0</v>
      </c>
      <c r="GI979">
        <v>0.31980201890387183</v>
      </c>
      <c r="GJ979"/>
      <c r="GK979">
        <v>1.3942326450620346</v>
      </c>
      <c r="GL979">
        <v>0.88785195880342482</v>
      </c>
      <c r="GM979">
        <v>0.23585576644039991</v>
      </c>
      <c r="GN979">
        <v>0.34079383167279126</v>
      </c>
      <c r="GO979">
        <v>0.10493806523239137</v>
      </c>
      <c r="GP979">
        <v>0</v>
      </c>
      <c r="GQ979">
        <v>0.45369793096285549</v>
      </c>
      <c r="GR979">
        <v>0.45369793096285549</v>
      </c>
      <c r="GS979">
        <v>0</v>
      </c>
      <c r="GT979">
        <v>0.43774488153953633</v>
      </c>
      <c r="GU979"/>
      <c r="GV979"/>
      <c r="GW979"/>
      <c r="GX979"/>
      <c r="GY979"/>
      <c r="GZ979"/>
      <c r="HA979"/>
      <c r="HB979"/>
      <c r="HC979"/>
    </row>
    <row r="980" spans="1:211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4.107291666666665</v>
      </c>
      <c r="AO980">
        <v>0.52284713862401844</v>
      </c>
      <c r="AP980">
        <v>18.996228146793179</v>
      </c>
      <c r="AQ980">
        <v>3.8857461133799336</v>
      </c>
      <c r="AR980">
        <v>0.53960834270155478</v>
      </c>
      <c r="AS980">
        <v>2.8831711304283303</v>
      </c>
      <c r="AT980" t="e">
        <v>#DIV/0!</v>
      </c>
      <c r="AU980" t="e">
        <v>#DIV/0!</v>
      </c>
      <c r="AV980"/>
      <c r="AW980"/>
      <c r="FY980" s="211">
        <v>975</v>
      </c>
      <c r="FZ980">
        <v>1.7637483006889756</v>
      </c>
      <c r="GA980">
        <v>1.636651184515324</v>
      </c>
      <c r="GB980">
        <v>0.22123389596694673</v>
      </c>
      <c r="GC980">
        <v>0.12309692626280153</v>
      </c>
      <c r="GD980">
        <v>0</v>
      </c>
      <c r="GE980">
        <v>0</v>
      </c>
      <c r="GF980">
        <v>0</v>
      </c>
      <c r="GG980">
        <v>0</v>
      </c>
      <c r="GH980">
        <v>0</v>
      </c>
      <c r="GI980">
        <v>0.31521086368122786</v>
      </c>
      <c r="GJ980"/>
      <c r="GK980">
        <v>1.7803053863252449</v>
      </c>
      <c r="GL980">
        <v>1.4070013714606024</v>
      </c>
      <c r="GM980">
        <v>0.3667734676484084</v>
      </c>
      <c r="GN980">
        <v>0.3667734676484084</v>
      </c>
      <c r="GO980">
        <v>0</v>
      </c>
      <c r="GP980">
        <v>0</v>
      </c>
      <c r="GQ980">
        <v>0</v>
      </c>
      <c r="GR980">
        <v>0</v>
      </c>
      <c r="GS980">
        <v>0</v>
      </c>
      <c r="GT980">
        <v>0.4294157707947307</v>
      </c>
      <c r="GU980"/>
      <c r="GV980"/>
      <c r="GW980"/>
      <c r="GX980"/>
      <c r="GY980"/>
      <c r="GZ980"/>
      <c r="HA980"/>
      <c r="HB980"/>
      <c r="HC980"/>
    </row>
    <row r="981" spans="1:211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3.2114583333333337</v>
      </c>
      <c r="AO981">
        <v>0.25696163945756856</v>
      </c>
      <c r="AP981">
        <v>3.6468027633836626</v>
      </c>
      <c r="AQ981">
        <v>2.2609405480647169</v>
      </c>
      <c r="AR981">
        <v>0.32111748389136641</v>
      </c>
      <c r="AS981">
        <v>2.165004353725267</v>
      </c>
      <c r="AT981" t="e">
        <v>#DIV/0!</v>
      </c>
      <c r="AU981" t="e">
        <v>#DIV/0!</v>
      </c>
      <c r="AV981"/>
      <c r="AW981"/>
      <c r="FY981" s="211">
        <v>976</v>
      </c>
      <c r="FZ981">
        <v>1.7613541613927981</v>
      </c>
      <c r="GA981">
        <v>1.2493010069161121</v>
      </c>
      <c r="GB981">
        <v>0.204855832097669</v>
      </c>
      <c r="GC981">
        <v>0.14859665052880375</v>
      </c>
      <c r="GD981">
        <v>2.6724553773673727E-2</v>
      </c>
      <c r="GE981">
        <v>0</v>
      </c>
      <c r="GF981">
        <v>0.33021050058332063</v>
      </c>
      <c r="GG981">
        <v>0.29759236750664797</v>
      </c>
      <c r="GH981">
        <v>0</v>
      </c>
      <c r="GI981">
        <v>0.39050772176584436</v>
      </c>
      <c r="GJ981"/>
      <c r="GK981">
        <v>1.7756340642797892</v>
      </c>
      <c r="GL981">
        <v>1.073686155902764</v>
      </c>
      <c r="GM981">
        <v>0.34079383167279126</v>
      </c>
      <c r="GN981">
        <v>0.44573189690518267</v>
      </c>
      <c r="GO981">
        <v>0.10493806523239137</v>
      </c>
      <c r="GP981">
        <v>0</v>
      </c>
      <c r="GQ981">
        <v>0.45369793096285549</v>
      </c>
      <c r="GR981">
        <v>0.45369793096285549</v>
      </c>
      <c r="GS981">
        <v>0</v>
      </c>
      <c r="GT981">
        <v>0.53501277842956541</v>
      </c>
      <c r="GU981"/>
      <c r="GV981"/>
      <c r="GW981"/>
      <c r="GX981"/>
      <c r="GY981"/>
      <c r="GZ981"/>
      <c r="HA981"/>
      <c r="HB981"/>
      <c r="HC981"/>
    </row>
    <row r="982" spans="1:211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3.1781249999999992</v>
      </c>
      <c r="AO982">
        <v>0.37429936177358236</v>
      </c>
      <c r="AP982">
        <v>10.937089922026709</v>
      </c>
      <c r="AQ982">
        <v>3.1697805299029103</v>
      </c>
      <c r="AR982">
        <v>0.39780158153614864</v>
      </c>
      <c r="AS982">
        <v>2.1984572306399968</v>
      </c>
      <c r="AT982" t="e">
        <v>#DIV/0!</v>
      </c>
      <c r="AU982" t="e">
        <v>#DIV/0!</v>
      </c>
      <c r="AV982"/>
      <c r="AW982"/>
      <c r="FY982" s="211">
        <v>977</v>
      </c>
      <c r="FZ982">
        <v>1.4402919524120792</v>
      </c>
      <c r="GA982">
        <v>1.1620505327976354</v>
      </c>
      <c r="GB982">
        <v>0.204855832097669</v>
      </c>
      <c r="GC982">
        <v>0.14859665052880375</v>
      </c>
      <c r="GD982">
        <v>2.6724553773673727E-2</v>
      </c>
      <c r="GE982">
        <v>0</v>
      </c>
      <c r="GF982">
        <v>0.66042100116664126</v>
      </c>
      <c r="GG982">
        <v>0.59518473501329594</v>
      </c>
      <c r="GH982">
        <v>0</v>
      </c>
      <c r="GI982">
        <v>0.4070596991697219</v>
      </c>
      <c r="GJ982"/>
      <c r="GK982">
        <v>1.4522626458672987</v>
      </c>
      <c r="GL982">
        <v>0.9999456466735146</v>
      </c>
      <c r="GM982">
        <v>0.34079383167279126</v>
      </c>
      <c r="GN982">
        <v>0.44573189690518267</v>
      </c>
      <c r="GO982">
        <v>0.10493806523239137</v>
      </c>
      <c r="GP982">
        <v>0</v>
      </c>
      <c r="GQ982">
        <v>0.90739586192571098</v>
      </c>
      <c r="GR982">
        <v>0.90739586192571098</v>
      </c>
      <c r="GS982">
        <v>0</v>
      </c>
      <c r="GT982">
        <v>0.56107808093963851</v>
      </c>
      <c r="GU982"/>
      <c r="GV982"/>
      <c r="GW982"/>
      <c r="GX982"/>
      <c r="GY982"/>
      <c r="GZ982"/>
      <c r="HA982"/>
      <c r="HB982"/>
      <c r="HC982"/>
    </row>
    <row r="983" spans="1:211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2.817708333333333</v>
      </c>
      <c r="AO983">
        <v>0.2629184015149002</v>
      </c>
      <c r="AP983">
        <v>9.1325501481303739</v>
      </c>
      <c r="AQ983">
        <v>1.869762009821798</v>
      </c>
      <c r="AR983">
        <v>0.30578204208555926</v>
      </c>
      <c r="AS983">
        <v>2.0003518265378721</v>
      </c>
      <c r="AT983" t="e">
        <v>#DIV/0!</v>
      </c>
      <c r="AU983" t="e">
        <v>#DIV/0!</v>
      </c>
      <c r="AV983"/>
      <c r="AW983"/>
      <c r="FY983" s="211">
        <v>978</v>
      </c>
      <c r="FZ983">
        <v>0.97867163488056008</v>
      </c>
      <c r="GA983">
        <v>8.725047411847664E-2</v>
      </c>
      <c r="GB983">
        <v>0.14202990935487192</v>
      </c>
      <c r="GC983">
        <v>0.11377737556984255</v>
      </c>
      <c r="GD983">
        <v>2.6724553773673727E-2</v>
      </c>
      <c r="GE983">
        <v>0</v>
      </c>
      <c r="GF983">
        <v>0</v>
      </c>
      <c r="GG983">
        <v>0</v>
      </c>
      <c r="GH983">
        <v>0</v>
      </c>
      <c r="GI983">
        <v>0.19527879302154555</v>
      </c>
      <c r="GJ983"/>
      <c r="GK983">
        <v>0.98223696610667532</v>
      </c>
      <c r="GL983">
        <v>7.3740509229249462E-2</v>
      </c>
      <c r="GM983">
        <v>0.23585576644039991</v>
      </c>
      <c r="GN983">
        <v>0.34079383167279126</v>
      </c>
      <c r="GO983">
        <v>0.10493806523239137</v>
      </c>
      <c r="GP983">
        <v>0</v>
      </c>
      <c r="GQ983">
        <v>0</v>
      </c>
      <c r="GR983">
        <v>0</v>
      </c>
      <c r="GS983">
        <v>0</v>
      </c>
      <c r="GT983">
        <v>0.26460615955589334</v>
      </c>
      <c r="GU983"/>
      <c r="GV983"/>
      <c r="GW983"/>
      <c r="GX983"/>
      <c r="GY983"/>
      <c r="GZ983"/>
      <c r="HA983"/>
      <c r="HB983"/>
      <c r="HC983"/>
    </row>
    <row r="984" spans="1:211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2.4375</v>
      </c>
      <c r="AO984">
        <v>0.27324856710934331</v>
      </c>
      <c r="AP984">
        <v>10.326750448102821</v>
      </c>
      <c r="AQ984">
        <v>2.0431870260642957</v>
      </c>
      <c r="AR984">
        <v>0.31503883920069231</v>
      </c>
      <c r="AS984">
        <v>1.7687145456062268</v>
      </c>
      <c r="AT984" t="e">
        <v>#DIV/0!</v>
      </c>
      <c r="AU984" t="e">
        <v>#DIV/0!</v>
      </c>
      <c r="AV984"/>
      <c r="AW984"/>
      <c r="FY984" s="211">
        <v>979</v>
      </c>
      <c r="FZ984">
        <v>1.581643995904787</v>
      </c>
      <c r="GA984">
        <v>1.1620505327976354</v>
      </c>
      <c r="GB984">
        <v>0.15840797322414965</v>
      </c>
      <c r="GC984">
        <v>0.12309692626280153</v>
      </c>
      <c r="GD984">
        <v>2.6724553773673727E-2</v>
      </c>
      <c r="GE984">
        <v>0</v>
      </c>
      <c r="GF984">
        <v>0.33021050058332063</v>
      </c>
      <c r="GG984">
        <v>0.29759236750664797</v>
      </c>
      <c r="GH984">
        <v>0</v>
      </c>
      <c r="GI984">
        <v>0.35242788256281266</v>
      </c>
      <c r="GJ984"/>
      <c r="GK984">
        <v>1.5935984368615033</v>
      </c>
      <c r="GL984">
        <v>0.9999456466735146</v>
      </c>
      <c r="GM984">
        <v>0.26183540241601705</v>
      </c>
      <c r="GN984">
        <v>0.3667734676484084</v>
      </c>
      <c r="GO984">
        <v>0.10493806523239137</v>
      </c>
      <c r="GP984">
        <v>0</v>
      </c>
      <c r="GQ984">
        <v>0.45369793096285549</v>
      </c>
      <c r="GR984">
        <v>0.45369793096285549</v>
      </c>
      <c r="GS984">
        <v>0</v>
      </c>
      <c r="GT984">
        <v>0.48281396709455349</v>
      </c>
      <c r="GU984"/>
      <c r="GV984"/>
      <c r="GW984"/>
      <c r="GX984"/>
      <c r="GY984"/>
      <c r="GZ984"/>
      <c r="HA984"/>
      <c r="HB984"/>
      <c r="HC984"/>
    </row>
    <row r="985" spans="1:211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2.7479166666666659</v>
      </c>
      <c r="AO985">
        <v>0.35672251184282283</v>
      </c>
      <c r="AP985">
        <v>12.718024167541397</v>
      </c>
      <c r="AQ985">
        <v>2.6972753583819018</v>
      </c>
      <c r="AR985">
        <v>0.38475007317112259</v>
      </c>
      <c r="AS985">
        <v>2.2773639444403804</v>
      </c>
      <c r="AT985" t="e">
        <v>#DIV/0!</v>
      </c>
      <c r="AU985" t="e">
        <v>#DIV/0!</v>
      </c>
      <c r="AV985"/>
      <c r="AW985"/>
      <c r="FY985" s="211">
        <v>980</v>
      </c>
      <c r="FZ985">
        <v>1.3732759514679169</v>
      </c>
      <c r="GA985">
        <v>0.64910159995464167</v>
      </c>
      <c r="GB985">
        <v>6.282592274279708E-2</v>
      </c>
      <c r="GC985">
        <v>3.4819274958961192E-2</v>
      </c>
      <c r="GD985">
        <v>0</v>
      </c>
      <c r="GE985">
        <v>0</v>
      </c>
      <c r="GF985">
        <v>0.33021050058332063</v>
      </c>
      <c r="GG985">
        <v>0.29759236750664797</v>
      </c>
      <c r="GH985">
        <v>0</v>
      </c>
      <c r="GI985">
        <v>0.28284269671463708</v>
      </c>
      <c r="GJ985"/>
      <c r="GK985">
        <v>1.3815517298392992</v>
      </c>
      <c r="GL985">
        <v>0.55453674324558655</v>
      </c>
      <c r="GM985">
        <v>0.10493806523239137</v>
      </c>
      <c r="GN985">
        <v>0.10493806523239137</v>
      </c>
      <c r="GO985">
        <v>0</v>
      </c>
      <c r="GP985">
        <v>0</v>
      </c>
      <c r="GQ985">
        <v>0.45369793096285549</v>
      </c>
      <c r="GR985">
        <v>0.45369793096285549</v>
      </c>
      <c r="GS985">
        <v>0</v>
      </c>
      <c r="GT985">
        <v>0.3880375452069092</v>
      </c>
      <c r="GU985"/>
      <c r="GV985"/>
      <c r="GW985"/>
      <c r="GX985"/>
      <c r="GY985"/>
      <c r="GZ985"/>
      <c r="HA985"/>
      <c r="HB985"/>
      <c r="HC985"/>
    </row>
    <row r="986" spans="1:211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2.5760416666666668</v>
      </c>
      <c r="AO986">
        <v>0.26140748215268805</v>
      </c>
      <c r="AP986">
        <v>4.4308787395963085</v>
      </c>
      <c r="AQ986">
        <v>2.1923418348036527</v>
      </c>
      <c r="AR986">
        <v>0.31103754417783352</v>
      </c>
      <c r="AS986">
        <v>1.9090443515260158</v>
      </c>
      <c r="AT986" t="e">
        <v>#DIV/0!</v>
      </c>
      <c r="AU986" t="e">
        <v>#DIV/0!</v>
      </c>
      <c r="AV986"/>
      <c r="AW986"/>
      <c r="FY986" s="211">
        <v>981</v>
      </c>
      <c r="FZ986">
        <v>0.87706564548539445</v>
      </c>
      <c r="GA986">
        <v>0.17450094823695328</v>
      </c>
      <c r="GB986">
        <v>0.12565184548559416</v>
      </c>
      <c r="GC986">
        <v>6.9638549917922385E-2</v>
      </c>
      <c r="GD986">
        <v>0</v>
      </c>
      <c r="GE986">
        <v>0</v>
      </c>
      <c r="GF986">
        <v>0</v>
      </c>
      <c r="GG986">
        <v>0</v>
      </c>
      <c r="GH986">
        <v>0</v>
      </c>
      <c r="GI986">
        <v>0.16096800653671001</v>
      </c>
      <c r="GJ986"/>
      <c r="GK986">
        <v>0.87541873559560568</v>
      </c>
      <c r="GL986">
        <v>0.14748101845849892</v>
      </c>
      <c r="GM986">
        <v>0.20987613046478273</v>
      </c>
      <c r="GN986">
        <v>0.20987613046478273</v>
      </c>
      <c r="GO986">
        <v>0</v>
      </c>
      <c r="GP986">
        <v>0</v>
      </c>
      <c r="GQ986">
        <v>0</v>
      </c>
      <c r="GR986">
        <v>0</v>
      </c>
      <c r="GS986">
        <v>0</v>
      </c>
      <c r="GT986">
        <v>0.21705897321207768</v>
      </c>
      <c r="GU986"/>
      <c r="GV986"/>
      <c r="GW986"/>
      <c r="GX986"/>
      <c r="GY986"/>
      <c r="GZ986"/>
      <c r="HA986"/>
      <c r="HB986"/>
      <c r="HC986"/>
    </row>
    <row r="987" spans="1:211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3.6562499999999991</v>
      </c>
      <c r="AO987">
        <v>0.21250796448815334</v>
      </c>
      <c r="AP987">
        <v>6.1414471233271222</v>
      </c>
      <c r="AQ987">
        <v>1.5679381394123848</v>
      </c>
      <c r="AR987">
        <v>0.26327126712858073</v>
      </c>
      <c r="AS987">
        <v>1.8791016300788359</v>
      </c>
      <c r="AT987" t="e">
        <v>#DIV/0!</v>
      </c>
      <c r="AU987" t="e">
        <v>#DIV/0!</v>
      </c>
      <c r="AV987"/>
      <c r="AW987"/>
      <c r="FY987" s="211">
        <v>982</v>
      </c>
      <c r="FZ987">
        <v>0.9008192413035061</v>
      </c>
      <c r="GA987">
        <v>0.47460065171768845</v>
      </c>
      <c r="GB987">
        <v>0.12565184548559416</v>
      </c>
      <c r="GC987">
        <v>6.9638549917922385E-2</v>
      </c>
      <c r="GD987">
        <v>0</v>
      </c>
      <c r="GE987">
        <v>0</v>
      </c>
      <c r="GF987">
        <v>0</v>
      </c>
      <c r="GG987">
        <v>0</v>
      </c>
      <c r="GH987">
        <v>0</v>
      </c>
      <c r="GI987">
        <v>0.16426685485580372</v>
      </c>
      <c r="GJ987"/>
      <c r="GK987">
        <v>0.90668704826783886</v>
      </c>
      <c r="GL987">
        <v>0.40705572478708768</v>
      </c>
      <c r="GM987">
        <v>0.20987613046478273</v>
      </c>
      <c r="GN987">
        <v>0.20987613046478273</v>
      </c>
      <c r="GO987">
        <v>0</v>
      </c>
      <c r="GP987">
        <v>0</v>
      </c>
      <c r="GQ987">
        <v>0</v>
      </c>
      <c r="GR987">
        <v>0</v>
      </c>
      <c r="GS987">
        <v>0</v>
      </c>
      <c r="GT987">
        <v>0.2233126357465243</v>
      </c>
      <c r="GU987"/>
      <c r="GV987"/>
      <c r="GW987"/>
      <c r="GX987"/>
      <c r="GY987"/>
      <c r="GZ987"/>
      <c r="HA987"/>
      <c r="HB987"/>
      <c r="HC987"/>
    </row>
    <row r="988" spans="1:211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2.1520833333333327</v>
      </c>
      <c r="AO988">
        <v>0.59375830439830513</v>
      </c>
      <c r="AP988">
        <v>22.668930222251685</v>
      </c>
      <c r="AQ988">
        <v>4.7423011236968255</v>
      </c>
      <c r="AR988">
        <v>0.60437369671412922</v>
      </c>
      <c r="AS988">
        <v>2.7172123238965651</v>
      </c>
      <c r="AT988" t="e">
        <v>#DIV/0!</v>
      </c>
      <c r="AU988" t="e">
        <v>#DIV/0!</v>
      </c>
      <c r="AV988"/>
      <c r="AW988"/>
      <c r="FY988" s="211">
        <v>983</v>
      </c>
      <c r="FZ988">
        <v>1.3207120815572999</v>
      </c>
      <c r="GA988">
        <v>0.86195082931690026</v>
      </c>
      <c r="GB988">
        <v>0.14202990935487192</v>
      </c>
      <c r="GC988">
        <v>7.8958100610881349E-2</v>
      </c>
      <c r="GD988">
        <v>0</v>
      </c>
      <c r="GE988">
        <v>0</v>
      </c>
      <c r="GF988">
        <v>0.99063150174996206</v>
      </c>
      <c r="GG988">
        <v>0.89277710251994391</v>
      </c>
      <c r="GH988">
        <v>0</v>
      </c>
      <c r="GI988">
        <v>0.42246541168794838</v>
      </c>
      <c r="GJ988"/>
      <c r="GK988">
        <v>1.3336393141230056</v>
      </c>
      <c r="GL988">
        <v>0.7403709403449259</v>
      </c>
      <c r="GM988">
        <v>0.23585576644039991</v>
      </c>
      <c r="GN988">
        <v>0.23585576644039991</v>
      </c>
      <c r="GO988">
        <v>0</v>
      </c>
      <c r="GP988">
        <v>0</v>
      </c>
      <c r="GQ988">
        <v>1.3610937928885667</v>
      </c>
      <c r="GR988">
        <v>1.3610937928885667</v>
      </c>
      <c r="GS988">
        <v>0</v>
      </c>
      <c r="GT988">
        <v>0.5861177746903945</v>
      </c>
      <c r="GU988"/>
      <c r="GV988"/>
      <c r="GW988"/>
      <c r="GX988"/>
      <c r="GY988"/>
      <c r="GZ988"/>
      <c r="HA988"/>
      <c r="HB988"/>
      <c r="HC988"/>
    </row>
    <row r="989" spans="1:211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1.96875</v>
      </c>
      <c r="AO989">
        <v>0.28772011428122085</v>
      </c>
      <c r="AP989">
        <v>13.692573768416871</v>
      </c>
      <c r="AQ989">
        <v>2.0840203502777626</v>
      </c>
      <c r="AR989">
        <v>0.31081120260901773</v>
      </c>
      <c r="AS989">
        <v>1.6617247905796131</v>
      </c>
      <c r="AT989" t="e">
        <v>#DIV/0!</v>
      </c>
      <c r="AU989" t="e">
        <v>#DIV/0!</v>
      </c>
      <c r="AV989"/>
      <c r="AW989"/>
      <c r="FY989" s="211">
        <v>984</v>
      </c>
      <c r="FZ989">
        <v>1.1227919463909055</v>
      </c>
      <c r="GA989">
        <v>0.56185112583616514</v>
      </c>
      <c r="GB989">
        <v>0.14202990935487192</v>
      </c>
      <c r="GC989">
        <v>0.14859665052880375</v>
      </c>
      <c r="GD989">
        <v>5.3449107547347455E-2</v>
      </c>
      <c r="GE989">
        <v>0</v>
      </c>
      <c r="GF989">
        <v>0.66042100116664126</v>
      </c>
      <c r="GG989">
        <v>0.59518473501329594</v>
      </c>
      <c r="GH989">
        <v>0</v>
      </c>
      <c r="GI989">
        <v>0.36017746462000538</v>
      </c>
      <c r="GJ989"/>
      <c r="GK989">
        <v>1.1286804553285366</v>
      </c>
      <c r="GL989">
        <v>0.48079623401633714</v>
      </c>
      <c r="GM989">
        <v>0.23585576644039991</v>
      </c>
      <c r="GN989">
        <v>0.44573189690518267</v>
      </c>
      <c r="GO989">
        <v>0.20987613046478273</v>
      </c>
      <c r="GP989">
        <v>0</v>
      </c>
      <c r="GQ989">
        <v>0.90739586192571098</v>
      </c>
      <c r="GR989">
        <v>0.90739586192571098</v>
      </c>
      <c r="GS989">
        <v>0</v>
      </c>
      <c r="GT989">
        <v>0.496361642831886</v>
      </c>
      <c r="GU989"/>
      <c r="GV989"/>
      <c r="GW989"/>
      <c r="GX989"/>
      <c r="GY989"/>
      <c r="GZ989"/>
      <c r="HA989"/>
      <c r="HB989"/>
      <c r="HC989"/>
    </row>
    <row r="990" spans="1:211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3.7927083333333327</v>
      </c>
      <c r="AO990">
        <v>0.43088130106762879</v>
      </c>
      <c r="AP990">
        <v>11.636955522348646</v>
      </c>
      <c r="AQ990">
        <v>3.6537725681824851</v>
      </c>
      <c r="AR990">
        <v>0.43774488153953633</v>
      </c>
      <c r="AS990">
        <v>2.4335371407640087</v>
      </c>
      <c r="AT990" t="e">
        <v>#DIV/0!</v>
      </c>
      <c r="AU990" t="e">
        <v>#DIV/0!</v>
      </c>
      <c r="AV990"/>
      <c r="AW990"/>
      <c r="FY990" s="211">
        <v>985</v>
      </c>
      <c r="FZ990">
        <v>1.3186920709825825</v>
      </c>
      <c r="GA990">
        <v>0.38735017759921181</v>
      </c>
      <c r="GB990">
        <v>0.23761195983622446</v>
      </c>
      <c r="GC990">
        <v>0.20205502687368287</v>
      </c>
      <c r="GD990">
        <v>5.3449107547347455E-2</v>
      </c>
      <c r="GE990">
        <v>0</v>
      </c>
      <c r="GF990">
        <v>0.33021050058332063</v>
      </c>
      <c r="GG990">
        <v>0.29759236750664797</v>
      </c>
      <c r="GH990">
        <v>0</v>
      </c>
      <c r="GI990">
        <v>0.34834960381347602</v>
      </c>
      <c r="GJ990"/>
      <c r="GK990">
        <v>1.3294043682597512</v>
      </c>
      <c r="GL990">
        <v>0.33331521555783822</v>
      </c>
      <c r="GM990">
        <v>0.39275310362402555</v>
      </c>
      <c r="GN990">
        <v>0.60262923408880831</v>
      </c>
      <c r="GO990">
        <v>0.20987613046478273</v>
      </c>
      <c r="GP990">
        <v>0</v>
      </c>
      <c r="GQ990">
        <v>0.45369793096285549</v>
      </c>
      <c r="GR990">
        <v>0.45369793096285549</v>
      </c>
      <c r="GS990">
        <v>0</v>
      </c>
      <c r="GT990">
        <v>0.47714630666228303</v>
      </c>
      <c r="GU990"/>
      <c r="GV990"/>
      <c r="GW990"/>
      <c r="GX990"/>
      <c r="GY990"/>
      <c r="GZ990"/>
      <c r="HA990"/>
      <c r="HB990"/>
      <c r="HC990"/>
    </row>
    <row r="991" spans="1:211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2.7416666666666663</v>
      </c>
      <c r="AO991">
        <v>0.43502694638773942</v>
      </c>
      <c r="AP991">
        <v>7.6287153341187999</v>
      </c>
      <c r="AQ991">
        <v>4.0599411711152751</v>
      </c>
      <c r="AR991">
        <v>0.4294157707947307</v>
      </c>
      <c r="AS991">
        <v>2.4888396760070846</v>
      </c>
      <c r="AT991" t="e">
        <v>#DIV/0!</v>
      </c>
      <c r="AU991" t="e">
        <v>#DIV/0!</v>
      </c>
      <c r="AV991"/>
      <c r="AW991"/>
      <c r="FY991" s="211">
        <v>986</v>
      </c>
      <c r="FZ991">
        <v>0.82886408071145745</v>
      </c>
      <c r="GA991">
        <v>0.56185112583616514</v>
      </c>
      <c r="GB991">
        <v>0.14202990935487192</v>
      </c>
      <c r="GC991">
        <v>0.11377737556984255</v>
      </c>
      <c r="GD991">
        <v>2.6724553773673727E-2</v>
      </c>
      <c r="GE991">
        <v>0</v>
      </c>
      <c r="GF991">
        <v>0.66042100116664126</v>
      </c>
      <c r="GG991">
        <v>0.59518473501329594</v>
      </c>
      <c r="GH991">
        <v>0</v>
      </c>
      <c r="GI991">
        <v>0.30122486627516626</v>
      </c>
      <c r="GJ991"/>
      <c r="GK991">
        <v>0.83229044395273255</v>
      </c>
      <c r="GL991">
        <v>0.48079623401633714</v>
      </c>
      <c r="GM991">
        <v>0.23585576644039991</v>
      </c>
      <c r="GN991">
        <v>0.34079383167279126</v>
      </c>
      <c r="GO991">
        <v>0.10493806523239137</v>
      </c>
      <c r="GP991">
        <v>0</v>
      </c>
      <c r="GQ991">
        <v>0.90739586192571098</v>
      </c>
      <c r="GR991">
        <v>0.90739586192571098</v>
      </c>
      <c r="GS991">
        <v>0</v>
      </c>
      <c r="GT991">
        <v>0.41609602751024699</v>
      </c>
      <c r="GU991"/>
      <c r="GV991"/>
      <c r="GW991"/>
      <c r="GX991"/>
      <c r="GY991"/>
      <c r="GZ991"/>
      <c r="HA991"/>
      <c r="HB991"/>
      <c r="HC991"/>
    </row>
    <row r="992" spans="1:211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3.3427083333333329</v>
      </c>
      <c r="AO992">
        <v>0.51831926543481943</v>
      </c>
      <c r="AP992">
        <v>13.519468545657283</v>
      </c>
      <c r="AQ992">
        <v>4.40914279456487</v>
      </c>
      <c r="AR992">
        <v>0.53501277842956541</v>
      </c>
      <c r="AS992">
        <v>2.7960788970482082</v>
      </c>
      <c r="AT992" t="e">
        <v>#DIV/0!</v>
      </c>
      <c r="AU992" t="e">
        <v>#DIV/0!</v>
      </c>
      <c r="AV992"/>
      <c r="AW992"/>
      <c r="FY992" s="211">
        <v>987</v>
      </c>
      <c r="FZ992">
        <v>1.1888713187433575</v>
      </c>
      <c r="GA992">
        <v>0.56185112583616514</v>
      </c>
      <c r="GB992">
        <v>0.39601993306037409</v>
      </c>
      <c r="GC992">
        <v>0.25551340321856203</v>
      </c>
      <c r="GD992">
        <v>2.6724553773673727E-2</v>
      </c>
      <c r="GE992">
        <v>0</v>
      </c>
      <c r="GF992">
        <v>0.66042100116664126</v>
      </c>
      <c r="GG992">
        <v>0.59518473501329594</v>
      </c>
      <c r="GH992">
        <v>0</v>
      </c>
      <c r="GI992">
        <v>0.41659667892486762</v>
      </c>
      <c r="GJ992"/>
      <c r="GK992">
        <v>1.1973682083615496</v>
      </c>
      <c r="GL992">
        <v>0.48079623401633714</v>
      </c>
      <c r="GM992">
        <v>0.65458850604004259</v>
      </c>
      <c r="GN992">
        <v>0.75952657127243395</v>
      </c>
      <c r="GO992">
        <v>0.10493806523239137</v>
      </c>
      <c r="GP992">
        <v>0</v>
      </c>
      <c r="GQ992">
        <v>0.90739586192571098</v>
      </c>
      <c r="GR992">
        <v>0.90739586192571098</v>
      </c>
      <c r="GS992">
        <v>0</v>
      </c>
      <c r="GT992">
        <v>0.57285812831193894</v>
      </c>
      <c r="GU992"/>
      <c r="GV992"/>
      <c r="GW992"/>
      <c r="GX992"/>
      <c r="GY992"/>
      <c r="GZ992"/>
      <c r="HA992"/>
      <c r="HB992"/>
      <c r="HC992"/>
    </row>
    <row r="993" spans="1:211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2.9781249999999999</v>
      </c>
      <c r="AO993">
        <v>0.57195418911422391</v>
      </c>
      <c r="AP993">
        <v>19.925794484149296</v>
      </c>
      <c r="AQ993">
        <v>4.6451849569595201</v>
      </c>
      <c r="AR993">
        <v>0.56107808093963851</v>
      </c>
      <c r="AS993">
        <v>2.5087000038447989</v>
      </c>
      <c r="AT993" t="e">
        <v>#DIV/0!</v>
      </c>
      <c r="AU993" t="e">
        <v>#DIV/0!</v>
      </c>
      <c r="AV993"/>
      <c r="AW993"/>
      <c r="FY993" s="211">
        <v>988</v>
      </c>
      <c r="FZ993">
        <v>1.6976127815060249</v>
      </c>
      <c r="GA993">
        <v>1.1620505327976354</v>
      </c>
      <c r="GB993">
        <v>0.14202990935487192</v>
      </c>
      <c r="GC993">
        <v>0.11377737556984255</v>
      </c>
      <c r="GD993">
        <v>2.6724553773673727E-2</v>
      </c>
      <c r="GE993">
        <v>0</v>
      </c>
      <c r="GF993">
        <v>0.33021050058332063</v>
      </c>
      <c r="GG993">
        <v>0.29759236750664797</v>
      </c>
      <c r="GH993">
        <v>0</v>
      </c>
      <c r="GI993">
        <v>0.3655905286484829</v>
      </c>
      <c r="GJ993"/>
      <c r="GK993">
        <v>1.7122856574146006</v>
      </c>
      <c r="GL993">
        <v>0.9999456466735146</v>
      </c>
      <c r="GM993">
        <v>0.23585576644039991</v>
      </c>
      <c r="GN993">
        <v>0.34079383167279126</v>
      </c>
      <c r="GO993">
        <v>0.10493806523239137</v>
      </c>
      <c r="GP993">
        <v>0</v>
      </c>
      <c r="GQ993">
        <v>0.45369793096285549</v>
      </c>
      <c r="GR993">
        <v>0.45369793096285549</v>
      </c>
      <c r="GS993">
        <v>0</v>
      </c>
      <c r="GT993">
        <v>0.50135548401004948</v>
      </c>
      <c r="GU993"/>
      <c r="GV993"/>
      <c r="GW993"/>
      <c r="GX993"/>
      <c r="GY993"/>
      <c r="GZ993"/>
      <c r="HA993"/>
      <c r="HB993"/>
      <c r="HC993"/>
    </row>
    <row r="994" spans="1:211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2.619791666666667</v>
      </c>
      <c r="AO994">
        <v>0.20021712982374007</v>
      </c>
      <c r="AP994">
        <v>3.120406753791479</v>
      </c>
      <c r="AQ994">
        <v>1.5437327407189707</v>
      </c>
      <c r="AR994">
        <v>0.26460615955589334</v>
      </c>
      <c r="AS994">
        <v>1.755829297194728</v>
      </c>
      <c r="AT994" t="e">
        <v>#DIV/0!</v>
      </c>
      <c r="AU994" t="e">
        <v>#DIV/0!</v>
      </c>
      <c r="AV994"/>
      <c r="AW994"/>
      <c r="FY994" s="211">
        <v>989</v>
      </c>
      <c r="FZ994">
        <v>1.1337952654271783</v>
      </c>
      <c r="GA994">
        <v>0.56185112583616514</v>
      </c>
      <c r="GB994">
        <v>0.15840797322414965</v>
      </c>
      <c r="GC994">
        <v>0.1579162012217627</v>
      </c>
      <c r="GD994">
        <v>5.3449107547347455E-2</v>
      </c>
      <c r="GE994">
        <v>0</v>
      </c>
      <c r="GF994">
        <v>0.33021050058332063</v>
      </c>
      <c r="GG994">
        <v>0.29759236750664797</v>
      </c>
      <c r="GH994">
        <v>0</v>
      </c>
      <c r="GI994">
        <v>0.3016949627897359</v>
      </c>
      <c r="GJ994"/>
      <c r="GK994">
        <v>1.1392254055283209</v>
      </c>
      <c r="GL994">
        <v>0.48079623401633714</v>
      </c>
      <c r="GM994">
        <v>0.26183540241601705</v>
      </c>
      <c r="GN994">
        <v>0.47171153288079981</v>
      </c>
      <c r="GO994">
        <v>0.20987613046478273</v>
      </c>
      <c r="GP994">
        <v>0</v>
      </c>
      <c r="GQ994">
        <v>0.45369793096285549</v>
      </c>
      <c r="GR994">
        <v>0.45369793096285549</v>
      </c>
      <c r="GS994">
        <v>0</v>
      </c>
      <c r="GT994">
        <v>0.41292697387439525</v>
      </c>
      <c r="GU994"/>
      <c r="GV994"/>
      <c r="GW994"/>
      <c r="GX994"/>
      <c r="GY994"/>
      <c r="GZ994"/>
      <c r="HA994"/>
      <c r="HB994"/>
      <c r="HC994"/>
    </row>
    <row r="995" spans="1:211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3.4208333333333329</v>
      </c>
      <c r="AO995">
        <v>0.47173008478520978</v>
      </c>
      <c r="AP995">
        <v>13.14277521672344</v>
      </c>
      <c r="AQ995">
        <v>4.0321547326158287</v>
      </c>
      <c r="AR995">
        <v>0.48281396709455349</v>
      </c>
      <c r="AS995">
        <v>2.5392492594578875</v>
      </c>
      <c r="AT995" t="e">
        <v>#DIV/0!</v>
      </c>
      <c r="AU995" t="e">
        <v>#DIV/0!</v>
      </c>
      <c r="AV995"/>
      <c r="AW995"/>
      <c r="FY995" s="211">
        <v>990</v>
      </c>
      <c r="FZ995">
        <v>0.8467085258609488</v>
      </c>
      <c r="GA995">
        <v>8.725047411847664E-2</v>
      </c>
      <c r="GB995">
        <v>0.12565184548559416</v>
      </c>
      <c r="GC995">
        <v>0.10445782487688358</v>
      </c>
      <c r="GD995">
        <v>2.6724553773673727E-2</v>
      </c>
      <c r="GE995">
        <v>0</v>
      </c>
      <c r="GF995">
        <v>0</v>
      </c>
      <c r="GG995">
        <v>0</v>
      </c>
      <c r="GH995">
        <v>0</v>
      </c>
      <c r="GI995">
        <v>0.17192167961645022</v>
      </c>
      <c r="GJ995"/>
      <c r="GK995">
        <v>0.84519696323139781</v>
      </c>
      <c r="GL995">
        <v>7.3740509229249462E-2</v>
      </c>
      <c r="GM995">
        <v>0.20987613046478273</v>
      </c>
      <c r="GN995">
        <v>0.31481419569717412</v>
      </c>
      <c r="GO995">
        <v>0.10493806523239137</v>
      </c>
      <c r="GP995">
        <v>0</v>
      </c>
      <c r="GQ995">
        <v>0</v>
      </c>
      <c r="GR995">
        <v>0</v>
      </c>
      <c r="GS995">
        <v>0</v>
      </c>
      <c r="GT995">
        <v>0.23200223178571439</v>
      </c>
      <c r="GU995"/>
      <c r="GV995"/>
      <c r="GW995"/>
      <c r="GX995"/>
      <c r="GY995"/>
      <c r="GZ995"/>
      <c r="HA995"/>
      <c r="HB995"/>
      <c r="HC995"/>
    </row>
    <row r="996" spans="1:211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2.3104166666666659</v>
      </c>
      <c r="AO996">
        <v>0.34413980106822878</v>
      </c>
      <c r="AP996">
        <v>8.1649393363824423</v>
      </c>
      <c r="AQ996">
        <v>3.0306683139289228</v>
      </c>
      <c r="AR996">
        <v>0.38803754520690914</v>
      </c>
      <c r="AS996">
        <v>2.1047023566671941</v>
      </c>
      <c r="AT996" t="e">
        <v>#DIV/0!</v>
      </c>
      <c r="AU996" t="e">
        <v>#DIV/0!</v>
      </c>
      <c r="AV996"/>
      <c r="AW996"/>
      <c r="FY996" s="211">
        <v>991</v>
      </c>
      <c r="FZ996">
        <v>1.4113332342213836</v>
      </c>
      <c r="GA996">
        <v>0.86195082931690026</v>
      </c>
      <c r="GB996">
        <v>0.22123389596694673</v>
      </c>
      <c r="GC996">
        <v>0.1579162012217627</v>
      </c>
      <c r="GD996">
        <v>2.6724553773673727E-2</v>
      </c>
      <c r="GE996">
        <v>0</v>
      </c>
      <c r="GF996">
        <v>0.33021050058332063</v>
      </c>
      <c r="GG996">
        <v>0.29759236750664797</v>
      </c>
      <c r="GH996">
        <v>0</v>
      </c>
      <c r="GI996">
        <v>0.34269701328716251</v>
      </c>
      <c r="GJ996"/>
      <c r="GK996">
        <v>1.4213817961581061</v>
      </c>
      <c r="GL996">
        <v>0.7403709403449259</v>
      </c>
      <c r="GM996">
        <v>0.3667734676484084</v>
      </c>
      <c r="GN996">
        <v>0.47171153288079981</v>
      </c>
      <c r="GO996">
        <v>0.10493806523239137</v>
      </c>
      <c r="GP996">
        <v>0</v>
      </c>
      <c r="GQ996">
        <v>0.45369793096285549</v>
      </c>
      <c r="GR996">
        <v>0.45369793096285549</v>
      </c>
      <c r="GS996">
        <v>0</v>
      </c>
      <c r="GT996">
        <v>0.46935825200035231</v>
      </c>
      <c r="GU996"/>
      <c r="GV996"/>
      <c r="GW996"/>
      <c r="GX996"/>
      <c r="GY996"/>
      <c r="GZ996"/>
      <c r="HA996"/>
      <c r="HB996"/>
      <c r="HC996"/>
    </row>
    <row r="997" spans="1:211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3.125</v>
      </c>
      <c r="AO997">
        <v>0.16597109881957478</v>
      </c>
      <c r="AP997">
        <v>3.1592542092436697</v>
      </c>
      <c r="AQ997">
        <v>1.4078249956625744</v>
      </c>
      <c r="AR997">
        <v>0.21705897321207768</v>
      </c>
      <c r="AS997">
        <v>1.6087513838746923</v>
      </c>
      <c r="AT997" t="e">
        <v>#DIV/0!</v>
      </c>
      <c r="AU997" t="e">
        <v>#DIV/0!</v>
      </c>
      <c r="AV997"/>
      <c r="AW997"/>
      <c r="FY997" s="211">
        <v>992</v>
      </c>
      <c r="FZ997">
        <v>1.3422267212310495</v>
      </c>
      <c r="GA997">
        <v>1.0364517775538535</v>
      </c>
      <c r="GB997">
        <v>0.12565184548559416</v>
      </c>
      <c r="GC997">
        <v>0.10445782487688358</v>
      </c>
      <c r="GD997">
        <v>2.6724553773673727E-2</v>
      </c>
      <c r="GE997">
        <v>0</v>
      </c>
      <c r="GF997">
        <v>0</v>
      </c>
      <c r="GG997">
        <v>0</v>
      </c>
      <c r="GH997">
        <v>0</v>
      </c>
      <c r="GI997">
        <v>0.24510254613327601</v>
      </c>
      <c r="GJ997"/>
      <c r="GK997">
        <v>1.3497891809883202</v>
      </c>
      <c r="GL997">
        <v>0.88785195880342482</v>
      </c>
      <c r="GM997">
        <v>0.20987613046478273</v>
      </c>
      <c r="GN997">
        <v>0.31481419569717412</v>
      </c>
      <c r="GO997">
        <v>0.10493806523239137</v>
      </c>
      <c r="GP997">
        <v>0</v>
      </c>
      <c r="GQ997">
        <v>0</v>
      </c>
      <c r="GR997">
        <v>0</v>
      </c>
      <c r="GS997">
        <v>0</v>
      </c>
      <c r="GT997">
        <v>0.3329206753370989</v>
      </c>
      <c r="GU997"/>
      <c r="GV997"/>
      <c r="GW997"/>
      <c r="GX997"/>
      <c r="GY997"/>
      <c r="GZ997"/>
      <c r="HA997"/>
      <c r="HB997"/>
      <c r="HC997"/>
    </row>
    <row r="998" spans="1:211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1.9145833333333333</v>
      </c>
      <c r="AO998">
        <v>0.19568076697310161</v>
      </c>
      <c r="AP998">
        <v>3.8832766107748222</v>
      </c>
      <c r="AQ998">
        <v>1.7349771432805148</v>
      </c>
      <c r="AR998">
        <v>0.2233126357465243</v>
      </c>
      <c r="AS998">
        <v>1.2717150982268173</v>
      </c>
      <c r="AT998" t="e">
        <v>#DIV/0!</v>
      </c>
      <c r="AU998" t="e">
        <v>#DIV/0!</v>
      </c>
      <c r="AV998"/>
      <c r="AW998"/>
      <c r="FY998" s="211">
        <v>993</v>
      </c>
      <c r="FZ998">
        <v>1.0098503014275497</v>
      </c>
      <c r="GA998">
        <v>0.56185112583616514</v>
      </c>
      <c r="GB998">
        <v>0.15840797322414965</v>
      </c>
      <c r="GC998">
        <v>0.12309692626280153</v>
      </c>
      <c r="GD998">
        <v>2.6724553773673727E-2</v>
      </c>
      <c r="GE998">
        <v>0</v>
      </c>
      <c r="GF998">
        <v>0.33021050058332063</v>
      </c>
      <c r="GG998">
        <v>0.29759236750664797</v>
      </c>
      <c r="GH998">
        <v>0</v>
      </c>
      <c r="GI998">
        <v>0.26793600634998066</v>
      </c>
      <c r="GJ998"/>
      <c r="GK998">
        <v>1.0128980969122123</v>
      </c>
      <c r="GL998">
        <v>0.48079623401633714</v>
      </c>
      <c r="GM998">
        <v>0.26183540241601705</v>
      </c>
      <c r="GN998">
        <v>0.3667734676484084</v>
      </c>
      <c r="GO998">
        <v>0.10493806523239137</v>
      </c>
      <c r="GP998">
        <v>0</v>
      </c>
      <c r="GQ998">
        <v>0.45369793096285549</v>
      </c>
      <c r="GR998">
        <v>0.45369793096285549</v>
      </c>
      <c r="GS998">
        <v>0</v>
      </c>
      <c r="GT998">
        <v>0.36667389910469528</v>
      </c>
      <c r="GU998"/>
      <c r="GV998"/>
      <c r="GW998"/>
      <c r="GX998"/>
      <c r="GY998"/>
      <c r="GZ998"/>
      <c r="HA998"/>
      <c r="HB998"/>
      <c r="HC998"/>
    </row>
    <row r="999" spans="1:211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2.3864583333333327</v>
      </c>
      <c r="AO999">
        <v>0.58540271478162587</v>
      </c>
      <c r="AP999">
        <v>23.088017181571914</v>
      </c>
      <c r="AQ999">
        <v>4.7095249367978083</v>
      </c>
      <c r="AR999">
        <v>0.5861177746903945</v>
      </c>
      <c r="AS999">
        <v>2.4869600378932608</v>
      </c>
      <c r="AT999" t="e">
        <v>#DIV/0!</v>
      </c>
      <c r="AU999" t="e">
        <v>#DIV/0!</v>
      </c>
      <c r="AV999"/>
      <c r="AW999"/>
      <c r="FY999" s="211">
        <v>994</v>
      </c>
      <c r="FZ999">
        <v>1.5198493371131074</v>
      </c>
      <c r="GA999">
        <v>1.1620505327976354</v>
      </c>
      <c r="GB999">
        <v>0.14202990935487192</v>
      </c>
      <c r="GC999">
        <v>0.11377737556984255</v>
      </c>
      <c r="GD999">
        <v>2.6724553773673727E-2</v>
      </c>
      <c r="GE999">
        <v>0</v>
      </c>
      <c r="GF999">
        <v>0.33021050058332063</v>
      </c>
      <c r="GG999">
        <v>0.29759236750664797</v>
      </c>
      <c r="GH999">
        <v>0</v>
      </c>
      <c r="GI999">
        <v>0.33922953769719638</v>
      </c>
      <c r="GJ999"/>
      <c r="GK999">
        <v>1.5349183697826421</v>
      </c>
      <c r="GL999">
        <v>0.9999456466735146</v>
      </c>
      <c r="GM999">
        <v>0.23585576644039991</v>
      </c>
      <c r="GN999">
        <v>0.34079383167279126</v>
      </c>
      <c r="GO999">
        <v>0.10493806523239137</v>
      </c>
      <c r="GP999">
        <v>0</v>
      </c>
      <c r="GQ999">
        <v>0.45369793096285549</v>
      </c>
      <c r="GR999">
        <v>0.45369793096285549</v>
      </c>
      <c r="GS999">
        <v>0</v>
      </c>
      <c r="GT999">
        <v>0.46588202648365779</v>
      </c>
      <c r="GU999"/>
      <c r="GV999"/>
      <c r="GW999"/>
      <c r="GX999"/>
      <c r="GY999"/>
      <c r="GZ999"/>
      <c r="HA999"/>
      <c r="HB999"/>
      <c r="HC999"/>
    </row>
    <row r="1000" spans="1:211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2.7114583333333337</v>
      </c>
      <c r="AO1000">
        <v>0.48120938498385468</v>
      </c>
      <c r="AP1000">
        <v>16.387108572842795</v>
      </c>
      <c r="AQ1000">
        <v>3.6445019404580363</v>
      </c>
      <c r="AR1000">
        <v>0.496361642831886</v>
      </c>
      <c r="AS1000">
        <v>2.6236692348661492</v>
      </c>
      <c r="AT1000" t="e">
        <v>#DIV/0!</v>
      </c>
      <c r="AU1000" t="e">
        <v>#DIV/0!</v>
      </c>
      <c r="AV1000"/>
      <c r="AW1000"/>
      <c r="FY1000" s="211">
        <v>995</v>
      </c>
      <c r="FZ1000">
        <v>0.64408962136172221</v>
      </c>
      <c r="GA1000">
        <v>0</v>
      </c>
      <c r="GB1000">
        <v>0.36326380532181862</v>
      </c>
      <c r="GC1000">
        <v>0.23687430183264407</v>
      </c>
      <c r="GD1000">
        <v>2.6724553773673727E-2</v>
      </c>
      <c r="GE1000">
        <v>0</v>
      </c>
      <c r="GF1000">
        <v>0.66042100116664126</v>
      </c>
      <c r="GG1000">
        <v>0.59518473501329594</v>
      </c>
      <c r="GH1000">
        <v>0</v>
      </c>
      <c r="GI1000">
        <v>0.32823894989806024</v>
      </c>
      <c r="GJ1000"/>
      <c r="GK1000">
        <v>0.64288037833512357</v>
      </c>
      <c r="GL1000">
        <v>0</v>
      </c>
      <c r="GM1000">
        <v>0.60262923408880831</v>
      </c>
      <c r="GN1000">
        <v>0.70756729932119966</v>
      </c>
      <c r="GO1000">
        <v>0.10493806523239137</v>
      </c>
      <c r="GP1000">
        <v>0</v>
      </c>
      <c r="GQ1000">
        <v>0.90739586192571098</v>
      </c>
      <c r="GR1000">
        <v>0.90739586192571098</v>
      </c>
      <c r="GS1000">
        <v>0</v>
      </c>
      <c r="GT1000">
        <v>0.45156870791640691</v>
      </c>
      <c r="GU1000"/>
      <c r="GV1000"/>
      <c r="GW1000"/>
      <c r="GX1000"/>
      <c r="GY1000"/>
      <c r="GZ1000"/>
      <c r="HA1000"/>
      <c r="HB1000"/>
      <c r="HC1000"/>
    </row>
    <row r="1001" spans="1:211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2.9718749999999998</v>
      </c>
      <c r="AO1001">
        <v>0.42525202205832002</v>
      </c>
      <c r="AP1001">
        <v>13.190631370096408</v>
      </c>
      <c r="AQ1001">
        <v>3.175310814742494</v>
      </c>
      <c r="AR1001">
        <v>0.47714630666228303</v>
      </c>
      <c r="AS1001">
        <v>2.4188516234048305</v>
      </c>
      <c r="AT1001" t="e">
        <v>#DIV/0!</v>
      </c>
      <c r="AU1001" t="e">
        <v>#DIV/0!</v>
      </c>
      <c r="AV1001"/>
      <c r="AW1001"/>
      <c r="FY1001" s="211">
        <v>996</v>
      </c>
      <c r="FZ1001">
        <v>0.52291571338790022</v>
      </c>
      <c r="GA1001">
        <v>8.725047411847664E-2</v>
      </c>
      <c r="GB1001">
        <v>0</v>
      </c>
      <c r="GC1001">
        <v>3.4819274958961192E-2</v>
      </c>
      <c r="GD1001">
        <v>2.6724553773673727E-2</v>
      </c>
      <c r="GE1001">
        <v>0</v>
      </c>
      <c r="GF1001">
        <v>0.66042100116664126</v>
      </c>
      <c r="GG1001">
        <v>0.59518473501329594</v>
      </c>
      <c r="GH1001">
        <v>0</v>
      </c>
      <c r="GI1001">
        <v>0.2210657066767879</v>
      </c>
      <c r="GJ1001"/>
      <c r="GK1001">
        <v>0.52458062074506673</v>
      </c>
      <c r="GL1001">
        <v>7.3740509229249462E-2</v>
      </c>
      <c r="GM1001">
        <v>0</v>
      </c>
      <c r="GN1001">
        <v>0.10493806523239137</v>
      </c>
      <c r="GO1001">
        <v>0.10493806523239137</v>
      </c>
      <c r="GP1001">
        <v>0</v>
      </c>
      <c r="GQ1001">
        <v>0.90739586192571098</v>
      </c>
      <c r="GR1001">
        <v>0.90739586192571098</v>
      </c>
      <c r="GS1001">
        <v>0</v>
      </c>
      <c r="GT1001">
        <v>0.30738290958063386</v>
      </c>
      <c r="GU1001"/>
      <c r="GV1001"/>
      <c r="GW1001"/>
      <c r="GX1001"/>
      <c r="GY1001"/>
      <c r="GZ1001"/>
      <c r="HA1001"/>
      <c r="HB1001"/>
      <c r="HC1001"/>
    </row>
    <row r="1002" spans="1:211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2.6593749999999998</v>
      </c>
      <c r="AO1002">
        <v>0.42255620926763215</v>
      </c>
      <c r="AP1002">
        <v>16.628995323048866</v>
      </c>
      <c r="AQ1002">
        <v>3.2300776477011142</v>
      </c>
      <c r="AR1002">
        <v>0.41609602751024699</v>
      </c>
      <c r="AS1002">
        <v>2.0686755060080042</v>
      </c>
      <c r="AT1002" t="e">
        <v>#DIV/0!</v>
      </c>
      <c r="AU1002" t="e">
        <v>#DIV/0!</v>
      </c>
      <c r="AV1002"/>
      <c r="AW1002"/>
      <c r="FY1002" s="211">
        <v>997</v>
      </c>
      <c r="FZ1002">
        <v>1.6489822808361949</v>
      </c>
      <c r="GA1002">
        <v>1.1620505327976354</v>
      </c>
      <c r="GB1002">
        <v>0.14202990935487192</v>
      </c>
      <c r="GC1002">
        <v>0.14859665052880375</v>
      </c>
      <c r="GD1002">
        <v>5.3449107547347455E-2</v>
      </c>
      <c r="GE1002">
        <v>0</v>
      </c>
      <c r="GF1002">
        <v>0.66042100116664126</v>
      </c>
      <c r="GG1002">
        <v>0.59518473501329594</v>
      </c>
      <c r="GH1002">
        <v>0</v>
      </c>
      <c r="GI1002">
        <v>0.4380029062118414</v>
      </c>
      <c r="GJ1002"/>
      <c r="GK1002">
        <v>1.6606235852364146</v>
      </c>
      <c r="GL1002">
        <v>0.9999456466735146</v>
      </c>
      <c r="GM1002">
        <v>0.23585576644039991</v>
      </c>
      <c r="GN1002">
        <v>0.44573189690518267</v>
      </c>
      <c r="GO1002">
        <v>0.20987613046478273</v>
      </c>
      <c r="GP1002">
        <v>0</v>
      </c>
      <c r="GQ1002">
        <v>0.90739586192571098</v>
      </c>
      <c r="GR1002">
        <v>0.90739586192571098</v>
      </c>
      <c r="GS1002">
        <v>0</v>
      </c>
      <c r="GT1002">
        <v>0.60275026881346161</v>
      </c>
      <c r="GU1002"/>
      <c r="GV1002"/>
      <c r="GW1002"/>
      <c r="GX1002"/>
      <c r="GY1002"/>
      <c r="GZ1002"/>
      <c r="HA1002"/>
      <c r="HB1002"/>
      <c r="HC1002"/>
    </row>
    <row r="1003" spans="1:211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3.4406249999999998</v>
      </c>
      <c r="AO1003">
        <v>0.55848674370861162</v>
      </c>
      <c r="AP1003">
        <v>21.215858413103454</v>
      </c>
      <c r="AQ1003">
        <v>4.101182749736938</v>
      </c>
      <c r="AR1003">
        <v>0.57285812831193894</v>
      </c>
      <c r="AS1003">
        <v>3.2734166748131752</v>
      </c>
      <c r="AT1003" t="e">
        <v>#DIV/0!</v>
      </c>
      <c r="AU1003" t="e">
        <v>#DIV/0!</v>
      </c>
      <c r="AV1003"/>
      <c r="AW1003"/>
      <c r="FY1003" s="211">
        <v>998</v>
      </c>
      <c r="FZ1003">
        <v>1.1227328371201886</v>
      </c>
      <c r="GA1003">
        <v>0.56185112583616514</v>
      </c>
      <c r="GB1003">
        <v>6.282592274279708E-2</v>
      </c>
      <c r="GC1003">
        <v>3.4819274958961192E-2</v>
      </c>
      <c r="GD1003">
        <v>0</v>
      </c>
      <c r="GE1003">
        <v>0</v>
      </c>
      <c r="GF1003">
        <v>0</v>
      </c>
      <c r="GG1003">
        <v>0</v>
      </c>
      <c r="GH1003">
        <v>0</v>
      </c>
      <c r="GI1003">
        <v>0.18179833539796983</v>
      </c>
      <c r="GJ1003"/>
      <c r="GK1003">
        <v>1.1253732189330832</v>
      </c>
      <c r="GL1003">
        <v>0.48079623401633714</v>
      </c>
      <c r="GM1003">
        <v>0.10493806523239137</v>
      </c>
      <c r="GN1003">
        <v>0.10493806523239137</v>
      </c>
      <c r="GO1003">
        <v>0</v>
      </c>
      <c r="GP1003">
        <v>0</v>
      </c>
      <c r="GQ1003">
        <v>0</v>
      </c>
      <c r="GR1003">
        <v>0</v>
      </c>
      <c r="GS1003">
        <v>0</v>
      </c>
      <c r="GT1003">
        <v>0.24606225683309488</v>
      </c>
      <c r="GU1003"/>
      <c r="GV1003"/>
      <c r="GW1003"/>
      <c r="GX1003"/>
      <c r="GY1003"/>
      <c r="GZ1003"/>
      <c r="HA1003"/>
      <c r="HB1003"/>
      <c r="HC1003"/>
    </row>
    <row r="1004" spans="1:211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2.6239583333333329</v>
      </c>
      <c r="AO1004">
        <v>0.48025703133694575</v>
      </c>
      <c r="AP1004">
        <v>12.118415185134712</v>
      </c>
      <c r="AQ1004">
        <v>4.1355885497405005</v>
      </c>
      <c r="AR1004">
        <v>0.50135548401004937</v>
      </c>
      <c r="AS1004">
        <v>2.5911938243277723</v>
      </c>
      <c r="AT1004" t="e">
        <v>#DIV/0!</v>
      </c>
      <c r="AU1004" t="e">
        <v>#DIV/0!</v>
      </c>
      <c r="AV1004"/>
      <c r="AW1004"/>
      <c r="FY1004" s="211">
        <v>999</v>
      </c>
      <c r="FZ1004">
        <v>0.42610509268954255</v>
      </c>
      <c r="GA1004">
        <v>0</v>
      </c>
      <c r="GB1004">
        <v>7.9203986612074825E-2</v>
      </c>
      <c r="GC1004">
        <v>0.11377737556984255</v>
      </c>
      <c r="GD1004">
        <v>5.3449107547347455E-2</v>
      </c>
      <c r="GE1004">
        <v>0</v>
      </c>
      <c r="GF1004">
        <v>0.33021050058332063</v>
      </c>
      <c r="GG1004">
        <v>0.29759236750664797</v>
      </c>
      <c r="GH1004">
        <v>0</v>
      </c>
      <c r="GI1004">
        <v>0.17757849343282303</v>
      </c>
      <c r="GJ1004"/>
      <c r="GK1004">
        <v>0.42523471916564493</v>
      </c>
      <c r="GL1004">
        <v>0</v>
      </c>
      <c r="GM1004">
        <v>0.13091770120800852</v>
      </c>
      <c r="GN1004">
        <v>0.34079383167279126</v>
      </c>
      <c r="GO1004">
        <v>0.20987613046478273</v>
      </c>
      <c r="GP1004">
        <v>0</v>
      </c>
      <c r="GQ1004">
        <v>0.45369793096285549</v>
      </c>
      <c r="GR1004">
        <v>0.45369793096285549</v>
      </c>
      <c r="GS1004">
        <v>0</v>
      </c>
      <c r="GT1004">
        <v>0.24394529636025836</v>
      </c>
      <c r="GU1004"/>
      <c r="GV1004"/>
      <c r="GW1004"/>
      <c r="GX1004"/>
      <c r="GY1004"/>
      <c r="GZ1004"/>
      <c r="HA1004"/>
      <c r="HB1004"/>
      <c r="HC1004"/>
    </row>
    <row r="1005" spans="1:211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3.5187499999999994</v>
      </c>
      <c r="AO1005">
        <v>0.38837675411063638</v>
      </c>
      <c r="AP1005">
        <v>11.100557319654117</v>
      </c>
      <c r="AQ1005">
        <v>2.9949175041363079</v>
      </c>
      <c r="AR1005">
        <v>0.41292697387439525</v>
      </c>
      <c r="AS1005">
        <v>2.3309250704466367</v>
      </c>
      <c r="AT1005" t="e">
        <v>#DIV/0!</v>
      </c>
      <c r="AU1005" t="e">
        <v>#DIV/0!</v>
      </c>
      <c r="AV1005"/>
      <c r="AW1005"/>
      <c r="FY1005" s="211">
        <v>1000</v>
      </c>
      <c r="FZ1005">
        <v>1.1652328045944125</v>
      </c>
      <c r="GA1005">
        <v>0.56185112583616514</v>
      </c>
      <c r="GB1005">
        <v>7.9203986612074825E-2</v>
      </c>
      <c r="GC1005">
        <v>7.8958100610881349E-2</v>
      </c>
      <c r="GD1005">
        <v>2.6724553773673727E-2</v>
      </c>
      <c r="GE1005">
        <v>0</v>
      </c>
      <c r="GF1005">
        <v>0.33021050058332063</v>
      </c>
      <c r="GG1005">
        <v>0.29759236750664797</v>
      </c>
      <c r="GH1005">
        <v>0</v>
      </c>
      <c r="GI1005">
        <v>0.27158138088662481</v>
      </c>
      <c r="GJ1005"/>
      <c r="GK1005">
        <v>1.1676837002429741</v>
      </c>
      <c r="GL1005">
        <v>0.48079623401633714</v>
      </c>
      <c r="GM1005">
        <v>0.13091770120800852</v>
      </c>
      <c r="GN1005">
        <v>0.23585576644039991</v>
      </c>
      <c r="GO1005">
        <v>0.10493806523239137</v>
      </c>
      <c r="GP1005">
        <v>0</v>
      </c>
      <c r="GQ1005">
        <v>0.45369793096285549</v>
      </c>
      <c r="GR1005">
        <v>0.45369793096285549</v>
      </c>
      <c r="GS1005">
        <v>0</v>
      </c>
      <c r="GT1005">
        <v>0.37144747952924589</v>
      </c>
      <c r="GU1005"/>
      <c r="GV1005"/>
      <c r="GW1005"/>
      <c r="GX1005"/>
      <c r="GY1005"/>
      <c r="GZ1005"/>
      <c r="HA1005"/>
      <c r="HB1005"/>
      <c r="HC1005"/>
    </row>
    <row r="1006" spans="1:211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2.822916666666667</v>
      </c>
      <c r="AO1006">
        <v>0.17805680956407102</v>
      </c>
      <c r="AP1006">
        <v>3.0219527074406694</v>
      </c>
      <c r="AQ1006">
        <v>1.362714903732027</v>
      </c>
      <c r="AR1006">
        <v>0.23200223178571439</v>
      </c>
      <c r="AS1006">
        <v>1.7410211723763109</v>
      </c>
      <c r="AT1006" t="e">
        <v>#DIV/0!</v>
      </c>
      <c r="AU1006" t="e">
        <v>#DIV/0!</v>
      </c>
      <c r="AV1006"/>
      <c r="AW1006"/>
    </row>
    <row r="1007" spans="1:211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2.9333333333333327</v>
      </c>
      <c r="AO1007">
        <v>0.44819299161906939</v>
      </c>
      <c r="AP1007">
        <v>12.805367284400084</v>
      </c>
      <c r="AQ1007">
        <v>3.6496585958777983</v>
      </c>
      <c r="AR1007">
        <v>0.46935825200035231</v>
      </c>
      <c r="AS1007">
        <v>2.5631672320627601</v>
      </c>
      <c r="AT1007" t="e">
        <v>#DIV/0!</v>
      </c>
      <c r="AU1007" t="e">
        <v>#DIV/0!</v>
      </c>
      <c r="AV1007"/>
      <c r="AW1007"/>
    </row>
    <row r="1008" spans="1:211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2.8812500000000001</v>
      </c>
      <c r="AO1008">
        <v>0.32001902065231924</v>
      </c>
      <c r="AP1008">
        <v>4.6245844787997452</v>
      </c>
      <c r="AQ1008">
        <v>2.8806152690543305</v>
      </c>
      <c r="AR1008">
        <v>0.3329206753370989</v>
      </c>
      <c r="AS1008">
        <v>2.0370568036949877</v>
      </c>
      <c r="AT1008" t="e">
        <v>#DIV/0!</v>
      </c>
      <c r="AU1008" t="e">
        <v>#DIV/0!</v>
      </c>
      <c r="AV1008"/>
      <c r="AW1008"/>
    </row>
    <row r="1009" spans="1:49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3.1541666666666663</v>
      </c>
      <c r="AO1009">
        <v>0.35013110272557724</v>
      </c>
      <c r="AP1009">
        <v>10.931431166521183</v>
      </c>
      <c r="AQ1009">
        <v>2.775669754964289</v>
      </c>
      <c r="AR1009">
        <v>0.36667389910469522</v>
      </c>
      <c r="AS1009">
        <v>2.1613978895160528</v>
      </c>
      <c r="AT1009" t="e">
        <v>#DIV/0!</v>
      </c>
      <c r="AU1009" t="e">
        <v>#DIV/0!</v>
      </c>
      <c r="AV1009"/>
      <c r="AW1009"/>
    </row>
    <row r="1010" spans="1:49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2.0614583333333329</v>
      </c>
      <c r="AO1010">
        <v>0.45897295682111078</v>
      </c>
      <c r="AP1010">
        <v>11.441121969210592</v>
      </c>
      <c r="AQ1010">
        <v>3.9314641143962965</v>
      </c>
      <c r="AR1010">
        <v>0.46588202648365779</v>
      </c>
      <c r="AS1010">
        <v>2.1992011075109703</v>
      </c>
      <c r="AT1010" t="e">
        <v>#DIV/0!</v>
      </c>
      <c r="AU1010" t="e">
        <v>#DIV/0!</v>
      </c>
      <c r="AV1010"/>
      <c r="AW1010"/>
    </row>
    <row r="1011" spans="1:49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3.3072916666666665</v>
      </c>
      <c r="AO1011">
        <v>0.43243754087453523</v>
      </c>
      <c r="AP1011">
        <v>19.823921988503638</v>
      </c>
      <c r="AQ1011">
        <v>2.8547969683678565</v>
      </c>
      <c r="AR1011">
        <v>0.45156870791640691</v>
      </c>
      <c r="AS1011">
        <v>2.5516355484290307</v>
      </c>
      <c r="AT1011" t="e">
        <v>#DIV/0!</v>
      </c>
      <c r="AU1011" t="e">
        <v>#DIV/0!</v>
      </c>
      <c r="AV1011"/>
      <c r="AW1011"/>
    </row>
    <row r="1012" spans="1:49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1.6354166666666665</v>
      </c>
      <c r="AO1012">
        <v>0.29303718938711548</v>
      </c>
      <c r="AP1012">
        <v>13.865426075838581</v>
      </c>
      <c r="AQ1012">
        <v>2.1483814590957371</v>
      </c>
      <c r="AR1012">
        <v>0.30738290958063386</v>
      </c>
      <c r="AS1012">
        <v>1.4463241477939328</v>
      </c>
      <c r="AT1012" t="e">
        <v>#DIV/0!</v>
      </c>
      <c r="AU1012" t="e">
        <v>#DIV/0!</v>
      </c>
      <c r="AV1012"/>
      <c r="AW1012"/>
    </row>
    <row r="1013" spans="1:49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3.5406249999999999</v>
      </c>
      <c r="AO1013">
        <v>0.59695750183851781</v>
      </c>
      <c r="AP1013">
        <v>19.078616146434342</v>
      </c>
      <c r="AQ1013">
        <v>4.8487171234566322</v>
      </c>
      <c r="AR1013">
        <v>0.60275026881346161</v>
      </c>
      <c r="AS1013">
        <v>3.1380829014346667</v>
      </c>
      <c r="AT1013" t="e">
        <v>#DIV/0!</v>
      </c>
      <c r="AU1013" t="e">
        <v>#DIV/0!</v>
      </c>
      <c r="AV1013"/>
      <c r="AW1013"/>
    </row>
    <row r="1014" spans="1:49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3.1541666666666668</v>
      </c>
      <c r="AO1014">
        <v>0.20621078402472981</v>
      </c>
      <c r="AP1014">
        <v>3.0671477554463022</v>
      </c>
      <c r="AQ1014">
        <v>1.9640274960560815</v>
      </c>
      <c r="AR1014">
        <v>0.24606225683309488</v>
      </c>
      <c r="AS1014">
        <v>1.686287068083772</v>
      </c>
      <c r="AT1014" t="e">
        <v>#DIV/0!</v>
      </c>
      <c r="AU1014" t="e">
        <v>#DIV/0!</v>
      </c>
      <c r="AV1014"/>
      <c r="AW1014"/>
    </row>
    <row r="1015" spans="1:49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2.005208333333333</v>
      </c>
      <c r="AO1015">
        <v>0.22581635407971964</v>
      </c>
      <c r="AP1015">
        <v>7.9502990906478885</v>
      </c>
      <c r="AQ1015">
        <v>1.4779169239415992</v>
      </c>
      <c r="AR1015">
        <v>0.24394529636025836</v>
      </c>
      <c r="AS1015">
        <v>1.3032166003016143</v>
      </c>
      <c r="AT1015" t="e">
        <v>#DIV/0!</v>
      </c>
      <c r="AU1015" t="e">
        <v>#DIV/0!</v>
      </c>
      <c r="AV1015"/>
      <c r="AW1015"/>
    </row>
    <row r="1016" spans="1:49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3.9927083333333337</v>
      </c>
      <c r="AO1016">
        <v>0.33990348085950672</v>
      </c>
      <c r="AP1016">
        <v>9.8531689536463194</v>
      </c>
      <c r="AQ1016">
        <v>2.811354820403801</v>
      </c>
      <c r="AR1016">
        <v>0.37144747952924589</v>
      </c>
      <c r="AS1016">
        <v>2.2795386810377862</v>
      </c>
      <c r="AT1016" t="e">
        <v>#DIV/0!</v>
      </c>
      <c r="AU1016" t="e">
        <v>#DIV/0!</v>
      </c>
      <c r="AV1016"/>
      <c r="AW1016"/>
    </row>
    <row r="1017" spans="1:49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49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49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49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49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49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49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49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CW86:CX86"/>
    <mergeCell ref="O455:R455"/>
    <mergeCell ref="GC2:GI2"/>
    <mergeCell ref="FJ4:FM4"/>
    <mergeCell ref="FI6:FJ6"/>
    <mergeCell ref="FK6:FL6"/>
    <mergeCell ref="FM6:FN6"/>
    <mergeCell ref="FI7:FJ7"/>
    <mergeCell ref="FK7:FL7"/>
    <mergeCell ref="FM7:FN7"/>
    <mergeCell ref="FI8:FJ8"/>
    <mergeCell ref="FK8:FL8"/>
    <mergeCell ref="FM8:FN8"/>
    <mergeCell ref="FI9:FJ9"/>
    <mergeCell ref="FK9:FL9"/>
    <mergeCell ref="FM9:FN9"/>
    <mergeCell ref="FI10:FJ10"/>
    <mergeCell ref="FK10:FL10"/>
    <mergeCell ref="FM10:FN10"/>
    <mergeCell ref="FI11:FJ11"/>
    <mergeCell ref="FK11:FL11"/>
    <mergeCell ref="FM11:FN11"/>
    <mergeCell ref="FI12:FJ12"/>
    <mergeCell ref="FK12:FL12"/>
    <mergeCell ref="FM12:FN12"/>
    <mergeCell ref="FI13:FJ13"/>
    <mergeCell ref="FK13:FL13"/>
    <mergeCell ref="FM13:FN13"/>
    <mergeCell ref="FI16:FJ16"/>
    <mergeCell ref="FK16:FL16"/>
    <mergeCell ref="FM16:FN16"/>
    <mergeCell ref="FI14:FJ14"/>
    <mergeCell ref="FK14:FL14"/>
    <mergeCell ref="FM14:FN14"/>
    <mergeCell ref="FI15:FJ15"/>
    <mergeCell ref="FK15:FL15"/>
    <mergeCell ref="FM15:FN15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2011-01-26T02:27:16Z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