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105" yWindow="15" windowWidth="14280" windowHeight="8085" activeTab="1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H422" i="1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D422"/>
  <c r="AE422"/>
  <c r="AF422"/>
  <c r="AG422"/>
  <c r="AH422"/>
  <c r="AI422"/>
  <c r="AJ422"/>
  <c r="AK422"/>
  <c r="G422"/>
  <c r="DQ213"/>
  <c r="DP213"/>
  <c r="DO213"/>
  <c r="DN213"/>
  <c r="DM213"/>
  <c r="DL213"/>
  <c r="DK213"/>
  <c r="DQ212"/>
  <c r="DP212"/>
  <c r="DO212"/>
  <c r="DN212"/>
  <c r="DM212"/>
  <c r="DL212"/>
  <c r="DK212"/>
  <c r="DI220"/>
  <c r="DI219"/>
  <c r="DH218"/>
  <c r="DG218"/>
  <c r="DH217"/>
  <c r="DG217"/>
  <c r="DH216"/>
  <c r="DG216"/>
  <c r="DH215"/>
  <c r="DG215"/>
  <c r="FM16"/>
  <c r="FK16"/>
  <c r="FI16"/>
  <c r="FH16"/>
  <c r="FM15"/>
  <c r="FK15"/>
  <c r="FI15"/>
  <c r="FH15"/>
  <c r="FM14"/>
  <c r="FK14"/>
  <c r="FI14"/>
  <c r="FH14"/>
  <c r="FM13"/>
  <c r="FK13"/>
  <c r="FI13"/>
  <c r="FH13"/>
  <c r="FM12"/>
  <c r="FK12"/>
  <c r="FI12"/>
  <c r="FH12"/>
  <c r="FM11"/>
  <c r="FK11"/>
  <c r="FI11"/>
  <c r="FH11"/>
  <c r="FM10"/>
  <c r="FK10"/>
  <c r="FI10"/>
  <c r="FH10"/>
  <c r="FM9"/>
  <c r="FK9"/>
  <c r="FI9"/>
  <c r="FH9"/>
  <c r="FM8"/>
  <c r="FK8"/>
  <c r="FI8"/>
  <c r="FH8"/>
  <c r="FM7"/>
  <c r="FK7"/>
  <c r="FI7"/>
  <c r="FH7"/>
  <c r="GI4"/>
  <c r="GH4"/>
  <c r="GG4"/>
  <c r="GF4"/>
  <c r="GE4"/>
  <c r="GD4"/>
  <c r="GC4"/>
  <c r="GB4"/>
  <c r="GA4"/>
  <c r="FZ4"/>
  <c r="CX117"/>
  <c r="CX108"/>
  <c r="CX155"/>
  <c r="CX110"/>
  <c r="CX116"/>
  <c r="DE234"/>
  <c r="DE233"/>
  <c r="DE232"/>
  <c r="DE231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A438"/>
  <c r="I36"/>
  <c r="J36"/>
  <c r="E463" s="1"/>
  <c r="K36"/>
  <c r="ET146" s="1"/>
  <c r="L36"/>
  <c r="E467" s="1"/>
  <c r="M36"/>
  <c r="EV135" s="1"/>
  <c r="N36"/>
  <c r="E471"/>
  <c r="O36"/>
  <c r="EX136" s="1"/>
  <c r="P36"/>
  <c r="P372" s="1"/>
  <c r="P374" s="1"/>
  <c r="Q36"/>
  <c r="R36"/>
  <c r="E479" s="1"/>
  <c r="S36"/>
  <c r="E481" s="1"/>
  <c r="T36"/>
  <c r="U36"/>
  <c r="E485" s="1"/>
  <c r="V36"/>
  <c r="FE180" s="1"/>
  <c r="W36"/>
  <c r="E489" s="1"/>
  <c r="X36"/>
  <c r="Y36"/>
  <c r="Y372" s="1"/>
  <c r="Z36"/>
  <c r="E495" s="1"/>
  <c r="AA36"/>
  <c r="FJ101" s="1"/>
  <c r="AB36"/>
  <c r="E499" s="1"/>
  <c r="AC36"/>
  <c r="AD36"/>
  <c r="E503" s="1"/>
  <c r="AE36"/>
  <c r="FN157" s="1"/>
  <c r="AF36"/>
  <c r="E507" s="1"/>
  <c r="AG36"/>
  <c r="FP186" s="1"/>
  <c r="AH36"/>
  <c r="FQ174" s="1"/>
  <c r="AI36"/>
  <c r="E513" s="1"/>
  <c r="AJ36"/>
  <c r="E515"/>
  <c r="H516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H372"/>
  <c r="H382" s="1"/>
  <c r="I372"/>
  <c r="M372"/>
  <c r="M379" s="1"/>
  <c r="N372"/>
  <c r="N382" s="1"/>
  <c r="S372"/>
  <c r="AB372"/>
  <c r="AB380" s="1"/>
  <c r="AF372"/>
  <c r="AI372"/>
  <c r="AI381" s="1"/>
  <c r="AK372"/>
  <c r="AK381" s="1"/>
  <c r="AI380"/>
  <c r="AF379"/>
  <c r="AF378"/>
  <c r="M375"/>
  <c r="AF374"/>
  <c r="N373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EK20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P198"/>
  <c r="FU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EK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EK19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/>
  <c r="EC189"/>
  <c r="FM189" s="1"/>
  <c r="EB189"/>
  <c r="FL189"/>
  <c r="EA189"/>
  <c r="FK189" s="1"/>
  <c r="DZ189"/>
  <c r="FJ189" s="1"/>
  <c r="DY189"/>
  <c r="FI189" s="1"/>
  <c r="DX189"/>
  <c r="FH189"/>
  <c r="DW189"/>
  <c r="FG189" s="1"/>
  <c r="DV189"/>
  <c r="FF189"/>
  <c r="DU189"/>
  <c r="FE189" s="1"/>
  <c r="DT189"/>
  <c r="FD189"/>
  <c r="DS189"/>
  <c r="FC189" s="1"/>
  <c r="DR189"/>
  <c r="FB189" s="1"/>
  <c r="DQ189"/>
  <c r="FA189" s="1"/>
  <c r="DP189"/>
  <c r="EZ189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/>
  <c r="EI188"/>
  <c r="FS188" s="1"/>
  <c r="EH188"/>
  <c r="FR188"/>
  <c r="EG188"/>
  <c r="FQ188" s="1"/>
  <c r="EF188"/>
  <c r="FP188"/>
  <c r="EE188"/>
  <c r="FO188" s="1"/>
  <c r="ED188"/>
  <c r="FN188"/>
  <c r="EC188"/>
  <c r="FM188" s="1"/>
  <c r="EB188"/>
  <c r="FL188"/>
  <c r="EA188"/>
  <c r="FK188" s="1"/>
  <c r="DZ188"/>
  <c r="FJ188"/>
  <c r="DY188"/>
  <c r="FI188" s="1"/>
  <c r="DX188"/>
  <c r="FH188"/>
  <c r="DW188"/>
  <c r="FG188" s="1"/>
  <c r="DV188"/>
  <c r="FF188"/>
  <c r="DU188"/>
  <c r="FE188" s="1"/>
  <c r="DT188"/>
  <c r="FD188"/>
  <c r="DS188"/>
  <c r="FC188" s="1"/>
  <c r="DR188"/>
  <c r="FB188"/>
  <c r="DQ188"/>
  <c r="FA188" s="1"/>
  <c r="DP188"/>
  <c r="EZ188"/>
  <c r="DO188"/>
  <c r="EY188" s="1"/>
  <c r="DN188"/>
  <c r="EX188"/>
  <c r="DM188"/>
  <c r="EW188"/>
  <c r="DL188"/>
  <c r="EV188"/>
  <c r="DK188"/>
  <c r="EU188"/>
  <c r="DJ188"/>
  <c r="ET188"/>
  <c r="DI188"/>
  <c r="ES188"/>
  <c r="DH188"/>
  <c r="ER188"/>
  <c r="DG188"/>
  <c r="EQ188"/>
  <c r="DD188"/>
  <c r="DE188" s="1"/>
  <c r="DC188"/>
  <c r="CZ188"/>
  <c r="CM188"/>
  <c r="CL188"/>
  <c r="CK188"/>
  <c r="AY188"/>
  <c r="B188"/>
  <c r="CX187"/>
  <c r="CZ187"/>
  <c r="DZ187" s="1"/>
  <c r="DH187"/>
  <c r="DP187"/>
  <c r="EZ187" s="1"/>
  <c r="DV187"/>
  <c r="ED187"/>
  <c r="EH187"/>
  <c r="FR187" s="1"/>
  <c r="DD187"/>
  <c r="BA187"/>
  <c r="CM187"/>
  <c r="CL187"/>
  <c r="CK187"/>
  <c r="AY187"/>
  <c r="B187"/>
  <c r="CX186"/>
  <c r="CZ186"/>
  <c r="DJ186"/>
  <c r="DN186"/>
  <c r="DO186"/>
  <c r="DP186"/>
  <c r="DQ186"/>
  <c r="DR186"/>
  <c r="FB186" s="1"/>
  <c r="DS186"/>
  <c r="DT186"/>
  <c r="DU186"/>
  <c r="DV186"/>
  <c r="FF186"/>
  <c r="DW186"/>
  <c r="DX186"/>
  <c r="DY186"/>
  <c r="FI186" s="1"/>
  <c r="DZ186"/>
  <c r="EA186"/>
  <c r="FK186" s="1"/>
  <c r="EB186"/>
  <c r="EC186"/>
  <c r="FM186" s="1"/>
  <c r="ED186"/>
  <c r="EE186"/>
  <c r="FO186" s="1"/>
  <c r="EF186"/>
  <c r="EG186"/>
  <c r="EH186"/>
  <c r="FR186" s="1"/>
  <c r="EI186"/>
  <c r="EJ186"/>
  <c r="DD186"/>
  <c r="BA186"/>
  <c r="CM186"/>
  <c r="CL186"/>
  <c r="CK186"/>
  <c r="AY186"/>
  <c r="B186"/>
  <c r="CX185"/>
  <c r="CZ185"/>
  <c r="DK185"/>
  <c r="EU185" s="1"/>
  <c r="DO185"/>
  <c r="DS185"/>
  <c r="DW185"/>
  <c r="EA185"/>
  <c r="FK185" s="1"/>
  <c r="EC185"/>
  <c r="EE185"/>
  <c r="FO185" s="1"/>
  <c r="DD185"/>
  <c r="DE185"/>
  <c r="DC185"/>
  <c r="BA185"/>
  <c r="CM185" s="1"/>
  <c r="CL185"/>
  <c r="CK185"/>
  <c r="AY185"/>
  <c r="B185"/>
  <c r="CX184"/>
  <c r="CZ184"/>
  <c r="DF184"/>
  <c r="DL184"/>
  <c r="DT184"/>
  <c r="FD184" s="1"/>
  <c r="EA184"/>
  <c r="FK184" s="1"/>
  <c r="EI184"/>
  <c r="FS184" s="1"/>
  <c r="DD184"/>
  <c r="BA184"/>
  <c r="CM184"/>
  <c r="CL184"/>
  <c r="CK184"/>
  <c r="AY184"/>
  <c r="B182"/>
  <c r="CX183"/>
  <c r="CZ183"/>
  <c r="DH183"/>
  <c r="DL183"/>
  <c r="DP183"/>
  <c r="EZ183" s="1"/>
  <c r="DR183"/>
  <c r="DT183"/>
  <c r="FD183" s="1"/>
  <c r="DZ183"/>
  <c r="EF183"/>
  <c r="EH183"/>
  <c r="FR183" s="1"/>
  <c r="EJ183"/>
  <c r="FT183" s="1"/>
  <c r="DD183"/>
  <c r="DC183" s="1"/>
  <c r="DE183"/>
  <c r="BA183"/>
  <c r="CM183" s="1"/>
  <c r="CL183"/>
  <c r="CK183"/>
  <c r="AY183"/>
  <c r="B181"/>
  <c r="CX182"/>
  <c r="CZ182"/>
  <c r="DF182"/>
  <c r="DG182"/>
  <c r="DH182"/>
  <c r="DI182"/>
  <c r="DJ182"/>
  <c r="DK182"/>
  <c r="DL182"/>
  <c r="EV182" s="1"/>
  <c r="DM182"/>
  <c r="EW182" s="1"/>
  <c r="DN182"/>
  <c r="DO182"/>
  <c r="DP182"/>
  <c r="DQ182"/>
  <c r="DR182"/>
  <c r="DS182"/>
  <c r="DT182"/>
  <c r="DU182"/>
  <c r="DV182"/>
  <c r="DW182"/>
  <c r="DX182"/>
  <c r="FH182" s="1"/>
  <c r="DY182"/>
  <c r="DZ182"/>
  <c r="EA182"/>
  <c r="FK182" s="1"/>
  <c r="EB182"/>
  <c r="EC182"/>
  <c r="ED182"/>
  <c r="EE182"/>
  <c r="FO182" s="1"/>
  <c r="EF182"/>
  <c r="EG182"/>
  <c r="EH182"/>
  <c r="FR182"/>
  <c r="EI182"/>
  <c r="FS182" s="1"/>
  <c r="EJ182"/>
  <c r="DD182"/>
  <c r="BA182"/>
  <c r="CM182"/>
  <c r="CL182"/>
  <c r="CK182"/>
  <c r="AY182"/>
  <c r="B179"/>
  <c r="CX181"/>
  <c r="CZ181"/>
  <c r="DO181"/>
  <c r="EY181" s="1"/>
  <c r="DQ181"/>
  <c r="DS181"/>
  <c r="FC181" s="1"/>
  <c r="DU181"/>
  <c r="DW181"/>
  <c r="DY181"/>
  <c r="EA181"/>
  <c r="EC181"/>
  <c r="EE181"/>
  <c r="FO181" s="1"/>
  <c r="EG181"/>
  <c r="EI181"/>
  <c r="FS181" s="1"/>
  <c r="DD181"/>
  <c r="DE181"/>
  <c r="DC181"/>
  <c r="BA181"/>
  <c r="CM181" s="1"/>
  <c r="CL181"/>
  <c r="CK181"/>
  <c r="AY181"/>
  <c r="B184"/>
  <c r="CX180"/>
  <c r="CZ180"/>
  <c r="DF180"/>
  <c r="DH180"/>
  <c r="DJ180"/>
  <c r="DK180"/>
  <c r="EU180" s="1"/>
  <c r="DN180"/>
  <c r="DP180"/>
  <c r="DQ180"/>
  <c r="DR180"/>
  <c r="FB180" s="1"/>
  <c r="DS180"/>
  <c r="DU180"/>
  <c r="DV180"/>
  <c r="FF180" s="1"/>
  <c r="DX180"/>
  <c r="DY180"/>
  <c r="DZ180"/>
  <c r="EA180"/>
  <c r="EC180"/>
  <c r="ED180"/>
  <c r="FN180" s="1"/>
  <c r="EF180"/>
  <c r="EG180"/>
  <c r="EH180"/>
  <c r="FR180" s="1"/>
  <c r="EI180"/>
  <c r="DD180"/>
  <c r="DE180" s="1"/>
  <c r="DC180"/>
  <c r="BA180"/>
  <c r="CM180" s="1"/>
  <c r="CL180"/>
  <c r="CK180"/>
  <c r="AY180"/>
  <c r="B178"/>
  <c r="CX179"/>
  <c r="CZ179"/>
  <c r="DP179"/>
  <c r="DR179"/>
  <c r="FB179" s="1"/>
  <c r="EF179"/>
  <c r="EH179"/>
  <c r="FR179" s="1"/>
  <c r="DD179"/>
  <c r="DC179" s="1"/>
  <c r="BA179"/>
  <c r="CM179"/>
  <c r="CL179"/>
  <c r="CK179"/>
  <c r="AY179"/>
  <c r="B183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FH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0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68"/>
  <c r="CZ176"/>
  <c r="DK176"/>
  <c r="DM176"/>
  <c r="EW176" s="1"/>
  <c r="DS176"/>
  <c r="DU176"/>
  <c r="EA176"/>
  <c r="EC176"/>
  <c r="FM176" s="1"/>
  <c r="EI176"/>
  <c r="DD176"/>
  <c r="DE176"/>
  <c r="DC176"/>
  <c r="BA176"/>
  <c r="CM176" s="1"/>
  <c r="CL176"/>
  <c r="CK176"/>
  <c r="AY176"/>
  <c r="B169"/>
  <c r="CZ175"/>
  <c r="DH175"/>
  <c r="DJ175"/>
  <c r="DL175"/>
  <c r="DP175"/>
  <c r="DR175"/>
  <c r="DT175"/>
  <c r="FD175"/>
  <c r="DX175"/>
  <c r="FH175" s="1"/>
  <c r="DZ175"/>
  <c r="EB175"/>
  <c r="EF175"/>
  <c r="EH175"/>
  <c r="FR175" s="1"/>
  <c r="EJ175"/>
  <c r="DD175"/>
  <c r="DC175" s="1"/>
  <c r="DE175"/>
  <c r="BA175"/>
  <c r="CM175" s="1"/>
  <c r="CL175"/>
  <c r="CK175"/>
  <c r="AY175"/>
  <c r="B170"/>
  <c r="CZ174"/>
  <c r="DG174"/>
  <c r="DI174"/>
  <c r="ES174" s="1"/>
  <c r="DK174"/>
  <c r="DM174"/>
  <c r="EW174" s="1"/>
  <c r="DO174"/>
  <c r="DQ174"/>
  <c r="DR174"/>
  <c r="DS174"/>
  <c r="FC174" s="1"/>
  <c r="DT174"/>
  <c r="DU174"/>
  <c r="DV174"/>
  <c r="DW174"/>
  <c r="DX174"/>
  <c r="FH174" s="1"/>
  <c r="DY174"/>
  <c r="DZ174"/>
  <c r="EA174"/>
  <c r="EB174"/>
  <c r="FL174" s="1"/>
  <c r="EC174"/>
  <c r="ED174"/>
  <c r="EE174"/>
  <c r="FO174" s="1"/>
  <c r="EF174"/>
  <c r="EG174"/>
  <c r="EH174"/>
  <c r="FR174" s="1"/>
  <c r="EI174"/>
  <c r="EJ174"/>
  <c r="FT174" s="1"/>
  <c r="DD174"/>
  <c r="DE174" s="1"/>
  <c r="DC174"/>
  <c r="BA174"/>
  <c r="CM174" s="1"/>
  <c r="CL174"/>
  <c r="CK174"/>
  <c r="AY174"/>
  <c r="B177"/>
  <c r="CZ173"/>
  <c r="DF173"/>
  <c r="DG173"/>
  <c r="DH173"/>
  <c r="DI173"/>
  <c r="DJ173"/>
  <c r="DK173"/>
  <c r="DL173"/>
  <c r="EV173" s="1"/>
  <c r="DM173"/>
  <c r="EW173" s="1"/>
  <c r="DN173"/>
  <c r="DO173"/>
  <c r="DP173"/>
  <c r="DQ173"/>
  <c r="DR173"/>
  <c r="DS173"/>
  <c r="DT173"/>
  <c r="FD173" s="1"/>
  <c r="DU173"/>
  <c r="DV173"/>
  <c r="DW173"/>
  <c r="DX173"/>
  <c r="FH173" s="1"/>
  <c r="DY173"/>
  <c r="DZ173"/>
  <c r="EA173"/>
  <c r="EB173"/>
  <c r="EC173"/>
  <c r="ED173"/>
  <c r="EE173"/>
  <c r="FO173" s="1"/>
  <c r="EF173"/>
  <c r="FP173" s="1"/>
  <c r="EG173"/>
  <c r="EH173"/>
  <c r="FR173" s="1"/>
  <c r="EI173"/>
  <c r="EJ173"/>
  <c r="FT173"/>
  <c r="DD173"/>
  <c r="BA173"/>
  <c r="CM173"/>
  <c r="CL173"/>
  <c r="CK173"/>
  <c r="AY173"/>
  <c r="B176"/>
  <c r="CZ172"/>
  <c r="DD172"/>
  <c r="DE172" s="1"/>
  <c r="DC172"/>
  <c r="BA172"/>
  <c r="CM172" s="1"/>
  <c r="CL172"/>
  <c r="CK172"/>
  <c r="AY172"/>
  <c r="B174"/>
  <c r="CX171"/>
  <c r="CZ171"/>
  <c r="DF171"/>
  <c r="DH171"/>
  <c r="ER171" s="1"/>
  <c r="DJ171"/>
  <c r="DL171"/>
  <c r="DN171"/>
  <c r="DP171"/>
  <c r="EZ171" s="1"/>
  <c r="DR171"/>
  <c r="FB171" s="1"/>
  <c r="DT171"/>
  <c r="DV171"/>
  <c r="DX171"/>
  <c r="FH171" s="1"/>
  <c r="DZ171"/>
  <c r="EB171"/>
  <c r="ED171"/>
  <c r="EF171"/>
  <c r="FP171" s="1"/>
  <c r="EH171"/>
  <c r="FR171" s="1"/>
  <c r="EJ171"/>
  <c r="DD171"/>
  <c r="BA171"/>
  <c r="CM171"/>
  <c r="CL171"/>
  <c r="CK171"/>
  <c r="AY171"/>
  <c r="B172"/>
  <c r="CX170"/>
  <c r="CZ170"/>
  <c r="DF170"/>
  <c r="DG170"/>
  <c r="DH170"/>
  <c r="ER170" s="1"/>
  <c r="DI170"/>
  <c r="DJ170"/>
  <c r="DK170"/>
  <c r="EU170" s="1"/>
  <c r="DL170"/>
  <c r="DM170"/>
  <c r="EW170" s="1"/>
  <c r="DN170"/>
  <c r="EX170" s="1"/>
  <c r="DO170"/>
  <c r="EY170" s="1"/>
  <c r="DP170"/>
  <c r="DQ170"/>
  <c r="DR170"/>
  <c r="FB170" s="1"/>
  <c r="DS170"/>
  <c r="DT170"/>
  <c r="DU170"/>
  <c r="DV170"/>
  <c r="FF170" s="1"/>
  <c r="DW170"/>
  <c r="DX170"/>
  <c r="DY170"/>
  <c r="DZ170"/>
  <c r="EA170"/>
  <c r="FK170" s="1"/>
  <c r="EB170"/>
  <c r="EC170"/>
  <c r="ED170"/>
  <c r="EE170"/>
  <c r="FO170" s="1"/>
  <c r="EF170"/>
  <c r="EG170"/>
  <c r="EH170"/>
  <c r="FR170" s="1"/>
  <c r="EI170"/>
  <c r="FS170" s="1"/>
  <c r="EJ170"/>
  <c r="DD170"/>
  <c r="DC170" s="1"/>
  <c r="DE170"/>
  <c r="BA170"/>
  <c r="CM170"/>
  <c r="CL170"/>
  <c r="CK170"/>
  <c r="AY170"/>
  <c r="B171"/>
  <c r="CZ169"/>
  <c r="DI169" s="1"/>
  <c r="DG169"/>
  <c r="EQ169" s="1"/>
  <c r="DK169"/>
  <c r="EU169" s="1"/>
  <c r="DO169"/>
  <c r="DS169"/>
  <c r="DW169"/>
  <c r="EA169"/>
  <c r="FK169" s="1"/>
  <c r="EE169"/>
  <c r="FO169" s="1"/>
  <c r="EI169"/>
  <c r="DD169"/>
  <c r="DE169" s="1"/>
  <c r="DC169"/>
  <c r="BA169"/>
  <c r="CM169"/>
  <c r="CL169"/>
  <c r="CK169"/>
  <c r="AY169"/>
  <c r="B175"/>
  <c r="CX168"/>
  <c r="CZ168"/>
  <c r="DZ168" s="1"/>
  <c r="DJ168"/>
  <c r="DP168"/>
  <c r="EF168"/>
  <c r="DD168"/>
  <c r="DC168" s="1"/>
  <c r="DE168"/>
  <c r="CL168"/>
  <c r="CK168"/>
  <c r="AY168"/>
  <c r="B173"/>
  <c r="CX167"/>
  <c r="CZ167"/>
  <c r="DZ167" s="1"/>
  <c r="DJ167"/>
  <c r="DK167"/>
  <c r="DP167"/>
  <c r="DU167"/>
  <c r="EA167"/>
  <c r="FK167" s="1"/>
  <c r="EF167"/>
  <c r="DD167"/>
  <c r="DE167" s="1"/>
  <c r="DC167"/>
  <c r="BA167"/>
  <c r="CM167"/>
  <c r="CL167"/>
  <c r="CK167"/>
  <c r="AY167"/>
  <c r="B167"/>
  <c r="CW166"/>
  <c r="CX166"/>
  <c r="CZ166"/>
  <c r="DF166"/>
  <c r="DK166"/>
  <c r="DP166"/>
  <c r="DQ166"/>
  <c r="DV166"/>
  <c r="EA166"/>
  <c r="EF166"/>
  <c r="FP166" s="1"/>
  <c r="EG166"/>
  <c r="DD166"/>
  <c r="BA166"/>
  <c r="CM166"/>
  <c r="CL166"/>
  <c r="CK166"/>
  <c r="AY166"/>
  <c r="B163"/>
  <c r="CZ165"/>
  <c r="DF165"/>
  <c r="DG165"/>
  <c r="DH165"/>
  <c r="ER165" s="1"/>
  <c r="DI165"/>
  <c r="DJ165"/>
  <c r="DK165"/>
  <c r="DL165"/>
  <c r="DM165"/>
  <c r="EW165" s="1"/>
  <c r="DN165"/>
  <c r="DO165"/>
  <c r="DP165"/>
  <c r="EZ165" s="1"/>
  <c r="DQ165"/>
  <c r="DR165"/>
  <c r="DS165"/>
  <c r="DT165"/>
  <c r="FD165" s="1"/>
  <c r="DU165"/>
  <c r="DV165"/>
  <c r="DW165"/>
  <c r="DX165"/>
  <c r="FH165" s="1"/>
  <c r="DY165"/>
  <c r="DZ165"/>
  <c r="EA165"/>
  <c r="EB165"/>
  <c r="EC165"/>
  <c r="ED165"/>
  <c r="EE165"/>
  <c r="FO165" s="1"/>
  <c r="EF165"/>
  <c r="FP165" s="1"/>
  <c r="EG165"/>
  <c r="FQ165" s="1"/>
  <c r="EH165"/>
  <c r="FR165"/>
  <c r="EI165"/>
  <c r="FS165" s="1"/>
  <c r="EJ165"/>
  <c r="FT165" s="1"/>
  <c r="DD165"/>
  <c r="DE165"/>
  <c r="DC165"/>
  <c r="BA165"/>
  <c r="CM165"/>
  <c r="CL165"/>
  <c r="CK165"/>
  <c r="AY165"/>
  <c r="B164"/>
  <c r="CZ164"/>
  <c r="DJ164" s="1"/>
  <c r="DF164"/>
  <c r="DG164"/>
  <c r="DH164"/>
  <c r="DI164"/>
  <c r="DK164"/>
  <c r="EU164" s="1"/>
  <c r="DL164"/>
  <c r="DN164"/>
  <c r="DO164"/>
  <c r="DP164"/>
  <c r="DQ164"/>
  <c r="DS164"/>
  <c r="DT164"/>
  <c r="FD164" s="1"/>
  <c r="DV164"/>
  <c r="FF164" s="1"/>
  <c r="DW164"/>
  <c r="DX164"/>
  <c r="DY164"/>
  <c r="EA164"/>
  <c r="FK164" s="1"/>
  <c r="EB164"/>
  <c r="ED164"/>
  <c r="EE164"/>
  <c r="FO164" s="1"/>
  <c r="EF164"/>
  <c r="EG164"/>
  <c r="EI164"/>
  <c r="EJ164"/>
  <c r="DD164"/>
  <c r="DE164" s="1"/>
  <c r="DC164"/>
  <c r="BA164"/>
  <c r="CM164"/>
  <c r="CL164"/>
  <c r="CK164"/>
  <c r="AY164"/>
  <c r="B162"/>
  <c r="CZ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FG163" s="1"/>
  <c r="DX163"/>
  <c r="FH163" s="1"/>
  <c r="DY163"/>
  <c r="DZ163"/>
  <c r="EA163"/>
  <c r="FK163" s="1"/>
  <c r="EB163"/>
  <c r="EC163"/>
  <c r="ED163"/>
  <c r="FN163" s="1"/>
  <c r="EE163"/>
  <c r="FO163" s="1"/>
  <c r="EF163"/>
  <c r="EG163"/>
  <c r="EH163"/>
  <c r="FR163"/>
  <c r="EI163"/>
  <c r="FS163" s="1"/>
  <c r="EJ163"/>
  <c r="DD163"/>
  <c r="BA163"/>
  <c r="CM163"/>
  <c r="CL163"/>
  <c r="CK163"/>
  <c r="AY163"/>
  <c r="B159"/>
  <c r="CZ162"/>
  <c r="DF162"/>
  <c r="DG162"/>
  <c r="EQ162" s="1"/>
  <c r="DH162"/>
  <c r="ER162" s="1"/>
  <c r="DI162"/>
  <c r="DJ162"/>
  <c r="DK162"/>
  <c r="EU162" s="1"/>
  <c r="DL162"/>
  <c r="DM162"/>
  <c r="EW162" s="1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FO162" s="1"/>
  <c r="EF162"/>
  <c r="EG162"/>
  <c r="EH162"/>
  <c r="FR162" s="1"/>
  <c r="EI162"/>
  <c r="EJ162"/>
  <c r="DD162"/>
  <c r="DE162" s="1"/>
  <c r="DC162"/>
  <c r="BA162"/>
  <c r="CM162" s="1"/>
  <c r="CL162"/>
  <c r="CK162"/>
  <c r="AY162"/>
  <c r="B160"/>
  <c r="CX161"/>
  <c r="CZ161"/>
  <c r="DP161"/>
  <c r="DV161"/>
  <c r="FF161" s="1"/>
  <c r="DD161"/>
  <c r="BA161"/>
  <c r="CM161"/>
  <c r="CL161"/>
  <c r="CK161"/>
  <c r="AY161"/>
  <c r="B166"/>
  <c r="CW160"/>
  <c r="CX160"/>
  <c r="CZ160"/>
  <c r="EB160"/>
  <c r="ED160"/>
  <c r="DD160"/>
  <c r="DC160" s="1"/>
  <c r="DE160"/>
  <c r="BA160"/>
  <c r="CM160"/>
  <c r="CL160"/>
  <c r="CK160"/>
  <c r="AY160"/>
  <c r="B158"/>
  <c r="CX159"/>
  <c r="DH159" s="1"/>
  <c r="ER159" s="1"/>
  <c r="CZ159"/>
  <c r="DG159"/>
  <c r="DJ159"/>
  <c r="DN159"/>
  <c r="DO159"/>
  <c r="EY159" s="1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FO159" s="1"/>
  <c r="EF159"/>
  <c r="EG159"/>
  <c r="EH159"/>
  <c r="FR159" s="1"/>
  <c r="EI159"/>
  <c r="EJ159"/>
  <c r="DD159"/>
  <c r="DE159"/>
  <c r="DC159"/>
  <c r="CL159"/>
  <c r="CK159"/>
  <c r="AY159"/>
  <c r="B161"/>
  <c r="CZ158"/>
  <c r="DF158"/>
  <c r="DG158"/>
  <c r="DH158"/>
  <c r="DI158"/>
  <c r="ES158" s="1"/>
  <c r="DJ158"/>
  <c r="DK158"/>
  <c r="DL158"/>
  <c r="DM158"/>
  <c r="EW158" s="1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5"/>
  <c r="CZ157"/>
  <c r="DF157"/>
  <c r="DH157"/>
  <c r="DJ157"/>
  <c r="DL157"/>
  <c r="EV157" s="1"/>
  <c r="DN157"/>
  <c r="DP157"/>
  <c r="DR157"/>
  <c r="FB157" s="1"/>
  <c r="DT157"/>
  <c r="FD157" s="1"/>
  <c r="DV157"/>
  <c r="DX157"/>
  <c r="DZ157"/>
  <c r="FJ157" s="1"/>
  <c r="EB157"/>
  <c r="ED157"/>
  <c r="EF157"/>
  <c r="EH157"/>
  <c r="FR157" s="1"/>
  <c r="EJ157"/>
  <c r="DD157"/>
  <c r="DC157" s="1"/>
  <c r="DE157"/>
  <c r="BA157"/>
  <c r="CM157" s="1"/>
  <c r="CL157"/>
  <c r="CK157"/>
  <c r="AY157"/>
  <c r="B155"/>
  <c r="CX156"/>
  <c r="DI156" s="1"/>
  <c r="CZ156"/>
  <c r="DF156"/>
  <c r="DG156"/>
  <c r="DH156"/>
  <c r="DJ156"/>
  <c r="DL156"/>
  <c r="DN156"/>
  <c r="DO156"/>
  <c r="DP156"/>
  <c r="EZ156" s="1"/>
  <c r="DQ156"/>
  <c r="DR156"/>
  <c r="DS156"/>
  <c r="DT156"/>
  <c r="DU156"/>
  <c r="DV156"/>
  <c r="DW156"/>
  <c r="DX156"/>
  <c r="FH156" s="1"/>
  <c r="DY156"/>
  <c r="DZ156"/>
  <c r="EA156"/>
  <c r="FK156" s="1"/>
  <c r="EB156"/>
  <c r="EC156"/>
  <c r="ED156"/>
  <c r="EE156"/>
  <c r="FO156" s="1"/>
  <c r="EF156"/>
  <c r="EG156"/>
  <c r="EH156"/>
  <c r="FR156" s="1"/>
  <c r="EI156"/>
  <c r="EJ156"/>
  <c r="FT156" s="1"/>
  <c r="DD156"/>
  <c r="DC156" s="1"/>
  <c r="DE156"/>
  <c r="BA156"/>
  <c r="CM156"/>
  <c r="CL156"/>
  <c r="CK156"/>
  <c r="AY156"/>
  <c r="B157"/>
  <c r="CZ155"/>
  <c r="DK155" s="1"/>
  <c r="EU155" s="1"/>
  <c r="DG155"/>
  <c r="DO155"/>
  <c r="EY155" s="1"/>
  <c r="DW155"/>
  <c r="EE155"/>
  <c r="FO155" s="1"/>
  <c r="DD155"/>
  <c r="DE155"/>
  <c r="DC155"/>
  <c r="BA155"/>
  <c r="CM155" s="1"/>
  <c r="CL155"/>
  <c r="CK155"/>
  <c r="AY155"/>
  <c r="B150"/>
  <c r="CZ154"/>
  <c r="DG154" s="1"/>
  <c r="DF154"/>
  <c r="DH154"/>
  <c r="DJ154"/>
  <c r="DL154"/>
  <c r="DN154"/>
  <c r="DP154"/>
  <c r="DR154"/>
  <c r="FB154" s="1"/>
  <c r="DT154"/>
  <c r="DV154"/>
  <c r="DX154"/>
  <c r="FH154" s="1"/>
  <c r="DZ154"/>
  <c r="EB154"/>
  <c r="ED154"/>
  <c r="EF154"/>
  <c r="EH154"/>
  <c r="FR154"/>
  <c r="EJ154"/>
  <c r="FT154"/>
  <c r="DD154"/>
  <c r="DC154" s="1"/>
  <c r="DE154"/>
  <c r="BA154"/>
  <c r="CM154"/>
  <c r="CL154"/>
  <c r="CK154"/>
  <c r="AY154"/>
  <c r="B151"/>
  <c r="CZ153"/>
  <c r="DG153"/>
  <c r="DI153"/>
  <c r="ES153" s="1"/>
  <c r="DK153"/>
  <c r="EU153" s="1"/>
  <c r="DM153"/>
  <c r="EW153" s="1"/>
  <c r="DO153"/>
  <c r="DQ153"/>
  <c r="DS153"/>
  <c r="DU153"/>
  <c r="DW153"/>
  <c r="DY153"/>
  <c r="EA153"/>
  <c r="EC153"/>
  <c r="EE153"/>
  <c r="FO153" s="1"/>
  <c r="EG153"/>
  <c r="EI153"/>
  <c r="DD153"/>
  <c r="DE153"/>
  <c r="DC153"/>
  <c r="BA153"/>
  <c r="CM153" s="1"/>
  <c r="CL153"/>
  <c r="CK153"/>
  <c r="AY153"/>
  <c r="B154"/>
  <c r="CZ152"/>
  <c r="DG152" s="1"/>
  <c r="DF152"/>
  <c r="DH152"/>
  <c r="DJ152"/>
  <c r="DL152"/>
  <c r="DN152"/>
  <c r="DP152"/>
  <c r="DR152"/>
  <c r="FB152"/>
  <c r="DT152"/>
  <c r="DV152"/>
  <c r="FF152"/>
  <c r="DX152"/>
  <c r="FH152"/>
  <c r="DZ152"/>
  <c r="EB152"/>
  <c r="ED152"/>
  <c r="EF152"/>
  <c r="EH152"/>
  <c r="FR152"/>
  <c r="EJ152"/>
  <c r="DD152"/>
  <c r="DC152" s="1"/>
  <c r="DE152"/>
  <c r="BA152"/>
  <c r="CM152"/>
  <c r="CL152"/>
  <c r="CK152"/>
  <c r="AY152"/>
  <c r="B152"/>
  <c r="CZ151"/>
  <c r="DK151" s="1"/>
  <c r="DG151"/>
  <c r="DO151"/>
  <c r="EY151" s="1"/>
  <c r="DW151"/>
  <c r="EE151"/>
  <c r="FO151" s="1"/>
  <c r="DD151"/>
  <c r="DE151"/>
  <c r="DC151"/>
  <c r="BA151"/>
  <c r="CM151" s="1"/>
  <c r="CL151"/>
  <c r="CK151"/>
  <c r="AY151"/>
  <c r="B153"/>
  <c r="CZ150"/>
  <c r="DG150" s="1"/>
  <c r="DF150"/>
  <c r="DH150"/>
  <c r="DJ150"/>
  <c r="DL150"/>
  <c r="DN150"/>
  <c r="DP150"/>
  <c r="EZ150"/>
  <c r="DR150"/>
  <c r="FB150"/>
  <c r="DT150"/>
  <c r="DV150"/>
  <c r="FF150"/>
  <c r="DX150"/>
  <c r="DZ150"/>
  <c r="EB150"/>
  <c r="FL150" s="1"/>
  <c r="ED150"/>
  <c r="EF150"/>
  <c r="EH150"/>
  <c r="FR150"/>
  <c r="EJ150"/>
  <c r="DD150"/>
  <c r="DC150" s="1"/>
  <c r="DE150"/>
  <c r="BA150"/>
  <c r="CM150"/>
  <c r="CL150"/>
  <c r="CK150"/>
  <c r="AY150"/>
  <c r="B148"/>
  <c r="CW149"/>
  <c r="CX149"/>
  <c r="CZ149"/>
  <c r="DF149"/>
  <c r="DH149"/>
  <c r="DJ149"/>
  <c r="DL149"/>
  <c r="DN149"/>
  <c r="DP149"/>
  <c r="EZ149"/>
  <c r="DR149"/>
  <c r="DT149"/>
  <c r="DV149"/>
  <c r="FF149" s="1"/>
  <c r="DX149"/>
  <c r="DZ149"/>
  <c r="EB149"/>
  <c r="ED149"/>
  <c r="EF149"/>
  <c r="EH149"/>
  <c r="FR149" s="1"/>
  <c r="EJ149"/>
  <c r="FT149"/>
  <c r="DD149"/>
  <c r="CM149"/>
  <c r="CL149"/>
  <c r="CK149"/>
  <c r="AY149"/>
  <c r="B149"/>
  <c r="CZ148"/>
  <c r="DF148"/>
  <c r="DJ148"/>
  <c r="DN148"/>
  <c r="DR148"/>
  <c r="DV148"/>
  <c r="DZ148"/>
  <c r="ED148"/>
  <c r="EH148"/>
  <c r="DD148"/>
  <c r="CL148"/>
  <c r="CK148"/>
  <c r="AY148"/>
  <c r="B156"/>
  <c r="CZ147"/>
  <c r="DF147"/>
  <c r="DH147"/>
  <c r="DJ147"/>
  <c r="DL147"/>
  <c r="DN147"/>
  <c r="DP147"/>
  <c r="DR147"/>
  <c r="FB147" s="1"/>
  <c r="DT147"/>
  <c r="DV147"/>
  <c r="DX147"/>
  <c r="FH147" s="1"/>
  <c r="DZ147"/>
  <c r="EB147"/>
  <c r="FL147" s="1"/>
  <c r="ED147"/>
  <c r="EF147"/>
  <c r="EH147"/>
  <c r="FR147" s="1"/>
  <c r="EJ147"/>
  <c r="DD147"/>
  <c r="BA147"/>
  <c r="CM147"/>
  <c r="CL147"/>
  <c r="CK147"/>
  <c r="AY147"/>
  <c r="B142"/>
  <c r="CX146"/>
  <c r="CZ146"/>
  <c r="DG146" s="1"/>
  <c r="DF146"/>
  <c r="DH146"/>
  <c r="DJ146"/>
  <c r="DL146"/>
  <c r="DN146"/>
  <c r="DP146"/>
  <c r="DR146"/>
  <c r="DT146"/>
  <c r="DV146"/>
  <c r="DX146"/>
  <c r="DZ146"/>
  <c r="FJ146"/>
  <c r="EB146"/>
  <c r="ED146"/>
  <c r="EF146"/>
  <c r="EH146"/>
  <c r="FR146" s="1"/>
  <c r="EJ146"/>
  <c r="DD146"/>
  <c r="DC146" s="1"/>
  <c r="DE146"/>
  <c r="BA146"/>
  <c r="CM146"/>
  <c r="CL146"/>
  <c r="CK146"/>
  <c r="AY146"/>
  <c r="B146"/>
  <c r="CX145"/>
  <c r="CZ145"/>
  <c r="DI145"/>
  <c r="ES145" s="1"/>
  <c r="DM145"/>
  <c r="EW145" s="1"/>
  <c r="DN145"/>
  <c r="DO145"/>
  <c r="DP145"/>
  <c r="DQ145"/>
  <c r="DR145"/>
  <c r="FB145"/>
  <c r="DS145"/>
  <c r="DT145"/>
  <c r="DU145"/>
  <c r="DV145"/>
  <c r="FF145"/>
  <c r="DW145"/>
  <c r="DX145"/>
  <c r="DY145"/>
  <c r="FI145" s="1"/>
  <c r="DZ145"/>
  <c r="EA145"/>
  <c r="FK145" s="1"/>
  <c r="EB145"/>
  <c r="EC145"/>
  <c r="FM145" s="1"/>
  <c r="ED145"/>
  <c r="FN145"/>
  <c r="EE145"/>
  <c r="FO145" s="1"/>
  <c r="EF145"/>
  <c r="EG145"/>
  <c r="EH145"/>
  <c r="FR145" s="1"/>
  <c r="EI145"/>
  <c r="EJ145"/>
  <c r="FT145"/>
  <c r="DD145"/>
  <c r="DE145"/>
  <c r="DC145"/>
  <c r="BA145"/>
  <c r="CM145"/>
  <c r="CL145"/>
  <c r="CK145"/>
  <c r="AY145"/>
  <c r="B143"/>
  <c r="CX144"/>
  <c r="CZ144"/>
  <c r="DG144"/>
  <c r="DK144"/>
  <c r="DO144"/>
  <c r="DS144"/>
  <c r="DW144"/>
  <c r="FG144" s="1"/>
  <c r="EA144"/>
  <c r="FK144" s="1"/>
  <c r="EE144"/>
  <c r="FO144" s="1"/>
  <c r="EI144"/>
  <c r="FS144" s="1"/>
  <c r="DD144"/>
  <c r="DE144"/>
  <c r="DC144"/>
  <c r="BA144"/>
  <c r="CM144" s="1"/>
  <c r="CL144"/>
  <c r="CK144"/>
  <c r="AY144"/>
  <c r="B144"/>
  <c r="CZ143"/>
  <c r="DG143" s="1"/>
  <c r="DF143"/>
  <c r="DH143"/>
  <c r="DJ143"/>
  <c r="DL143"/>
  <c r="EV143" s="1"/>
  <c r="DN143"/>
  <c r="DP143"/>
  <c r="EZ143"/>
  <c r="DR143"/>
  <c r="DT143"/>
  <c r="DV143"/>
  <c r="FF143"/>
  <c r="DW143"/>
  <c r="DX143"/>
  <c r="DY143"/>
  <c r="FI143" s="1"/>
  <c r="DZ143"/>
  <c r="EA143"/>
  <c r="EB143"/>
  <c r="EC143"/>
  <c r="FM143" s="1"/>
  <c r="ED143"/>
  <c r="EE143"/>
  <c r="FO143"/>
  <c r="EF143"/>
  <c r="EG143"/>
  <c r="EH143"/>
  <c r="FR143"/>
  <c r="EI143"/>
  <c r="FS143"/>
  <c r="EJ143"/>
  <c r="DD143"/>
  <c r="DC143" s="1"/>
  <c r="DE143"/>
  <c r="BA143"/>
  <c r="CM143"/>
  <c r="CL143"/>
  <c r="CK143"/>
  <c r="AY143"/>
  <c r="B140"/>
  <c r="CX142"/>
  <c r="CZ142"/>
  <c r="DI142"/>
  <c r="DM142"/>
  <c r="EW142" s="1"/>
  <c r="DN142"/>
  <c r="DO142"/>
  <c r="DP142"/>
  <c r="EZ142" s="1"/>
  <c r="DQ142"/>
  <c r="DR142"/>
  <c r="FB142"/>
  <c r="DS142"/>
  <c r="FC142" s="1"/>
  <c r="DT142"/>
  <c r="DU142"/>
  <c r="DV142"/>
  <c r="DW142"/>
  <c r="DX142"/>
  <c r="DY142"/>
  <c r="DZ142"/>
  <c r="EA142"/>
  <c r="FK142" s="1"/>
  <c r="EB142"/>
  <c r="EC142"/>
  <c r="ED142"/>
  <c r="EE142"/>
  <c r="FO142" s="1"/>
  <c r="EF142"/>
  <c r="EG142"/>
  <c r="EH142"/>
  <c r="FR142" s="1"/>
  <c r="EI142"/>
  <c r="FS142" s="1"/>
  <c r="EJ142"/>
  <c r="FT142"/>
  <c r="DD142"/>
  <c r="DE142"/>
  <c r="DC142"/>
  <c r="BA142"/>
  <c r="CM142"/>
  <c r="CL142"/>
  <c r="CK142"/>
  <c r="AY142"/>
  <c r="B138"/>
  <c r="CW141"/>
  <c r="CX141"/>
  <c r="CZ141"/>
  <c r="DI141"/>
  <c r="DM141"/>
  <c r="EW141" s="1"/>
  <c r="DO141"/>
  <c r="DQ141"/>
  <c r="DS141"/>
  <c r="DU141"/>
  <c r="DW141"/>
  <c r="DY141"/>
  <c r="EA141"/>
  <c r="FK141" s="1"/>
  <c r="EC141"/>
  <c r="EE141"/>
  <c r="FO141" s="1"/>
  <c r="EG141"/>
  <c r="EI141"/>
  <c r="DD141"/>
  <c r="DE141"/>
  <c r="DC141"/>
  <c r="BA141"/>
  <c r="CM141"/>
  <c r="CL141"/>
  <c r="CK141"/>
  <c r="AY141"/>
  <c r="B141"/>
  <c r="CW140"/>
  <c r="CX140"/>
  <c r="CZ140"/>
  <c r="DO140"/>
  <c r="DQ140"/>
  <c r="DS140"/>
  <c r="DU140"/>
  <c r="DW140"/>
  <c r="DY140"/>
  <c r="FI140" s="1"/>
  <c r="EA140"/>
  <c r="FK140" s="1"/>
  <c r="EC140"/>
  <c r="EE140"/>
  <c r="FO140" s="1"/>
  <c r="EG140"/>
  <c r="EI140"/>
  <c r="DD140"/>
  <c r="DE140"/>
  <c r="DC140"/>
  <c r="BA140"/>
  <c r="CM140"/>
  <c r="CL140"/>
  <c r="CK140"/>
  <c r="AY140"/>
  <c r="B147"/>
  <c r="CZ139"/>
  <c r="DJ139" s="1"/>
  <c r="DF139"/>
  <c r="DG139"/>
  <c r="DH139"/>
  <c r="DI139"/>
  <c r="DK139"/>
  <c r="EU139"/>
  <c r="DL139"/>
  <c r="DN139"/>
  <c r="DO139"/>
  <c r="DP139"/>
  <c r="DQ139"/>
  <c r="DS139"/>
  <c r="DT139"/>
  <c r="DV139"/>
  <c r="FF139" s="1"/>
  <c r="DW139"/>
  <c r="DX139"/>
  <c r="DY139"/>
  <c r="FI139" s="1"/>
  <c r="EA139"/>
  <c r="FK139" s="1"/>
  <c r="EB139"/>
  <c r="ED139"/>
  <c r="EE139"/>
  <c r="FO139" s="1"/>
  <c r="EF139"/>
  <c r="EG139"/>
  <c r="EI139"/>
  <c r="EJ139"/>
  <c r="DD139"/>
  <c r="DE139" s="1"/>
  <c r="DC139"/>
  <c r="BA139"/>
  <c r="CM139"/>
  <c r="CL139"/>
  <c r="CK139"/>
  <c r="AY139"/>
  <c r="B139"/>
  <c r="CZ138"/>
  <c r="DF138"/>
  <c r="DG138"/>
  <c r="DH138"/>
  <c r="DI138"/>
  <c r="DJ138"/>
  <c r="DK138"/>
  <c r="DL138"/>
  <c r="DM138"/>
  <c r="DN138"/>
  <c r="DO138"/>
  <c r="DP138"/>
  <c r="DQ138"/>
  <c r="DR138"/>
  <c r="DS138"/>
  <c r="DT138"/>
  <c r="FD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45"/>
  <c r="CZ137"/>
  <c r="DF137"/>
  <c r="DG137"/>
  <c r="DH137"/>
  <c r="DI137"/>
  <c r="ES137" s="1"/>
  <c r="DJ137"/>
  <c r="DK137"/>
  <c r="EU137" s="1"/>
  <c r="DL137"/>
  <c r="DM137"/>
  <c r="EW137" s="1"/>
  <c r="DN137"/>
  <c r="DO137"/>
  <c r="DP137"/>
  <c r="DQ137"/>
  <c r="DR137"/>
  <c r="FB137" s="1"/>
  <c r="DS137"/>
  <c r="DT137"/>
  <c r="DU137"/>
  <c r="DV137"/>
  <c r="FF137" s="1"/>
  <c r="DW137"/>
  <c r="DX137"/>
  <c r="DY137"/>
  <c r="FI137"/>
  <c r="DZ137"/>
  <c r="EA137"/>
  <c r="EB137"/>
  <c r="EC137"/>
  <c r="ED137"/>
  <c r="EE137"/>
  <c r="FO137" s="1"/>
  <c r="EF137"/>
  <c r="EG137"/>
  <c r="EH137"/>
  <c r="FR137" s="1"/>
  <c r="EI137"/>
  <c r="FS137" s="1"/>
  <c r="EJ137"/>
  <c r="FT137" s="1"/>
  <c r="DD137"/>
  <c r="DE137"/>
  <c r="DC137"/>
  <c r="BA137"/>
  <c r="CM137" s="1"/>
  <c r="CL137"/>
  <c r="CK137"/>
  <c r="AY137"/>
  <c r="B129"/>
  <c r="CZ136"/>
  <c r="DG136" s="1"/>
  <c r="DF136"/>
  <c r="DH136"/>
  <c r="DJ136"/>
  <c r="ET136" s="1"/>
  <c r="DL136"/>
  <c r="DN136"/>
  <c r="DP136"/>
  <c r="DR136"/>
  <c r="FB136" s="1"/>
  <c r="DT136"/>
  <c r="DV136"/>
  <c r="DX136"/>
  <c r="FH136" s="1"/>
  <c r="DZ136"/>
  <c r="EB136"/>
  <c r="ED136"/>
  <c r="EF136"/>
  <c r="EH136"/>
  <c r="FR136" s="1"/>
  <c r="EJ136"/>
  <c r="DD136"/>
  <c r="DC136" s="1"/>
  <c r="DE136"/>
  <c r="BA136"/>
  <c r="CM136"/>
  <c r="CL136"/>
  <c r="CK136"/>
  <c r="AY136"/>
  <c r="B136"/>
  <c r="CW135"/>
  <c r="CX135"/>
  <c r="CZ135"/>
  <c r="DF135"/>
  <c r="DH135"/>
  <c r="DJ135"/>
  <c r="DL135"/>
  <c r="DN135"/>
  <c r="DP135"/>
  <c r="EZ135" s="1"/>
  <c r="DR135"/>
  <c r="FB135" s="1"/>
  <c r="DT135"/>
  <c r="FD135"/>
  <c r="DV135"/>
  <c r="DX135"/>
  <c r="DZ135"/>
  <c r="EB135"/>
  <c r="ED135"/>
  <c r="EF135"/>
  <c r="EH135"/>
  <c r="FR135" s="1"/>
  <c r="EJ135"/>
  <c r="DD135"/>
  <c r="DC135" s="1"/>
  <c r="BA135"/>
  <c r="CM135"/>
  <c r="CL135"/>
  <c r="CK135"/>
  <c r="AY135"/>
  <c r="B130"/>
  <c r="CW134"/>
  <c r="CX134"/>
  <c r="CZ134"/>
  <c r="DF134"/>
  <c r="DJ134"/>
  <c r="DN134"/>
  <c r="DR134"/>
  <c r="FB134" s="1"/>
  <c r="DV134"/>
  <c r="FF134" s="1"/>
  <c r="DZ134"/>
  <c r="ED134"/>
  <c r="EH134"/>
  <c r="FR134" s="1"/>
  <c r="DD134"/>
  <c r="DC134" s="1"/>
  <c r="BA134"/>
  <c r="CM134"/>
  <c r="CL134"/>
  <c r="CK134"/>
  <c r="AY134"/>
  <c r="B128"/>
  <c r="CZ133"/>
  <c r="DG133" s="1"/>
  <c r="DD133"/>
  <c r="DE133"/>
  <c r="DC133"/>
  <c r="BA133"/>
  <c r="CM133" s="1"/>
  <c r="CL133"/>
  <c r="CK133"/>
  <c r="AY133"/>
  <c r="B132"/>
  <c r="CX132"/>
  <c r="CZ132"/>
  <c r="DF132"/>
  <c r="DH132"/>
  <c r="DJ132"/>
  <c r="DL132"/>
  <c r="DN132"/>
  <c r="DP132"/>
  <c r="EZ132" s="1"/>
  <c r="DR132"/>
  <c r="FB132" s="1"/>
  <c r="DT132"/>
  <c r="DV132"/>
  <c r="DX132"/>
  <c r="DZ132"/>
  <c r="EB132"/>
  <c r="ED132"/>
  <c r="EF132"/>
  <c r="EH132"/>
  <c r="FR132" s="1"/>
  <c r="EJ132"/>
  <c r="DD132"/>
  <c r="BA132"/>
  <c r="CM132" s="1"/>
  <c r="CL132"/>
  <c r="CK132"/>
  <c r="AY132"/>
  <c r="B137"/>
  <c r="CZ131"/>
  <c r="DF131"/>
  <c r="DG131"/>
  <c r="DH131"/>
  <c r="DI131"/>
  <c r="ES131" s="1"/>
  <c r="DJ131"/>
  <c r="DK131"/>
  <c r="DL131"/>
  <c r="DM131"/>
  <c r="EW131" s="1"/>
  <c r="DN131"/>
  <c r="DO131"/>
  <c r="DP131"/>
  <c r="DQ131"/>
  <c r="DR131"/>
  <c r="DS131"/>
  <c r="DT131"/>
  <c r="DU131"/>
  <c r="DV131"/>
  <c r="DW131"/>
  <c r="DX131"/>
  <c r="DY131"/>
  <c r="DZ131"/>
  <c r="EA131"/>
  <c r="FK131" s="1"/>
  <c r="EB131"/>
  <c r="EC131"/>
  <c r="ED131"/>
  <c r="FN131" s="1"/>
  <c r="EE131"/>
  <c r="FO131" s="1"/>
  <c r="EF131"/>
  <c r="EG131"/>
  <c r="EH131"/>
  <c r="FR131"/>
  <c r="EI131"/>
  <c r="EJ131"/>
  <c r="DD131"/>
  <c r="DE131"/>
  <c r="DC131"/>
  <c r="BA131"/>
  <c r="CM131"/>
  <c r="CL131"/>
  <c r="CK131"/>
  <c r="AY131"/>
  <c r="B134"/>
  <c r="CX130"/>
  <c r="DG130" s="1"/>
  <c r="CZ130"/>
  <c r="DI130"/>
  <c r="DM130"/>
  <c r="EW130" s="1"/>
  <c r="DQ130"/>
  <c r="DU130"/>
  <c r="DY130"/>
  <c r="EC130"/>
  <c r="EG130"/>
  <c r="DD130"/>
  <c r="DE130"/>
  <c r="DC130"/>
  <c r="BA130"/>
  <c r="CM130" s="1"/>
  <c r="CL130"/>
  <c r="CK130"/>
  <c r="AY130"/>
  <c r="B133"/>
  <c r="CX129"/>
  <c r="CZ129"/>
  <c r="DH129" s="1"/>
  <c r="ER129" s="1"/>
  <c r="DF129"/>
  <c r="DJ129"/>
  <c r="DN129"/>
  <c r="DR129"/>
  <c r="FB129" s="1"/>
  <c r="DV129"/>
  <c r="DZ129"/>
  <c r="ED129"/>
  <c r="EH129"/>
  <c r="FR129" s="1"/>
  <c r="DD129"/>
  <c r="BA129"/>
  <c r="CM129" s="1"/>
  <c r="CL129"/>
  <c r="CK129"/>
  <c r="AY129"/>
  <c r="B135"/>
  <c r="CW128"/>
  <c r="CX128"/>
  <c r="CZ128"/>
  <c r="DH128"/>
  <c r="DL128"/>
  <c r="DP128"/>
  <c r="DT128"/>
  <c r="DX128"/>
  <c r="EB128"/>
  <c r="EF128"/>
  <c r="EJ128"/>
  <c r="DD128"/>
  <c r="CL128"/>
  <c r="CK128"/>
  <c r="AY128"/>
  <c r="B131"/>
  <c r="CX127"/>
  <c r="CZ127"/>
  <c r="DD127"/>
  <c r="DE127"/>
  <c r="DC127"/>
  <c r="BA127"/>
  <c r="CM127" s="1"/>
  <c r="CL127"/>
  <c r="CK127"/>
  <c r="AY127"/>
  <c r="B120"/>
  <c r="CX126"/>
  <c r="CZ126"/>
  <c r="DF126"/>
  <c r="DH126"/>
  <c r="ER126" s="1"/>
  <c r="DJ126"/>
  <c r="DL126"/>
  <c r="DN126"/>
  <c r="DP126"/>
  <c r="EZ126" s="1"/>
  <c r="DR126"/>
  <c r="DT126"/>
  <c r="DV126"/>
  <c r="FF126" s="1"/>
  <c r="DX126"/>
  <c r="DZ126"/>
  <c r="EB126"/>
  <c r="ED126"/>
  <c r="EF126"/>
  <c r="EH126"/>
  <c r="FR126" s="1"/>
  <c r="EJ126"/>
  <c r="DD126"/>
  <c r="BA126"/>
  <c r="CM126" s="1"/>
  <c r="CL126"/>
  <c r="CK126"/>
  <c r="AY126"/>
  <c r="B122"/>
  <c r="CX125"/>
  <c r="CZ125"/>
  <c r="DG125" s="1"/>
  <c r="DF125"/>
  <c r="DH125"/>
  <c r="DJ125"/>
  <c r="DL125"/>
  <c r="DN125"/>
  <c r="DP125"/>
  <c r="DR125"/>
  <c r="DT125"/>
  <c r="DV125"/>
  <c r="FF125" s="1"/>
  <c r="DX125"/>
  <c r="FH125"/>
  <c r="DZ125"/>
  <c r="EB125"/>
  <c r="ED125"/>
  <c r="EF125"/>
  <c r="EH125"/>
  <c r="FR125" s="1"/>
  <c r="EJ125"/>
  <c r="DD125"/>
  <c r="DC125" s="1"/>
  <c r="BA125"/>
  <c r="CM125"/>
  <c r="CL125"/>
  <c r="CK125"/>
  <c r="AY125"/>
  <c r="B124"/>
  <c r="CX124"/>
  <c r="DI124" s="1"/>
  <c r="CZ124"/>
  <c r="DN124"/>
  <c r="DO124"/>
  <c r="DP124"/>
  <c r="DQ124"/>
  <c r="DR124"/>
  <c r="DS124"/>
  <c r="DT124"/>
  <c r="FD124"/>
  <c r="DU124"/>
  <c r="DV124"/>
  <c r="DW124"/>
  <c r="DX124"/>
  <c r="FH124"/>
  <c r="DY124"/>
  <c r="DZ124"/>
  <c r="EA124"/>
  <c r="FK124" s="1"/>
  <c r="EB124"/>
  <c r="EC124"/>
  <c r="ED124"/>
  <c r="EE124"/>
  <c r="FO124" s="1"/>
  <c r="EF124"/>
  <c r="EG124"/>
  <c r="EH124"/>
  <c r="FR124" s="1"/>
  <c r="EI124"/>
  <c r="FS124" s="1"/>
  <c r="EJ124"/>
  <c r="DD124"/>
  <c r="DE124"/>
  <c r="DC124"/>
  <c r="BA124"/>
  <c r="CM124"/>
  <c r="CL124"/>
  <c r="CK124"/>
  <c r="AY124"/>
  <c r="B121"/>
  <c r="CX123"/>
  <c r="CZ123"/>
  <c r="DD123"/>
  <c r="DE123"/>
  <c r="DC123"/>
  <c r="BA123"/>
  <c r="CM123" s="1"/>
  <c r="CL123"/>
  <c r="CK123"/>
  <c r="AY123"/>
  <c r="B127"/>
  <c r="CX122"/>
  <c r="CZ122"/>
  <c r="DF122"/>
  <c r="DH122"/>
  <c r="DJ122"/>
  <c r="DL122"/>
  <c r="EV122" s="1"/>
  <c r="DN122"/>
  <c r="DP122"/>
  <c r="DR122"/>
  <c r="DT122"/>
  <c r="FD122" s="1"/>
  <c r="DV122"/>
  <c r="FF122" s="1"/>
  <c r="DX122"/>
  <c r="DZ122"/>
  <c r="EB122"/>
  <c r="ED122"/>
  <c r="FN122" s="1"/>
  <c r="EF122"/>
  <c r="EH122"/>
  <c r="FR122" s="1"/>
  <c r="EJ122"/>
  <c r="DD122"/>
  <c r="BA122"/>
  <c r="CM122" s="1"/>
  <c r="CL122"/>
  <c r="CK122"/>
  <c r="AY122"/>
  <c r="B125"/>
  <c r="CW121"/>
  <c r="CX121"/>
  <c r="CZ121"/>
  <c r="DD121"/>
  <c r="BA121"/>
  <c r="CM121"/>
  <c r="CL121"/>
  <c r="CK121"/>
  <c r="AY121"/>
  <c r="B126"/>
  <c r="CZ120"/>
  <c r="DF120"/>
  <c r="DG120"/>
  <c r="DH120"/>
  <c r="DI120"/>
  <c r="DJ120"/>
  <c r="DK120"/>
  <c r="DL120"/>
  <c r="EV120" s="1"/>
  <c r="DM120"/>
  <c r="EW120" s="1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FO120" s="1"/>
  <c r="EF120"/>
  <c r="EG120"/>
  <c r="EH120"/>
  <c r="FR120" s="1"/>
  <c r="EI120"/>
  <c r="EJ120"/>
  <c r="DD120"/>
  <c r="DE120"/>
  <c r="DC120"/>
  <c r="BA120"/>
  <c r="CM120"/>
  <c r="CL120"/>
  <c r="CK120"/>
  <c r="AY120"/>
  <c r="B119"/>
  <c r="CW119"/>
  <c r="CX119"/>
  <c r="DG119" s="1"/>
  <c r="CZ119"/>
  <c r="DI119"/>
  <c r="DM119"/>
  <c r="EW119" s="1"/>
  <c r="DO119"/>
  <c r="DQ119"/>
  <c r="DS119"/>
  <c r="DU119"/>
  <c r="DW119"/>
  <c r="DY119"/>
  <c r="EA119"/>
  <c r="FK119" s="1"/>
  <c r="EC119"/>
  <c r="FM119" s="1"/>
  <c r="EE119"/>
  <c r="FO119" s="1"/>
  <c r="EG119"/>
  <c r="EI119"/>
  <c r="DD119"/>
  <c r="DE119"/>
  <c r="DC119"/>
  <c r="BA119"/>
  <c r="CM119"/>
  <c r="CL119"/>
  <c r="CK119"/>
  <c r="AY119"/>
  <c r="B123"/>
  <c r="CX118"/>
  <c r="CZ118"/>
  <c r="DI118" s="1"/>
  <c r="DG118"/>
  <c r="DK118"/>
  <c r="EU118" s="1"/>
  <c r="DO118"/>
  <c r="DS118"/>
  <c r="DW118"/>
  <c r="EA118"/>
  <c r="EE118"/>
  <c r="EI118"/>
  <c r="DD118"/>
  <c r="DE118"/>
  <c r="DC118"/>
  <c r="CL118"/>
  <c r="CK118"/>
  <c r="AY118"/>
  <c r="B118"/>
  <c r="CZ117"/>
  <c r="DI117" s="1"/>
  <c r="ES117" s="1"/>
  <c r="DG117"/>
  <c r="DK117"/>
  <c r="EU117" s="1"/>
  <c r="DO117"/>
  <c r="DS117"/>
  <c r="DW117"/>
  <c r="EA117"/>
  <c r="EE117"/>
  <c r="FO117" s="1"/>
  <c r="EI117"/>
  <c r="FS117" s="1"/>
  <c r="DD117"/>
  <c r="DE117"/>
  <c r="DC117"/>
  <c r="BA117"/>
  <c r="CM117" s="1"/>
  <c r="CL117"/>
  <c r="CK117"/>
  <c r="AY117"/>
  <c r="B108"/>
  <c r="CZ116"/>
  <c r="DG116" s="1"/>
  <c r="DF116"/>
  <c r="DH116"/>
  <c r="DJ116"/>
  <c r="DL116"/>
  <c r="DN116"/>
  <c r="DP116"/>
  <c r="DR116"/>
  <c r="DT116"/>
  <c r="DV116"/>
  <c r="FF116" s="1"/>
  <c r="DX116"/>
  <c r="FH116" s="1"/>
  <c r="DZ116"/>
  <c r="EB116"/>
  <c r="FL116" s="1"/>
  <c r="ED116"/>
  <c r="EF116"/>
  <c r="EH116"/>
  <c r="FR116" s="1"/>
  <c r="EJ116"/>
  <c r="DD116"/>
  <c r="DC116" s="1"/>
  <c r="BA116"/>
  <c r="CM116"/>
  <c r="CL116"/>
  <c r="CK116"/>
  <c r="AY116"/>
  <c r="B116"/>
  <c r="CZ115"/>
  <c r="DI115"/>
  <c r="DM115"/>
  <c r="EW115" s="1"/>
  <c r="DQ115"/>
  <c r="DU115"/>
  <c r="DY115"/>
  <c r="FI115" s="1"/>
  <c r="EC115"/>
  <c r="EG115"/>
  <c r="DD115"/>
  <c r="DE115"/>
  <c r="DC115"/>
  <c r="BA115"/>
  <c r="CM115" s="1"/>
  <c r="CL115"/>
  <c r="CK115"/>
  <c r="AY115"/>
  <c r="B110"/>
  <c r="CZ114"/>
  <c r="DG114" s="1"/>
  <c r="DF114"/>
  <c r="DH114"/>
  <c r="ER114" s="1"/>
  <c r="DJ114"/>
  <c r="DL114"/>
  <c r="DN114"/>
  <c r="DP114"/>
  <c r="DR114"/>
  <c r="DT114"/>
  <c r="DV114"/>
  <c r="FF114" s="1"/>
  <c r="DX114"/>
  <c r="FH114" s="1"/>
  <c r="DZ114"/>
  <c r="EB114"/>
  <c r="FL114" s="1"/>
  <c r="ED114"/>
  <c r="EF114"/>
  <c r="EH114"/>
  <c r="FR114" s="1"/>
  <c r="EJ114"/>
  <c r="DD114"/>
  <c r="DC114" s="1"/>
  <c r="DE114"/>
  <c r="BA114"/>
  <c r="CM114"/>
  <c r="CL114"/>
  <c r="CK114"/>
  <c r="AY114"/>
  <c r="B117"/>
  <c r="CZ113"/>
  <c r="DI113" s="1"/>
  <c r="DG113"/>
  <c r="DK113"/>
  <c r="DO113"/>
  <c r="DS113"/>
  <c r="DW113"/>
  <c r="EA113"/>
  <c r="FK113" s="1"/>
  <c r="EE113"/>
  <c r="FO113" s="1"/>
  <c r="EI113"/>
  <c r="DD113"/>
  <c r="DE113"/>
  <c r="DC113"/>
  <c r="BA113"/>
  <c r="CM113" s="1"/>
  <c r="CL113"/>
  <c r="CK113"/>
  <c r="AY113"/>
  <c r="B111"/>
  <c r="CZ112"/>
  <c r="DG112" s="1"/>
  <c r="DF112"/>
  <c r="DH112"/>
  <c r="DJ112"/>
  <c r="DL112"/>
  <c r="DN112"/>
  <c r="DP112"/>
  <c r="DR112"/>
  <c r="FB112" s="1"/>
  <c r="DT112"/>
  <c r="FD112" s="1"/>
  <c r="DV112"/>
  <c r="DX112"/>
  <c r="DZ112"/>
  <c r="FJ112" s="1"/>
  <c r="EB112"/>
  <c r="ED112"/>
  <c r="EF112"/>
  <c r="EH112"/>
  <c r="FR112" s="1"/>
  <c r="EJ112"/>
  <c r="DD112"/>
  <c r="DC112" s="1"/>
  <c r="BA112"/>
  <c r="CM112"/>
  <c r="CL112"/>
  <c r="CK112"/>
  <c r="AY112"/>
  <c r="B114"/>
  <c r="CZ111"/>
  <c r="DI111"/>
  <c r="DM111"/>
  <c r="EW111" s="1"/>
  <c r="DQ111"/>
  <c r="DU111"/>
  <c r="DY111"/>
  <c r="EC111"/>
  <c r="EG111"/>
  <c r="DD111"/>
  <c r="DE111"/>
  <c r="DC111"/>
  <c r="BA111"/>
  <c r="CM111" s="1"/>
  <c r="CL111"/>
  <c r="CK111"/>
  <c r="AY111"/>
  <c r="B113"/>
  <c r="CZ110"/>
  <c r="DG110" s="1"/>
  <c r="DF110"/>
  <c r="DH110"/>
  <c r="DJ110"/>
  <c r="ET110" s="1"/>
  <c r="DL110"/>
  <c r="DN110"/>
  <c r="DP110"/>
  <c r="EZ110" s="1"/>
  <c r="DR110"/>
  <c r="FB110" s="1"/>
  <c r="DT110"/>
  <c r="DV110"/>
  <c r="DX110"/>
  <c r="FH110" s="1"/>
  <c r="DZ110"/>
  <c r="EB110"/>
  <c r="ED110"/>
  <c r="EF110"/>
  <c r="EH110"/>
  <c r="FR110"/>
  <c r="EJ110"/>
  <c r="DD110"/>
  <c r="DC110" s="1"/>
  <c r="DE110"/>
  <c r="BA110"/>
  <c r="CM110"/>
  <c r="CL110"/>
  <c r="CK110"/>
  <c r="AY110"/>
  <c r="B109"/>
  <c r="CZ109"/>
  <c r="DI109" s="1"/>
  <c r="DG109"/>
  <c r="DK109"/>
  <c r="DO109"/>
  <c r="EY109" s="1"/>
  <c r="DS109"/>
  <c r="FC109" s="1"/>
  <c r="DW109"/>
  <c r="EA109"/>
  <c r="EE109"/>
  <c r="FO109" s="1"/>
  <c r="EI109"/>
  <c r="FS109" s="1"/>
  <c r="DD109"/>
  <c r="DE109"/>
  <c r="DC109"/>
  <c r="BA109"/>
  <c r="CM109" s="1"/>
  <c r="CL109"/>
  <c r="CK109"/>
  <c r="AY109"/>
  <c r="B112"/>
  <c r="CZ108"/>
  <c r="DG108" s="1"/>
  <c r="DF108"/>
  <c r="DH108"/>
  <c r="ER108" s="1"/>
  <c r="DJ108"/>
  <c r="ET108" s="1"/>
  <c r="DL108"/>
  <c r="DN108"/>
  <c r="DP108"/>
  <c r="DR108"/>
  <c r="DT108"/>
  <c r="DV108"/>
  <c r="DX108"/>
  <c r="DZ108"/>
  <c r="EB108"/>
  <c r="ED108"/>
  <c r="EF108"/>
  <c r="EH108"/>
  <c r="EJ108"/>
  <c r="DD108"/>
  <c r="DC108" s="1"/>
  <c r="CL108"/>
  <c r="CK108"/>
  <c r="AY108"/>
  <c r="B115"/>
  <c r="CW107"/>
  <c r="CX107"/>
  <c r="DG107" s="1"/>
  <c r="CZ107"/>
  <c r="DO107" s="1"/>
  <c r="EY107" s="1"/>
  <c r="DI107"/>
  <c r="DM107"/>
  <c r="EW107" s="1"/>
  <c r="DQ107"/>
  <c r="DU107"/>
  <c r="DY107"/>
  <c r="EC107"/>
  <c r="EG107"/>
  <c r="DD107"/>
  <c r="DE107"/>
  <c r="DC107"/>
  <c r="BA107"/>
  <c r="CM107" s="1"/>
  <c r="CL107"/>
  <c r="CK107"/>
  <c r="AY107"/>
  <c r="B103"/>
  <c r="CZ106"/>
  <c r="DG106" s="1"/>
  <c r="DF106"/>
  <c r="DH106"/>
  <c r="ER106" s="1"/>
  <c r="DJ106"/>
  <c r="DL106"/>
  <c r="EV106" s="1"/>
  <c r="DN106"/>
  <c r="DP106"/>
  <c r="DR106"/>
  <c r="FB106" s="1"/>
  <c r="DT106"/>
  <c r="FD106" s="1"/>
  <c r="DV106"/>
  <c r="DX106"/>
  <c r="DZ106"/>
  <c r="EB106"/>
  <c r="ED106"/>
  <c r="EF106"/>
  <c r="EH106"/>
  <c r="FR106" s="1"/>
  <c r="EJ106"/>
  <c r="DD106"/>
  <c r="DC106" s="1"/>
  <c r="DE106"/>
  <c r="BA106"/>
  <c r="CM106"/>
  <c r="CL106"/>
  <c r="CK106"/>
  <c r="AY106"/>
  <c r="B102"/>
  <c r="CZ105"/>
  <c r="DI105" s="1"/>
  <c r="DG105"/>
  <c r="DK105"/>
  <c r="EU105" s="1"/>
  <c r="DO105"/>
  <c r="EY105" s="1"/>
  <c r="DS105"/>
  <c r="DW105"/>
  <c r="EA105"/>
  <c r="FK105" s="1"/>
  <c r="EE105"/>
  <c r="FO105" s="1"/>
  <c r="EI105"/>
  <c r="FS105" s="1"/>
  <c r="DD105"/>
  <c r="DE105"/>
  <c r="DC105"/>
  <c r="BA105"/>
  <c r="CM105" s="1"/>
  <c r="CL105"/>
  <c r="CK105"/>
  <c r="AY105"/>
  <c r="B104"/>
  <c r="CZ104"/>
  <c r="DG104" s="1"/>
  <c r="DF104"/>
  <c r="DH104"/>
  <c r="DJ104"/>
  <c r="DL104"/>
  <c r="DN104"/>
  <c r="EX104" s="1"/>
  <c r="DP104"/>
  <c r="EZ104" s="1"/>
  <c r="DR104"/>
  <c r="DT104"/>
  <c r="DV104"/>
  <c r="FF104" s="1"/>
  <c r="DX104"/>
  <c r="DZ104"/>
  <c r="EB104"/>
  <c r="ED104"/>
  <c r="EF104"/>
  <c r="EH104"/>
  <c r="FR104" s="1"/>
  <c r="EJ104"/>
  <c r="FT104"/>
  <c r="DD104"/>
  <c r="DC104" s="1"/>
  <c r="BA104"/>
  <c r="CM104"/>
  <c r="CL104"/>
  <c r="CK104"/>
  <c r="AY104"/>
  <c r="B101"/>
  <c r="CZ103"/>
  <c r="DI103"/>
  <c r="DM103"/>
  <c r="EW103" s="1"/>
  <c r="DQ103"/>
  <c r="FA103" s="1"/>
  <c r="DU103"/>
  <c r="DY103"/>
  <c r="EC103"/>
  <c r="EG103"/>
  <c r="DD103"/>
  <c r="DE103"/>
  <c r="DC103"/>
  <c r="BA103"/>
  <c r="CM103" s="1"/>
  <c r="CL103"/>
  <c r="CK103"/>
  <c r="AY103"/>
  <c r="B100"/>
  <c r="CZ102"/>
  <c r="DG102" s="1"/>
  <c r="DF102"/>
  <c r="DH102"/>
  <c r="DJ102"/>
  <c r="DL102"/>
  <c r="DN102"/>
  <c r="DP102"/>
  <c r="EZ102" s="1"/>
  <c r="DR102"/>
  <c r="FB102" s="1"/>
  <c r="DT102"/>
  <c r="DV102"/>
  <c r="DX102"/>
  <c r="FH102" s="1"/>
  <c r="DZ102"/>
  <c r="EB102"/>
  <c r="ED102"/>
  <c r="EF102"/>
  <c r="EH102"/>
  <c r="FR102" s="1"/>
  <c r="EJ102"/>
  <c r="DD102"/>
  <c r="DC102" s="1"/>
  <c r="DE102"/>
  <c r="BA102"/>
  <c r="CM102"/>
  <c r="CL102"/>
  <c r="CK102"/>
  <c r="AY102"/>
  <c r="B98"/>
  <c r="CX101"/>
  <c r="DG101" s="1"/>
  <c r="CZ101"/>
  <c r="DI101"/>
  <c r="DM101"/>
  <c r="EW101" s="1"/>
  <c r="DN101"/>
  <c r="DO101"/>
  <c r="DP101"/>
  <c r="EZ101" s="1"/>
  <c r="DQ101"/>
  <c r="DR101"/>
  <c r="DS101"/>
  <c r="FC101" s="1"/>
  <c r="DT101"/>
  <c r="DU101"/>
  <c r="DV101"/>
  <c r="FF101"/>
  <c r="DW101"/>
  <c r="DX101"/>
  <c r="FH101" s="1"/>
  <c r="DY101"/>
  <c r="DZ101"/>
  <c r="EA101"/>
  <c r="FK101" s="1"/>
  <c r="EB101"/>
  <c r="EC101"/>
  <c r="ED101"/>
  <c r="EE101"/>
  <c r="FO101" s="1"/>
  <c r="EF101"/>
  <c r="EG101"/>
  <c r="EH101"/>
  <c r="FR101"/>
  <c r="EI101"/>
  <c r="FS101" s="1"/>
  <c r="EJ101"/>
  <c r="DD101"/>
  <c r="DE101"/>
  <c r="DC101"/>
  <c r="BA101"/>
  <c r="CM101"/>
  <c r="CL101"/>
  <c r="CK101"/>
  <c r="AY101"/>
  <c r="B107"/>
  <c r="CX100"/>
  <c r="CZ100"/>
  <c r="DI100" s="1"/>
  <c r="DG100"/>
  <c r="DK100"/>
  <c r="EU100" s="1"/>
  <c r="DO100"/>
  <c r="EY100" s="1"/>
  <c r="DS100"/>
  <c r="FC100" s="1"/>
  <c r="DW100"/>
  <c r="EA100"/>
  <c r="EE100"/>
  <c r="FO100" s="1"/>
  <c r="EI100"/>
  <c r="FS100" s="1"/>
  <c r="DD100"/>
  <c r="DE100"/>
  <c r="DC100"/>
  <c r="BA100"/>
  <c r="CM100" s="1"/>
  <c r="CL100"/>
  <c r="CK100"/>
  <c r="AY100"/>
  <c r="B105"/>
  <c r="CZ99"/>
  <c r="DG99" s="1"/>
  <c r="DF99"/>
  <c r="DH99"/>
  <c r="DJ99"/>
  <c r="DL99"/>
  <c r="DN99"/>
  <c r="DP99"/>
  <c r="EZ99" s="1"/>
  <c r="DR99"/>
  <c r="DT99"/>
  <c r="DV99"/>
  <c r="FF99" s="1"/>
  <c r="DX99"/>
  <c r="FH99" s="1"/>
  <c r="DZ99"/>
  <c r="EB99"/>
  <c r="FL99"/>
  <c r="ED99"/>
  <c r="EF99"/>
  <c r="EG99"/>
  <c r="EH99"/>
  <c r="FR99"/>
  <c r="EI99"/>
  <c r="FS99"/>
  <c r="EJ99"/>
  <c r="FT99"/>
  <c r="DD99"/>
  <c r="DC99" s="1"/>
  <c r="BA99"/>
  <c r="CM99"/>
  <c r="CL99"/>
  <c r="CK99"/>
  <c r="AY99"/>
  <c r="B106"/>
  <c r="CZ98"/>
  <c r="DI98"/>
  <c r="DM98"/>
  <c r="EW98" s="1"/>
  <c r="DQ98"/>
  <c r="FA98" s="1"/>
  <c r="DU98"/>
  <c r="DY98"/>
  <c r="EC98"/>
  <c r="EG98"/>
  <c r="DD98"/>
  <c r="DE98" s="1"/>
  <c r="DC98"/>
  <c r="CL98"/>
  <c r="CK98"/>
  <c r="AY98"/>
  <c r="B99"/>
  <c r="CZ97"/>
  <c r="DG97" s="1"/>
  <c r="DD97"/>
  <c r="DE97" s="1"/>
  <c r="DC97"/>
  <c r="BA97"/>
  <c r="CM97" s="1"/>
  <c r="CL97"/>
  <c r="CK97"/>
  <c r="AY97"/>
  <c r="B91"/>
  <c r="CZ96"/>
  <c r="DF96"/>
  <c r="DG96"/>
  <c r="DH96"/>
  <c r="ER96" s="1"/>
  <c r="DI96"/>
  <c r="DJ96"/>
  <c r="ET96" s="1"/>
  <c r="DK96"/>
  <c r="EU96" s="1"/>
  <c r="DL96"/>
  <c r="DM96"/>
  <c r="EW96" s="1"/>
  <c r="DN96"/>
  <c r="EX96" s="1"/>
  <c r="DO96"/>
  <c r="EY96" s="1"/>
  <c r="DP96"/>
  <c r="DQ96"/>
  <c r="DR96"/>
  <c r="FB96"/>
  <c r="DS96"/>
  <c r="DT96"/>
  <c r="DU96"/>
  <c r="FE96" s="1"/>
  <c r="DV96"/>
  <c r="FF96" s="1"/>
  <c r="DW96"/>
  <c r="DX96"/>
  <c r="DY96"/>
  <c r="FI96" s="1"/>
  <c r="DZ96"/>
  <c r="EA96"/>
  <c r="EB96"/>
  <c r="EC96"/>
  <c r="FM96" s="1"/>
  <c r="ED96"/>
  <c r="EE96"/>
  <c r="FO96" s="1"/>
  <c r="EF96"/>
  <c r="EG96"/>
  <c r="EH96"/>
  <c r="FR96" s="1"/>
  <c r="EI96"/>
  <c r="FS96" s="1"/>
  <c r="EJ96"/>
  <c r="FT96"/>
  <c r="DD96"/>
  <c r="DC96" s="1"/>
  <c r="BA96"/>
  <c r="CM96"/>
  <c r="CL96"/>
  <c r="CK96"/>
  <c r="AY96"/>
  <c r="B95"/>
  <c r="CZ95"/>
  <c r="DD95"/>
  <c r="DE95" s="1"/>
  <c r="DC95"/>
  <c r="BA95"/>
  <c r="CM95" s="1"/>
  <c r="CL95"/>
  <c r="CK95"/>
  <c r="AY95"/>
  <c r="B92"/>
  <c r="CZ94"/>
  <c r="DF94"/>
  <c r="DG94"/>
  <c r="DH94"/>
  <c r="DI94"/>
  <c r="DJ94"/>
  <c r="DK94"/>
  <c r="DL94"/>
  <c r="EV94" s="1"/>
  <c r="DM94"/>
  <c r="EW94" s="1"/>
  <c r="DN94"/>
  <c r="DO94"/>
  <c r="DP94"/>
  <c r="EZ94" s="1"/>
  <c r="DQ94"/>
  <c r="DR94"/>
  <c r="FB94" s="1"/>
  <c r="DS94"/>
  <c r="FC94" s="1"/>
  <c r="DT94"/>
  <c r="FD94" s="1"/>
  <c r="DU94"/>
  <c r="FE94" s="1"/>
  <c r="DV94"/>
  <c r="FF94" s="1"/>
  <c r="DW94"/>
  <c r="DX94"/>
  <c r="FH94" s="1"/>
  <c r="DY94"/>
  <c r="FI94" s="1"/>
  <c r="DZ94"/>
  <c r="EA94"/>
  <c r="EB94"/>
  <c r="EC94"/>
  <c r="FM94" s="1"/>
  <c r="ED94"/>
  <c r="EE94"/>
  <c r="FO94" s="1"/>
  <c r="EF94"/>
  <c r="EG94"/>
  <c r="EH94"/>
  <c r="FR94"/>
  <c r="EI94"/>
  <c r="FS94" s="1"/>
  <c r="EJ94"/>
  <c r="FT94" s="1"/>
  <c r="DD94"/>
  <c r="DC94" s="1"/>
  <c r="BA94"/>
  <c r="CM94"/>
  <c r="CL94"/>
  <c r="CK94"/>
  <c r="AY94"/>
  <c r="B93"/>
  <c r="CZ93"/>
  <c r="DD93"/>
  <c r="DE93" s="1"/>
  <c r="DC93"/>
  <c r="BA93"/>
  <c r="CM93" s="1"/>
  <c r="CL93"/>
  <c r="CK93"/>
  <c r="AY93"/>
  <c r="B96"/>
  <c r="CZ92"/>
  <c r="DF92"/>
  <c r="DG92"/>
  <c r="DH92"/>
  <c r="DI92"/>
  <c r="DJ92"/>
  <c r="DK92"/>
  <c r="DL92"/>
  <c r="EV92" s="1"/>
  <c r="DM92"/>
  <c r="EW92" s="1"/>
  <c r="DN92"/>
  <c r="DO92"/>
  <c r="DP92"/>
  <c r="EZ92" s="1"/>
  <c r="DQ92"/>
  <c r="DR92"/>
  <c r="FB92" s="1"/>
  <c r="DS92"/>
  <c r="FC92" s="1"/>
  <c r="DT92"/>
  <c r="FD92" s="1"/>
  <c r="DU92"/>
  <c r="FE92" s="1"/>
  <c r="DV92"/>
  <c r="FF92" s="1"/>
  <c r="DW92"/>
  <c r="DX92"/>
  <c r="FH92" s="1"/>
  <c r="DY92"/>
  <c r="FI92" s="1"/>
  <c r="DZ92"/>
  <c r="EA92"/>
  <c r="EB92"/>
  <c r="FL92"/>
  <c r="EC92"/>
  <c r="ED92"/>
  <c r="EE92"/>
  <c r="FO92" s="1"/>
  <c r="EF92"/>
  <c r="EG92"/>
  <c r="EH92"/>
  <c r="FR92" s="1"/>
  <c r="EI92"/>
  <c r="FS92" s="1"/>
  <c r="EJ92"/>
  <c r="FT92" s="1"/>
  <c r="DD92"/>
  <c r="DC92" s="1"/>
  <c r="BA92"/>
  <c r="CM92"/>
  <c r="CL92"/>
  <c r="CK92"/>
  <c r="AY92"/>
  <c r="B97"/>
  <c r="CZ91"/>
  <c r="DG91" s="1"/>
  <c r="EQ91" s="1"/>
  <c r="DD91"/>
  <c r="DE91" s="1"/>
  <c r="DC91"/>
  <c r="BA91"/>
  <c r="CM91" s="1"/>
  <c r="CL91"/>
  <c r="CK91"/>
  <c r="AY91"/>
  <c r="B94"/>
  <c r="CZ90"/>
  <c r="DF90"/>
  <c r="DG90"/>
  <c r="DH90"/>
  <c r="DI90"/>
  <c r="DJ90"/>
  <c r="DK90"/>
  <c r="DL90"/>
  <c r="EV90" s="1"/>
  <c r="DM90"/>
  <c r="EW90" s="1"/>
  <c r="DN90"/>
  <c r="DO90"/>
  <c r="DP90"/>
  <c r="EZ90" s="1"/>
  <c r="DQ90"/>
  <c r="DR90"/>
  <c r="FB90" s="1"/>
  <c r="DS90"/>
  <c r="FC90" s="1"/>
  <c r="DT90"/>
  <c r="FD90" s="1"/>
  <c r="DU90"/>
  <c r="DV90"/>
  <c r="FF90" s="1"/>
  <c r="DW90"/>
  <c r="DX90"/>
  <c r="FH90" s="1"/>
  <c r="DY90"/>
  <c r="FI90" s="1"/>
  <c r="DZ90"/>
  <c r="EA90"/>
  <c r="FK90" s="1"/>
  <c r="EB90"/>
  <c r="EC90"/>
  <c r="FM90" s="1"/>
  <c r="ED90"/>
  <c r="EE90"/>
  <c r="FO90" s="1"/>
  <c r="EF90"/>
  <c r="EG90"/>
  <c r="EH90"/>
  <c r="FR90" s="1"/>
  <c r="EI90"/>
  <c r="FS90" s="1"/>
  <c r="EJ90"/>
  <c r="DD90"/>
  <c r="DC90" s="1"/>
  <c r="BA90"/>
  <c r="CM90"/>
  <c r="CL90"/>
  <c r="CK90"/>
  <c r="AY90"/>
  <c r="B88"/>
  <c r="CX89"/>
  <c r="CZ89"/>
  <c r="DN89" s="1"/>
  <c r="DO89"/>
  <c r="EY89" s="1"/>
  <c r="DQ89"/>
  <c r="DS89"/>
  <c r="FC89" s="1"/>
  <c r="DU89"/>
  <c r="DW89"/>
  <c r="DY89"/>
  <c r="EA89"/>
  <c r="EC89"/>
  <c r="FM89" s="1"/>
  <c r="EE89"/>
  <c r="FO89" s="1"/>
  <c r="EG89"/>
  <c r="EI89"/>
  <c r="FS89" s="1"/>
  <c r="DD89"/>
  <c r="DE89"/>
  <c r="DC89"/>
  <c r="BA89"/>
  <c r="CM89" s="1"/>
  <c r="CL89"/>
  <c r="CK89"/>
  <c r="AY89"/>
  <c r="B90"/>
  <c r="CZ88"/>
  <c r="DF88"/>
  <c r="DH88"/>
  <c r="DJ88"/>
  <c r="DL88"/>
  <c r="DN88"/>
  <c r="EX88" s="1"/>
  <c r="DP88"/>
  <c r="EZ88" s="1"/>
  <c r="DR88"/>
  <c r="DT88"/>
  <c r="DV88"/>
  <c r="DX88"/>
  <c r="DZ88"/>
  <c r="EB88"/>
  <c r="ED88"/>
  <c r="EF88"/>
  <c r="EH88"/>
  <c r="EJ88"/>
  <c r="DD88"/>
  <c r="CL88"/>
  <c r="CK88"/>
  <c r="AY88"/>
  <c r="B89"/>
  <c r="C79"/>
  <c r="C78"/>
  <c r="C77"/>
  <c r="C76"/>
  <c r="C75"/>
  <c r="C74"/>
  <c r="C73"/>
  <c r="C72"/>
  <c r="C71"/>
  <c r="C70"/>
  <c r="E61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FM92" l="1"/>
  <c r="EQ96"/>
  <c r="EQ102"/>
  <c r="EQ106"/>
  <c r="EQ113"/>
  <c r="FM131"/>
  <c r="EQ136"/>
  <c r="FP139"/>
  <c r="EQ139"/>
  <c r="FM142"/>
  <c r="ET147"/>
  <c r="FI156"/>
  <c r="FI163"/>
  <c r="FM165"/>
  <c r="ET167"/>
  <c r="EQ170"/>
  <c r="FM173"/>
  <c r="FI181"/>
  <c r="FQ89"/>
  <c r="FI89"/>
  <c r="EU90"/>
  <c r="EU92"/>
  <c r="EU94"/>
  <c r="FB99"/>
  <c r="ET99"/>
  <c r="FE101"/>
  <c r="FA101"/>
  <c r="FI103"/>
  <c r="FT106"/>
  <c r="FI107"/>
  <c r="EU109"/>
  <c r="FI111"/>
  <c r="FF112"/>
  <c r="EU113"/>
  <c r="FB114"/>
  <c r="FQ115"/>
  <c r="FB116"/>
  <c r="FI119"/>
  <c r="FA119"/>
  <c r="FT120"/>
  <c r="FM120"/>
  <c r="FI120"/>
  <c r="FB120"/>
  <c r="EU120"/>
  <c r="FB122"/>
  <c r="FE124"/>
  <c r="FB124"/>
  <c r="FP125"/>
  <c r="FB125"/>
  <c r="FB126"/>
  <c r="FF129"/>
  <c r="FM130"/>
  <c r="FF131"/>
  <c r="FB131"/>
  <c r="FT132"/>
  <c r="FT135"/>
  <c r="FM140"/>
  <c r="FF142"/>
  <c r="FB143"/>
  <c r="EU144"/>
  <c r="FT146"/>
  <c r="FF146"/>
  <c r="ET149"/>
  <c r="FT152"/>
  <c r="EX152"/>
  <c r="FF156"/>
  <c r="FB156"/>
  <c r="FT159"/>
  <c r="FM159"/>
  <c r="FI159"/>
  <c r="FB159"/>
  <c r="FM162"/>
  <c r="FI162"/>
  <c r="FM163"/>
  <c r="FF163"/>
  <c r="FB163"/>
  <c r="EU163"/>
  <c r="FF165"/>
  <c r="FB165"/>
  <c r="FF166"/>
  <c r="EU167"/>
  <c r="FF173"/>
  <c r="FB173"/>
  <c r="FM174"/>
  <c r="FI174"/>
  <c r="FE174"/>
  <c r="FB174"/>
  <c r="EU174"/>
  <c r="FP178"/>
  <c r="FI180"/>
  <c r="FM182"/>
  <c r="FI182"/>
  <c r="FM185"/>
  <c r="N374"/>
  <c r="W372"/>
  <c r="L372"/>
  <c r="ET102"/>
  <c r="FE103"/>
  <c r="FE107"/>
  <c r="EQ112"/>
  <c r="FM115"/>
  <c r="FI130"/>
  <c r="FI131"/>
  <c r="FM137"/>
  <c r="FI141"/>
  <c r="FI142"/>
  <c r="EQ143"/>
  <c r="EQ144"/>
  <c r="FM153"/>
  <c r="FM156"/>
  <c r="EQ164"/>
  <c r="FI165"/>
  <c r="ET171"/>
  <c r="FI173"/>
  <c r="FM180"/>
  <c r="AD372"/>
  <c r="FP94"/>
  <c r="FP96"/>
  <c r="FM101"/>
  <c r="FI101"/>
  <c r="FB101"/>
  <c r="EQ101"/>
  <c r="FF102"/>
  <c r="FM103"/>
  <c r="FB104"/>
  <c r="FF106"/>
  <c r="FM107"/>
  <c r="FT110"/>
  <c r="FF110"/>
  <c r="FM111"/>
  <c r="EQ117"/>
  <c r="EQ118"/>
  <c r="FF120"/>
  <c r="FT122"/>
  <c r="FM124"/>
  <c r="FI124"/>
  <c r="FF124"/>
  <c r="EQ125"/>
  <c r="FT126"/>
  <c r="EQ130"/>
  <c r="EU131"/>
  <c r="FF132"/>
  <c r="FF135"/>
  <c r="FF136"/>
  <c r="FM141"/>
  <c r="FT143"/>
  <c r="FB146"/>
  <c r="FF147"/>
  <c r="FB149"/>
  <c r="EU151"/>
  <c r="FI153"/>
  <c r="FA153"/>
  <c r="FF154"/>
  <c r="EX154"/>
  <c r="ET156"/>
  <c r="FF157"/>
  <c r="FF159"/>
  <c r="EQ159"/>
  <c r="FF162"/>
  <c r="FB162"/>
  <c r="EX162"/>
  <c r="ET162"/>
  <c r="FJ163"/>
  <c r="FT164"/>
  <c r="FI164"/>
  <c r="EU165"/>
  <c r="EU166"/>
  <c r="FM170"/>
  <c r="FI170"/>
  <c r="FF171"/>
  <c r="EU173"/>
  <c r="FF174"/>
  <c r="FB175"/>
  <c r="EU176"/>
  <c r="FF177"/>
  <c r="FJ180"/>
  <c r="FA180"/>
  <c r="ET180"/>
  <c r="FM181"/>
  <c r="FF182"/>
  <c r="FB182"/>
  <c r="EU182"/>
  <c r="FB183"/>
  <c r="FF187"/>
  <c r="N377"/>
  <c r="N380"/>
  <c r="Z372"/>
  <c r="Z376" s="1"/>
  <c r="Y377"/>
  <c r="Y375"/>
  <c r="FA89"/>
  <c r="FP90"/>
  <c r="FP92"/>
  <c r="FA92"/>
  <c r="ES100"/>
  <c r="FP101"/>
  <c r="EX101"/>
  <c r="ES107"/>
  <c r="ES109"/>
  <c r="FP110"/>
  <c r="FJ120"/>
  <c r="EP122"/>
  <c r="EV125"/>
  <c r="FD126"/>
  <c r="FD131"/>
  <c r="FD132"/>
  <c r="FA137"/>
  <c r="ES141"/>
  <c r="FD142"/>
  <c r="FA145"/>
  <c r="FD152"/>
  <c r="EX158"/>
  <c r="FA163"/>
  <c r="EV164"/>
  <c r="FA166"/>
  <c r="ES173"/>
  <c r="FA186"/>
  <c r="FK89"/>
  <c r="FT90"/>
  <c r="FQ90"/>
  <c r="EX90"/>
  <c r="ET90"/>
  <c r="FJ92"/>
  <c r="EX92"/>
  <c r="ET92"/>
  <c r="EX94"/>
  <c r="ET94"/>
  <c r="FN96"/>
  <c r="FJ96"/>
  <c r="EV96"/>
  <c r="FP99"/>
  <c r="EV99"/>
  <c r="EQ99"/>
  <c r="EQ100"/>
  <c r="FT101"/>
  <c r="EY101"/>
  <c r="ES101"/>
  <c r="FJ102"/>
  <c r="FD102"/>
  <c r="EV102"/>
  <c r="ES103"/>
  <c r="FP104"/>
  <c r="FH104"/>
  <c r="ET104"/>
  <c r="ES105"/>
  <c r="FP108"/>
  <c r="EV108"/>
  <c r="EQ108"/>
  <c r="EQ109"/>
  <c r="FJ110"/>
  <c r="FD110"/>
  <c r="EQ110"/>
  <c r="FE111"/>
  <c r="FT112"/>
  <c r="EY113"/>
  <c r="FT114"/>
  <c r="FD114"/>
  <c r="EV114"/>
  <c r="EQ114"/>
  <c r="FT116"/>
  <c r="FD116"/>
  <c r="EX116"/>
  <c r="FK117"/>
  <c r="FK120"/>
  <c r="FH120"/>
  <c r="FE120"/>
  <c r="ET120"/>
  <c r="FH122"/>
  <c r="FP124"/>
  <c r="EY124"/>
  <c r="EX126"/>
  <c r="EX129"/>
  <c r="FH131"/>
  <c r="EX131"/>
  <c r="EQ131"/>
  <c r="FN132"/>
  <c r="EX132"/>
  <c r="EP132"/>
  <c r="FN134"/>
  <c r="EX134"/>
  <c r="FH135"/>
  <c r="FD136"/>
  <c r="FK137"/>
  <c r="FH137"/>
  <c r="EQ137"/>
  <c r="FT138"/>
  <c r="EQ138"/>
  <c r="FH139"/>
  <c r="EX139"/>
  <c r="ES139"/>
  <c r="ET139"/>
  <c r="EY140"/>
  <c r="FH142"/>
  <c r="EX142"/>
  <c r="EY144"/>
  <c r="FH145"/>
  <c r="EX145"/>
  <c r="FH146"/>
  <c r="FD146"/>
  <c r="FT147"/>
  <c r="FD147"/>
  <c r="EV147"/>
  <c r="ET148"/>
  <c r="FP149"/>
  <c r="FH149"/>
  <c r="FH150"/>
  <c r="FD150"/>
  <c r="ET152"/>
  <c r="FK153"/>
  <c r="FJ154"/>
  <c r="ET154"/>
  <c r="EX156"/>
  <c r="EQ156"/>
  <c r="FK159"/>
  <c r="FD159"/>
  <c r="FA159"/>
  <c r="ET159"/>
  <c r="FK162"/>
  <c r="EY162"/>
  <c r="FP163"/>
  <c r="EX163"/>
  <c r="ET163"/>
  <c r="FA164"/>
  <c r="EX164"/>
  <c r="FJ165"/>
  <c r="ET165"/>
  <c r="FP167"/>
  <c r="EY169"/>
  <c r="FT170"/>
  <c r="FP170"/>
  <c r="FH170"/>
  <c r="FD170"/>
  <c r="EV170"/>
  <c r="FT171"/>
  <c r="FD171"/>
  <c r="EX173"/>
  <c r="FT175"/>
  <c r="FK176"/>
  <c r="FK180"/>
  <c r="FH180"/>
  <c r="FT182"/>
  <c r="FP183"/>
  <c r="EY185"/>
  <c r="FH186"/>
  <c r="EX186"/>
  <c r="AB376"/>
  <c r="Z377"/>
  <c r="H378"/>
  <c r="N381"/>
  <c r="O372"/>
  <c r="O381" s="1"/>
  <c r="J372"/>
  <c r="J382" s="1"/>
  <c r="E493"/>
  <c r="E475"/>
  <c r="E465"/>
  <c r="H466" s="1"/>
  <c r="FA90"/>
  <c r="ES90"/>
  <c r="ES92"/>
  <c r="FA94"/>
  <c r="ES94"/>
  <c r="FP102"/>
  <c r="EX106"/>
  <c r="FA115"/>
  <c r="ES119"/>
  <c r="FD120"/>
  <c r="ES120"/>
  <c r="EX122"/>
  <c r="FD125"/>
  <c r="FA131"/>
  <c r="EP131"/>
  <c r="FP136"/>
  <c r="FD137"/>
  <c r="FP138"/>
  <c r="FA142"/>
  <c r="FD145"/>
  <c r="EX146"/>
  <c r="FP156"/>
  <c r="FD156"/>
  <c r="FD163"/>
  <c r="ES163"/>
  <c r="FA165"/>
  <c r="ES165"/>
  <c r="FJ171"/>
  <c r="FP177"/>
  <c r="FP182"/>
  <c r="FD182"/>
  <c r="ES182"/>
  <c r="FJ183"/>
  <c r="FD186"/>
  <c r="AI379"/>
  <c r="H379"/>
  <c r="U372"/>
  <c r="U375" s="1"/>
  <c r="E469"/>
  <c r="EV88"/>
  <c r="EX89"/>
  <c r="FJ90"/>
  <c r="FG90"/>
  <c r="EY90"/>
  <c r="EQ90"/>
  <c r="FK92"/>
  <c r="FG92"/>
  <c r="EY92"/>
  <c r="EQ92"/>
  <c r="FK94"/>
  <c r="EY94"/>
  <c r="EQ94"/>
  <c r="FK96"/>
  <c r="FH96"/>
  <c r="FD96"/>
  <c r="FA96"/>
  <c r="ES96"/>
  <c r="EQ97"/>
  <c r="FD99"/>
  <c r="EX99"/>
  <c r="FK100"/>
  <c r="FD101"/>
  <c r="FT102"/>
  <c r="EX102"/>
  <c r="FJ104"/>
  <c r="FD104"/>
  <c r="EV104"/>
  <c r="EQ104"/>
  <c r="EQ105"/>
  <c r="FP106"/>
  <c r="FH106"/>
  <c r="ET106"/>
  <c r="FQ107"/>
  <c r="FA107"/>
  <c r="EQ107"/>
  <c r="FD108"/>
  <c r="FK109"/>
  <c r="EX110"/>
  <c r="ES111"/>
  <c r="FP112"/>
  <c r="FH112"/>
  <c r="ET112"/>
  <c r="ES113"/>
  <c r="ES115"/>
  <c r="EY117"/>
  <c r="EY119"/>
  <c r="EQ119"/>
  <c r="EY120"/>
  <c r="EQ120"/>
  <c r="FT124"/>
  <c r="FJ124"/>
  <c r="ES124"/>
  <c r="FT125"/>
  <c r="FP126"/>
  <c r="FH126"/>
  <c r="ES130"/>
  <c r="FT131"/>
  <c r="EY131"/>
  <c r="EV131"/>
  <c r="FP132"/>
  <c r="FH132"/>
  <c r="EQ133"/>
  <c r="FP135"/>
  <c r="FT136"/>
  <c r="EY137"/>
  <c r="FT139"/>
  <c r="FD139"/>
  <c r="EY139"/>
  <c r="FA140"/>
  <c r="EY141"/>
  <c r="FP142"/>
  <c r="EY142"/>
  <c r="ES142"/>
  <c r="FK143"/>
  <c r="FH143"/>
  <c r="FD143"/>
  <c r="EY145"/>
  <c r="EQ146"/>
  <c r="FJ149"/>
  <c r="FD149"/>
  <c r="FT150"/>
  <c r="FP150"/>
  <c r="EV150"/>
  <c r="EQ150"/>
  <c r="EQ151"/>
  <c r="EQ152"/>
  <c r="EY153"/>
  <c r="EQ153"/>
  <c r="FD154"/>
  <c r="EQ154"/>
  <c r="FJ156"/>
  <c r="EY156"/>
  <c r="ES156"/>
  <c r="FT157"/>
  <c r="FH157"/>
  <c r="EV158"/>
  <c r="FH159"/>
  <c r="FT162"/>
  <c r="FH162"/>
  <c r="FD162"/>
  <c r="ES162"/>
  <c r="FT163"/>
  <c r="FQ163"/>
  <c r="EY163"/>
  <c r="EQ163"/>
  <c r="FH164"/>
  <c r="EY164"/>
  <c r="ES164"/>
  <c r="ET164"/>
  <c r="FK165"/>
  <c r="EY165"/>
  <c r="EQ165"/>
  <c r="FK166"/>
  <c r="ES169"/>
  <c r="FA170"/>
  <c r="ES170"/>
  <c r="FK173"/>
  <c r="EY173"/>
  <c r="EQ173"/>
  <c r="FK174"/>
  <c r="FD174"/>
  <c r="EY174"/>
  <c r="EQ174"/>
  <c r="ET175"/>
  <c r="FH177"/>
  <c r="EX177"/>
  <c r="FK181"/>
  <c r="EY182"/>
  <c r="EQ182"/>
  <c r="EV184"/>
  <c r="FT186"/>
  <c r="EY186"/>
  <c r="AI375"/>
  <c r="H375"/>
  <c r="AI377"/>
  <c r="H380"/>
  <c r="H468"/>
  <c r="FJ108"/>
  <c r="FK118"/>
  <c r="FM138"/>
  <c r="FS178"/>
  <c r="EY178"/>
  <c r="FR108"/>
  <c r="FF108"/>
  <c r="FO118"/>
  <c r="EY118"/>
  <c r="FP128"/>
  <c r="EZ128"/>
  <c r="EW138"/>
  <c r="ES138"/>
  <c r="FR148"/>
  <c r="FB148"/>
  <c r="ET168"/>
  <c r="FT178"/>
  <c r="FM178"/>
  <c r="FI178"/>
  <c r="FC178"/>
  <c r="EU178"/>
  <c r="DV219"/>
  <c r="FF158"/>
  <c r="FF178"/>
  <c r="EX108"/>
  <c r="EV128"/>
  <c r="FI138"/>
  <c r="FI158"/>
  <c r="FB178"/>
  <c r="FD88"/>
  <c r="DT212"/>
  <c r="FE98"/>
  <c r="FN108"/>
  <c r="ED214"/>
  <c r="FB108"/>
  <c r="FS118"/>
  <c r="ES118"/>
  <c r="FT128"/>
  <c r="EJ216"/>
  <c r="FD128"/>
  <c r="FO138"/>
  <c r="EE217"/>
  <c r="FK138"/>
  <c r="EX138"/>
  <c r="FF148"/>
  <c r="FK158"/>
  <c r="EU158"/>
  <c r="EQ158"/>
  <c r="FJ178"/>
  <c r="FD178"/>
  <c r="EV178"/>
  <c r="EQ178"/>
  <c r="EK137"/>
  <c r="FT158"/>
  <c r="FN158"/>
  <c r="FD158"/>
  <c r="EZ178"/>
  <c r="FR88"/>
  <c r="FJ88"/>
  <c r="FB88"/>
  <c r="ET88"/>
  <c r="FM98"/>
  <c r="FS138"/>
  <c r="EI217"/>
  <c r="FF138"/>
  <c r="FM158"/>
  <c r="EY158"/>
  <c r="FJ168"/>
  <c r="DZ220"/>
  <c r="FT88"/>
  <c r="FF88"/>
  <c r="DV212"/>
  <c r="FP88"/>
  <c r="FH88"/>
  <c r="ER88"/>
  <c r="FI98"/>
  <c r="DY213"/>
  <c r="ES98"/>
  <c r="FH128"/>
  <c r="FE138"/>
  <c r="EY138"/>
  <c r="DO217"/>
  <c r="EU138"/>
  <c r="FJ148"/>
  <c r="DZ218"/>
  <c r="FO158"/>
  <c r="FH158"/>
  <c r="FE158"/>
  <c r="FB158"/>
  <c r="DR219"/>
  <c r="FR178"/>
  <c r="FO178"/>
  <c r="FK178"/>
  <c r="ES178"/>
  <c r="FT108"/>
  <c r="FH108"/>
  <c r="FR138"/>
  <c r="EF217"/>
  <c r="FH138"/>
  <c r="FB138"/>
  <c r="FR158"/>
  <c r="EQ155"/>
  <c r="EV116"/>
  <c r="EQ116"/>
  <c r="AK29"/>
  <c r="AK45" s="1"/>
  <c r="AK431" s="1"/>
  <c r="AJ28"/>
  <c r="AJ44" s="1"/>
  <c r="AJ430" s="1"/>
  <c r="X28"/>
  <c r="X44" s="1"/>
  <c r="X430" s="1"/>
  <c r="P28"/>
  <c r="P44" s="1"/>
  <c r="P430" s="1"/>
  <c r="L28"/>
  <c r="L44" s="1"/>
  <c r="L430" s="1"/>
  <c r="AE27"/>
  <c r="AE43" s="1"/>
  <c r="AE429" s="1"/>
  <c r="AF24"/>
  <c r="AF40" s="1"/>
  <c r="AF426" s="1"/>
  <c r="X24"/>
  <c r="X40" s="1"/>
  <c r="X426" s="1"/>
  <c r="P24"/>
  <c r="P40" s="1"/>
  <c r="P426" s="1"/>
  <c r="H24"/>
  <c r="H40" s="1"/>
  <c r="H426" s="1"/>
  <c r="O23"/>
  <c r="O39" s="1"/>
  <c r="O425" s="1"/>
  <c r="AK21"/>
  <c r="AK37" s="1"/>
  <c r="AK423" s="1"/>
  <c r="Q21"/>
  <c r="Q37" s="1"/>
  <c r="Q423" s="1"/>
  <c r="L23"/>
  <c r="L39" s="1"/>
  <c r="L425" s="1"/>
  <c r="AJ23"/>
  <c r="AJ39" s="1"/>
  <c r="AJ425" s="1"/>
  <c r="AF23"/>
  <c r="AF39" s="1"/>
  <c r="AF425" s="1"/>
  <c r="X23"/>
  <c r="X39" s="1"/>
  <c r="X425" s="1"/>
  <c r="AH21"/>
  <c r="AH37" s="1"/>
  <c r="AH423" s="1"/>
  <c r="H22"/>
  <c r="H38" s="1"/>
  <c r="H424" s="1"/>
  <c r="AF28"/>
  <c r="AF44" s="1"/>
  <c r="AF430" s="1"/>
  <c r="U25"/>
  <c r="U41" s="1"/>
  <c r="U427" s="1"/>
  <c r="Y29"/>
  <c r="Y45" s="1"/>
  <c r="Y431" s="1"/>
  <c r="I28"/>
  <c r="I44" s="1"/>
  <c r="I430" s="1"/>
  <c r="AJ25"/>
  <c r="AJ41" s="1"/>
  <c r="AJ427" s="1"/>
  <c r="L25"/>
  <c r="L41" s="1"/>
  <c r="L427" s="1"/>
  <c r="AB25"/>
  <c r="AB41" s="1"/>
  <c r="AB427" s="1"/>
  <c r="AD25"/>
  <c r="AD41" s="1"/>
  <c r="AD427" s="1"/>
  <c r="AB24"/>
  <c r="AB40" s="1"/>
  <c r="AB426" s="1"/>
  <c r="T24"/>
  <c r="T40" s="1"/>
  <c r="T426" s="1"/>
  <c r="L24"/>
  <c r="L40" s="1"/>
  <c r="L426" s="1"/>
  <c r="AJ24"/>
  <c r="AJ40" s="1"/>
  <c r="AJ426" s="1"/>
  <c r="AK23"/>
  <c r="AK39" s="1"/>
  <c r="AK425" s="1"/>
  <c r="AG23"/>
  <c r="AG39" s="1"/>
  <c r="AG425" s="1"/>
  <c r="AC23"/>
  <c r="AC39" s="1"/>
  <c r="AC425" s="1"/>
  <c r="Y23"/>
  <c r="Y39" s="1"/>
  <c r="Y425" s="1"/>
  <c r="U23"/>
  <c r="U39" s="1"/>
  <c r="U425" s="1"/>
  <c r="M23"/>
  <c r="M39" s="1"/>
  <c r="M425" s="1"/>
  <c r="I23"/>
  <c r="I39" s="1"/>
  <c r="I425" s="1"/>
  <c r="D73"/>
  <c r="D537" s="1"/>
  <c r="K23"/>
  <c r="K39" s="1"/>
  <c r="K425" s="1"/>
  <c r="T23"/>
  <c r="T39" s="1"/>
  <c r="T425" s="1"/>
  <c r="AJ22"/>
  <c r="AJ38" s="1"/>
  <c r="AJ424" s="1"/>
  <c r="AF22"/>
  <c r="AF38" s="1"/>
  <c r="AF424" s="1"/>
  <c r="AB22"/>
  <c r="AB38" s="1"/>
  <c r="AB424" s="1"/>
  <c r="X22"/>
  <c r="X38" s="1"/>
  <c r="X424" s="1"/>
  <c r="T22"/>
  <c r="T38" s="1"/>
  <c r="T424" s="1"/>
  <c r="P22"/>
  <c r="P38" s="1"/>
  <c r="P424" s="1"/>
  <c r="L22"/>
  <c r="L38" s="1"/>
  <c r="L424" s="1"/>
  <c r="P25"/>
  <c r="P41" s="1"/>
  <c r="P427" s="1"/>
  <c r="AJ26"/>
  <c r="AJ42" s="1"/>
  <c r="AJ428" s="1"/>
  <c r="AB26"/>
  <c r="AB42" s="1"/>
  <c r="AB428" s="1"/>
  <c r="X26"/>
  <c r="X42" s="1"/>
  <c r="X428" s="1"/>
  <c r="T26"/>
  <c r="T42" s="1"/>
  <c r="T428" s="1"/>
  <c r="L26"/>
  <c r="L42" s="1"/>
  <c r="L428" s="1"/>
  <c r="Q22"/>
  <c r="Q38" s="1"/>
  <c r="Q424" s="1"/>
  <c r="AI29"/>
  <c r="AI45" s="1"/>
  <c r="AI431" s="1"/>
  <c r="AA29"/>
  <c r="AA45" s="1"/>
  <c r="AA431" s="1"/>
  <c r="S29"/>
  <c r="S45" s="1"/>
  <c r="S431" s="1"/>
  <c r="G29"/>
  <c r="G45" s="1"/>
  <c r="G431" s="1"/>
  <c r="D79"/>
  <c r="D549" s="1"/>
  <c r="AE29"/>
  <c r="AE45" s="1"/>
  <c r="AE431" s="1"/>
  <c r="W29"/>
  <c r="W45" s="1"/>
  <c r="W431" s="1"/>
  <c r="O29"/>
  <c r="O45" s="1"/>
  <c r="O431" s="1"/>
  <c r="K29"/>
  <c r="K45" s="1"/>
  <c r="K431" s="1"/>
  <c r="AB29"/>
  <c r="AB45" s="1"/>
  <c r="AB431" s="1"/>
  <c r="AF29"/>
  <c r="AF45" s="1"/>
  <c r="AF431" s="1"/>
  <c r="T29"/>
  <c r="T45" s="1"/>
  <c r="T431" s="1"/>
  <c r="H29"/>
  <c r="H45" s="1"/>
  <c r="H431" s="1"/>
  <c r="AG29"/>
  <c r="AG45" s="1"/>
  <c r="AG431" s="1"/>
  <c r="AC29"/>
  <c r="AC45" s="1"/>
  <c r="AC431" s="1"/>
  <c r="U29"/>
  <c r="U45" s="1"/>
  <c r="U431" s="1"/>
  <c r="Q29"/>
  <c r="Q45" s="1"/>
  <c r="Q431" s="1"/>
  <c r="M29"/>
  <c r="M45" s="1"/>
  <c r="M431" s="1"/>
  <c r="I29"/>
  <c r="I45" s="1"/>
  <c r="I431" s="1"/>
  <c r="AJ29"/>
  <c r="AJ45" s="1"/>
  <c r="AJ431" s="1"/>
  <c r="P29"/>
  <c r="P45" s="1"/>
  <c r="P431" s="1"/>
  <c r="L29"/>
  <c r="L45" s="1"/>
  <c r="L431" s="1"/>
  <c r="U28"/>
  <c r="U44" s="1"/>
  <c r="U430" s="1"/>
  <c r="Q28"/>
  <c r="Q44" s="1"/>
  <c r="Q430" s="1"/>
  <c r="M28"/>
  <c r="M44" s="1"/>
  <c r="M430" s="1"/>
  <c r="X29"/>
  <c r="X45" s="1"/>
  <c r="X431" s="1"/>
  <c r="AB28"/>
  <c r="AB44" s="1"/>
  <c r="AB430" s="1"/>
  <c r="D78"/>
  <c r="D547" s="1"/>
  <c r="AK28"/>
  <c r="AK44" s="1"/>
  <c r="AK430" s="1"/>
  <c r="AG28"/>
  <c r="AG44" s="1"/>
  <c r="AG430" s="1"/>
  <c r="AC28"/>
  <c r="AC44" s="1"/>
  <c r="AC430" s="1"/>
  <c r="Y28"/>
  <c r="Y44" s="1"/>
  <c r="Y430" s="1"/>
  <c r="AI28"/>
  <c r="AI44" s="1"/>
  <c r="AI430" s="1"/>
  <c r="AA28"/>
  <c r="AA44" s="1"/>
  <c r="AA430" s="1"/>
  <c r="W28"/>
  <c r="W44" s="1"/>
  <c r="W430" s="1"/>
  <c r="S28"/>
  <c r="S44" s="1"/>
  <c r="S430" s="1"/>
  <c r="O28"/>
  <c r="O44" s="1"/>
  <c r="O430" s="1"/>
  <c r="K28"/>
  <c r="K44" s="1"/>
  <c r="K430" s="1"/>
  <c r="G28"/>
  <c r="G44" s="1"/>
  <c r="G430" s="1"/>
  <c r="T28"/>
  <c r="T44" s="1"/>
  <c r="T430" s="1"/>
  <c r="H28"/>
  <c r="H44" s="1"/>
  <c r="H430" s="1"/>
  <c r="AE28"/>
  <c r="AE44" s="1"/>
  <c r="AE430" s="1"/>
  <c r="AF27"/>
  <c r="AF43" s="1"/>
  <c r="AF429" s="1"/>
  <c r="P27"/>
  <c r="P43" s="1"/>
  <c r="P429" s="1"/>
  <c r="D77"/>
  <c r="C380" s="1"/>
  <c r="AK27"/>
  <c r="AK43" s="1"/>
  <c r="AK429" s="1"/>
  <c r="AG27"/>
  <c r="AG43" s="1"/>
  <c r="AG429" s="1"/>
  <c r="AC27"/>
  <c r="AC43" s="1"/>
  <c r="AC429" s="1"/>
  <c r="Y27"/>
  <c r="Y43" s="1"/>
  <c r="Y429" s="1"/>
  <c r="U27"/>
  <c r="U43" s="1"/>
  <c r="U429" s="1"/>
  <c r="Q27"/>
  <c r="Q43" s="1"/>
  <c r="Q429" s="1"/>
  <c r="M27"/>
  <c r="M43" s="1"/>
  <c r="M429" s="1"/>
  <c r="I27"/>
  <c r="I43" s="1"/>
  <c r="I429" s="1"/>
  <c r="AI27"/>
  <c r="AI43" s="1"/>
  <c r="AI429" s="1"/>
  <c r="AA27"/>
  <c r="AA43" s="1"/>
  <c r="AA429" s="1"/>
  <c r="W27"/>
  <c r="W43" s="1"/>
  <c r="W429" s="1"/>
  <c r="S27"/>
  <c r="S43" s="1"/>
  <c r="S429" s="1"/>
  <c r="O27"/>
  <c r="O43" s="1"/>
  <c r="O429" s="1"/>
  <c r="K27"/>
  <c r="K43" s="1"/>
  <c r="K429" s="1"/>
  <c r="G27"/>
  <c r="G43" s="1"/>
  <c r="G429" s="1"/>
  <c r="U26"/>
  <c r="U42" s="1"/>
  <c r="U428" s="1"/>
  <c r="M26"/>
  <c r="M42" s="1"/>
  <c r="M428" s="1"/>
  <c r="AI26"/>
  <c r="AI42" s="1"/>
  <c r="AI428" s="1"/>
  <c r="AE26"/>
  <c r="AE42" s="1"/>
  <c r="AE428" s="1"/>
  <c r="AA26"/>
  <c r="AA42" s="1"/>
  <c r="AA428" s="1"/>
  <c r="W26"/>
  <c r="W42" s="1"/>
  <c r="W428" s="1"/>
  <c r="S26"/>
  <c r="S42" s="1"/>
  <c r="S428" s="1"/>
  <c r="O26"/>
  <c r="O42" s="1"/>
  <c r="O428" s="1"/>
  <c r="K26"/>
  <c r="K42" s="1"/>
  <c r="K428" s="1"/>
  <c r="AG26"/>
  <c r="AG42" s="1"/>
  <c r="AG428" s="1"/>
  <c r="D76"/>
  <c r="D543" s="1"/>
  <c r="AB27"/>
  <c r="AB43" s="1"/>
  <c r="AB429" s="1"/>
  <c r="P26"/>
  <c r="P42" s="1"/>
  <c r="P428" s="1"/>
  <c r="AJ27"/>
  <c r="AJ43" s="1"/>
  <c r="AJ429" s="1"/>
  <c r="T27"/>
  <c r="T43" s="1"/>
  <c r="T429" s="1"/>
  <c r="H27"/>
  <c r="H43" s="1"/>
  <c r="H429" s="1"/>
  <c r="AF26"/>
  <c r="AF42" s="1"/>
  <c r="AF428" s="1"/>
  <c r="H26"/>
  <c r="H42" s="1"/>
  <c r="H428" s="1"/>
  <c r="L27"/>
  <c r="L43" s="1"/>
  <c r="L429" s="1"/>
  <c r="AK26"/>
  <c r="AK42" s="1"/>
  <c r="AK428" s="1"/>
  <c r="AC26"/>
  <c r="AC42" s="1"/>
  <c r="AC428" s="1"/>
  <c r="Y26"/>
  <c r="Y42" s="1"/>
  <c r="Y428" s="1"/>
  <c r="Q26"/>
  <c r="Q42" s="1"/>
  <c r="Q428" s="1"/>
  <c r="I26"/>
  <c r="I42" s="1"/>
  <c r="I428" s="1"/>
  <c r="X27"/>
  <c r="X43" s="1"/>
  <c r="X429" s="1"/>
  <c r="D75"/>
  <c r="D541" s="1"/>
  <c r="G26"/>
  <c r="G42" s="1"/>
  <c r="G428" s="1"/>
  <c r="G25"/>
  <c r="G41" s="1"/>
  <c r="G427" s="1"/>
  <c r="AI25"/>
  <c r="AI41" s="1"/>
  <c r="AI427" s="1"/>
  <c r="AE25"/>
  <c r="AE41" s="1"/>
  <c r="AE427" s="1"/>
  <c r="AA25"/>
  <c r="AA41" s="1"/>
  <c r="AA427" s="1"/>
  <c r="W25"/>
  <c r="W41" s="1"/>
  <c r="W427" s="1"/>
  <c r="S25"/>
  <c r="S41" s="1"/>
  <c r="S427" s="1"/>
  <c r="K25"/>
  <c r="K41" s="1"/>
  <c r="K427" s="1"/>
  <c r="O25"/>
  <c r="O41" s="1"/>
  <c r="O427" s="1"/>
  <c r="T25"/>
  <c r="T41" s="1"/>
  <c r="T427" s="1"/>
  <c r="AK25"/>
  <c r="AK41" s="1"/>
  <c r="AK427" s="1"/>
  <c r="AG25"/>
  <c r="AG41" s="1"/>
  <c r="AG427" s="1"/>
  <c r="AC25"/>
  <c r="AC41" s="1"/>
  <c r="AC427" s="1"/>
  <c r="Y25"/>
  <c r="Y41" s="1"/>
  <c r="Y427" s="1"/>
  <c r="Q25"/>
  <c r="Q41" s="1"/>
  <c r="Q427" s="1"/>
  <c r="M25"/>
  <c r="M41" s="1"/>
  <c r="M427" s="1"/>
  <c r="I25"/>
  <c r="I41" s="1"/>
  <c r="I427" s="1"/>
  <c r="AF25"/>
  <c r="AF41" s="1"/>
  <c r="AF427" s="1"/>
  <c r="H25"/>
  <c r="H41" s="1"/>
  <c r="H427" s="1"/>
  <c r="D74"/>
  <c r="D539" s="1"/>
  <c r="X25"/>
  <c r="X41" s="1"/>
  <c r="X427" s="1"/>
  <c r="AK24"/>
  <c r="AK40" s="1"/>
  <c r="AK426" s="1"/>
  <c r="AG24"/>
  <c r="AG40" s="1"/>
  <c r="AG426" s="1"/>
  <c r="AC24"/>
  <c r="AC40" s="1"/>
  <c r="AC426" s="1"/>
  <c r="Y24"/>
  <c r="Y40" s="1"/>
  <c r="Y426" s="1"/>
  <c r="U24"/>
  <c r="U40" s="1"/>
  <c r="U426" s="1"/>
  <c r="Q24"/>
  <c r="Q40" s="1"/>
  <c r="Q426" s="1"/>
  <c r="M24"/>
  <c r="M40" s="1"/>
  <c r="M426" s="1"/>
  <c r="I24"/>
  <c r="I40" s="1"/>
  <c r="I426" s="1"/>
  <c r="AI23"/>
  <c r="AI39" s="1"/>
  <c r="AI425" s="1"/>
  <c r="AE23"/>
  <c r="AE39" s="1"/>
  <c r="AE425" s="1"/>
  <c r="AA23"/>
  <c r="AA39" s="1"/>
  <c r="AA425" s="1"/>
  <c r="S23"/>
  <c r="S39" s="1"/>
  <c r="S425" s="1"/>
  <c r="G23"/>
  <c r="G39" s="1"/>
  <c r="G425" s="1"/>
  <c r="AB23"/>
  <c r="AB39" s="1"/>
  <c r="AB425" s="1"/>
  <c r="P23"/>
  <c r="P39" s="1"/>
  <c r="P425" s="1"/>
  <c r="H23"/>
  <c r="H39" s="1"/>
  <c r="H425" s="1"/>
  <c r="AG22"/>
  <c r="AG38" s="1"/>
  <c r="AG424" s="1"/>
  <c r="AC22"/>
  <c r="AC38" s="1"/>
  <c r="AC424" s="1"/>
  <c r="U30"/>
  <c r="U46" s="1"/>
  <c r="U432" s="1"/>
  <c r="M22"/>
  <c r="M38" s="1"/>
  <c r="M424" s="1"/>
  <c r="I22"/>
  <c r="I38" s="1"/>
  <c r="I424" s="1"/>
  <c r="Q23"/>
  <c r="Q39" s="1"/>
  <c r="Q425" s="1"/>
  <c r="D72"/>
  <c r="D535" s="1"/>
  <c r="Y22"/>
  <c r="Y38" s="1"/>
  <c r="Y424" s="1"/>
  <c r="AI30"/>
  <c r="AI46" s="1"/>
  <c r="AI432" s="1"/>
  <c r="AA30"/>
  <c r="AA46" s="1"/>
  <c r="AA432" s="1"/>
  <c r="O30"/>
  <c r="O46" s="1"/>
  <c r="O432" s="1"/>
  <c r="G21"/>
  <c r="G37" s="1"/>
  <c r="X30"/>
  <c r="X46" s="1"/>
  <c r="X432" s="1"/>
  <c r="T30"/>
  <c r="T46" s="1"/>
  <c r="T432" s="1"/>
  <c r="H30"/>
  <c r="H46" s="1"/>
  <c r="H432" s="1"/>
  <c r="AK30"/>
  <c r="AK46" s="1"/>
  <c r="AK432" s="1"/>
  <c r="AG21"/>
  <c r="AG37" s="1"/>
  <c r="AG423" s="1"/>
  <c r="AC30"/>
  <c r="AC46" s="1"/>
  <c r="AC432" s="1"/>
  <c r="Y30"/>
  <c r="Y46" s="1"/>
  <c r="Y432" s="1"/>
  <c r="U21"/>
  <c r="U37" s="1"/>
  <c r="U423" s="1"/>
  <c r="Q30"/>
  <c r="Q46" s="1"/>
  <c r="Q432" s="1"/>
  <c r="M21"/>
  <c r="M37" s="1"/>
  <c r="M423" s="1"/>
  <c r="I21"/>
  <c r="I37" s="1"/>
  <c r="I423" s="1"/>
  <c r="L30"/>
  <c r="L46" s="1"/>
  <c r="L432" s="1"/>
  <c r="J21"/>
  <c r="J37" s="1"/>
  <c r="J423" s="1"/>
  <c r="AD21"/>
  <c r="AD37" s="1"/>
  <c r="AD423" s="1"/>
  <c r="Z21"/>
  <c r="Z37" s="1"/>
  <c r="Z423" s="1"/>
  <c r="V21"/>
  <c r="V37" s="1"/>
  <c r="V423" s="1"/>
  <c r="R21"/>
  <c r="R37" s="1"/>
  <c r="R423" s="1"/>
  <c r="N21"/>
  <c r="N37" s="1"/>
  <c r="N423" s="1"/>
  <c r="AG30"/>
  <c r="AG46" s="1"/>
  <c r="AG432" s="1"/>
  <c r="X21"/>
  <c r="X37" s="1"/>
  <c r="X423" s="1"/>
  <c r="W30"/>
  <c r="W46" s="1"/>
  <c r="W432" s="1"/>
  <c r="S30"/>
  <c r="S46" s="1"/>
  <c r="S432" s="1"/>
  <c r="K30"/>
  <c r="K46" s="1"/>
  <c r="K432" s="1"/>
  <c r="G30"/>
  <c r="G46" s="1"/>
  <c r="G432" s="1"/>
  <c r="AD29"/>
  <c r="AD45" s="1"/>
  <c r="AD431" s="1"/>
  <c r="V29"/>
  <c r="V45" s="1"/>
  <c r="V431" s="1"/>
  <c r="N29"/>
  <c r="N45" s="1"/>
  <c r="N431" s="1"/>
  <c r="AD27"/>
  <c r="AD43" s="1"/>
  <c r="AD429" s="1"/>
  <c r="V27"/>
  <c r="V43" s="1"/>
  <c r="V429" s="1"/>
  <c r="N27"/>
  <c r="N43" s="1"/>
  <c r="N429" s="1"/>
  <c r="AH25"/>
  <c r="AH41" s="1"/>
  <c r="AH427" s="1"/>
  <c r="Z25"/>
  <c r="Z41" s="1"/>
  <c r="Z427" s="1"/>
  <c r="R25"/>
  <c r="R41" s="1"/>
  <c r="R427" s="1"/>
  <c r="J25"/>
  <c r="J41" s="1"/>
  <c r="J427" s="1"/>
  <c r="AK22"/>
  <c r="AK38" s="1"/>
  <c r="AK424" s="1"/>
  <c r="Y21"/>
  <c r="Y37" s="1"/>
  <c r="Y423" s="1"/>
  <c r="L21"/>
  <c r="L37" s="1"/>
  <c r="L423" s="1"/>
  <c r="AE30"/>
  <c r="AE46" s="1"/>
  <c r="AE432" s="1"/>
  <c r="M30"/>
  <c r="M46" s="1"/>
  <c r="M432" s="1"/>
  <c r="W23"/>
  <c r="W39" s="1"/>
  <c r="W425" s="1"/>
  <c r="U22"/>
  <c r="U38" s="1"/>
  <c r="U424" s="1"/>
  <c r="T21"/>
  <c r="T37" s="1"/>
  <c r="T423" s="1"/>
  <c r="AI21"/>
  <c r="AI37" s="1"/>
  <c r="AI423" s="1"/>
  <c r="AE21"/>
  <c r="AE37" s="1"/>
  <c r="AE423" s="1"/>
  <c r="AA21"/>
  <c r="AA37" s="1"/>
  <c r="AA423" s="1"/>
  <c r="W21"/>
  <c r="W37" s="1"/>
  <c r="W423" s="1"/>
  <c r="S21"/>
  <c r="S37" s="1"/>
  <c r="S423" s="1"/>
  <c r="O21"/>
  <c r="O37" s="1"/>
  <c r="O423" s="1"/>
  <c r="K21"/>
  <c r="K37" s="1"/>
  <c r="K423" s="1"/>
  <c r="AH29"/>
  <c r="AH45" s="1"/>
  <c r="AH431" s="1"/>
  <c r="Z29"/>
  <c r="Z45" s="1"/>
  <c r="Z431" s="1"/>
  <c r="R29"/>
  <c r="R45" s="1"/>
  <c r="R431" s="1"/>
  <c r="J29"/>
  <c r="AH27"/>
  <c r="AH43" s="1"/>
  <c r="AH429" s="1"/>
  <c r="Z27"/>
  <c r="Z43" s="1"/>
  <c r="Z429" s="1"/>
  <c r="R27"/>
  <c r="R43" s="1"/>
  <c r="R429" s="1"/>
  <c r="J27"/>
  <c r="V25"/>
  <c r="V41" s="1"/>
  <c r="V427" s="1"/>
  <c r="N25"/>
  <c r="N41" s="1"/>
  <c r="N427" s="1"/>
  <c r="I30"/>
  <c r="I46" s="1"/>
  <c r="I432" s="1"/>
  <c r="AC21"/>
  <c r="AC37" s="1"/>
  <c r="AC423" s="1"/>
  <c r="H21"/>
  <c r="H37" s="1"/>
  <c r="H423" s="1"/>
  <c r="AI22"/>
  <c r="AI38" s="1"/>
  <c r="AI424" s="1"/>
  <c r="AE22"/>
  <c r="AE38" s="1"/>
  <c r="AE424" s="1"/>
  <c r="AA22"/>
  <c r="AA38" s="1"/>
  <c r="AA424" s="1"/>
  <c r="W22"/>
  <c r="W38" s="1"/>
  <c r="W424" s="1"/>
  <c r="S22"/>
  <c r="S38" s="1"/>
  <c r="S424" s="1"/>
  <c r="O22"/>
  <c r="O38" s="1"/>
  <c r="O424" s="1"/>
  <c r="K22"/>
  <c r="K38" s="1"/>
  <c r="K424" s="1"/>
  <c r="EW163"/>
  <c r="Y381"/>
  <c r="Y379"/>
  <c r="S379"/>
  <c r="S377"/>
  <c r="S375"/>
  <c r="S373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X373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Z381"/>
  <c r="Z380"/>
  <c r="Z382"/>
  <c r="Z378"/>
  <c r="Z374"/>
  <c r="O373"/>
  <c r="J380"/>
  <c r="J381"/>
  <c r="AA372"/>
  <c r="AA374" s="1"/>
  <c r="FJ182"/>
  <c r="FJ158"/>
  <c r="FJ150"/>
  <c r="FJ143"/>
  <c r="FJ142"/>
  <c r="FJ114"/>
  <c r="FJ159"/>
  <c r="FJ145"/>
  <c r="FJ137"/>
  <c r="FJ131"/>
  <c r="E487"/>
  <c r="H488" s="1"/>
  <c r="FE156"/>
  <c r="FC164"/>
  <c r="T372"/>
  <c r="T381" s="1"/>
  <c r="FC169"/>
  <c r="FC156"/>
  <c r="FC153"/>
  <c r="EZ186"/>
  <c r="EZ177"/>
  <c r="EZ170"/>
  <c r="EZ152"/>
  <c r="EZ145"/>
  <c r="EZ131"/>
  <c r="EZ116"/>
  <c r="E477"/>
  <c r="Q372"/>
  <c r="Q382" s="1"/>
  <c r="EZ182"/>
  <c r="EZ154"/>
  <c r="EZ146"/>
  <c r="EZ137"/>
  <c r="EZ120"/>
  <c r="AK378"/>
  <c r="AK379"/>
  <c r="AK377"/>
  <c r="AK374"/>
  <c r="AF380"/>
  <c r="AF376"/>
  <c r="AF382"/>
  <c r="AB378"/>
  <c r="AB374"/>
  <c r="AB375"/>
  <c r="R372"/>
  <c r="R379" s="1"/>
  <c r="FA174"/>
  <c r="FA181"/>
  <c r="FA162"/>
  <c r="FA156"/>
  <c r="EX157"/>
  <c r="EX150"/>
  <c r="EX143"/>
  <c r="EX120"/>
  <c r="E473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H476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AE374" s="1"/>
  <c r="E51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Y373"/>
  <c r="Y374"/>
  <c r="S381"/>
  <c r="V372"/>
  <c r="V376" s="1"/>
  <c r="G372"/>
  <c r="H514"/>
  <c r="E497"/>
  <c r="H498" s="1"/>
  <c r="E483"/>
  <c r="H484" s="1"/>
  <c r="W377"/>
  <c r="W376"/>
  <c r="W373"/>
  <c r="M378"/>
  <c r="M377"/>
  <c r="AJ372"/>
  <c r="AJ377" s="1"/>
  <c r="FS164"/>
  <c r="FS162"/>
  <c r="FS139"/>
  <c r="FS180"/>
  <c r="FS169"/>
  <c r="FS156"/>
  <c r="FS153"/>
  <c r="AG372"/>
  <c r="AG378" s="1"/>
  <c r="FP152"/>
  <c r="FP145"/>
  <c r="FP143"/>
  <c r="FP131"/>
  <c r="FP116"/>
  <c r="E509"/>
  <c r="H508" s="1"/>
  <c r="FP157"/>
  <c r="FP154"/>
  <c r="FP146"/>
  <c r="FP137"/>
  <c r="FP120"/>
  <c r="K372"/>
  <c r="K378" s="1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Z373"/>
  <c r="S380"/>
  <c r="AH372"/>
  <c r="AH375" s="1"/>
  <c r="AC372"/>
  <c r="H490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EV98" s="1"/>
  <c r="DN98"/>
  <c r="EX98" s="1"/>
  <c r="DP98"/>
  <c r="EZ98" s="1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EQ128" s="1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EU88" s="1"/>
  <c r="DM88"/>
  <c r="EW88" s="1"/>
  <c r="DO88"/>
  <c r="EY88" s="1"/>
  <c r="DQ88"/>
  <c r="FA88" s="1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ER118" s="1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EQ148" s="1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EY98" s="1"/>
  <c r="DK98"/>
  <c r="EU98" s="1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DF216" s="1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ES168" s="1"/>
  <c r="DK168"/>
  <c r="EU168" s="1"/>
  <c r="DM168"/>
  <c r="EW168" s="1"/>
  <c r="DO168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EU147" s="1"/>
  <c r="DM147"/>
  <c r="EW147" s="1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6"/>
  <c r="H49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73"/>
  <c r="AJ379"/>
  <c r="AG377"/>
  <c r="AA377"/>
  <c r="AA375"/>
  <c r="U382"/>
  <c r="U380"/>
  <c r="U373"/>
  <c r="U381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V381"/>
  <c r="L381"/>
  <c r="L377"/>
  <c r="L373"/>
  <c r="L382"/>
  <c r="L379"/>
  <c r="L375"/>
  <c r="L374"/>
  <c r="L380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P381"/>
  <c r="P377"/>
  <c r="P373"/>
  <c r="P375"/>
  <c r="P380"/>
  <c r="P382"/>
  <c r="P379"/>
  <c r="P378"/>
  <c r="P376"/>
  <c r="M382"/>
  <c r="M380"/>
  <c r="M376"/>
  <c r="M381"/>
  <c r="M374"/>
  <c r="M373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AI382"/>
  <c r="AI378"/>
  <c r="AI374"/>
  <c r="AI376"/>
  <c r="AI373"/>
  <c r="AD379"/>
  <c r="AD375"/>
  <c r="AD378"/>
  <c r="AD376"/>
  <c r="AD377"/>
  <c r="AD374"/>
  <c r="AD373"/>
  <c r="X374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AK382"/>
  <c r="AK380"/>
  <c r="AK376"/>
  <c r="AK375"/>
  <c r="AK373"/>
  <c r="AB381"/>
  <c r="AB377"/>
  <c r="AB373"/>
  <c r="AB382"/>
  <c r="AB379"/>
  <c r="Y382"/>
  <c r="Y380"/>
  <c r="Y376"/>
  <c r="Y378"/>
  <c r="S382"/>
  <c r="S378"/>
  <c r="S374"/>
  <c r="S376"/>
  <c r="N379"/>
  <c r="N375"/>
  <c r="N378"/>
  <c r="N376"/>
  <c r="H381"/>
  <c r="H377"/>
  <c r="H373"/>
  <c r="H376"/>
  <c r="H374"/>
  <c r="AJ30"/>
  <c r="AJ46" s="1"/>
  <c r="AJ432" s="1"/>
  <c r="AJ21"/>
  <c r="AJ37" s="1"/>
  <c r="AJ423" s="1"/>
  <c r="AF21"/>
  <c r="AF37" s="1"/>
  <c r="AF423" s="1"/>
  <c r="AF30"/>
  <c r="AF46" s="1"/>
  <c r="AF432" s="1"/>
  <c r="AB30"/>
  <c r="AB46" s="1"/>
  <c r="AB432" s="1"/>
  <c r="AB21"/>
  <c r="AB37" s="1"/>
  <c r="AB423" s="1"/>
  <c r="P21"/>
  <c r="P30"/>
  <c r="P46" s="1"/>
  <c r="P432" s="1"/>
  <c r="Q374"/>
  <c r="AC378"/>
  <c r="AH28"/>
  <c r="AH44" s="1"/>
  <c r="AH430" s="1"/>
  <c r="AD28"/>
  <c r="AD44" s="1"/>
  <c r="AD430" s="1"/>
  <c r="Z28"/>
  <c r="Z44" s="1"/>
  <c r="Z430" s="1"/>
  <c r="V28"/>
  <c r="V44" s="1"/>
  <c r="V430" s="1"/>
  <c r="R28"/>
  <c r="R44" s="1"/>
  <c r="R430" s="1"/>
  <c r="N28"/>
  <c r="N44" s="1"/>
  <c r="N430" s="1"/>
  <c r="J28"/>
  <c r="CM128"/>
  <c r="AF381"/>
  <c r="AF377"/>
  <c r="AF373"/>
  <c r="AF375"/>
  <c r="AC382"/>
  <c r="AC380"/>
  <c r="AC376"/>
  <c r="AC381"/>
  <c r="AC374"/>
  <c r="T377"/>
  <c r="T380"/>
  <c r="Q379"/>
  <c r="H512"/>
  <c r="H480"/>
  <c r="H478"/>
  <c r="H472"/>
  <c r="H470"/>
  <c r="AE382"/>
  <c r="Z379"/>
  <c r="Z375"/>
  <c r="W382"/>
  <c r="W378"/>
  <c r="W374"/>
  <c r="J375"/>
  <c r="G382"/>
  <c r="AH23"/>
  <c r="AH39" s="1"/>
  <c r="AH425" s="1"/>
  <c r="AH30"/>
  <c r="AH46" s="1"/>
  <c r="AH432" s="1"/>
  <c r="AD23"/>
  <c r="AD39" s="1"/>
  <c r="AD425" s="1"/>
  <c r="AD30"/>
  <c r="AD46" s="1"/>
  <c r="AD432" s="1"/>
  <c r="Z23"/>
  <c r="Z39" s="1"/>
  <c r="Z425" s="1"/>
  <c r="Z30"/>
  <c r="Z46" s="1"/>
  <c r="Z432" s="1"/>
  <c r="V23"/>
  <c r="V39" s="1"/>
  <c r="V425" s="1"/>
  <c r="V30"/>
  <c r="V46" s="1"/>
  <c r="V432" s="1"/>
  <c r="R23"/>
  <c r="R39" s="1"/>
  <c r="R425" s="1"/>
  <c r="R30"/>
  <c r="R46" s="1"/>
  <c r="R432" s="1"/>
  <c r="N23"/>
  <c r="N39" s="1"/>
  <c r="N425" s="1"/>
  <c r="N30"/>
  <c r="N46" s="1"/>
  <c r="N432" s="1"/>
  <c r="J23"/>
  <c r="J30"/>
  <c r="D70"/>
  <c r="E459"/>
  <c r="G22"/>
  <c r="D71"/>
  <c r="AH26"/>
  <c r="AH42" s="1"/>
  <c r="AH428" s="1"/>
  <c r="AD26"/>
  <c r="AD42" s="1"/>
  <c r="AD428" s="1"/>
  <c r="Z26"/>
  <c r="Z42" s="1"/>
  <c r="Z428" s="1"/>
  <c r="V26"/>
  <c r="V42" s="1"/>
  <c r="V428" s="1"/>
  <c r="R26"/>
  <c r="R42" s="1"/>
  <c r="R428" s="1"/>
  <c r="N26"/>
  <c r="N42" s="1"/>
  <c r="N428" s="1"/>
  <c r="J26"/>
  <c r="AH24"/>
  <c r="AH40" s="1"/>
  <c r="AH426" s="1"/>
  <c r="AD24"/>
  <c r="AD40" s="1"/>
  <c r="AD426" s="1"/>
  <c r="Z24"/>
  <c r="Z40" s="1"/>
  <c r="Z426" s="1"/>
  <c r="V24"/>
  <c r="V40" s="1"/>
  <c r="V426" s="1"/>
  <c r="R24"/>
  <c r="R40" s="1"/>
  <c r="R426" s="1"/>
  <c r="N24"/>
  <c r="N40" s="1"/>
  <c r="N426" s="1"/>
  <c r="J24"/>
  <c r="J40" s="1"/>
  <c r="J426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I426" s="1"/>
  <c r="AE24"/>
  <c r="AE40" s="1"/>
  <c r="AE426" s="1"/>
  <c r="AA24"/>
  <c r="AA40" s="1"/>
  <c r="AA426" s="1"/>
  <c r="W24"/>
  <c r="W40" s="1"/>
  <c r="W426" s="1"/>
  <c r="S24"/>
  <c r="S40" s="1"/>
  <c r="S426" s="1"/>
  <c r="O24"/>
  <c r="O40" s="1"/>
  <c r="O426" s="1"/>
  <c r="K24"/>
  <c r="K40" s="1"/>
  <c r="K426" s="1"/>
  <c r="G24"/>
  <c r="D457"/>
  <c r="G553"/>
  <c r="AH22"/>
  <c r="AH38" s="1"/>
  <c r="AH424" s="1"/>
  <c r="AD22"/>
  <c r="AD38" s="1"/>
  <c r="AD424" s="1"/>
  <c r="Z22"/>
  <c r="Z38" s="1"/>
  <c r="Z424" s="1"/>
  <c r="V22"/>
  <c r="V38" s="1"/>
  <c r="V424" s="1"/>
  <c r="R22"/>
  <c r="R38" s="1"/>
  <c r="R424" s="1"/>
  <c r="N22"/>
  <c r="N38" s="1"/>
  <c r="N424" s="1"/>
  <c r="J22"/>
  <c r="J38" s="1"/>
  <c r="J424" s="1"/>
  <c r="G423" l="1"/>
  <c r="G441" s="1"/>
  <c r="W379"/>
  <c r="W381"/>
  <c r="W375"/>
  <c r="W380"/>
  <c r="V374"/>
  <c r="G459"/>
  <c r="O382"/>
  <c r="AH379"/>
  <c r="U377"/>
  <c r="U376"/>
  <c r="AA379"/>
  <c r="J374"/>
  <c r="AD382"/>
  <c r="AD380"/>
  <c r="AD381"/>
  <c r="L376"/>
  <c r="L378"/>
  <c r="J379"/>
  <c r="AA376"/>
  <c r="AA382"/>
  <c r="FU162"/>
  <c r="H500"/>
  <c r="O379"/>
  <c r="O376"/>
  <c r="AH442"/>
  <c r="AA444"/>
  <c r="R444"/>
  <c r="V446"/>
  <c r="Z448"/>
  <c r="AA442"/>
  <c r="K441"/>
  <c r="U442"/>
  <c r="R445"/>
  <c r="AD449"/>
  <c r="R441"/>
  <c r="Q450"/>
  <c r="X450"/>
  <c r="I442"/>
  <c r="G443"/>
  <c r="U444"/>
  <c r="AF445"/>
  <c r="AK446"/>
  <c r="AB447"/>
  <c r="AE446"/>
  <c r="W447"/>
  <c r="AC447"/>
  <c r="T448"/>
  <c r="Y448"/>
  <c r="AJ449"/>
  <c r="U449"/>
  <c r="O449"/>
  <c r="Q442"/>
  <c r="P442"/>
  <c r="Y443"/>
  <c r="AD445"/>
  <c r="H442"/>
  <c r="O443"/>
  <c r="X448"/>
  <c r="AD442"/>
  <c r="AD444"/>
  <c r="AH446"/>
  <c r="V443"/>
  <c r="V448"/>
  <c r="AB441"/>
  <c r="W442"/>
  <c r="V445"/>
  <c r="AH449"/>
  <c r="W441"/>
  <c r="T441"/>
  <c r="J445"/>
  <c r="V449"/>
  <c r="N441"/>
  <c r="M441"/>
  <c r="T450"/>
  <c r="Q443"/>
  <c r="AB443"/>
  <c r="Q444"/>
  <c r="H445"/>
  <c r="AK445"/>
  <c r="AI445"/>
  <c r="AC446"/>
  <c r="P446"/>
  <c r="AA446"/>
  <c r="S447"/>
  <c r="Y447"/>
  <c r="O448"/>
  <c r="M448"/>
  <c r="Q449"/>
  <c r="K449"/>
  <c r="X446"/>
  <c r="AB442"/>
  <c r="U443"/>
  <c r="AK443"/>
  <c r="AJ445"/>
  <c r="AF443"/>
  <c r="X444"/>
  <c r="J442"/>
  <c r="Z442"/>
  <c r="S444"/>
  <c r="AI444"/>
  <c r="J444"/>
  <c r="Z444"/>
  <c r="N446"/>
  <c r="AD446"/>
  <c r="R448"/>
  <c r="AH448"/>
  <c r="AF441"/>
  <c r="S442"/>
  <c r="AI442"/>
  <c r="N445"/>
  <c r="Z447"/>
  <c r="Z449"/>
  <c r="S441"/>
  <c r="AI441"/>
  <c r="M61"/>
  <c r="M450"/>
  <c r="AK442"/>
  <c r="AH445"/>
  <c r="N449"/>
  <c r="K450"/>
  <c r="AG450"/>
  <c r="Z441"/>
  <c r="I441"/>
  <c r="Y450"/>
  <c r="H450"/>
  <c r="O450"/>
  <c r="U61"/>
  <c r="U450"/>
  <c r="P443"/>
  <c r="AA443"/>
  <c r="M444"/>
  <c r="AC444"/>
  <c r="M445"/>
  <c r="AG445"/>
  <c r="K445"/>
  <c r="AE445"/>
  <c r="Y446"/>
  <c r="H446"/>
  <c r="AJ447"/>
  <c r="AG446"/>
  <c r="W446"/>
  <c r="M446"/>
  <c r="O447"/>
  <c r="AI447"/>
  <c r="U447"/>
  <c r="AK447"/>
  <c r="AE448"/>
  <c r="K448"/>
  <c r="AA448"/>
  <c r="AG448"/>
  <c r="X449"/>
  <c r="L449"/>
  <c r="M449"/>
  <c r="AG449"/>
  <c r="AB449"/>
  <c r="AE449"/>
  <c r="AA449"/>
  <c r="T446"/>
  <c r="P445"/>
  <c r="X442"/>
  <c r="T443"/>
  <c r="M443"/>
  <c r="AG443"/>
  <c r="T444"/>
  <c r="L445"/>
  <c r="U445"/>
  <c r="X443"/>
  <c r="Q441"/>
  <c r="P444"/>
  <c r="L448"/>
  <c r="AK449"/>
  <c r="U378"/>
  <c r="U379"/>
  <c r="U374"/>
  <c r="J378"/>
  <c r="J377"/>
  <c r="J376"/>
  <c r="J373"/>
  <c r="AG375"/>
  <c r="AJ374"/>
  <c r="FU131"/>
  <c r="H460"/>
  <c r="O378"/>
  <c r="AE378"/>
  <c r="T378"/>
  <c r="AG373"/>
  <c r="AG382"/>
  <c r="AJ380"/>
  <c r="AJ381"/>
  <c r="FU92"/>
  <c r="O375"/>
  <c r="H510"/>
  <c r="H474"/>
  <c r="O380"/>
  <c r="R442"/>
  <c r="K444"/>
  <c r="AH444"/>
  <c r="K442"/>
  <c r="AC441"/>
  <c r="AA441"/>
  <c r="L441"/>
  <c r="V447"/>
  <c r="W61"/>
  <c r="W450"/>
  <c r="J441"/>
  <c r="AG441"/>
  <c r="AI61"/>
  <c r="AI450"/>
  <c r="AG442"/>
  <c r="AI443"/>
  <c r="AK444"/>
  <c r="Y445"/>
  <c r="T445"/>
  <c r="W445"/>
  <c r="I446"/>
  <c r="H447"/>
  <c r="O446"/>
  <c r="G447"/>
  <c r="M447"/>
  <c r="P447"/>
  <c r="S448"/>
  <c r="Q448"/>
  <c r="T449"/>
  <c r="G449"/>
  <c r="AB446"/>
  <c r="AF442"/>
  <c r="AJ444"/>
  <c r="I448"/>
  <c r="AJ443"/>
  <c r="AF444"/>
  <c r="N442"/>
  <c r="W444"/>
  <c r="N444"/>
  <c r="R446"/>
  <c r="N443"/>
  <c r="AD443"/>
  <c r="AJ441"/>
  <c r="H441"/>
  <c r="AH447"/>
  <c r="N447"/>
  <c r="S61"/>
  <c r="S450"/>
  <c r="AD441"/>
  <c r="AC450"/>
  <c r="AA450"/>
  <c r="AC442"/>
  <c r="AE443"/>
  <c r="AG444"/>
  <c r="Q445"/>
  <c r="S445"/>
  <c r="X447"/>
  <c r="AF446"/>
  <c r="K446"/>
  <c r="U446"/>
  <c r="I447"/>
  <c r="H448"/>
  <c r="AI448"/>
  <c r="AK448"/>
  <c r="P449"/>
  <c r="H449"/>
  <c r="AI449"/>
  <c r="L442"/>
  <c r="K443"/>
  <c r="AB444"/>
  <c r="AF448"/>
  <c r="AK441"/>
  <c r="P448"/>
  <c r="V442"/>
  <c r="O444"/>
  <c r="AE444"/>
  <c r="V444"/>
  <c r="Z446"/>
  <c r="R443"/>
  <c r="Z443"/>
  <c r="AH443"/>
  <c r="N448"/>
  <c r="AD448"/>
  <c r="O442"/>
  <c r="AE442"/>
  <c r="I61"/>
  <c r="I450"/>
  <c r="R447"/>
  <c r="R449"/>
  <c r="O441"/>
  <c r="AE441"/>
  <c r="W443"/>
  <c r="Y441"/>
  <c r="Z445"/>
  <c r="AD447"/>
  <c r="G450"/>
  <c r="X441"/>
  <c r="V441"/>
  <c r="L450"/>
  <c r="U441"/>
  <c r="AK61"/>
  <c r="AK450"/>
  <c r="Y442"/>
  <c r="M442"/>
  <c r="H443"/>
  <c r="S443"/>
  <c r="I444"/>
  <c r="Y444"/>
  <c r="X445"/>
  <c r="I445"/>
  <c r="AC445"/>
  <c r="O445"/>
  <c r="AA445"/>
  <c r="Q446"/>
  <c r="L447"/>
  <c r="T447"/>
  <c r="S446"/>
  <c r="AI446"/>
  <c r="K447"/>
  <c r="AA447"/>
  <c r="Q447"/>
  <c r="AG447"/>
  <c r="AF447"/>
  <c r="W448"/>
  <c r="AC448"/>
  <c r="AB448"/>
  <c r="U448"/>
  <c r="I449"/>
  <c r="AC449"/>
  <c r="AF449"/>
  <c r="W449"/>
  <c r="S449"/>
  <c r="L446"/>
  <c r="AJ446"/>
  <c r="T442"/>
  <c r="AJ442"/>
  <c r="I443"/>
  <c r="AC443"/>
  <c r="L444"/>
  <c r="AB445"/>
  <c r="Y449"/>
  <c r="AH441"/>
  <c r="L443"/>
  <c r="H444"/>
  <c r="AE447"/>
  <c r="AJ448"/>
  <c r="AJ382"/>
  <c r="O374"/>
  <c r="Q376"/>
  <c r="X381"/>
  <c r="AG380"/>
  <c r="AJ378"/>
  <c r="H464"/>
  <c r="O377"/>
  <c r="H482"/>
  <c r="DF212"/>
  <c r="DJ217"/>
  <c r="DJ212"/>
  <c r="DF219"/>
  <c r="DF217"/>
  <c r="DF221"/>
  <c r="DF214"/>
  <c r="DL216"/>
  <c r="DJ219"/>
  <c r="FD168"/>
  <c r="DT220"/>
  <c r="EY168"/>
  <c r="DO220"/>
  <c r="EX128"/>
  <c r="DN216"/>
  <c r="FA118"/>
  <c r="DQ215"/>
  <c r="EQ98"/>
  <c r="DG213"/>
  <c r="FS148"/>
  <c r="EI218"/>
  <c r="FC148"/>
  <c r="DS218"/>
  <c r="FI88"/>
  <c r="DY212"/>
  <c r="EW128"/>
  <c r="DM216"/>
  <c r="EY108"/>
  <c r="DO214"/>
  <c r="FG108"/>
  <c r="DW214"/>
  <c r="FO108"/>
  <c r="EE214"/>
  <c r="FB168"/>
  <c r="DR220"/>
  <c r="FF168"/>
  <c r="DV220"/>
  <c r="FL168"/>
  <c r="EB220"/>
  <c r="FQ168"/>
  <c r="EG220"/>
  <c r="FI168"/>
  <c r="DY220"/>
  <c r="FA168"/>
  <c r="DQ220"/>
  <c r="FN118"/>
  <c r="ED215"/>
  <c r="FF118"/>
  <c r="DV215"/>
  <c r="EX118"/>
  <c r="DN215"/>
  <c r="ET128"/>
  <c r="DJ216"/>
  <c r="FJ128"/>
  <c r="DZ216"/>
  <c r="FM118"/>
  <c r="EC215"/>
  <c r="FC98"/>
  <c r="DS213"/>
  <c r="FS98"/>
  <c r="EI213"/>
  <c r="FH148"/>
  <c r="DX218"/>
  <c r="FM148"/>
  <c r="EC218"/>
  <c r="FE148"/>
  <c r="DU218"/>
  <c r="FS88"/>
  <c r="EI212"/>
  <c r="FK88"/>
  <c r="EA212"/>
  <c r="FC88"/>
  <c r="DS212"/>
  <c r="FO128"/>
  <c r="EE216"/>
  <c r="FG128"/>
  <c r="DW216"/>
  <c r="EY128"/>
  <c r="DO216"/>
  <c r="FR98"/>
  <c r="EH213"/>
  <c r="FJ98"/>
  <c r="DZ213"/>
  <c r="FB98"/>
  <c r="DR213"/>
  <c r="ET98"/>
  <c r="DJ213"/>
  <c r="DM219"/>
  <c r="DJ221"/>
  <c r="EE221"/>
  <c r="EC219"/>
  <c r="DG221"/>
  <c r="DT221"/>
  <c r="EA219"/>
  <c r="EI215"/>
  <c r="DY219"/>
  <c r="DZ219"/>
  <c r="EK156"/>
  <c r="DH221"/>
  <c r="DX221"/>
  <c r="EB219"/>
  <c r="EB217"/>
  <c r="DT214"/>
  <c r="ED212"/>
  <c r="DS219"/>
  <c r="EB216"/>
  <c r="EG221"/>
  <c r="DW219"/>
  <c r="EH217"/>
  <c r="EJ214"/>
  <c r="DL217"/>
  <c r="EJ219"/>
  <c r="DZ217"/>
  <c r="DP214"/>
  <c r="DV221"/>
  <c r="DK221"/>
  <c r="DY221"/>
  <c r="EJ221"/>
  <c r="DR218"/>
  <c r="DI217"/>
  <c r="DP216"/>
  <c r="DO215"/>
  <c r="DV214"/>
  <c r="DO221"/>
  <c r="EC217"/>
  <c r="DZ214"/>
  <c r="FA108"/>
  <c r="DQ214"/>
  <c r="FH168"/>
  <c r="DX220"/>
  <c r="FO168"/>
  <c r="EE220"/>
  <c r="FQ118"/>
  <c r="EG215"/>
  <c r="FT148"/>
  <c r="EJ218"/>
  <c r="FE108"/>
  <c r="DU214"/>
  <c r="FR168"/>
  <c r="EH220"/>
  <c r="FN168"/>
  <c r="ED220"/>
  <c r="FT168"/>
  <c r="EJ220"/>
  <c r="FS168"/>
  <c r="EI220"/>
  <c r="FK168"/>
  <c r="EA220"/>
  <c r="FC168"/>
  <c r="DS220"/>
  <c r="FP118"/>
  <c r="EF215"/>
  <c r="FH118"/>
  <c r="DX215"/>
  <c r="EZ118"/>
  <c r="DP215"/>
  <c r="FF128"/>
  <c r="DV216"/>
  <c r="FI118"/>
  <c r="DY215"/>
  <c r="FO98"/>
  <c r="EE213"/>
  <c r="FL148"/>
  <c r="EB218"/>
  <c r="FO148"/>
  <c r="EE218"/>
  <c r="FG148"/>
  <c r="DW218"/>
  <c r="EY148"/>
  <c r="DO218"/>
  <c r="FM88"/>
  <c r="EC212"/>
  <c r="FE88"/>
  <c r="DU212"/>
  <c r="FQ128"/>
  <c r="EG216"/>
  <c r="FI128"/>
  <c r="DY216"/>
  <c r="FA128"/>
  <c r="DQ216"/>
  <c r="ES128"/>
  <c r="DI216"/>
  <c r="FT98"/>
  <c r="EJ213"/>
  <c r="FL98"/>
  <c r="EB213"/>
  <c r="FD98"/>
  <c r="DT213"/>
  <c r="DI221"/>
  <c r="DX216"/>
  <c r="DX212"/>
  <c r="DZ212"/>
  <c r="DP220"/>
  <c r="DG219"/>
  <c r="DN217"/>
  <c r="DQ217"/>
  <c r="ED217"/>
  <c r="EB214"/>
  <c r="EK171"/>
  <c r="DF215"/>
  <c r="FU137"/>
  <c r="FU170"/>
  <c r="FU173"/>
  <c r="DU221"/>
  <c r="DH219"/>
  <c r="DW215"/>
  <c r="DL220"/>
  <c r="DS217"/>
  <c r="EA221"/>
  <c r="EH221"/>
  <c r="DU219"/>
  <c r="EE219"/>
  <c r="DK217"/>
  <c r="DU217"/>
  <c r="DI213"/>
  <c r="DH212"/>
  <c r="EF212"/>
  <c r="EJ212"/>
  <c r="DO219"/>
  <c r="DV217"/>
  <c r="EC213"/>
  <c r="DR212"/>
  <c r="EH212"/>
  <c r="ED221"/>
  <c r="DX217"/>
  <c r="DX214"/>
  <c r="EI219"/>
  <c r="DL221"/>
  <c r="DZ221"/>
  <c r="DK219"/>
  <c r="DV218"/>
  <c r="EA217"/>
  <c r="DT216"/>
  <c r="DI215"/>
  <c r="DR214"/>
  <c r="DU213"/>
  <c r="DR221"/>
  <c r="DY217"/>
  <c r="DN214"/>
  <c r="DT219"/>
  <c r="EG219"/>
  <c r="DW217"/>
  <c r="EJ217"/>
  <c r="EB212"/>
  <c r="DP217"/>
  <c r="FI108"/>
  <c r="DY214"/>
  <c r="FQ108"/>
  <c r="EG214"/>
  <c r="FG168"/>
  <c r="DW220"/>
  <c r="EQ168"/>
  <c r="DG220"/>
  <c r="FT118"/>
  <c r="EJ215"/>
  <c r="FL118"/>
  <c r="EB215"/>
  <c r="FD118"/>
  <c r="DT215"/>
  <c r="FN128"/>
  <c r="ED216"/>
  <c r="FG98"/>
  <c r="DW213"/>
  <c r="FD148"/>
  <c r="DT218"/>
  <c r="FK148"/>
  <c r="EA218"/>
  <c r="FQ88"/>
  <c r="EG212"/>
  <c r="ES88"/>
  <c r="DI212"/>
  <c r="FM128"/>
  <c r="EC216"/>
  <c r="FE128"/>
  <c r="DU216"/>
  <c r="FP98"/>
  <c r="EF213"/>
  <c r="FH98"/>
  <c r="DX213"/>
  <c r="ER98"/>
  <c r="DH213"/>
  <c r="FM108"/>
  <c r="EC214"/>
  <c r="EW178"/>
  <c r="FU178" s="1"/>
  <c r="DM221"/>
  <c r="FC108"/>
  <c r="DS214"/>
  <c r="FK108"/>
  <c r="EA214"/>
  <c r="FS108"/>
  <c r="EI214"/>
  <c r="ER168"/>
  <c r="DH220"/>
  <c r="FM168"/>
  <c r="EC220"/>
  <c r="FE168"/>
  <c r="DU220"/>
  <c r="FR118"/>
  <c r="EH215"/>
  <c r="FJ118"/>
  <c r="DZ215"/>
  <c r="FB118"/>
  <c r="DR215"/>
  <c r="FB128"/>
  <c r="DR216"/>
  <c r="FR128"/>
  <c r="EH216"/>
  <c r="FE118"/>
  <c r="DU215"/>
  <c r="FK98"/>
  <c r="EA213"/>
  <c r="FP148"/>
  <c r="EF218"/>
  <c r="EZ148"/>
  <c r="DP218"/>
  <c r="FQ148"/>
  <c r="EG218"/>
  <c r="FI148"/>
  <c r="DY218"/>
  <c r="FA148"/>
  <c r="DQ218"/>
  <c r="FO88"/>
  <c r="EE212"/>
  <c r="FG88"/>
  <c r="DW212"/>
  <c r="EQ88"/>
  <c r="DG212"/>
  <c r="FS128"/>
  <c r="EI216"/>
  <c r="FK128"/>
  <c r="EA216"/>
  <c r="FC128"/>
  <c r="DS216"/>
  <c r="EU128"/>
  <c r="DK216"/>
  <c r="FN98"/>
  <c r="ED213"/>
  <c r="FF98"/>
  <c r="DV213"/>
  <c r="DN221"/>
  <c r="EF220"/>
  <c r="EF219"/>
  <c r="DX219"/>
  <c r="FU125"/>
  <c r="FU106"/>
  <c r="FU102"/>
  <c r="DF220"/>
  <c r="DF218"/>
  <c r="DF213"/>
  <c r="FU147"/>
  <c r="FU129"/>
  <c r="FU158"/>
  <c r="DG214"/>
  <c r="DL219"/>
  <c r="DQ221"/>
  <c r="DN219"/>
  <c r="EF214"/>
  <c r="EF221"/>
  <c r="ED218"/>
  <c r="DW221"/>
  <c r="DQ219"/>
  <c r="EH219"/>
  <c r="DR217"/>
  <c r="DS215"/>
  <c r="EB221"/>
  <c r="DP221"/>
  <c r="DP219"/>
  <c r="ED219"/>
  <c r="DT217"/>
  <c r="EG217"/>
  <c r="EG213"/>
  <c r="DN218"/>
  <c r="DS221"/>
  <c r="EC221"/>
  <c r="DJ220"/>
  <c r="EH218"/>
  <c r="DM217"/>
  <c r="EF216"/>
  <c r="EE215"/>
  <c r="EH214"/>
  <c r="EI221"/>
  <c r="EA215"/>
  <c r="DH214"/>
  <c r="DL214"/>
  <c r="DJ214"/>
  <c r="EW118"/>
  <c r="DM215"/>
  <c r="ET118"/>
  <c r="DJ215"/>
  <c r="FA91"/>
  <c r="EU91"/>
  <c r="EV123"/>
  <c r="DL215"/>
  <c r="EU123"/>
  <c r="DK215"/>
  <c r="ET155"/>
  <c r="DJ218"/>
  <c r="ES155"/>
  <c r="DI218"/>
  <c r="ER148"/>
  <c r="EW116"/>
  <c r="DM214"/>
  <c r="EU116"/>
  <c r="DK214"/>
  <c r="ES116"/>
  <c r="DI214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J429" s="1"/>
  <c r="C379"/>
  <c r="D411" s="1"/>
  <c r="C378"/>
  <c r="D410" s="1"/>
  <c r="H61"/>
  <c r="Y61"/>
  <c r="AC61"/>
  <c r="AG61"/>
  <c r="O61"/>
  <c r="AA61"/>
  <c r="K61"/>
  <c r="J45"/>
  <c r="J431" s="1"/>
  <c r="D25"/>
  <c r="G61"/>
  <c r="EX175"/>
  <c r="DN220"/>
  <c r="EW175"/>
  <c r="DM220"/>
  <c r="EU175"/>
  <c r="DK220"/>
  <c r="FU165"/>
  <c r="EV153"/>
  <c r="DL218"/>
  <c r="EW154"/>
  <c r="DM218"/>
  <c r="EU154"/>
  <c r="DK218"/>
  <c r="K381"/>
  <c r="K379"/>
  <c r="K373"/>
  <c r="K380"/>
  <c r="K376"/>
  <c r="AE450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J428" s="1"/>
  <c r="D26"/>
  <c r="C374"/>
  <c r="D533"/>
  <c r="G446"/>
  <c r="I540"/>
  <c r="P45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I510" s="1"/>
  <c r="J510" s="1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450"/>
  <c r="Z61"/>
  <c r="AB450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I496" s="1"/>
  <c r="J496" s="1"/>
  <c r="G495"/>
  <c r="F487"/>
  <c r="I488" s="1"/>
  <c r="J488" s="1"/>
  <c r="G487"/>
  <c r="F479"/>
  <c r="I480" s="1"/>
  <c r="J480" s="1"/>
  <c r="G479"/>
  <c r="F471"/>
  <c r="I472" s="1"/>
  <c r="J472" s="1"/>
  <c r="G471"/>
  <c r="F463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I476" s="1"/>
  <c r="J476" s="1"/>
  <c r="G475"/>
  <c r="F459"/>
  <c r="I542"/>
  <c r="I550"/>
  <c r="J39"/>
  <c r="J425" s="1"/>
  <c r="D23"/>
  <c r="G448"/>
  <c r="AF450"/>
  <c r="AF61"/>
  <c r="EP107"/>
  <c r="FU107" s="1"/>
  <c r="EK107"/>
  <c r="EP155"/>
  <c r="EK155"/>
  <c r="EP123"/>
  <c r="EK123"/>
  <c r="EP130"/>
  <c r="FU130" s="1"/>
  <c r="EK130"/>
  <c r="F517"/>
  <c r="I518" s="1"/>
  <c r="J518" s="1"/>
  <c r="G517"/>
  <c r="F501"/>
  <c r="I502" s="1"/>
  <c r="J502" s="1"/>
  <c r="G501"/>
  <c r="F485"/>
  <c r="G485"/>
  <c r="F469"/>
  <c r="I470" s="1"/>
  <c r="J470" s="1"/>
  <c r="G469"/>
  <c r="R450"/>
  <c r="R61"/>
  <c r="AH450"/>
  <c r="AH61"/>
  <c r="AJ450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I490" s="1"/>
  <c r="J490" s="1"/>
  <c r="G481"/>
  <c r="F481"/>
  <c r="I482" s="1"/>
  <c r="J482" s="1"/>
  <c r="G473"/>
  <c r="F473"/>
  <c r="I474" s="1"/>
  <c r="J474" s="1"/>
  <c r="G465"/>
  <c r="F465"/>
  <c r="I466" s="1"/>
  <c r="J466" s="1"/>
  <c r="G38"/>
  <c r="G424" s="1"/>
  <c r="D22"/>
  <c r="C373"/>
  <c r="D531"/>
  <c r="N450"/>
  <c r="N61"/>
  <c r="V450"/>
  <c r="V61"/>
  <c r="AD450"/>
  <c r="AD61"/>
  <c r="I536"/>
  <c r="J44"/>
  <c r="J430" s="1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Y11" s="1"/>
  <c r="FU135"/>
  <c r="FU112"/>
  <c r="EK157"/>
  <c r="EK112"/>
  <c r="FU139"/>
  <c r="FU149"/>
  <c r="I500" l="1"/>
  <c r="J500" s="1"/>
  <c r="K502" s="1"/>
  <c r="I464"/>
  <c r="J464" s="1"/>
  <c r="K464" s="1"/>
  <c r="C429"/>
  <c r="FU128"/>
  <c r="I504"/>
  <c r="J504" s="1"/>
  <c r="K506" s="1"/>
  <c r="FU108"/>
  <c r="J449"/>
  <c r="C449" s="1"/>
  <c r="FU88"/>
  <c r="I460"/>
  <c r="J460" s="1"/>
  <c r="K462" s="1"/>
  <c r="DG232"/>
  <c r="DG229"/>
  <c r="AD9"/>
  <c r="DG226"/>
  <c r="FU154"/>
  <c r="FU148"/>
  <c r="DG230"/>
  <c r="DG234"/>
  <c r="Z9"/>
  <c r="FU153"/>
  <c r="AD13"/>
  <c r="X11"/>
  <c r="FU98"/>
  <c r="AD5" s="1"/>
  <c r="FU168"/>
  <c r="FU116"/>
  <c r="DG233"/>
  <c r="FU118"/>
  <c r="DG228"/>
  <c r="FU91"/>
  <c r="AC4" s="1"/>
  <c r="DG225"/>
  <c r="FU123"/>
  <c r="FU155"/>
  <c r="DG231"/>
  <c r="DG227"/>
  <c r="I546"/>
  <c r="D43"/>
  <c r="E43" s="1"/>
  <c r="E41"/>
  <c r="D377"/>
  <c r="E377" s="1"/>
  <c r="K470"/>
  <c r="K492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K482"/>
  <c r="K514"/>
  <c r="D375"/>
  <c r="E375" s="1"/>
  <c r="D32"/>
  <c r="AN15" s="1"/>
  <c r="K510"/>
  <c r="D45"/>
  <c r="E45" s="1"/>
  <c r="FU175"/>
  <c r="AD11"/>
  <c r="AC11"/>
  <c r="K472"/>
  <c r="C427"/>
  <c r="G445"/>
  <c r="C445" s="1"/>
  <c r="K494"/>
  <c r="K498"/>
  <c r="AC9"/>
  <c r="I486"/>
  <c r="J486" s="1"/>
  <c r="K486" s="1"/>
  <c r="K518"/>
  <c r="AE13"/>
  <c r="D374"/>
  <c r="E374" s="1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9"/>
  <c r="AF9" s="1"/>
  <c r="AE11"/>
  <c r="K516"/>
  <c r="K512"/>
  <c r="G520"/>
  <c r="AR15" s="1"/>
  <c r="X9"/>
  <c r="Z11"/>
  <c r="AA11" s="1"/>
  <c r="K476"/>
  <c r="K508"/>
  <c r="AC13"/>
  <c r="Y13"/>
  <c r="X13"/>
  <c r="Z13"/>
  <c r="AA13" s="1"/>
  <c r="D405"/>
  <c r="E405" s="1"/>
  <c r="E531" s="1"/>
  <c r="G531" s="1"/>
  <c r="E410"/>
  <c r="G410"/>
  <c r="X6"/>
  <c r="Y6"/>
  <c r="Z6"/>
  <c r="G407"/>
  <c r="E407"/>
  <c r="I534"/>
  <c r="I532"/>
  <c r="AE8"/>
  <c r="AC8"/>
  <c r="AD8"/>
  <c r="Y4"/>
  <c r="Z4"/>
  <c r="X4"/>
  <c r="Z7"/>
  <c r="X7"/>
  <c r="Y7"/>
  <c r="J61"/>
  <c r="D61" s="1"/>
  <c r="D46"/>
  <c r="E46" s="1"/>
  <c r="D406"/>
  <c r="Y9"/>
  <c r="K484"/>
  <c r="K496"/>
  <c r="K474"/>
  <c r="K490"/>
  <c r="K478"/>
  <c r="K480"/>
  <c r="K468"/>
  <c r="F393" l="1"/>
  <c r="F379" s="1"/>
  <c r="E57" s="1"/>
  <c r="V57" s="1"/>
  <c r="F395"/>
  <c r="F381" s="1"/>
  <c r="E59" s="1"/>
  <c r="T59" s="1"/>
  <c r="F390"/>
  <c r="F376" s="1"/>
  <c r="E54" s="1"/>
  <c r="AG54" s="1"/>
  <c r="C431"/>
  <c r="J447"/>
  <c r="C447" s="1"/>
  <c r="K500"/>
  <c r="K466"/>
  <c r="AF13"/>
  <c r="K504"/>
  <c r="AE5"/>
  <c r="AF5" s="1"/>
  <c r="F394"/>
  <c r="F380" s="1"/>
  <c r="E58" s="1"/>
  <c r="U58" s="1"/>
  <c r="AC5"/>
  <c r="AD6"/>
  <c r="DH229"/>
  <c r="AE7"/>
  <c r="AE6"/>
  <c r="AA9"/>
  <c r="DH232"/>
  <c r="DH233"/>
  <c r="AC6"/>
  <c r="DH230"/>
  <c r="AC12"/>
  <c r="DH234"/>
  <c r="DH226"/>
  <c r="AE10"/>
  <c r="AC7"/>
  <c r="DH228"/>
  <c r="AD4"/>
  <c r="AE4"/>
  <c r="AD7"/>
  <c r="DH227"/>
  <c r="AD10"/>
  <c r="AC10"/>
  <c r="DH231"/>
  <c r="AA6"/>
  <c r="F396"/>
  <c r="F382" s="1"/>
  <c r="E60" s="1"/>
  <c r="K60" s="1"/>
  <c r="F392"/>
  <c r="F378" s="1"/>
  <c r="E56" s="1"/>
  <c r="K56" s="1"/>
  <c r="F389"/>
  <c r="F375" s="1"/>
  <c r="E53" s="1"/>
  <c r="J53" s="1"/>
  <c r="K460"/>
  <c r="F391"/>
  <c r="F377" s="1"/>
  <c r="E55" s="1"/>
  <c r="K488"/>
  <c r="AD12"/>
  <c r="AA12"/>
  <c r="AE12"/>
  <c r="AF11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F388"/>
  <c r="F374" s="1"/>
  <c r="E52" s="1"/>
  <c r="AA7"/>
  <c r="AF8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AA4"/>
  <c r="J57" l="1"/>
  <c r="T57"/>
  <c r="AE57"/>
  <c r="Z57"/>
  <c r="AI57"/>
  <c r="M57"/>
  <c r="AF57"/>
  <c r="AC57"/>
  <c r="H57"/>
  <c r="AB57"/>
  <c r="Q57"/>
  <c r="N57"/>
  <c r="P57"/>
  <c r="AJ57"/>
  <c r="U57"/>
  <c r="AH57"/>
  <c r="R57"/>
  <c r="G57"/>
  <c r="K57"/>
  <c r="AG57"/>
  <c r="AD57"/>
  <c r="W57"/>
  <c r="S57"/>
  <c r="AK57"/>
  <c r="X57"/>
  <c r="AA57"/>
  <c r="O57"/>
  <c r="L57"/>
  <c r="Y57"/>
  <c r="I57"/>
  <c r="H59"/>
  <c r="J59"/>
  <c r="AC59"/>
  <c r="AG59"/>
  <c r="G59"/>
  <c r="X59"/>
  <c r="M59"/>
  <c r="W59"/>
  <c r="AD54"/>
  <c r="P54"/>
  <c r="H54"/>
  <c r="V54"/>
  <c r="U59"/>
  <c r="I59"/>
  <c r="AA59"/>
  <c r="L59"/>
  <c r="AK59"/>
  <c r="V59"/>
  <c r="Q59"/>
  <c r="Z59"/>
  <c r="AE59"/>
  <c r="O59"/>
  <c r="AF59"/>
  <c r="P59"/>
  <c r="K54"/>
  <c r="N54"/>
  <c r="N59"/>
  <c r="R59"/>
  <c r="K59"/>
  <c r="AB59"/>
  <c r="AD59"/>
  <c r="Y59"/>
  <c r="AH59"/>
  <c r="AI59"/>
  <c r="S59"/>
  <c r="AJ59"/>
  <c r="L54"/>
  <c r="U54"/>
  <c r="S54"/>
  <c r="T54"/>
  <c r="Z54"/>
  <c r="M54"/>
  <c r="AB54"/>
  <c r="J54"/>
  <c r="X54"/>
  <c r="AI54"/>
  <c r="AJ54"/>
  <c r="AA54"/>
  <c r="W54"/>
  <c r="AF54"/>
  <c r="AC54"/>
  <c r="AH54"/>
  <c r="Y54"/>
  <c r="R54"/>
  <c r="O54"/>
  <c r="I54"/>
  <c r="G54"/>
  <c r="AK54"/>
  <c r="AE54"/>
  <c r="Q54"/>
  <c r="AI58"/>
  <c r="L58"/>
  <c r="Q58"/>
  <c r="AC58"/>
  <c r="K58"/>
  <c r="AA58"/>
  <c r="X58"/>
  <c r="S58"/>
  <c r="AF6"/>
  <c r="AD58"/>
  <c r="AE58"/>
  <c r="Y58"/>
  <c r="M58"/>
  <c r="Z58"/>
  <c r="AK58"/>
  <c r="R58"/>
  <c r="AG58"/>
  <c r="J58"/>
  <c r="AB58"/>
  <c r="AH58"/>
  <c r="N58"/>
  <c r="I58"/>
  <c r="AJ58"/>
  <c r="AF58"/>
  <c r="T58"/>
  <c r="O58"/>
  <c r="P58"/>
  <c r="G58"/>
  <c r="V58"/>
  <c r="W58"/>
  <c r="H58"/>
  <c r="AF10"/>
  <c r="AF7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I520"/>
  <c r="F522" s="1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7" l="1"/>
  <c r="D59"/>
  <c r="D54"/>
  <c r="D58"/>
  <c r="D56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<sst xmlns="http://schemas.openxmlformats.org/spreadsheetml/2006/main" count="1028" uniqueCount="150">
  <si>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</si>
  <si>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</si>
  <si>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</si>
  <si>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</si>
  <si>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</si>
  <si>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</si>
  <si>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</si>
  <si>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</si>
  <si>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</si>
  <si>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</si>
  <si>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</si>
  <si>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</si>
  <si>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</si>
  <si>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</si>
  <si>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</si>
  <si>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</si>
  <si>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</si>
  <si>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</si>
  <si>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</si>
  <si>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</si>
  <si>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</si>
  <si>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</si>
  <si>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</si>
  <si>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</si>
  <si>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</si>
  <si>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</si>
  <si>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</si>
  <si>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</si>
  <si>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</si>
  <si>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</si>
  <si>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</si>
  <si>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</si>
  <si>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</si>
  <si>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</si>
  <si>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</si>
  <si>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</si>
  <si>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</si>
  <si>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</si>
  <si>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</si>
  <si>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</si>
  <si>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</si>
  <si>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</si>
  <si>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</si>
  <si>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</si>
  <si>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</si>
  <si>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</si>
  <si>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</si>
  <si>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</si>
  <si>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</si>
  <si>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</si>
  <si>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</si>
  <si>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</si>
  <si>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</si>
  <si>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</si>
  <si>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</si>
  <si>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</si>
  <si>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</si>
  <si>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</si>
  <si>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</si>
  <si>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</si>
  <si>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</si>
  <si>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</si>
  <si>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</si>
  <si>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</si>
  <si>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</si>
  <si>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</si>
  <si>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</si>
  <si>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</si>
  <si>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</si>
  <si>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</si>
  <si>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</si>
  <si>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</si>
  <si>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</si>
  <si>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</si>
  <si>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</si>
  <si>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</si>
  <si>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</si>
  <si>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</si>
  <si>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</si>
  <si>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</si>
  <si>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</si>
  <si>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</si>
  <si>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</si>
  <si>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</si>
  <si>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</si>
  <si>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</si>
  <si>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</si>
  <si>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</si>
  <si>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</si>
  <si>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</si>
  <si>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</si>
  <si>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</si>
  <si>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</si>
  <si>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</si>
  <si>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</si>
  <si>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</si>
  <si>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</si>
  <si>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</si>
  <si>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</si>
  <si>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</si>
  <si>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</si>
  <si>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</si>
  <si>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</si>
  <si>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</si>
  <si>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</si>
  <si>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</si>
  <si>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</si>
  <si>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</si>
  <si>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</si>
  <si>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</si>
  <si>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</si>
  <si>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</si>
  <si>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</si>
  <si>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</si>
  <si>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</si>
  <si>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</si>
  <si>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</si>
  <si>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</si>
  <si>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</si>
  <si>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</si>
  <si>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</si>
  <si>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</si>
  <si>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</si>
  <si>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</si>
  <si>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</si>
  <si>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</si>
  <si>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</si>
  <si>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</si>
  <si>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</si>
  <si>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</si>
  <si>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</si>
  <si>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</si>
  <si>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</si>
  <si>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</si>
  <si>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</si>
  <si>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</si>
  <si>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</si>
  <si>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</si>
  <si>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</si>
  <si>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</si>
  <si>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</si>
  <si>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</si>
  <si>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</si>
  <si>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Inerval Growth Boot</t>
  </si>
  <si>
    <t>Boot</t>
  </si>
  <si>
    <t>Interval Growth Variation</t>
  </si>
  <si>
    <t>Avg. Boot</t>
  </si>
  <si>
    <t>Upper 95% CI</t>
  </si>
  <si>
    <t>Lower 95% CI</t>
  </si>
  <si>
    <t>Cynigmula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</si>
</sst>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26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1" borderId="0" xfId="0" applyFill="1"/>
    <xf numFmtId="0" fontId="1" fillId="31" borderId="10" xfId="0" applyFont="1" applyFill="1" applyBorder="1"/>
    <xf numFmtId="2" fontId="3" fillId="29" borderId="0" xfId="0" applyNumberFormat="1" applyFont="1" applyFill="1" applyBorder="1"/>
    <xf numFmtId="0" fontId="1" fillId="32" borderId="0" xfId="0" applyFont="1" applyFill="1"/>
    <xf numFmtId="0" fontId="1" fillId="30" borderId="13" xfId="0" applyFont="1" applyFill="1" applyBorder="1" applyAlignment="1"/>
    <xf numFmtId="0" fontId="1" fillId="30" borderId="14" xfId="0" applyFont="1" applyFill="1" applyBorder="1" applyAlignment="1">
      <alignment horizontal="center"/>
    </xf>
    <xf numFmtId="164" fontId="1" fillId="30" borderId="14" xfId="0" applyNumberFormat="1" applyFont="1" applyFill="1" applyBorder="1" applyAlignment="1"/>
    <xf numFmtId="0" fontId="1" fillId="30" borderId="14" xfId="0" applyFont="1" applyFill="1" applyBorder="1" applyAlignment="1"/>
    <xf numFmtId="0" fontId="1" fillId="33" borderId="10" xfId="0" applyFont="1" applyFill="1" applyBorder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3" fillId="17" borderId="0" xfId="0" applyFont="1" applyFill="1" applyBorder="1"/>
    <xf numFmtId="0" fontId="3" fillId="20" borderId="0" xfId="0" applyFont="1" applyFill="1" applyBorder="1"/>
    <xf numFmtId="0" fontId="9" fillId="20" borderId="0" xfId="0" applyFont="1" applyFill="1" applyBorder="1" applyAlignment="1">
      <alignment horizontal="right"/>
    </xf>
    <xf numFmtId="167" fontId="3" fillId="0" borderId="0" xfId="0" applyNumberFormat="1" applyFont="1" applyBorder="1"/>
    <xf numFmtId="0" fontId="4" fillId="23" borderId="0" xfId="0" applyFont="1" applyFill="1" applyBorder="1"/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2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1338"/>
  <sheetViews>
    <sheetView topLeftCell="FE5" zoomScale="85" zoomScaleNormal="85" workbookViewId="0">
      <selection activeCell="FH6" sqref="FH6:FN16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customWidth="1"/>
    <col min="165" max="176" width="8.85546875" style="8"/>
    <col min="177" max="177" width="15.140625" style="8" customWidth="1"/>
    <col min="178" max="16384" width="8.85546875" style="8"/>
  </cols>
  <sheetData>
    <row r="1" spans="1:196" s="7" customFormat="1">
      <c r="A1" s="218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6"/>
      <c r="FY2" s="206"/>
      <c r="FZ2" s="206"/>
      <c r="GA2" s="206"/>
      <c r="GB2" s="206"/>
      <c r="GC2" s="221" t="s">
        <v>143</v>
      </c>
      <c r="GD2" s="221"/>
      <c r="GE2" s="221"/>
      <c r="GF2" s="221"/>
      <c r="GG2" s="221"/>
      <c r="GH2" s="221"/>
      <c r="GI2" s="221"/>
      <c r="GJ2" s="206"/>
      <c r="GK2" s="206"/>
      <c r="GL2" s="206"/>
      <c r="GM2" s="206"/>
      <c r="GN2" s="206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6"/>
      <c r="FY3" s="207"/>
      <c r="FZ3" s="207"/>
      <c r="GA3" s="207"/>
      <c r="GB3" s="207"/>
      <c r="GC3" s="207"/>
      <c r="GD3" s="207"/>
      <c r="GE3" s="207"/>
      <c r="GF3" s="207"/>
      <c r="GG3" s="207"/>
      <c r="GH3" s="207"/>
      <c r="GI3" s="207"/>
      <c r="GJ3" s="207"/>
      <c r="GK3" s="207"/>
      <c r="GL3" s="207"/>
      <c r="GM3" s="207"/>
      <c r="GN3" s="206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254.97635753254752</v>
      </c>
      <c r="N4" s="130">
        <v>141.82440734120047</v>
      </c>
      <c r="O4" s="130">
        <v>566.6139166305345</v>
      </c>
      <c r="P4" s="130">
        <v>789.07454645745827</v>
      </c>
      <c r="Q4" s="130">
        <v>133.85625263524088</v>
      </c>
      <c r="R4" s="130">
        <v>833.99034126705351</v>
      </c>
      <c r="S4" s="131">
        <v>66.591774789694227</v>
      </c>
      <c r="T4" s="131">
        <v>138.76449381332802</v>
      </c>
      <c r="U4" s="5"/>
      <c r="V4" s="4"/>
      <c r="W4" s="127">
        <f t="shared" ref="W4:W13" si="0">C4</f>
        <v>39646</v>
      </c>
      <c r="X4" s="132">
        <f>AVERAGE(EK88:EK97)</f>
        <v>132.29166666666669</v>
      </c>
      <c r="Y4" s="131">
        <f>COUNT(EK88:EK97)</f>
        <v>10</v>
      </c>
      <c r="Z4" s="130">
        <f>STDEV(EK88:EK97)</f>
        <v>102.77425857338322</v>
      </c>
      <c r="AA4" s="130">
        <f>Z4/SQRT(Y4)</f>
        <v>32.500074192697831</v>
      </c>
      <c r="AB4" s="131"/>
      <c r="AC4" s="130">
        <f>AVERAGE($FU88:$FU97)</f>
        <v>75.118664109773633</v>
      </c>
      <c r="AD4" s="132">
        <f>COUNT($FU88:$FU97)</f>
        <v>10</v>
      </c>
      <c r="AE4" s="130">
        <f>STDEV($FU88:$FU97)</f>
        <v>76.143226003949238</v>
      </c>
      <c r="AF4" s="130">
        <f>AE4/SQRT(AD4)</f>
        <v>24.078602256544066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22" t="s">
        <v>145</v>
      </c>
      <c r="FK4" s="222"/>
      <c r="FL4" s="222"/>
      <c r="FM4" s="222"/>
      <c r="FN4" s="5"/>
      <c r="FO4" s="5"/>
      <c r="FX4" s="206"/>
      <c r="FY4" s="208" t="s">
        <v>144</v>
      </c>
      <c r="FZ4" s="209">
        <f>C4</f>
        <v>39646</v>
      </c>
      <c r="GA4" s="209">
        <f>C5</f>
        <v>39673</v>
      </c>
      <c r="GB4" s="209">
        <f>C6</f>
        <v>39714</v>
      </c>
      <c r="GC4" s="209">
        <f>C7</f>
        <v>39747</v>
      </c>
      <c r="GD4" s="209">
        <f>C8</f>
        <v>39775</v>
      </c>
      <c r="GE4" s="209">
        <f>C9</f>
        <v>39799</v>
      </c>
      <c r="GF4" s="209">
        <f>C10</f>
        <v>39847</v>
      </c>
      <c r="GG4" s="209">
        <f>C11</f>
        <v>39910</v>
      </c>
      <c r="GH4" s="209">
        <f>C12</f>
        <v>39949</v>
      </c>
      <c r="GI4" s="209">
        <f>C13</f>
        <v>39987</v>
      </c>
      <c r="GJ4" s="210"/>
      <c r="GK4" s="210"/>
      <c r="GL4" s="210"/>
      <c r="GM4" s="210"/>
      <c r="GN4" s="206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253.58187050516992</v>
      </c>
      <c r="N5" s="130">
        <f t="shared" si="1"/>
        <v>141.80398102289564</v>
      </c>
      <c r="O5" s="130">
        <f t="shared" si="1"/>
        <v>595.631132600809</v>
      </c>
      <c r="P5" s="130">
        <f t="shared" si="1"/>
        <v>789.90790878521318</v>
      </c>
      <c r="Q5" s="130">
        <f t="shared" si="1"/>
        <v>133.85687368549037</v>
      </c>
      <c r="R5" s="130">
        <f t="shared" si="1"/>
        <v>1355.7455821261958</v>
      </c>
      <c r="S5" s="131">
        <f t="shared" si="1"/>
        <v>68.709921825023969</v>
      </c>
      <c r="T5" s="131">
        <f t="shared" si="1"/>
        <v>157.36019156271331</v>
      </c>
      <c r="U5" s="5"/>
      <c r="V5" s="4"/>
      <c r="W5" s="127">
        <f t="shared" si="0"/>
        <v>39673</v>
      </c>
      <c r="X5" s="132">
        <f>AVERAGE(EK98:EK107)</f>
        <v>177.69345238095241</v>
      </c>
      <c r="Y5" s="131">
        <f>COUNT(EK98:EK107)</f>
        <v>10</v>
      </c>
      <c r="Z5" s="130">
        <f>STDEV(EK98:EK107)</f>
        <v>87.692701694478615</v>
      </c>
      <c r="AA5" s="130">
        <f t="shared" ref="AA5:AA13" si="2">Z5/SQRT(Y5)</f>
        <v>27.730867152825947</v>
      </c>
      <c r="AB5" s="131"/>
      <c r="AC5" s="130">
        <f>AVERAGE($FU98:$FU107)</f>
        <v>177.91534178462885</v>
      </c>
      <c r="AD5" s="132">
        <f>COUNT($FU98:$FU107)</f>
        <v>10</v>
      </c>
      <c r="AE5" s="130">
        <f>STDEV($FU98:$FU107)</f>
        <v>99.213342384310636</v>
      </c>
      <c r="AF5" s="130">
        <f t="shared" ref="AF5:AF13" si="3">AE5/SQRT(AD5)</f>
        <v>31.37401362125421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06"/>
      <c r="FY5" s="206"/>
      <c r="FZ5" s="206"/>
      <c r="GA5" s="206"/>
      <c r="GB5" s="206"/>
      <c r="GC5" s="206"/>
      <c r="GD5" s="206"/>
      <c r="GE5" s="206"/>
      <c r="GF5" s="206"/>
      <c r="GG5" s="206"/>
      <c r="GH5" s="206"/>
      <c r="GI5" s="206"/>
      <c r="GJ5" s="206"/>
      <c r="GK5" s="206"/>
      <c r="GL5" s="206"/>
      <c r="GM5" s="206"/>
      <c r="GN5" s="206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325.01876060256495</v>
      </c>
      <c r="N6" s="130">
        <f t="shared" si="4"/>
        <v>179.22963476236978</v>
      </c>
      <c r="O6" s="130">
        <f t="shared" si="4"/>
        <v>867.08561594848345</v>
      </c>
      <c r="P6" s="130">
        <f t="shared" si="4"/>
        <v>979.27193643101771</v>
      </c>
      <c r="Q6" s="130">
        <f t="shared" si="4"/>
        <v>167.78213764657033</v>
      </c>
      <c r="R6" s="130">
        <f t="shared" si="4"/>
        <v>1732.7243491875124</v>
      </c>
      <c r="S6" s="130">
        <f t="shared" si="4"/>
        <v>87.886467441095832</v>
      </c>
      <c r="T6" s="130">
        <f t="shared" si="4"/>
        <v>406.89944049562592</v>
      </c>
      <c r="U6" s="5"/>
      <c r="V6" s="4"/>
      <c r="W6" s="127">
        <f t="shared" si="0"/>
        <v>39714</v>
      </c>
      <c r="X6" s="132">
        <f>AVERAGE(EK108:EK117)</f>
        <v>286.27112135176651</v>
      </c>
      <c r="Y6" s="131">
        <f>COUNT(EK108:EK117)</f>
        <v>10</v>
      </c>
      <c r="Z6" s="130">
        <f>STDEV(EK108:EK117)</f>
        <v>409.59432514703735</v>
      </c>
      <c r="AA6" s="130">
        <f t="shared" si="2"/>
        <v>129.52509841442196</v>
      </c>
      <c r="AB6" s="131"/>
      <c r="AC6" s="130">
        <f>AVERAGE($FU108:$FU117)</f>
        <v>112.0993540788761</v>
      </c>
      <c r="AD6" s="132">
        <f>COUNT($FU108:$FU117)</f>
        <v>10</v>
      </c>
      <c r="AE6" s="130">
        <f>STDEV($FU108:$FU117)</f>
        <v>110.89970160431513</v>
      </c>
      <c r="AF6" s="130">
        <f t="shared" si="3"/>
        <v>35.069564890266506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23" t="s">
        <v>146</v>
      </c>
      <c r="FJ6" s="223"/>
      <c r="FK6" s="224" t="s">
        <v>147</v>
      </c>
      <c r="FL6" s="224"/>
      <c r="FM6" s="224" t="s">
        <v>148</v>
      </c>
      <c r="FN6" s="224"/>
      <c r="FO6" s="5"/>
      <c r="FY6" s="211">
        <v>1</v>
      </c>
      <c r="FZ6">
        <v>108.48155758360845</v>
      </c>
      <c r="GA6">
        <v>160.9339261794066</v>
      </c>
      <c r="GB6">
        <v>68.380883994723902</v>
      </c>
      <c r="GC6">
        <v>56.458427730865701</v>
      </c>
      <c r="GD6">
        <v>41.063091508731127</v>
      </c>
      <c r="GE6">
        <v>72.192426075862514</v>
      </c>
      <c r="GF6">
        <v>102.51464931993</v>
      </c>
      <c r="GG6">
        <v>61.166649952240114</v>
      </c>
      <c r="GH6">
        <v>67.686031681772178</v>
      </c>
      <c r="GI6">
        <v>95.582938933596708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190.63432709104774</v>
      </c>
      <c r="N7" s="130">
        <f t="shared" si="5"/>
        <v>107.78703822090539</v>
      </c>
      <c r="O7" s="130">
        <f t="shared" si="5"/>
        <v>373.5492030657939</v>
      </c>
      <c r="P7" s="130">
        <f t="shared" si="5"/>
        <v>610.30219377135074</v>
      </c>
      <c r="Q7" s="130">
        <f t="shared" si="5"/>
        <v>102.71853501089151</v>
      </c>
      <c r="R7" s="130">
        <f t="shared" si="5"/>
        <v>1040.4149187642793</v>
      </c>
      <c r="S7" s="130">
        <f t="shared" si="5"/>
        <v>51.197819252246646</v>
      </c>
      <c r="T7" s="130">
        <f t="shared" si="5"/>
        <v>-50.605174668915502</v>
      </c>
      <c r="U7" s="5"/>
      <c r="V7" s="4"/>
      <c r="W7" s="127">
        <f t="shared" si="0"/>
        <v>39747</v>
      </c>
      <c r="X7" s="132">
        <f>AVERAGE(EK118:EK127)</f>
        <v>379.36277683044921</v>
      </c>
      <c r="Y7" s="131">
        <f>COUNT(EK118:EK127)</f>
        <v>10</v>
      </c>
      <c r="Z7" s="130">
        <f>STDEV(EK118:EK127)</f>
        <v>268.28021435326127</v>
      </c>
      <c r="AA7" s="130">
        <f t="shared" si="2"/>
        <v>84.83765285145023</v>
      </c>
      <c r="AB7" s="131"/>
      <c r="AC7" s="130">
        <f>AVERAGE($FU118:$FU127)</f>
        <v>88.968553913375189</v>
      </c>
      <c r="AD7" s="132">
        <f>COUNT($FU118:$FU127)</f>
        <v>10</v>
      </c>
      <c r="AE7" s="130">
        <f>STDEV($FU118:$FU127)</f>
        <v>79.271503320736088</v>
      </c>
      <c r="AF7" s="130">
        <f t="shared" si="3"/>
        <v>25.067850403912722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2">
        <f t="shared" ref="FH7:FH16" si="6">C4</f>
        <v>39646</v>
      </c>
      <c r="FI7" s="225">
        <f>AVERAGE(FZ6:FZ1005)</f>
        <v>115.53524525562676</v>
      </c>
      <c r="FJ7" s="225"/>
      <c r="FK7" s="225">
        <f>PERCENTILE($FZ$6:$FZ$1005,0.975)</f>
        <v>147.50726157494009</v>
      </c>
      <c r="FL7" s="225"/>
      <c r="FM7" s="225">
        <f>PERCENTILE($FZ$6:$FZ$1005,0.025)</f>
        <v>83.224845156189843</v>
      </c>
      <c r="FN7" s="225"/>
      <c r="FO7" s="5"/>
      <c r="FY7" s="211">
        <v>2</v>
      </c>
      <c r="FZ7">
        <v>140.83784039240183</v>
      </c>
      <c r="GA7">
        <v>167.09182232779668</v>
      </c>
      <c r="GB7">
        <v>45.995023244527403</v>
      </c>
      <c r="GC7">
        <v>36.548178207966764</v>
      </c>
      <c r="GD7">
        <v>44.694480471014082</v>
      </c>
      <c r="GE7">
        <v>73.270734584561481</v>
      </c>
      <c r="GF7">
        <v>89.351237785590172</v>
      </c>
      <c r="GG7">
        <v>108.01787545911696</v>
      </c>
      <c r="GH7">
        <v>98.440425247478785</v>
      </c>
      <c r="GI7">
        <v>97.67542468664108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384.34965497465498</v>
      </c>
      <c r="Y8" s="131">
        <f>COUNT(EK128:EK137)</f>
        <v>10</v>
      </c>
      <c r="Z8" s="130">
        <f>STDEV(EK128:EK137)</f>
        <v>301.49297015382723</v>
      </c>
      <c r="AA8" s="130">
        <f t="shared" si="2"/>
        <v>95.340448421525977</v>
      </c>
      <c r="AB8" s="131"/>
      <c r="AC8" s="130">
        <f>AVERAGE($FU128:$FU137)</f>
        <v>206.43545253292169</v>
      </c>
      <c r="AD8" s="132">
        <f>COUNT($FU128:$FU137)</f>
        <v>10</v>
      </c>
      <c r="AE8" s="130">
        <f>STDEV($FU128:$FU137)</f>
        <v>120.56396642281591</v>
      </c>
      <c r="AF8" s="130">
        <f t="shared" si="3"/>
        <v>38.125673764016135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2">
        <f t="shared" si="6"/>
        <v>39673</v>
      </c>
      <c r="FI8" s="225">
        <f>AVERAGE(GA6:GA1005)</f>
        <v>149.39322190815545</v>
      </c>
      <c r="FJ8" s="225"/>
      <c r="FK8" s="225">
        <f>PERCENTILE($GA$6:$GA$1005,0.975)</f>
        <v>193.03119787223957</v>
      </c>
      <c r="FL8" s="225"/>
      <c r="FM8" s="225">
        <f>PERCENTILE($GA$6:$GA$1005,0.025)</f>
        <v>108.40081310684837</v>
      </c>
      <c r="FN8" s="225"/>
      <c r="FO8" s="5"/>
      <c r="FY8" s="211">
        <v>3</v>
      </c>
      <c r="FZ8">
        <v>109.89798666461452</v>
      </c>
      <c r="GA8">
        <v>127.48546107003989</v>
      </c>
      <c r="GB8">
        <v>44.262421120999534</v>
      </c>
      <c r="GC8">
        <v>38.976814081320605</v>
      </c>
      <c r="GD8">
        <v>36.93520816154814</v>
      </c>
      <c r="GE8">
        <v>86.145269385738089</v>
      </c>
      <c r="GF8">
        <v>146.66394662145109</v>
      </c>
      <c r="GG8">
        <v>67.94839413484209</v>
      </c>
      <c r="GH8">
        <v>40.438829300017296</v>
      </c>
      <c r="GI8">
        <v>91.819259049012643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578.4881566601814</v>
      </c>
      <c r="Y9" s="131">
        <f>COUNT(EK138:EK147)</f>
        <v>10</v>
      </c>
      <c r="Z9" s="130">
        <f>STDEV(EK138:EK147)</f>
        <v>793.715245492284</v>
      </c>
      <c r="AA9" s="130">
        <f t="shared" si="2"/>
        <v>250.99479893553104</v>
      </c>
      <c r="AB9" s="131"/>
      <c r="AC9" s="130">
        <f>AVERAGE($FU138:$FU147)</f>
        <v>177.25178105032575</v>
      </c>
      <c r="AD9" s="132">
        <f>COUNT($FU138:$FU147)</f>
        <v>10</v>
      </c>
      <c r="AE9" s="130">
        <f>STDEV($FU138:$FU147)</f>
        <v>267.131130288473</v>
      </c>
      <c r="AF9" s="130">
        <f t="shared" si="3"/>
        <v>84.47428056467669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2">
        <f t="shared" si="6"/>
        <v>39714</v>
      </c>
      <c r="FI9" s="225">
        <f>AVERAGE(GB6:GB1005)</f>
        <v>51.817544454156568</v>
      </c>
      <c r="FJ9" s="225"/>
      <c r="FK9" s="225">
        <f>PERCENTILE($GB$6:$GB$1005,0.975)</f>
        <v>71.540986969246703</v>
      </c>
      <c r="FL9" s="225"/>
      <c r="FM9" s="225">
        <f>PERCENTILE($GB$6:$GB$1005,0.025)</f>
        <v>33.243054828589031</v>
      </c>
      <c r="FN9" s="225"/>
      <c r="FO9" s="5"/>
      <c r="FY9" s="211">
        <v>4</v>
      </c>
      <c r="FZ9">
        <v>113.13682052012703</v>
      </c>
      <c r="GA9">
        <v>129.56098800202855</v>
      </c>
      <c r="GB9">
        <v>53.172884739890407</v>
      </c>
      <c r="GC9">
        <v>43.506760644173447</v>
      </c>
      <c r="GD9">
        <v>37.452612188677108</v>
      </c>
      <c r="GE9">
        <v>63.170647457733246</v>
      </c>
      <c r="GF9">
        <v>80.789022323946497</v>
      </c>
      <c r="GG9">
        <v>106.93837725369808</v>
      </c>
      <c r="GH9">
        <v>122.07859171052678</v>
      </c>
      <c r="GI9">
        <v>93.425087866307493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10</v>
      </c>
      <c r="E10" s="109">
        <v>10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207.24826388888886</v>
      </c>
      <c r="Y10" s="131">
        <f>COUNT(EK148:EK157)</f>
        <v>10</v>
      </c>
      <c r="Z10" s="130">
        <f>STDEV(EK148:EK157)</f>
        <v>304.11700389446679</v>
      </c>
      <c r="AA10" s="130">
        <f t="shared" si="2"/>
        <v>96.170240749281234</v>
      </c>
      <c r="AB10" s="131"/>
      <c r="AC10" s="130">
        <f>AVERAGE($FU148:$FU157)</f>
        <v>202.8745597054328</v>
      </c>
      <c r="AD10" s="132">
        <f>COUNT($FU148:$FU157)</f>
        <v>10</v>
      </c>
      <c r="AE10" s="130">
        <f>STDEV($FU148:$FU157)</f>
        <v>312.06031831257911</v>
      </c>
      <c r="AF10" s="130">
        <f t="shared" si="3"/>
        <v>98.682137322490235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2">
        <f t="shared" si="6"/>
        <v>39747</v>
      </c>
      <c r="FI10" s="225">
        <f>AVERAGE(GC6:GC1005)</f>
        <v>42.560994942835457</v>
      </c>
      <c r="FJ10" s="225"/>
      <c r="FK10" s="225">
        <f>PERCENTILE($GC$6:$GC$1005,0.975)</f>
        <v>54.425968662999651</v>
      </c>
      <c r="FL10" s="225"/>
      <c r="FM10" s="225">
        <f>PERCENTILE($GC$6:$GC$1005,0.025)</f>
        <v>31.125436922041853</v>
      </c>
      <c r="FN10" s="225"/>
      <c r="FO10" s="5"/>
      <c r="FY10" s="211">
        <v>5</v>
      </c>
      <c r="FZ10">
        <v>106.94556623592017</v>
      </c>
      <c r="GA10">
        <v>109.14157037187574</v>
      </c>
      <c r="GB10">
        <v>26.864033367863179</v>
      </c>
      <c r="GC10">
        <v>32.113539323591461</v>
      </c>
      <c r="GD10">
        <v>46.244207628553291</v>
      </c>
      <c r="GE10">
        <v>111.20206150951948</v>
      </c>
      <c r="GF10">
        <v>106.48994027158872</v>
      </c>
      <c r="GG10">
        <v>62.917029299190453</v>
      </c>
      <c r="GH10">
        <v>88.558368368385615</v>
      </c>
      <c r="GI10">
        <v>92.232413397104821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142.34953703703704</v>
      </c>
      <c r="Y11" s="131">
        <f>COUNT(EK158:EK167)</f>
        <v>10</v>
      </c>
      <c r="Z11" s="130">
        <f>STDEV(EK158:EK167)</f>
        <v>206.32498511335089</v>
      </c>
      <c r="AA11" s="130">
        <f t="shared" si="2"/>
        <v>65.245689115852286</v>
      </c>
      <c r="AB11" s="131"/>
      <c r="AC11" s="130">
        <f>AVERAGE($FU158:$FU167)</f>
        <v>119.19855581942264</v>
      </c>
      <c r="AD11" s="132">
        <f>COUNT($FU158:$FU167)</f>
        <v>10</v>
      </c>
      <c r="AE11" s="130">
        <f>STDEV($FU158:$FU167)</f>
        <v>185.90486986428039</v>
      </c>
      <c r="AF11" s="130">
        <f t="shared" si="3"/>
        <v>58.788281688832363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2">
        <f t="shared" si="6"/>
        <v>39775</v>
      </c>
      <c r="FI11" s="225">
        <f>AVERAGE(GD5:GD1005)</f>
        <v>40.155160128647402</v>
      </c>
      <c r="FJ11" s="225"/>
      <c r="FK11" s="225">
        <f>PERCENTILE($GD$6:$GD$1005,0.975)</f>
        <v>58.099539469377717</v>
      </c>
      <c r="FL11" s="225"/>
      <c r="FM11" s="225">
        <f>PERCENTILE($GD$6:$GD$1005,0.025)</f>
        <v>25.761085661720177</v>
      </c>
      <c r="FN11" s="225"/>
      <c r="FO11" s="5"/>
      <c r="FY11" s="211">
        <v>6</v>
      </c>
      <c r="FZ11">
        <v>119.57179197610037</v>
      </c>
      <c r="GA11">
        <v>164.60959304604779</v>
      </c>
      <c r="GB11">
        <v>59.267582171513915</v>
      </c>
      <c r="GC11">
        <v>36.561615322343421</v>
      </c>
      <c r="GD11">
        <v>30.356840865803978</v>
      </c>
      <c r="GE11">
        <v>58.036429771397479</v>
      </c>
      <c r="GF11">
        <v>118.58182140382162</v>
      </c>
      <c r="GG11">
        <v>120.25366561130548</v>
      </c>
      <c r="GH11">
        <v>93.216288347436318</v>
      </c>
      <c r="GI11">
        <v>95.460924036694763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55.208333333333336</v>
      </c>
      <c r="Y12" s="131">
        <f>COUNT(EK168:EK177)</f>
        <v>10</v>
      </c>
      <c r="Z12" s="130">
        <f>STDEV(EK168:EK177)</f>
        <v>102.89150052181002</v>
      </c>
      <c r="AA12" s="130">
        <f t="shared" si="2"/>
        <v>32.537149352132296</v>
      </c>
      <c r="AB12" s="131"/>
      <c r="AC12" s="130">
        <f>AVERAGE($FU168:$FU177)</f>
        <v>145.46951631613575</v>
      </c>
      <c r="AD12" s="132">
        <f>COUNT($FU168:$FU177)</f>
        <v>10</v>
      </c>
      <c r="AE12" s="130">
        <f>STDEV($FU168:$FU177)</f>
        <v>271.72885586794939</v>
      </c>
      <c r="AF12" s="130">
        <f t="shared" si="3"/>
        <v>85.92820905343298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2">
        <f t="shared" si="6"/>
        <v>39799</v>
      </c>
      <c r="FI12" s="225">
        <f>AVERAGE(GE6:GE1005)</f>
        <v>71.81545741397187</v>
      </c>
      <c r="FJ12" s="225"/>
      <c r="FK12" s="225">
        <f>PERCENTILE($GE$6:$GE$1005,0.975)</f>
        <v>118.32934167551251</v>
      </c>
      <c r="FL12" s="225"/>
      <c r="FM12" s="225">
        <f>PERCENTILE($GE$6:$GE$1005,0.025)</f>
        <v>33.418283833216009</v>
      </c>
      <c r="FN12" s="225"/>
      <c r="FO12" s="5"/>
      <c r="FY12" s="211">
        <v>7</v>
      </c>
      <c r="FZ12">
        <v>132.4666721869657</v>
      </c>
      <c r="GA12">
        <v>154.63155813258041</v>
      </c>
      <c r="GB12">
        <v>42.983387965297723</v>
      </c>
      <c r="GC12">
        <v>49.105822294269295</v>
      </c>
      <c r="GD12">
        <v>57.356795540672501</v>
      </c>
      <c r="GE12">
        <v>94.85147637490013</v>
      </c>
      <c r="GF12">
        <v>137.43020037670235</v>
      </c>
      <c r="GG12">
        <v>133.26969141908697</v>
      </c>
      <c r="GH12">
        <v>102.97459093743362</v>
      </c>
      <c r="GI12">
        <v>116.36822711844482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63.866915370809409</v>
      </c>
      <c r="Y13" s="131">
        <f>COUNT(EK178:EK187)</f>
        <v>10</v>
      </c>
      <c r="Z13" s="130">
        <f>STDEV(EK178:EK187)</f>
        <v>95.820005116886705</v>
      </c>
      <c r="AA13" s="130">
        <f t="shared" si="2"/>
        <v>30.30094615783506</v>
      </c>
      <c r="AB13" s="131"/>
      <c r="AC13" s="130">
        <f>AVERAGE($FU178:$FU187)</f>
        <v>33.230747041516281</v>
      </c>
      <c r="AD13" s="132">
        <f>COUNT($FU178:$FU187)</f>
        <v>10</v>
      </c>
      <c r="AE13" s="130">
        <f>STDEV($FU178:$FU187)</f>
        <v>40.114476246636897</v>
      </c>
      <c r="AF13" s="130">
        <f t="shared" si="3"/>
        <v>12.685311208409495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2">
        <f t="shared" si="6"/>
        <v>39847</v>
      </c>
      <c r="FI13" s="225">
        <f>AVERAGE(GF6:GF1005)</f>
        <v>94.469378988177212</v>
      </c>
      <c r="FJ13" s="225"/>
      <c r="FK13" s="225">
        <f>PERCENTILE($GF$6:$GF$1005,0.975)</f>
        <v>155.73082438029266</v>
      </c>
      <c r="FL13" s="225"/>
      <c r="FM13" s="225">
        <f>PERCENTILE($GF$6:$GF$1005,0.025)</f>
        <v>44.11583647486561</v>
      </c>
      <c r="FN13" s="225"/>
      <c r="FO13" s="5"/>
      <c r="FY13" s="211">
        <v>8</v>
      </c>
      <c r="FZ13">
        <v>118.47094883750215</v>
      </c>
      <c r="GA13">
        <v>124.98926783772582</v>
      </c>
      <c r="GB13">
        <v>36.978383687235635</v>
      </c>
      <c r="GC13">
        <v>36.129997541706977</v>
      </c>
      <c r="GD13">
        <v>30.225128005706733</v>
      </c>
      <c r="GE13">
        <v>44.526549687280898</v>
      </c>
      <c r="GF13">
        <v>60.946403344453799</v>
      </c>
      <c r="GG13">
        <v>42.906803181633222</v>
      </c>
      <c r="GH13">
        <v>41.179513524319248</v>
      </c>
      <c r="GI13">
        <v>66.584190572988788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2">
        <f t="shared" si="6"/>
        <v>39910</v>
      </c>
      <c r="FI14" s="225">
        <f>AVERAGE(GG6:GG1005)</f>
        <v>69.579540164799241</v>
      </c>
      <c r="FJ14" s="225"/>
      <c r="FK14" s="225">
        <f>PERCENTILE($GG$6:$GG$1005,0.975)</f>
        <v>120.33855145171643</v>
      </c>
      <c r="FL14" s="225"/>
      <c r="FM14" s="225">
        <f>PERCENTILE($GG$6:$GG$1005,0.025)</f>
        <v>21.774460069677126</v>
      </c>
      <c r="FN14" s="225"/>
      <c r="FO14" s="5"/>
      <c r="FY14" s="211">
        <v>9</v>
      </c>
      <c r="FZ14">
        <v>76.550264299352435</v>
      </c>
      <c r="GA14">
        <v>109.0778201455296</v>
      </c>
      <c r="GB14">
        <v>43.733000160264424</v>
      </c>
      <c r="GC14">
        <v>47.54092419984643</v>
      </c>
      <c r="GD14">
        <v>42.14209546519254</v>
      </c>
      <c r="GE14">
        <v>69.585039888750217</v>
      </c>
      <c r="GF14">
        <v>98.05802833290781</v>
      </c>
      <c r="GG14">
        <v>50.421396025056801</v>
      </c>
      <c r="GH14">
        <v>36.416010566366403</v>
      </c>
      <c r="GI14">
        <v>78.091270862832118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291.92658611325152</v>
      </c>
      <c r="AO15" s="163">
        <f>D48</f>
        <v>139.08395666069606</v>
      </c>
      <c r="AP15" s="163">
        <f>D63</f>
        <v>680.5601857566802</v>
      </c>
      <c r="AQ15" s="163">
        <f>C453</f>
        <v>750.1526534153702</v>
      </c>
      <c r="AR15" s="163">
        <f>G520</f>
        <v>132.49083656795773</v>
      </c>
      <c r="AS15" s="163">
        <f>I523</f>
        <v>1448.8160111000557</v>
      </c>
      <c r="AT15" s="122">
        <f>G556</f>
        <v>65.182935698130947</v>
      </c>
      <c r="AU15" s="122">
        <f>I556</f>
        <v>180.23149248578599</v>
      </c>
      <c r="AV15" s="23"/>
      <c r="AW15" s="23"/>
      <c r="FG15" s="5"/>
      <c r="FH15" s="212">
        <f t="shared" si="6"/>
        <v>39949</v>
      </c>
      <c r="FI15" s="225">
        <f>AVERAGE(GH6:GH1005)</f>
        <v>65.775900799369367</v>
      </c>
      <c r="FJ15" s="225"/>
      <c r="FK15" s="225">
        <f>PERCENTILE($GH$6:$GH$1005,0.975)</f>
        <v>131.14065984294544</v>
      </c>
      <c r="FL15" s="225"/>
      <c r="FM15" s="225">
        <f>PERCENTILE($GH$6:$GH$1005,0.025)</f>
        <v>15.324706842703568</v>
      </c>
      <c r="FN15" s="225"/>
      <c r="FO15" s="5"/>
      <c r="FY15" s="211">
        <v>10</v>
      </c>
      <c r="FZ15">
        <v>109.12669153000147</v>
      </c>
      <c r="GA15">
        <v>136.15132068114835</v>
      </c>
      <c r="GB15">
        <v>43.923990356868039</v>
      </c>
      <c r="GC15">
        <v>26.009979690674644</v>
      </c>
      <c r="GD15">
        <v>20.29998543221939</v>
      </c>
      <c r="GE15">
        <v>47.189364128986604</v>
      </c>
      <c r="GF15">
        <v>87.02121795890325</v>
      </c>
      <c r="GG15">
        <v>72.733299580346426</v>
      </c>
      <c r="GH15">
        <v>66.614815102996999</v>
      </c>
      <c r="GI15">
        <v>71.087023571098925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2">
        <f t="shared" si="6"/>
        <v>39987</v>
      </c>
      <c r="FI16" s="225">
        <f>AVERAGE(GI6:GI1005)</f>
        <v>88.805464729472888</v>
      </c>
      <c r="FJ16" s="225"/>
      <c r="FK16" s="225">
        <f>PERCENTILE($GI$6:$GI$1005,0.975)</f>
        <v>110.25921572708589</v>
      </c>
      <c r="FL16" s="225"/>
      <c r="FM16" s="225">
        <f>PERCENTILE($GI$6:$GI$1005,0.025)</f>
        <v>68.674365505314242</v>
      </c>
      <c r="FN16" s="225"/>
      <c r="FO16" s="5"/>
      <c r="FY16" s="211">
        <v>11</v>
      </c>
      <c r="FZ16">
        <v>136.14213608594687</v>
      </c>
      <c r="GA16">
        <v>143.43319402767634</v>
      </c>
      <c r="GB16">
        <v>43.361534020737196</v>
      </c>
      <c r="GC16">
        <v>44.298196694234299</v>
      </c>
      <c r="GD16">
        <v>31.911268287149262</v>
      </c>
      <c r="GE16">
        <v>25.730438525674764</v>
      </c>
      <c r="GF16">
        <v>37.605253424043312</v>
      </c>
      <c r="GG16">
        <v>21.776863506924308</v>
      </c>
      <c r="GH16">
        <v>15.945354930944271</v>
      </c>
      <c r="GI16">
        <v>62.541497610967035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226.5635445419131</v>
      </c>
      <c r="AO17">
        <v>154.93038932153286</v>
      </c>
      <c r="AP17">
        <v>665.89698340429834</v>
      </c>
      <c r="AQ17">
        <v>834.46058296073727</v>
      </c>
      <c r="AR17">
        <v>145.0431133108512</v>
      </c>
      <c r="AS17">
        <v>1434.5209584288434</v>
      </c>
      <c r="AT17">
        <v>80.123284977939889</v>
      </c>
      <c r="AU17">
        <v>-12.216151966777126</v>
      </c>
      <c r="AV17"/>
      <c r="AW17"/>
      <c r="FG17" s="5"/>
      <c r="FH17" s="213"/>
      <c r="FI17" s="13"/>
      <c r="FJ17" s="13"/>
      <c r="FK17" s="13"/>
      <c r="FL17" s="13"/>
      <c r="FM17" s="13"/>
      <c r="FN17" s="13"/>
      <c r="FO17" s="5"/>
      <c r="FY17" s="211">
        <v>12</v>
      </c>
      <c r="FZ17">
        <v>134.62866700329272</v>
      </c>
      <c r="GA17">
        <v>176.83075346076592</v>
      </c>
      <c r="GB17">
        <v>60.425714070231471</v>
      </c>
      <c r="GC17">
        <v>34.78459172336116</v>
      </c>
      <c r="GD17">
        <v>29.891985876784503</v>
      </c>
      <c r="GE17">
        <v>57.434188462061094</v>
      </c>
      <c r="GF17">
        <v>87.297523811538454</v>
      </c>
      <c r="GG17">
        <v>110.12217401318327</v>
      </c>
      <c r="GH17">
        <v>120.25824758819472</v>
      </c>
      <c r="GI17">
        <v>94.445884924776962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277.59516778060168</v>
      </c>
      <c r="AO18">
        <v>155.68979748179692</v>
      </c>
      <c r="AP18">
        <v>629.85377290834276</v>
      </c>
      <c r="AQ18">
        <v>901.92304240709529</v>
      </c>
      <c r="AR18">
        <v>147.66537120697001</v>
      </c>
      <c r="AS18">
        <v>1441.9430233064859</v>
      </c>
      <c r="AT18">
        <v>75.090024186723682</v>
      </c>
      <c r="AU18">
        <v>192.35582595263156</v>
      </c>
      <c r="AV18"/>
      <c r="AW18"/>
      <c r="FG18" s="5"/>
      <c r="FH18" s="213"/>
      <c r="FI18" s="13"/>
      <c r="FJ18" s="13"/>
      <c r="FK18" s="13"/>
      <c r="FL18" s="13"/>
      <c r="FM18" s="13"/>
      <c r="FN18" s="13"/>
      <c r="FO18" s="5"/>
      <c r="FY18" s="211">
        <v>13</v>
      </c>
      <c r="FZ18">
        <v>104.57546203358451</v>
      </c>
      <c r="GA18">
        <v>155.21733411724097</v>
      </c>
      <c r="GB18">
        <v>63.71091880159517</v>
      </c>
      <c r="GC18">
        <v>39.030149758622414</v>
      </c>
      <c r="GD18">
        <v>50.952865008584318</v>
      </c>
      <c r="GE18">
        <v>110.3894000805129</v>
      </c>
      <c r="GF18">
        <v>98.076137332339357</v>
      </c>
      <c r="GG18">
        <v>72.513651059250805</v>
      </c>
      <c r="GH18">
        <v>98.848449738459124</v>
      </c>
      <c r="GI18">
        <v>103.5243016517897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258.84524568302339</v>
      </c>
      <c r="AO19">
        <v>145.63475293999073</v>
      </c>
      <c r="AP19">
        <v>620.97160741587095</v>
      </c>
      <c r="AQ19">
        <v>790.57358958958389</v>
      </c>
      <c r="AR19">
        <v>138.62048877018529</v>
      </c>
      <c r="AS19">
        <v>1361.7009487827386</v>
      </c>
      <c r="AT19">
        <v>66.464935499750908</v>
      </c>
      <c r="AU19">
        <v>177.60132913630133</v>
      </c>
      <c r="AV19"/>
      <c r="AW19"/>
      <c r="FG19" s="5"/>
      <c r="FH19" s="213"/>
      <c r="FI19" s="13"/>
      <c r="FJ19" s="13"/>
      <c r="FK19" s="13"/>
      <c r="FL19" s="13"/>
      <c r="FM19" s="13"/>
      <c r="FN19" s="13"/>
      <c r="FO19" s="5"/>
      <c r="FY19" s="211">
        <v>14</v>
      </c>
      <c r="FZ19">
        <v>128.0087884599682</v>
      </c>
      <c r="GA19">
        <v>168.2468661326601</v>
      </c>
      <c r="GB19">
        <v>48.349952743645147</v>
      </c>
      <c r="GC19">
        <v>34.290124455050503</v>
      </c>
      <c r="GD19">
        <v>38.440803037162205</v>
      </c>
      <c r="GE19">
        <v>68.783668432718329</v>
      </c>
      <c r="GF19">
        <v>99.787759947704984</v>
      </c>
      <c r="GG19">
        <v>77.239529685266305</v>
      </c>
      <c r="GH19">
        <v>53.522441878935261</v>
      </c>
      <c r="GI19">
        <v>88.046549232430223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233.85226231577198</v>
      </c>
      <c r="AO20">
        <v>148.73059509610948</v>
      </c>
      <c r="AP20">
        <v>626.42792516602753</v>
      </c>
      <c r="AQ20">
        <v>843.23179270710864</v>
      </c>
      <c r="AR20">
        <v>140.84743780877818</v>
      </c>
      <c r="AS20">
        <v>1380.293048672276</v>
      </c>
      <c r="AT20">
        <v>77.838749833211622</v>
      </c>
      <c r="AU20">
        <v>212.78616117266102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1">
        <v>15</v>
      </c>
      <c r="FZ20">
        <v>122.01635284530202</v>
      </c>
      <c r="GA20">
        <v>178.11784939554934</v>
      </c>
      <c r="GB20">
        <v>52.818303520521027</v>
      </c>
      <c r="GC20">
        <v>39.065692550271997</v>
      </c>
      <c r="GD20">
        <v>33.235486961772231</v>
      </c>
      <c r="GE20">
        <v>51.776838019834088</v>
      </c>
      <c r="GF20">
        <v>59.152718357799017</v>
      </c>
      <c r="GG20">
        <v>47.165483574153974</v>
      </c>
      <c r="GH20">
        <v>59.229820037486498</v>
      </c>
      <c r="GI20">
        <v>77.030615770513037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158.63839285714286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1.5624999999999998</v>
      </c>
      <c r="I21" s="18">
        <f t="shared" si="9"/>
        <v>24.010416666666671</v>
      </c>
      <c r="J21" s="18">
        <f t="shared" si="9"/>
        <v>29.791666666666664</v>
      </c>
      <c r="K21" s="18">
        <f t="shared" si="9"/>
        <v>31.398809523809522</v>
      </c>
      <c r="L21" s="18">
        <f t="shared" si="9"/>
        <v>17.916666666666668</v>
      </c>
      <c r="M21" s="18">
        <f t="shared" si="9"/>
        <v>22.8125</v>
      </c>
      <c r="N21" s="18">
        <f t="shared" si="9"/>
        <v>18.125</v>
      </c>
      <c r="O21" s="18">
        <f t="shared" si="9"/>
        <v>8.3333333333333339</v>
      </c>
      <c r="P21" s="18">
        <f t="shared" si="9"/>
        <v>4.6875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257.82102191809298</v>
      </c>
      <c r="AO21">
        <v>148.61283317400725</v>
      </c>
      <c r="AP21">
        <v>871.10595406383936</v>
      </c>
      <c r="AQ21">
        <v>782.70872977359284</v>
      </c>
      <c r="AR21">
        <v>140.01412518180882</v>
      </c>
      <c r="AS21">
        <v>1445.5430988094506</v>
      </c>
      <c r="AT21">
        <v>74.677376390482024</v>
      </c>
      <c r="AU21">
        <v>363.46113449063057</v>
      </c>
      <c r="AV21"/>
      <c r="AW21"/>
      <c r="FY21" s="211">
        <v>16</v>
      </c>
      <c r="FZ21">
        <v>147.33969610913306</v>
      </c>
      <c r="GA21">
        <v>147.79412899086171</v>
      </c>
      <c r="GB21">
        <v>29.988123195172758</v>
      </c>
      <c r="GC21">
        <v>40.833273487304155</v>
      </c>
      <c r="GD21">
        <v>28.453350539003441</v>
      </c>
      <c r="GE21">
        <v>30.767302396245906</v>
      </c>
      <c r="GF21">
        <v>113.12133687834493</v>
      </c>
      <c r="GG21">
        <v>90.866118955581058</v>
      </c>
      <c r="GH21">
        <v>40.09884257131143</v>
      </c>
      <c r="GI21">
        <v>79.237166225540008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210.79613095238096</v>
      </c>
      <c r="E22" s="18">
        <f t="shared" si="8"/>
        <v>41</v>
      </c>
      <c r="F22" s="50"/>
      <c r="G22" s="18">
        <f t="shared" ref="G22:AK22" si="10">AVERAGE(G71:G72)</f>
        <v>4.8828125</v>
      </c>
      <c r="H22" s="18">
        <f t="shared" si="10"/>
        <v>36.281622023809526</v>
      </c>
      <c r="I22" s="18">
        <f t="shared" si="10"/>
        <v>48.154761904761905</v>
      </c>
      <c r="J22" s="18">
        <f t="shared" si="10"/>
        <v>31.028645833333332</v>
      </c>
      <c r="K22" s="18">
        <f t="shared" si="10"/>
        <v>26.385788690476193</v>
      </c>
      <c r="L22" s="18">
        <f t="shared" si="10"/>
        <v>15.833333333333334</v>
      </c>
      <c r="M22" s="18">
        <f t="shared" si="10"/>
        <v>12.916666666666668</v>
      </c>
      <c r="N22" s="18">
        <f t="shared" si="10"/>
        <v>19.6875</v>
      </c>
      <c r="O22" s="18">
        <f t="shared" si="10"/>
        <v>7.8125</v>
      </c>
      <c r="P22" s="18">
        <f t="shared" si="10"/>
        <v>7.8125</v>
      </c>
      <c r="Q22" s="18">
        <f t="shared" si="10"/>
        <v>0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246.06236943702365</v>
      </c>
      <c r="AO22">
        <v>154.31803242222242</v>
      </c>
      <c r="AP22">
        <v>576.6609473227179</v>
      </c>
      <c r="AQ22">
        <v>895.91655255246508</v>
      </c>
      <c r="AR22">
        <v>145.40877954165884</v>
      </c>
      <c r="AS22">
        <v>1393.8886647877841</v>
      </c>
      <c r="AT22">
        <v>73.603710270315005</v>
      </c>
      <c r="AU22">
        <v>236.02258397055533</v>
      </c>
      <c r="AV22"/>
      <c r="AW22"/>
      <c r="FY22" s="211">
        <v>17</v>
      </c>
      <c r="FZ22">
        <v>126.79302353094796</v>
      </c>
      <c r="GA22">
        <v>170.58943778876304</v>
      </c>
      <c r="GB22">
        <v>59.90200621557414</v>
      </c>
      <c r="GC22">
        <v>49.34549897805045</v>
      </c>
      <c r="GD22">
        <v>51.764045284414365</v>
      </c>
      <c r="GE22">
        <v>97.029933149904366</v>
      </c>
      <c r="GF22">
        <v>147.07474641095277</v>
      </c>
      <c r="GG22">
        <v>99.128701435933095</v>
      </c>
      <c r="GH22">
        <v>58.821297120607106</v>
      </c>
      <c r="GI22">
        <v>111.59345861846165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302.03032420166033</v>
      </c>
      <c r="E23" s="18">
        <f t="shared" si="8"/>
        <v>33</v>
      </c>
      <c r="F23" s="50"/>
      <c r="G23" s="18">
        <f t="shared" ref="G23:AK23" si="11">AVERAGE(G72:G73)</f>
        <v>4.8828125</v>
      </c>
      <c r="H23" s="18">
        <f t="shared" si="11"/>
        <v>75.025336104269286</v>
      </c>
      <c r="I23" s="18">
        <f t="shared" si="11"/>
        <v>95.902952112542621</v>
      </c>
      <c r="J23" s="18">
        <f t="shared" si="11"/>
        <v>53.580729166666664</v>
      </c>
      <c r="K23" s="18">
        <f t="shared" si="11"/>
        <v>33.647017045454547</v>
      </c>
      <c r="L23" s="18">
        <f t="shared" si="11"/>
        <v>24.834280303030301</v>
      </c>
      <c r="M23" s="18">
        <f t="shared" si="11"/>
        <v>3.3617424242424243</v>
      </c>
      <c r="N23" s="18">
        <f t="shared" si="11"/>
        <v>5.587121212121211</v>
      </c>
      <c r="O23" s="18">
        <f t="shared" si="11"/>
        <v>2.083333333333333</v>
      </c>
      <c r="P23" s="18">
        <f t="shared" si="11"/>
        <v>3.1249999999999996</v>
      </c>
      <c r="Q23" s="18">
        <f t="shared" si="11"/>
        <v>0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323.66471083751514</v>
      </c>
      <c r="AO23">
        <v>187.92029697227417</v>
      </c>
      <c r="AP23">
        <v>720.40367184068737</v>
      </c>
      <c r="AQ23">
        <v>1021.4384223463535</v>
      </c>
      <c r="AR23">
        <v>176.24362588190328</v>
      </c>
      <c r="AS23">
        <v>1929.0912023040776</v>
      </c>
      <c r="AT23">
        <v>89.227821005457656</v>
      </c>
      <c r="AU23">
        <v>362.42003664534798</v>
      </c>
      <c r="AV23"/>
      <c r="AW23"/>
      <c r="FY23" s="211">
        <v>18</v>
      </c>
      <c r="FZ23">
        <v>96.942490326413093</v>
      </c>
      <c r="GA23">
        <v>132.99464305772278</v>
      </c>
      <c r="GB23">
        <v>47.559503533617296</v>
      </c>
      <c r="GC23">
        <v>36.361117735954906</v>
      </c>
      <c r="GD23">
        <v>65.891528480314889</v>
      </c>
      <c r="GE23">
        <v>123.63989813699426</v>
      </c>
      <c r="GF23">
        <v>95.167039695468489</v>
      </c>
      <c r="GG23">
        <v>48.286566564044577</v>
      </c>
      <c r="GH23">
        <v>12.72183833130881</v>
      </c>
      <c r="GI23">
        <v>93.066572394106132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379.5278729492091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62.181214080459768</v>
      </c>
      <c r="I24" s="18">
        <f t="shared" si="12"/>
        <v>132.5109216892622</v>
      </c>
      <c r="J24" s="18">
        <f t="shared" si="12"/>
        <v>32.552083333333329</v>
      </c>
      <c r="K24" s="18">
        <f t="shared" si="12"/>
        <v>35.866477272727266</v>
      </c>
      <c r="L24" s="18">
        <f t="shared" si="12"/>
        <v>72.4923513986014</v>
      </c>
      <c r="M24" s="18">
        <f t="shared" si="12"/>
        <v>35.638840326340322</v>
      </c>
      <c r="N24" s="18">
        <f t="shared" si="12"/>
        <v>7.2443181818181817</v>
      </c>
      <c r="O24" s="18">
        <f t="shared" si="12"/>
        <v>1.0416666666666665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187.67211181229024</v>
      </c>
      <c r="AO24">
        <v>104.07072842271221</v>
      </c>
      <c r="AP24">
        <v>371.63514133166325</v>
      </c>
      <c r="AQ24">
        <v>602.93718622055326</v>
      </c>
      <c r="AR24">
        <v>100.11773812052833</v>
      </c>
      <c r="AS24">
        <v>1070.0406063134692</v>
      </c>
      <c r="AT24">
        <v>53.197258327947537</v>
      </c>
      <c r="AU24">
        <v>148.38251354167892</v>
      </c>
      <c r="AV24"/>
      <c r="AW24"/>
      <c r="FY24" s="211">
        <v>19</v>
      </c>
      <c r="FZ24">
        <v>97.147157622799341</v>
      </c>
      <c r="GA24">
        <v>164.10900869234621</v>
      </c>
      <c r="GB24">
        <v>73.370000934532285</v>
      </c>
      <c r="GC24">
        <v>42.72172053905922</v>
      </c>
      <c r="GD24">
        <v>39.485892134881304</v>
      </c>
      <c r="GE24">
        <v>76.487360895422142</v>
      </c>
      <c r="GF24">
        <v>67.262897313065068</v>
      </c>
      <c r="GG24">
        <v>34.637051090141199</v>
      </c>
      <c r="GH24">
        <v>38.749670621289781</v>
      </c>
      <c r="GI24">
        <v>79.432077188786224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755.96279265396902</v>
      </c>
      <c r="E25" s="18">
        <f t="shared" si="8"/>
        <v>24</v>
      </c>
      <c r="F25" s="50"/>
      <c r="G25" s="18">
        <f t="shared" ref="G25:AK25" si="13">AVERAGE(G74:G75)</f>
        <v>7.5320512820512819</v>
      </c>
      <c r="H25" s="18">
        <f t="shared" si="13"/>
        <v>289.23374929808756</v>
      </c>
      <c r="I25" s="18">
        <f t="shared" si="13"/>
        <v>235.9630262847175</v>
      </c>
      <c r="J25" s="18">
        <f t="shared" si="13"/>
        <v>6.25</v>
      </c>
      <c r="K25" s="18">
        <f t="shared" si="13"/>
        <v>15.956439393939394</v>
      </c>
      <c r="L25" s="18">
        <f t="shared" si="13"/>
        <v>103.45686788701494</v>
      </c>
      <c r="M25" s="18">
        <f t="shared" si="13"/>
        <v>84.502476689976689</v>
      </c>
      <c r="N25" s="18">
        <f t="shared" si="13"/>
        <v>12.026515151515149</v>
      </c>
      <c r="O25" s="18">
        <f t="shared" si="13"/>
        <v>1.0416666666666665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241.40639194430577</v>
      </c>
      <c r="AO25">
        <v>124.80594277731477</v>
      </c>
      <c r="AP25">
        <v>585.19026535327271</v>
      </c>
      <c r="AQ25">
        <v>651.61584994609871</v>
      </c>
      <c r="AR25">
        <v>116.5849240914105</v>
      </c>
      <c r="AS25">
        <v>1294.2100528281997</v>
      </c>
      <c r="AT25">
        <v>58.809208964452189</v>
      </c>
      <c r="AU25">
        <v>164.67898637688364</v>
      </c>
      <c r="AV25"/>
      <c r="AW25"/>
      <c r="FY25" s="211">
        <v>20</v>
      </c>
      <c r="FZ25">
        <v>97.279123928713233</v>
      </c>
      <c r="GA25">
        <v>157.86078995890566</v>
      </c>
      <c r="GB25">
        <v>58.897486474978905</v>
      </c>
      <c r="GC25">
        <v>46.738382852296411</v>
      </c>
      <c r="GD25">
        <v>34.777115311917292</v>
      </c>
      <c r="GE25">
        <v>59.838454260334274</v>
      </c>
      <c r="GF25">
        <v>80.072615047551437</v>
      </c>
      <c r="GG25">
        <v>38.522973195909948</v>
      </c>
      <c r="GH25">
        <v>53.125343386760946</v>
      </c>
      <c r="GI25">
        <v>79.068541280161853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608.59917247784892</v>
      </c>
      <c r="E26" s="18">
        <f t="shared" si="8"/>
        <v>48</v>
      </c>
      <c r="F26" s="50"/>
      <c r="G26" s="18">
        <f t="shared" ref="G26:AK26" si="14">AVERAGE(G75:G76)</f>
        <v>7.5320512820512819</v>
      </c>
      <c r="H26" s="18">
        <f t="shared" si="14"/>
        <v>280.37958263142087</v>
      </c>
      <c r="I26" s="18">
        <f t="shared" si="14"/>
        <v>163.75237813656935</v>
      </c>
      <c r="J26" s="18">
        <f t="shared" si="14"/>
        <v>2.083333333333333</v>
      </c>
      <c r="K26" s="18">
        <f t="shared" si="14"/>
        <v>1.8229166666666667</v>
      </c>
      <c r="L26" s="18">
        <f t="shared" si="14"/>
        <v>62.179005124777177</v>
      </c>
      <c r="M26" s="18">
        <f t="shared" si="14"/>
        <v>62.642045454545453</v>
      </c>
      <c r="N26" s="18">
        <f t="shared" si="14"/>
        <v>19.874526515151516</v>
      </c>
      <c r="O26" s="18">
        <f t="shared" si="14"/>
        <v>5.729166666666667</v>
      </c>
      <c r="P26" s="18">
        <f t="shared" si="14"/>
        <v>2.604166666666667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184.28726595237964</v>
      </c>
      <c r="AO26">
        <v>112.94051003467848</v>
      </c>
      <c r="AP26">
        <v>465.16016946051263</v>
      </c>
      <c r="AQ26">
        <v>680.15768803324409</v>
      </c>
      <c r="AR26">
        <v>107.28511973996494</v>
      </c>
      <c r="AS26">
        <v>1087.4383031246655</v>
      </c>
      <c r="AT26">
        <v>60.00468487764536</v>
      </c>
      <c r="AU26">
        <v>130.07127991938012</v>
      </c>
      <c r="AV26"/>
      <c r="AW26"/>
      <c r="FY26" s="211">
        <v>21</v>
      </c>
      <c r="FZ26">
        <v>95.559446963890366</v>
      </c>
      <c r="GA26">
        <v>131.78177293162912</v>
      </c>
      <c r="GB26">
        <v>44.345172116900422</v>
      </c>
      <c r="GC26">
        <v>39.30038240348474</v>
      </c>
      <c r="GD26">
        <v>29.125127871806011</v>
      </c>
      <c r="GE26">
        <v>49.145458962856196</v>
      </c>
      <c r="GF26">
        <v>64.674415888378149</v>
      </c>
      <c r="GG26">
        <v>62.456437073911701</v>
      </c>
      <c r="GH26">
        <v>85.726181015509809</v>
      </c>
      <c r="GI26">
        <v>72.371666042952242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106.42361111111111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22.743055555555557</v>
      </c>
      <c r="I27" s="18">
        <f t="shared" si="15"/>
        <v>25.347222222222221</v>
      </c>
      <c r="J27" s="18">
        <f t="shared" si="15"/>
        <v>0.52083333333333326</v>
      </c>
      <c r="K27" s="18">
        <f t="shared" si="15"/>
        <v>1.8229166666666667</v>
      </c>
      <c r="L27" s="18">
        <f t="shared" si="15"/>
        <v>10.026041666666668</v>
      </c>
      <c r="M27" s="18">
        <f t="shared" si="15"/>
        <v>17.1875</v>
      </c>
      <c r="N27" s="18">
        <f t="shared" si="15"/>
        <v>19.401041666666664</v>
      </c>
      <c r="O27" s="18">
        <f t="shared" si="15"/>
        <v>6.7708333333333339</v>
      </c>
      <c r="P27" s="18">
        <f t="shared" si="15"/>
        <v>2.604166666666667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202.01174389622423</v>
      </c>
      <c r="AO27">
        <v>95.168490314786226</v>
      </c>
      <c r="AP27">
        <v>404.70896802501579</v>
      </c>
      <c r="AQ27">
        <v>562.74573711429764</v>
      </c>
      <c r="AR27">
        <v>92.537332966927764</v>
      </c>
      <c r="AS27">
        <v>1000.8332371130572</v>
      </c>
      <c r="AT27">
        <v>48.120993089414007</v>
      </c>
      <c r="AU27">
        <v>219.42114770972054</v>
      </c>
      <c r="AV27"/>
      <c r="AW27"/>
      <c r="FY27" s="211">
        <v>22</v>
      </c>
      <c r="FZ27">
        <v>90.296951604999506</v>
      </c>
      <c r="GA27">
        <v>145.18435779107114</v>
      </c>
      <c r="GB27">
        <v>55.626685672674377</v>
      </c>
      <c r="GC27">
        <v>46.836705453347598</v>
      </c>
      <c r="GD27">
        <v>37.423000269031562</v>
      </c>
      <c r="GE27">
        <v>61.32548376171502</v>
      </c>
      <c r="GF27">
        <v>101.48093566572358</v>
      </c>
      <c r="GG27">
        <v>69.634678854744493</v>
      </c>
      <c r="GH27">
        <v>57.37009635326045</v>
      </c>
      <c r="GI27">
        <v>84.091128610481121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55.381944444444443</v>
      </c>
      <c r="E28" s="18">
        <f>C12-C11</f>
        <v>39</v>
      </c>
      <c r="F28" s="50"/>
      <c r="G28" s="18">
        <f t="shared" si="15"/>
        <v>0</v>
      </c>
      <c r="H28" s="18">
        <f t="shared" si="15"/>
        <v>8.6805555555555554</v>
      </c>
      <c r="I28" s="18">
        <f t="shared" si="15"/>
        <v>19.097222222222221</v>
      </c>
      <c r="J28" s="18">
        <f t="shared" si="15"/>
        <v>0</v>
      </c>
      <c r="K28" s="18">
        <f t="shared" si="15"/>
        <v>0</v>
      </c>
      <c r="L28" s="18">
        <f t="shared" si="15"/>
        <v>4.6875</v>
      </c>
      <c r="M28" s="18">
        <f t="shared" si="15"/>
        <v>8.3333333333333321</v>
      </c>
      <c r="N28" s="18">
        <f t="shared" si="15"/>
        <v>5.7291666666666661</v>
      </c>
      <c r="O28" s="18">
        <f t="shared" si="15"/>
        <v>4.6875</v>
      </c>
      <c r="P28" s="18">
        <f t="shared" si="15"/>
        <v>3.125</v>
      </c>
      <c r="Q28" s="18">
        <f t="shared" si="15"/>
        <v>1.0416666666666665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237.86463690970677</v>
      </c>
      <c r="AO28">
        <v>150.95856385900771</v>
      </c>
      <c r="AP28">
        <v>514.36839312892016</v>
      </c>
      <c r="AQ28">
        <v>906.11973093419033</v>
      </c>
      <c r="AR28">
        <v>143.31504684182553</v>
      </c>
      <c r="AS28">
        <v>1280.5924479202961</v>
      </c>
      <c r="AT28">
        <v>76.762159420663181</v>
      </c>
      <c r="AU28">
        <v>120.40230158043981</v>
      </c>
      <c r="AV28"/>
      <c r="AW28"/>
      <c r="FY28" s="211">
        <v>23</v>
      </c>
      <c r="FZ28">
        <v>91.443770584887517</v>
      </c>
      <c r="GA28">
        <v>121.57884620408196</v>
      </c>
      <c r="GB28">
        <v>44.715666593389621</v>
      </c>
      <c r="GC28">
        <v>36.250611434173628</v>
      </c>
      <c r="GD28">
        <v>39.088064660365653</v>
      </c>
      <c r="GE28">
        <v>87.201907615501597</v>
      </c>
      <c r="GF28">
        <v>109.5891533597146</v>
      </c>
      <c r="GG28">
        <v>59.896753255193602</v>
      </c>
      <c r="GH28">
        <v>52.855714799251345</v>
      </c>
      <c r="GI28">
        <v>83.741794447227193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64.412162766642737</v>
      </c>
      <c r="E29" s="18">
        <f>C13-C12</f>
        <v>38</v>
      </c>
      <c r="F29" s="50"/>
      <c r="G29" s="18">
        <f t="shared" si="15"/>
        <v>0</v>
      </c>
      <c r="H29" s="18">
        <f t="shared" si="15"/>
        <v>0</v>
      </c>
      <c r="I29" s="18">
        <f t="shared" si="15"/>
        <v>7.7570921985815602</v>
      </c>
      <c r="J29" s="18">
        <f t="shared" si="15"/>
        <v>34.835478369479617</v>
      </c>
      <c r="K29" s="18">
        <f t="shared" si="15"/>
        <v>0</v>
      </c>
      <c r="L29" s="18">
        <f t="shared" si="15"/>
        <v>8.7987588652482263</v>
      </c>
      <c r="M29" s="18">
        <f t="shared" si="15"/>
        <v>2.6041666666666665</v>
      </c>
      <c r="N29" s="18">
        <f t="shared" si="15"/>
        <v>1.0416666666666665</v>
      </c>
      <c r="O29" s="18">
        <f t="shared" si="15"/>
        <v>5.2083333333333339</v>
      </c>
      <c r="P29" s="18">
        <f t="shared" si="15"/>
        <v>3.125</v>
      </c>
      <c r="Q29" s="18">
        <f t="shared" si="15"/>
        <v>1.0416666666666665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299.44936588730098</v>
      </c>
      <c r="AO29">
        <v>164.54767175042917</v>
      </c>
      <c r="AP29">
        <v>648.27554858503026</v>
      </c>
      <c r="AQ29">
        <v>896.83866958197927</v>
      </c>
      <c r="AR29">
        <v>156.08453857310823</v>
      </c>
      <c r="AS29">
        <v>1559.5005927165757</v>
      </c>
      <c r="AT29">
        <v>79.032655829276294</v>
      </c>
      <c r="AU29">
        <v>182.81338357247733</v>
      </c>
      <c r="AV29"/>
      <c r="AW29"/>
      <c r="FY29" s="211">
        <v>24</v>
      </c>
      <c r="FZ29">
        <v>139.47244228959164</v>
      </c>
      <c r="GA29">
        <v>127.73537757491117</v>
      </c>
      <c r="GB29">
        <v>33.005137287061295</v>
      </c>
      <c r="GC29">
        <v>40.607729863306503</v>
      </c>
      <c r="GD29">
        <v>31.218167042586536</v>
      </c>
      <c r="GE29">
        <v>31.938145859831849</v>
      </c>
      <c r="GF29">
        <v>65.873925166908094</v>
      </c>
      <c r="GG29">
        <v>77.737644714392573</v>
      </c>
      <c r="GH29">
        <v>67.547402808812393</v>
      </c>
      <c r="GI29">
        <v>74.993484245516441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277.49345671810516</v>
      </c>
      <c r="E30" s="18">
        <v>24</v>
      </c>
      <c r="F30" s="50"/>
      <c r="G30" s="18">
        <f>AVERAGE(G70:G79)</f>
        <v>2.4829727564102564</v>
      </c>
      <c r="H30" s="18">
        <f t="shared" ref="H30:AK30" si="16">AVERAGE(H70:H79)</f>
        <v>77.712928191582478</v>
      </c>
      <c r="I30" s="18">
        <f t="shared" si="16"/>
        <v>77.796141896946125</v>
      </c>
      <c r="J30" s="18">
        <f t="shared" si="16"/>
        <v>24.995741507229255</v>
      </c>
      <c r="K30" s="18">
        <f t="shared" si="16"/>
        <v>16.565036525974026</v>
      </c>
      <c r="L30" s="18">
        <f t="shared" si="16"/>
        <v>33.006523077725362</v>
      </c>
      <c r="M30" s="18">
        <f t="shared" si="16"/>
        <v>26.093677156177154</v>
      </c>
      <c r="N30" s="18">
        <f t="shared" si="16"/>
        <v>11.236268939393938</v>
      </c>
      <c r="O30" s="18">
        <f t="shared" si="16"/>
        <v>4.6875</v>
      </c>
      <c r="P30" s="18">
        <f t="shared" si="16"/>
        <v>2.7083333333333335</v>
      </c>
      <c r="Q30" s="18">
        <f t="shared" si="16"/>
        <v>0.20833333333333331</v>
      </c>
      <c r="R30" s="18">
        <f t="shared" si="16"/>
        <v>0</v>
      </c>
      <c r="S30" s="18">
        <f t="shared" si="16"/>
        <v>0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277.0617641963475</v>
      </c>
      <c r="AO30">
        <v>142.0009174755067</v>
      </c>
      <c r="AP30">
        <v>573.12090934232901</v>
      </c>
      <c r="AQ30">
        <v>804.71648400554136</v>
      </c>
      <c r="AR30">
        <v>133.86635385880589</v>
      </c>
      <c r="AS30">
        <v>1355.5331015144156</v>
      </c>
      <c r="AT30">
        <v>63.303297964177005</v>
      </c>
      <c r="AU30">
        <v>277.87913591240084</v>
      </c>
      <c r="AV30"/>
      <c r="AW30"/>
      <c r="FY30" s="211">
        <v>25</v>
      </c>
      <c r="FZ30">
        <v>145.72314807176565</v>
      </c>
      <c r="GA30">
        <v>187.0998265958921</v>
      </c>
      <c r="GB30">
        <v>60.791235694303246</v>
      </c>
      <c r="GC30">
        <v>37.193738554402984</v>
      </c>
      <c r="GD30">
        <v>28.473819574430365</v>
      </c>
      <c r="GE30">
        <v>45.541671851724743</v>
      </c>
      <c r="GF30">
        <v>48.109544406341683</v>
      </c>
      <c r="GG30">
        <v>73.726824645560072</v>
      </c>
      <c r="GH30">
        <v>107.0811397340341</v>
      </c>
      <c r="GI30">
        <v>83.842982251209349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226.76031410519553</v>
      </c>
      <c r="AO31">
        <v>124.26837020537724</v>
      </c>
      <c r="AP31">
        <v>591.62558633737217</v>
      </c>
      <c r="AQ31">
        <v>719.60916103320324</v>
      </c>
      <c r="AR31">
        <v>116.59041586046766</v>
      </c>
      <c r="AS31">
        <v>1128.949796313937</v>
      </c>
      <c r="AT31">
        <v>61.322192396254117</v>
      </c>
      <c r="AU31">
        <v>217.68533775972404</v>
      </c>
      <c r="AV31"/>
      <c r="AW31"/>
      <c r="FY31" s="211">
        <v>26</v>
      </c>
      <c r="FZ31">
        <v>126.45075739282053</v>
      </c>
      <c r="GA31">
        <v>148.99310520819148</v>
      </c>
      <c r="GB31">
        <v>47.829097547960814</v>
      </c>
      <c r="GC31">
        <v>38.946275158387117</v>
      </c>
      <c r="GD31">
        <v>53.555723930857127</v>
      </c>
      <c r="GE31">
        <v>109.27507714361347</v>
      </c>
      <c r="GF31">
        <v>95.711139501707081</v>
      </c>
      <c r="GG31">
        <v>36.803549956692535</v>
      </c>
      <c r="GH31">
        <v>7.1575642185799566</v>
      </c>
      <c r="GI31">
        <v>88.122250179438353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291.92658611325152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196.7623912829103</v>
      </c>
      <c r="AO32">
        <v>124.14020775998374</v>
      </c>
      <c r="AP32">
        <v>548.12239038766529</v>
      </c>
      <c r="AQ32">
        <v>748.49933934849855</v>
      </c>
      <c r="AR32">
        <v>118.9736191164284</v>
      </c>
      <c r="AS32">
        <v>1345.8697130889461</v>
      </c>
      <c r="AT32">
        <v>63.258566035533384</v>
      </c>
      <c r="AU32">
        <v>249.06861813914205</v>
      </c>
      <c r="AV32"/>
      <c r="AW32"/>
      <c r="FY32" s="211">
        <v>27</v>
      </c>
      <c r="FZ32">
        <v>121.50698687345744</v>
      </c>
      <c r="GA32">
        <v>164.45536582788876</v>
      </c>
      <c r="GB32">
        <v>70.909734302542105</v>
      </c>
      <c r="GC32">
        <v>52.142762262217602</v>
      </c>
      <c r="GD32">
        <v>50.933257936217622</v>
      </c>
      <c r="GE32">
        <v>100.66018106020474</v>
      </c>
      <c r="GF32">
        <v>121.47133785433377</v>
      </c>
      <c r="GG32">
        <v>78.625483231364115</v>
      </c>
      <c r="GH32">
        <v>68.415752313632396</v>
      </c>
      <c r="GI32">
        <v>108.92692955226772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322.11904210599886</v>
      </c>
      <c r="AO33">
        <v>179.42801380256256</v>
      </c>
      <c r="AP33">
        <v>758.68643669203755</v>
      </c>
      <c r="AQ33">
        <v>972.04214853360895</v>
      </c>
      <c r="AR33">
        <v>168.45193678382549</v>
      </c>
      <c r="AS33">
        <v>1661.9753495795699</v>
      </c>
      <c r="AT33">
        <v>78.883837144354246</v>
      </c>
      <c r="AU33">
        <v>329.50965773928863</v>
      </c>
      <c r="AV33"/>
      <c r="AW33"/>
      <c r="FY33" s="211">
        <v>28</v>
      </c>
      <c r="FZ33">
        <v>126.39134330215899</v>
      </c>
      <c r="GA33">
        <v>162.1570029281169</v>
      </c>
      <c r="GB33">
        <v>40.54655641047087</v>
      </c>
      <c r="GC33">
        <v>43.826214281646941</v>
      </c>
      <c r="GD33">
        <v>60.213315959458015</v>
      </c>
      <c r="GE33">
        <v>116.8461947676353</v>
      </c>
      <c r="GF33">
        <v>111.86747461945224</v>
      </c>
      <c r="GG33">
        <v>34.691928094372635</v>
      </c>
      <c r="GH33">
        <v>21.262256293446896</v>
      </c>
      <c r="GI33">
        <v>96.517883443252018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353.36467399192583</v>
      </c>
      <c r="AO34">
        <v>146.94939424316422</v>
      </c>
      <c r="AP34">
        <v>445.26358791478219</v>
      </c>
      <c r="AQ34">
        <v>752.63119825594538</v>
      </c>
      <c r="AR34">
        <v>137.80457590640674</v>
      </c>
      <c r="AS34">
        <v>1444.1035603992684</v>
      </c>
      <c r="AT34">
        <v>57.082228441317625</v>
      </c>
      <c r="AU34">
        <v>175.38978463082572</v>
      </c>
      <c r="AV34"/>
      <c r="AW34"/>
      <c r="FY34" s="211">
        <v>29</v>
      </c>
      <c r="FZ34">
        <v>121.20003542517382</v>
      </c>
      <c r="GA34">
        <v>125.22614592092175</v>
      </c>
      <c r="GB34">
        <v>48.72540411054424</v>
      </c>
      <c r="GC34">
        <v>34.366214987387536</v>
      </c>
      <c r="GD34">
        <v>19.137592427285757</v>
      </c>
      <c r="GE34">
        <v>63.456253576373385</v>
      </c>
      <c r="GF34">
        <v>134.60472595894615</v>
      </c>
      <c r="GG34">
        <v>94.174136023195388</v>
      </c>
      <c r="GH34">
        <v>84.578528707374659</v>
      </c>
      <c r="GI34">
        <v>86.921385731340848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317.62222207121732</v>
      </c>
      <c r="AO35">
        <v>126.03871948710264</v>
      </c>
      <c r="AP35">
        <v>393.89100996267013</v>
      </c>
      <c r="AQ35">
        <v>713.40283703232274</v>
      </c>
      <c r="AR35">
        <v>117.41563677909271</v>
      </c>
      <c r="AS35">
        <v>1387.8759563545054</v>
      </c>
      <c r="AT35">
        <v>55.722629883053308</v>
      </c>
      <c r="AU35">
        <v>-126.1138416110737</v>
      </c>
      <c r="AV35"/>
      <c r="AW35"/>
      <c r="FY35" s="211">
        <v>30</v>
      </c>
      <c r="FZ35">
        <v>96.125943254536921</v>
      </c>
      <c r="GA35">
        <v>123.79918901096588</v>
      </c>
      <c r="GB35">
        <v>50.378985618323526</v>
      </c>
      <c r="GC35">
        <v>44.137409861452944</v>
      </c>
      <c r="GD35">
        <v>35.518465202733388</v>
      </c>
      <c r="GE35">
        <v>44.668912602249662</v>
      </c>
      <c r="GF35">
        <v>65.585551244709421</v>
      </c>
      <c r="GG35">
        <v>93.068149957931666</v>
      </c>
      <c r="GH35">
        <v>113.81237461192968</v>
      </c>
      <c r="GI35">
        <v>84.295206148146491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1.8156463984709309E-3</v>
      </c>
      <c r="H36" s="59">
        <f t="shared" ref="H36:AK36" si="17">(1-($A$43/100))*($A$39*(H35^$A$41))</f>
        <v>1.15313E-2</v>
      </c>
      <c r="I36" s="59">
        <f t="shared" si="17"/>
        <v>7.3236110182017297E-2</v>
      </c>
      <c r="J36" s="59">
        <f t="shared" si="17"/>
        <v>0.21595370395129135</v>
      </c>
      <c r="K36" s="59">
        <f t="shared" si="17"/>
        <v>0.46512776829954805</v>
      </c>
      <c r="L36" s="59">
        <f t="shared" si="17"/>
        <v>0.84339548649291773</v>
      </c>
      <c r="M36" s="59">
        <f t="shared" si="17"/>
        <v>1.3715374031368122</v>
      </c>
      <c r="N36" s="59">
        <f t="shared" si="17"/>
        <v>2.0689726212277471</v>
      </c>
      <c r="O36" s="59">
        <f t="shared" si="17"/>
        <v>2.9540596886648949</v>
      </c>
      <c r="P36" s="59">
        <f t="shared" si="17"/>
        <v>4.0442970220427874</v>
      </c>
      <c r="Q36" s="59">
        <f t="shared" si="17"/>
        <v>5.3564649931760897</v>
      </c>
      <c r="R36" s="59">
        <f t="shared" si="17"/>
        <v>6.9067313280301672</v>
      </c>
      <c r="S36" s="59">
        <f t="shared" si="17"/>
        <v>8.7107320401763371</v>
      </c>
      <c r="T36" s="59">
        <f t="shared" si="17"/>
        <v>10.783635296383494</v>
      </c>
      <c r="U36" s="59">
        <f t="shared" si="17"/>
        <v>13.140192940241995</v>
      </c>
      <c r="V36" s="59">
        <f t="shared" si="17"/>
        <v>15.794782826216199</v>
      </c>
      <c r="W36" s="59">
        <f t="shared" si="17"/>
        <v>18.761444142752168</v>
      </c>
      <c r="X36" s="59">
        <f t="shared" si="17"/>
        <v>22.053907275344272</v>
      </c>
      <c r="Y36" s="59">
        <f t="shared" si="17"/>
        <v>25.685619341716023</v>
      </c>
      <c r="Z36" s="59">
        <f t="shared" si="17"/>
        <v>29.669766243653644</v>
      </c>
      <c r="AA36" s="59">
        <f t="shared" si="17"/>
        <v>34.019291877443351</v>
      </c>
      <c r="AB36" s="59">
        <f t="shared" si="17"/>
        <v>38.746914998997923</v>
      </c>
      <c r="AC36" s="59">
        <f t="shared" si="17"/>
        <v>43.865144132683035</v>
      </c>
      <c r="AD36" s="59">
        <f t="shared" si="17"/>
        <v>49.386290832891866</v>
      </c>
      <c r="AE36" s="59">
        <f t="shared" si="17"/>
        <v>55.322481546779947</v>
      </c>
      <c r="AF36" s="59">
        <f t="shared" si="17"/>
        <v>61.685668279953298</v>
      </c>
      <c r="AG36" s="59">
        <f t="shared" si="17"/>
        <v>68.487638230609974</v>
      </c>
      <c r="AH36" s="59">
        <f t="shared" si="17"/>
        <v>75.740022529057185</v>
      </c>
      <c r="AI36" s="59">
        <f t="shared" si="17"/>
        <v>83.454304196797253</v>
      </c>
      <c r="AJ36" s="59">
        <f t="shared" si="17"/>
        <v>91.64182542111466</v>
      </c>
      <c r="AK36" s="59">
        <f t="shared" si="17"/>
        <v>100.31379422630621</v>
      </c>
      <c r="AL36" s="42"/>
      <c r="AM36" s="43">
        <v>20</v>
      </c>
      <c r="AN36">
        <v>243.6556517111265</v>
      </c>
      <c r="AO36">
        <v>126.33855752572626</v>
      </c>
      <c r="AP36">
        <v>534.80578801430704</v>
      </c>
      <c r="AQ36">
        <v>706.18082569752994</v>
      </c>
      <c r="AR36">
        <v>118.53626845534914</v>
      </c>
      <c r="AS36">
        <v>1306.7045790583763</v>
      </c>
      <c r="AT36">
        <v>57.813559797124128</v>
      </c>
      <c r="AU36">
        <v>-38.105698216970836</v>
      </c>
      <c r="AV36"/>
      <c r="AW36"/>
      <c r="FY36" s="211">
        <v>31</v>
      </c>
      <c r="FZ36">
        <v>133.68353721456566</v>
      </c>
      <c r="GA36">
        <v>148.63268308408422</v>
      </c>
      <c r="GB36">
        <v>47.592154732529849</v>
      </c>
      <c r="GC36">
        <v>40.246252693134856</v>
      </c>
      <c r="GD36">
        <v>45.510763557757592</v>
      </c>
      <c r="GE36">
        <v>63.050473204837473</v>
      </c>
      <c r="GF36">
        <v>51.223916250548136</v>
      </c>
      <c r="GG36">
        <v>63.87745657486763</v>
      </c>
      <c r="GH36">
        <v>63.355341931387493</v>
      </c>
      <c r="GI36">
        <v>83.390197055658717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150.28849407289638</v>
      </c>
      <c r="E37" s="107">
        <f t="shared" ref="E37:E46" si="19">+D37/D21</f>
        <v>0.94736520817022063</v>
      </c>
      <c r="F37" s="18"/>
      <c r="G37" s="49">
        <f t="shared" ref="G37:G43" si="20">G21*G$36</f>
        <v>0</v>
      </c>
      <c r="H37" s="49">
        <f t="shared" ref="H37:AK40" si="21">H21*H$36</f>
        <v>1.8017656249999996E-2</v>
      </c>
      <c r="I37" s="49">
        <f t="shared" si="21"/>
        <v>1.7584295205161449</v>
      </c>
      <c r="J37" s="49">
        <f t="shared" si="21"/>
        <v>6.4336207635488876</v>
      </c>
      <c r="K37" s="49">
        <f t="shared" si="21"/>
        <v>14.604458201072118</v>
      </c>
      <c r="L37" s="49">
        <f t="shared" si="21"/>
        <v>15.110835799664777</v>
      </c>
      <c r="M37" s="49">
        <f t="shared" si="21"/>
        <v>31.288197009058528</v>
      </c>
      <c r="N37" s="49">
        <f t="shared" si="21"/>
        <v>37.500128759752918</v>
      </c>
      <c r="O37" s="49">
        <f t="shared" si="21"/>
        <v>24.617164072207459</v>
      </c>
      <c r="P37" s="49">
        <f t="shared" si="21"/>
        <v>18.957642290825564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212.44331692941722</v>
      </c>
      <c r="AO37">
        <v>115.89691301134435</v>
      </c>
      <c r="AP37">
        <v>502.280101905175</v>
      </c>
      <c r="AQ37">
        <v>674.48606127131882</v>
      </c>
      <c r="AR37">
        <v>108.41594830368783</v>
      </c>
      <c r="AS37">
        <v>1061.966908809035</v>
      </c>
      <c r="AT37">
        <v>63.613895520563119</v>
      </c>
      <c r="AU37">
        <v>-6.8338849096430181</v>
      </c>
      <c r="AV37"/>
      <c r="AW37"/>
      <c r="FY37" s="211">
        <v>32</v>
      </c>
      <c r="FZ37">
        <v>105.97535637173124</v>
      </c>
      <c r="GA37">
        <v>140.82817393350746</v>
      </c>
      <c r="GB37">
        <v>56.061298200389132</v>
      </c>
      <c r="GC37">
        <v>39.958026081970822</v>
      </c>
      <c r="GD37">
        <v>27.091194786817987</v>
      </c>
      <c r="GE37">
        <v>27.517774557062388</v>
      </c>
      <c r="GF37">
        <v>71.922573602066663</v>
      </c>
      <c r="GG37">
        <v>97.135313665292955</v>
      </c>
      <c r="GH37">
        <v>90.776085151701494</v>
      </c>
      <c r="GI37">
        <v>79.190647290716953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149.404434791825</v>
      </c>
      <c r="E38" s="107">
        <f t="shared" si="19"/>
        <v>0.70876269937599379</v>
      </c>
      <c r="F38" s="18"/>
      <c r="G38" s="49">
        <f t="shared" si="20"/>
        <v>8.865460930033842E-3</v>
      </c>
      <c r="H38" s="49">
        <f t="shared" si="21"/>
        <v>0.41837426804315475</v>
      </c>
      <c r="I38" s="49">
        <f t="shared" si="21"/>
        <v>3.5266674486459522</v>
      </c>
      <c r="J38" s="49">
        <f t="shared" si="21"/>
        <v>6.700750996301136</v>
      </c>
      <c r="K38" s="49">
        <f t="shared" si="21"/>
        <v>12.272763008424647</v>
      </c>
      <c r="L38" s="49">
        <f t="shared" si="21"/>
        <v>13.353761869471198</v>
      </c>
      <c r="M38" s="49">
        <f t="shared" si="21"/>
        <v>17.715691457183826</v>
      </c>
      <c r="N38" s="49">
        <f t="shared" si="21"/>
        <v>40.732898480421269</v>
      </c>
      <c r="O38" s="49">
        <f t="shared" si="21"/>
        <v>23.078591317694492</v>
      </c>
      <c r="P38" s="49">
        <f t="shared" si="21"/>
        <v>31.596070484709276</v>
      </c>
      <c r="Q38" s="49">
        <f t="shared" si="21"/>
        <v>0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263.26334914583049</v>
      </c>
      <c r="AO38">
        <v>135.69402796629018</v>
      </c>
      <c r="AP38">
        <v>491.22477558027504</v>
      </c>
      <c r="AQ38">
        <v>749.27002403704887</v>
      </c>
      <c r="AR38">
        <v>126.34787017550629</v>
      </c>
      <c r="AS38">
        <v>1375.0282879158417</v>
      </c>
      <c r="AT38">
        <v>62.462588613031272</v>
      </c>
      <c r="AU38">
        <v>122.92010003779561</v>
      </c>
      <c r="AV38"/>
      <c r="AW38"/>
      <c r="FY38" s="211">
        <v>33</v>
      </c>
      <c r="FZ38">
        <v>106.41427414833376</v>
      </c>
      <c r="GA38">
        <v>150.84856115683567</v>
      </c>
      <c r="GB38">
        <v>46.708080298781034</v>
      </c>
      <c r="GC38">
        <v>38.608851905810525</v>
      </c>
      <c r="GD38">
        <v>45.120517222888346</v>
      </c>
      <c r="GE38">
        <v>100.21382161515231</v>
      </c>
      <c r="GF38">
        <v>95.828027119099445</v>
      </c>
      <c r="GG38">
        <v>45.261832028938024</v>
      </c>
      <c r="GH38">
        <v>66.808373755013648</v>
      </c>
      <c r="GI38">
        <v>90.204810735730391</v>
      </c>
      <c r="GJ38"/>
      <c r="GK38"/>
      <c r="GL38"/>
      <c r="GM38"/>
    </row>
    <row r="39" spans="1:195" s="7" customFormat="1">
      <c r="A39" s="114">
        <v>1.21E-2</v>
      </c>
      <c r="B39" s="57"/>
      <c r="C39" s="48" t="s">
        <v>40</v>
      </c>
      <c r="D39" s="49">
        <f t="shared" si="18"/>
        <v>91.026878582817062</v>
      </c>
      <c r="E39" s="107">
        <f t="shared" si="19"/>
        <v>0.3013832429688087</v>
      </c>
      <c r="F39" s="18"/>
      <c r="G39" s="49">
        <f t="shared" si="20"/>
        <v>8.865460930033842E-3</v>
      </c>
      <c r="H39" s="49">
        <f t="shared" si="21"/>
        <v>0.86513965821916039</v>
      </c>
      <c r="I39" s="49">
        <f t="shared" si="21"/>
        <v>7.0235591676949003</v>
      </c>
      <c r="J39" s="49">
        <f t="shared" si="21"/>
        <v>11.570956923952654</v>
      </c>
      <c r="K39" s="49">
        <f t="shared" si="21"/>
        <v>15.650161948289126</v>
      </c>
      <c r="L39" s="49">
        <f t="shared" si="21"/>
        <v>20.945119917875726</v>
      </c>
      <c r="M39" s="49">
        <f t="shared" si="21"/>
        <v>4.6107554745603059</v>
      </c>
      <c r="N39" s="49">
        <f t="shared" si="21"/>
        <v>11.55960081935957</v>
      </c>
      <c r="O39" s="49">
        <f t="shared" si="21"/>
        <v>6.1542910180518637</v>
      </c>
      <c r="P39" s="49">
        <f t="shared" si="21"/>
        <v>12.638428193883708</v>
      </c>
      <c r="Q39" s="49">
        <f t="shared" si="21"/>
        <v>0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266.35867257385632</v>
      </c>
      <c r="AO39">
        <v>133.84371218248509</v>
      </c>
      <c r="AP39">
        <v>473.3648625442404</v>
      </c>
      <c r="AQ39">
        <v>726.3622829537868</v>
      </c>
      <c r="AR39">
        <v>125.67443603726308</v>
      </c>
      <c r="AS39">
        <v>1186.0784794040135</v>
      </c>
      <c r="AT39">
        <v>58.09619552872504</v>
      </c>
      <c r="AU39">
        <v>121.32004887886328</v>
      </c>
      <c r="AV39"/>
      <c r="AW39"/>
      <c r="FY39" s="211">
        <v>34</v>
      </c>
      <c r="FZ39">
        <v>108.84803037758907</v>
      </c>
      <c r="GA39">
        <v>155.52571883568146</v>
      </c>
      <c r="GB39">
        <v>51.604673591908963</v>
      </c>
      <c r="GC39">
        <v>47.447112674708734</v>
      </c>
      <c r="GD39">
        <v>41.216673166490892</v>
      </c>
      <c r="GE39">
        <v>81.166611232036217</v>
      </c>
      <c r="GF39">
        <v>167.60684362093403</v>
      </c>
      <c r="GG39">
        <v>94.550904877097494</v>
      </c>
      <c r="GH39">
        <v>46.850983063209554</v>
      </c>
      <c r="GI39">
        <v>101.8126199172288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162.2190181663814</v>
      </c>
      <c r="E40" s="107">
        <f t="shared" si="19"/>
        <v>0.42742320058292693</v>
      </c>
      <c r="F40" s="18"/>
      <c r="G40" s="49">
        <f t="shared" si="20"/>
        <v>0</v>
      </c>
      <c r="H40" s="49">
        <f t="shared" si="21"/>
        <v>0.71703023392600573</v>
      </c>
      <c r="I40" s="49">
        <f t="shared" si="21"/>
        <v>9.7045844611554717</v>
      </c>
      <c r="J40" s="49">
        <f t="shared" si="21"/>
        <v>7.0297429671644309</v>
      </c>
      <c r="K40" s="49">
        <f t="shared" si="21"/>
        <v>16.682494530630095</v>
      </c>
      <c r="L40" s="49">
        <f t="shared" si="21"/>
        <v>61.13972197483897</v>
      </c>
      <c r="M40" s="49">
        <f t="shared" si="21"/>
        <v>48.880002511996302</v>
      </c>
      <c r="N40" s="49">
        <f t="shared" si="21"/>
        <v>14.98829597764419</v>
      </c>
      <c r="O40" s="49">
        <f t="shared" si="21"/>
        <v>3.0771455090259319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197.77301371385161</v>
      </c>
      <c r="AO40">
        <v>116.96211300396537</v>
      </c>
      <c r="AP40">
        <v>462.427728910648</v>
      </c>
      <c r="AQ40">
        <v>690.12945685291845</v>
      </c>
      <c r="AR40">
        <v>113.07652018347858</v>
      </c>
      <c r="AS40">
        <v>1217.8234778935373</v>
      </c>
      <c r="AT40">
        <v>59.28154180926412</v>
      </c>
      <c r="AU40">
        <v>174.91790129259996</v>
      </c>
      <c r="AV40"/>
      <c r="AW40"/>
      <c r="FY40" s="211">
        <v>35</v>
      </c>
      <c r="FZ40">
        <v>104.59184437430801</v>
      </c>
      <c r="GA40">
        <v>135.88488775122426</v>
      </c>
      <c r="GB40">
        <v>46.660795922662999</v>
      </c>
      <c r="GC40">
        <v>37.316039214321258</v>
      </c>
      <c r="GD40">
        <v>22.449384412593048</v>
      </c>
      <c r="GE40">
        <v>36.054611516849313</v>
      </c>
      <c r="GF40">
        <v>51.473173451272928</v>
      </c>
      <c r="GG40">
        <v>63.496606036675452</v>
      </c>
      <c r="GH40">
        <v>86.151818129262765</v>
      </c>
      <c r="GI40">
        <v>67.458765895347796</v>
      </c>
      <c r="GJ40"/>
      <c r="GK40"/>
      <c r="GL40"/>
      <c r="GM40"/>
    </row>
    <row r="41" spans="1:195" s="7" customFormat="1">
      <c r="A41" s="114">
        <v>2.6669999999999998</v>
      </c>
      <c r="B41" s="57"/>
      <c r="C41" s="48" t="s">
        <v>42</v>
      </c>
      <c r="D41" s="49">
        <f t="shared" si="18"/>
        <v>260.51446350883333</v>
      </c>
      <c r="E41" s="107">
        <f t="shared" si="19"/>
        <v>0.34461281168910657</v>
      </c>
      <c r="F41" s="18"/>
      <c r="G41" s="49">
        <f t="shared" si="20"/>
        <v>1.3675541783354768E-2</v>
      </c>
      <c r="H41" s="49">
        <f t="shared" ref="H41:AK43" si="22">H25*H$36</f>
        <v>3.3352411332810368</v>
      </c>
      <c r="I41" s="49">
        <f t="shared" si="22"/>
        <v>17.281014191869815</v>
      </c>
      <c r="J41" s="49">
        <f t="shared" si="22"/>
        <v>1.3497106496955709</v>
      </c>
      <c r="K41" s="49">
        <f t="shared" si="22"/>
        <v>7.4217830453100238</v>
      </c>
      <c r="L41" s="49">
        <f t="shared" si="22"/>
        <v>87.255055422602481</v>
      </c>
      <c r="M41" s="49">
        <f t="shared" si="22"/>
        <v>115.89830743799963</v>
      </c>
      <c r="N41" s="49">
        <f t="shared" si="22"/>
        <v>24.882530577265513</v>
      </c>
      <c r="O41" s="49">
        <f t="shared" si="22"/>
        <v>3.0771455090259319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238.77151504116978</v>
      </c>
      <c r="AO41">
        <v>135.05997406762509</v>
      </c>
      <c r="AP41">
        <v>483.28406539380802</v>
      </c>
      <c r="AQ41">
        <v>817.58393137966425</v>
      </c>
      <c r="AR41">
        <v>128.38907555691711</v>
      </c>
      <c r="AS41">
        <v>1379.216956538402</v>
      </c>
      <c r="AT41">
        <v>68.324525448901667</v>
      </c>
      <c r="AU41">
        <v>-44.273093824359009</v>
      </c>
      <c r="AV41"/>
      <c r="AW41"/>
      <c r="FY41" s="211">
        <v>36</v>
      </c>
      <c r="FZ41">
        <v>109.07097760617862</v>
      </c>
      <c r="GA41">
        <v>141.26770988071681</v>
      </c>
      <c r="GB41">
        <v>51.736265963090439</v>
      </c>
      <c r="GC41">
        <v>42.873488876643357</v>
      </c>
      <c r="GD41">
        <v>32.330456781779077</v>
      </c>
      <c r="GE41">
        <v>37.240167761533677</v>
      </c>
      <c r="GF41">
        <v>48.009079014527558</v>
      </c>
      <c r="GG41">
        <v>61.042660409348372</v>
      </c>
      <c r="GH41">
        <v>70.585446844379192</v>
      </c>
      <c r="GI41">
        <v>72.600274951113505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223.47077218264104</v>
      </c>
      <c r="E42" s="107">
        <f t="shared" si="19"/>
        <v>0.36718875458341949</v>
      </c>
      <c r="F42" s="18"/>
      <c r="G42" s="49">
        <f t="shared" si="20"/>
        <v>1.3675541783354768E-2</v>
      </c>
      <c r="H42" s="49">
        <f t="shared" si="22"/>
        <v>3.2331410811977035</v>
      </c>
      <c r="I42" s="49">
        <f t="shared" si="22"/>
        <v>11.992587207777152</v>
      </c>
      <c r="J42" s="49">
        <f t="shared" si="22"/>
        <v>0.4499035498985236</v>
      </c>
      <c r="K42" s="49">
        <f t="shared" si="22"/>
        <v>0.84788916096271782</v>
      </c>
      <c r="L42" s="49">
        <f t="shared" si="22"/>
        <v>52.441492276857069</v>
      </c>
      <c r="M42" s="49">
        <f t="shared" si="22"/>
        <v>85.915908349905422</v>
      </c>
      <c r="N42" s="49">
        <f t="shared" si="22"/>
        <v>41.119851219713389</v>
      </c>
      <c r="O42" s="49">
        <f t="shared" si="22"/>
        <v>16.924300299642628</v>
      </c>
      <c r="P42" s="49">
        <f t="shared" si="22"/>
        <v>10.532023494903093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290.47805109567014</v>
      </c>
      <c r="AO42">
        <v>140.28549608678222</v>
      </c>
      <c r="AP42">
        <v>474.71370491926274</v>
      </c>
      <c r="AQ42">
        <v>752.84454023824844</v>
      </c>
      <c r="AR42">
        <v>130.78913530180608</v>
      </c>
      <c r="AS42">
        <v>1574.8052211297777</v>
      </c>
      <c r="AT42">
        <v>58.745100613237305</v>
      </c>
      <c r="AU42">
        <v>76.794627597195159</v>
      </c>
      <c r="AV42"/>
      <c r="AW42"/>
      <c r="FY42" s="211">
        <v>37</v>
      </c>
      <c r="FZ42">
        <v>110.68433849149244</v>
      </c>
      <c r="GA42">
        <v>155.86355723833086</v>
      </c>
      <c r="GB42">
        <v>52.002858890876475</v>
      </c>
      <c r="GC42">
        <v>42.616002895061591</v>
      </c>
      <c r="GD42">
        <v>47.415796531284627</v>
      </c>
      <c r="GE42">
        <v>117.07779974260528</v>
      </c>
      <c r="GF42">
        <v>149.29736411799328</v>
      </c>
      <c r="GG42">
        <v>47.466277082087402</v>
      </c>
      <c r="GH42">
        <v>47.851823966399792</v>
      </c>
      <c r="GI42">
        <v>102.72884529423989</v>
      </c>
      <c r="GJ42"/>
      <c r="GK42"/>
      <c r="GL42"/>
      <c r="GM42"/>
    </row>
    <row r="43" spans="1:195" s="7" customFormat="1">
      <c r="A43" s="95">
        <v>4.7</v>
      </c>
      <c r="B43" s="1"/>
      <c r="C43" s="48" t="s">
        <v>119</v>
      </c>
      <c r="D43" s="49">
        <f>IF(SUM(G43:AK43)&lt;0.0001, 0, SUM(G43:AK43))</f>
        <v>105.78186474511415</v>
      </c>
      <c r="E43" s="107">
        <f t="shared" si="19"/>
        <v>0.99396988732766312</v>
      </c>
      <c r="F43" s="18"/>
      <c r="G43" s="49">
        <f t="shared" si="20"/>
        <v>0</v>
      </c>
      <c r="H43" s="49">
        <f t="shared" si="22"/>
        <v>0.26225699652777779</v>
      </c>
      <c r="I43" s="49">
        <f t="shared" si="22"/>
        <v>1.8563319594747438</v>
      </c>
      <c r="J43" s="49">
        <f t="shared" si="22"/>
        <v>0.1124758874746309</v>
      </c>
      <c r="K43" s="49">
        <f t="shared" si="22"/>
        <v>0.84788916096271782</v>
      </c>
      <c r="L43" s="49">
        <f t="shared" si="22"/>
        <v>8.4559182890565978</v>
      </c>
      <c r="M43" s="49">
        <f t="shared" si="22"/>
        <v>23.57329911641396</v>
      </c>
      <c r="N43" s="49">
        <f t="shared" si="22"/>
        <v>40.140224031632066</v>
      </c>
      <c r="O43" s="49">
        <f t="shared" si="22"/>
        <v>20.00144580866856</v>
      </c>
      <c r="P43" s="49">
        <f t="shared" si="22"/>
        <v>10.532023494903093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301.65817575349325</v>
      </c>
      <c r="AO43">
        <v>174.60225356903555</v>
      </c>
      <c r="AP43">
        <v>776.86340033060901</v>
      </c>
      <c r="AQ43">
        <v>938.04779121412639</v>
      </c>
      <c r="AR43">
        <v>164.05621490985564</v>
      </c>
      <c r="AS43">
        <v>1940.9392544004882</v>
      </c>
      <c r="AT43">
        <v>84.457163878452619</v>
      </c>
      <c r="AU43">
        <v>264.58463628935147</v>
      </c>
      <c r="AV43"/>
      <c r="AW43"/>
      <c r="FY43" s="211">
        <v>38</v>
      </c>
      <c r="FZ43">
        <v>97.810739207786384</v>
      </c>
      <c r="GA43">
        <v>154.4384085522783</v>
      </c>
      <c r="GB43">
        <v>53.097239009986708</v>
      </c>
      <c r="GC43">
        <v>54.504093430869176</v>
      </c>
      <c r="GD43">
        <v>52.710047003870514</v>
      </c>
      <c r="GE43">
        <v>86.563576045984121</v>
      </c>
      <c r="GF43">
        <v>108.63687590722823</v>
      </c>
      <c r="GG43">
        <v>55.466780587780981</v>
      </c>
      <c r="GH43">
        <v>47.12887104324205</v>
      </c>
      <c r="GI43">
        <v>94.177997112447343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>
        <f>IF(SUM(G44:AK44)&lt;0.0001, 0, SUM(G44:AK44))</f>
        <v>60.800322058366703</v>
      </c>
      <c r="E44" s="107">
        <f t="shared" si="19"/>
        <v>1.0978365362263078</v>
      </c>
      <c r="F44" s="18"/>
      <c r="G44" s="49">
        <f>G28*G36</f>
        <v>0</v>
      </c>
      <c r="H44" s="49">
        <f t="shared" ref="H44:AK44" si="23">H28*H36</f>
        <v>0.10009809027777777</v>
      </c>
      <c r="I44" s="49">
        <f t="shared" si="23"/>
        <v>1.3986062708371358</v>
      </c>
      <c r="J44" s="49">
        <f t="shared" si="23"/>
        <v>0</v>
      </c>
      <c r="K44" s="49">
        <f t="shared" si="23"/>
        <v>0</v>
      </c>
      <c r="L44" s="49">
        <f t="shared" si="23"/>
        <v>3.9534163429355518</v>
      </c>
      <c r="M44" s="49">
        <f t="shared" si="23"/>
        <v>11.429478359473434</v>
      </c>
      <c r="N44" s="49">
        <f t="shared" si="23"/>
        <v>11.853488975783966</v>
      </c>
      <c r="O44" s="49">
        <f t="shared" si="23"/>
        <v>13.847154790616695</v>
      </c>
      <c r="P44" s="49">
        <f t="shared" si="23"/>
        <v>12.63842819388371</v>
      </c>
      <c r="Q44" s="49">
        <f t="shared" si="23"/>
        <v>5.5796510345584256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277.41599126172071</v>
      </c>
      <c r="AO44">
        <v>152.40680719701979</v>
      </c>
      <c r="AP44">
        <v>705.44299885436669</v>
      </c>
      <c r="AQ44">
        <v>814.32017010001073</v>
      </c>
      <c r="AR44">
        <v>143.05315809346229</v>
      </c>
      <c r="AS44">
        <v>1658.5518875133612</v>
      </c>
      <c r="AT44">
        <v>74.714926012040763</v>
      </c>
      <c r="AU44">
        <v>287.5468960256303</v>
      </c>
      <c r="AV44"/>
      <c r="AW44"/>
      <c r="FY44" s="211">
        <v>39</v>
      </c>
      <c r="FZ44">
        <v>108.96424345277069</v>
      </c>
      <c r="GA44">
        <v>116.22741520298308</v>
      </c>
      <c r="GB44">
        <v>50.604555904210244</v>
      </c>
      <c r="GC44">
        <v>44.294548883379257</v>
      </c>
      <c r="GD44">
        <v>30.622336527786111</v>
      </c>
      <c r="GE44">
        <v>45.522502190436882</v>
      </c>
      <c r="GF44">
        <v>64.013854486111839</v>
      </c>
      <c r="GG44">
        <v>56.982202641471119</v>
      </c>
      <c r="GH44">
        <v>81.068249168430029</v>
      </c>
      <c r="GI44">
        <v>76.678435536581929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>
        <f>IF(SUM(G45:AK45)&lt;0.0001, 0, SUM(G45:AK45))</f>
        <v>54.842481930127654</v>
      </c>
      <c r="E45" s="107">
        <f t="shared" si="19"/>
        <v>0.85143053073400365</v>
      </c>
      <c r="F45" s="18"/>
      <c r="G45" s="49">
        <f>G29*G36</f>
        <v>0</v>
      </c>
      <c r="H45" s="49">
        <f t="shared" ref="H45:AK45" si="24">H29*H36</f>
        <v>0</v>
      </c>
      <c r="I45" s="49">
        <f t="shared" si="24"/>
        <v>0.56809925894738589</v>
      </c>
      <c r="J45" s="49">
        <f t="shared" si="24"/>
        <v>7.5228505828042147</v>
      </c>
      <c r="K45" s="49">
        <f t="shared" si="24"/>
        <v>0</v>
      </c>
      <c r="L45" s="49">
        <f t="shared" si="24"/>
        <v>7.4208335136899004</v>
      </c>
      <c r="M45" s="49">
        <f t="shared" si="24"/>
        <v>3.5717119873354481</v>
      </c>
      <c r="N45" s="49">
        <f t="shared" si="24"/>
        <v>2.1551798137789029</v>
      </c>
      <c r="O45" s="49">
        <f t="shared" si="24"/>
        <v>15.385727545129663</v>
      </c>
      <c r="P45" s="49">
        <f t="shared" si="24"/>
        <v>12.63842819388371</v>
      </c>
      <c r="Q45" s="49">
        <f t="shared" si="24"/>
        <v>5.5796510345584256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249.89220568728243</v>
      </c>
      <c r="AO45">
        <v>138.52147309408238</v>
      </c>
      <c r="AP45">
        <v>536.75878403362617</v>
      </c>
      <c r="AQ45">
        <v>812.39042286854351</v>
      </c>
      <c r="AR45">
        <v>131.69314089240194</v>
      </c>
      <c r="AS45">
        <v>1177.8177865974326</v>
      </c>
      <c r="AT45">
        <v>66.71247137761118</v>
      </c>
      <c r="AU45">
        <v>194.54013803444542</v>
      </c>
      <c r="AV45"/>
      <c r="AW45"/>
      <c r="FY45" s="211">
        <v>40</v>
      </c>
      <c r="FZ45">
        <v>134.14349683485386</v>
      </c>
      <c r="GA45">
        <v>123.2865484474864</v>
      </c>
      <c r="GB45">
        <v>29.289860660235878</v>
      </c>
      <c r="GC45">
        <v>37.144498911418559</v>
      </c>
      <c r="GD45">
        <v>40.271772937713692</v>
      </c>
      <c r="GE45">
        <v>69.241503187051407</v>
      </c>
      <c r="GF45">
        <v>76.09028543795074</v>
      </c>
      <c r="GG45">
        <v>82.077837276530374</v>
      </c>
      <c r="GH45">
        <v>91.852164272151825</v>
      </c>
      <c r="GI45">
        <v>84.562200902289277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>
        <f>IF(SUM(G46:AK46)&lt;0.0001, 0, SUM(G46:AK46))</f>
        <v>132.4908365679577</v>
      </c>
      <c r="E46" s="107">
        <f t="shared" si="19"/>
        <v>0.47745571421725452</v>
      </c>
      <c r="F46" s="18"/>
      <c r="G46" s="49">
        <f>G30*G36</f>
        <v>4.5082005426777217E-3</v>
      </c>
      <c r="H46" s="49">
        <f t="shared" ref="H46:AK46" si="25">H30*H36</f>
        <v>0.896131088855595</v>
      </c>
      <c r="I46" s="49">
        <f t="shared" si="25"/>
        <v>5.6974868197005986</v>
      </c>
      <c r="J46" s="49">
        <f t="shared" si="25"/>
        <v>5.3979229614951914</v>
      </c>
      <c r="K46" s="49">
        <f t="shared" si="25"/>
        <v>7.7048584711267969</v>
      </c>
      <c r="L46" s="49">
        <f t="shared" si="25"/>
        <v>27.837552588577896</v>
      </c>
      <c r="M46" s="49">
        <f t="shared" si="25"/>
        <v>35.78845420507357</v>
      </c>
      <c r="N46" s="49">
        <f t="shared" si="25"/>
        <v>23.247532800357792</v>
      </c>
      <c r="O46" s="49">
        <f t="shared" si="25"/>
        <v>13.847154790616695</v>
      </c>
      <c r="P46" s="49">
        <f t="shared" si="25"/>
        <v>10.953304434699216</v>
      </c>
      <c r="Q46" s="49">
        <f t="shared" si="25"/>
        <v>1.1159302069116852</v>
      </c>
      <c r="R46" s="49">
        <f t="shared" si="25"/>
        <v>0</v>
      </c>
      <c r="S46" s="49">
        <f t="shared" si="25"/>
        <v>0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227.5850959234736</v>
      </c>
      <c r="AO46">
        <v>134.59312831670553</v>
      </c>
      <c r="AP46">
        <v>538.70861594140945</v>
      </c>
      <c r="AQ46">
        <v>751.39018751297954</v>
      </c>
      <c r="AR46">
        <v>128.19072675931488</v>
      </c>
      <c r="AS46">
        <v>1255.8978050999119</v>
      </c>
      <c r="AT46">
        <v>70.27926694315677</v>
      </c>
      <c r="AU46">
        <v>177.04804967797008</v>
      </c>
      <c r="AV46"/>
      <c r="AW46"/>
      <c r="FY46" s="211">
        <v>41</v>
      </c>
      <c r="FZ46">
        <v>118.5544965937675</v>
      </c>
      <c r="GA46">
        <v>137.26907065749239</v>
      </c>
      <c r="GB46">
        <v>43.188949445004134</v>
      </c>
      <c r="GC46">
        <v>36.244300474808227</v>
      </c>
      <c r="GD46">
        <v>38.005373347316606</v>
      </c>
      <c r="GE46">
        <v>56.69174264382999</v>
      </c>
      <c r="GF46">
        <v>38.790388027054355</v>
      </c>
      <c r="GG46">
        <v>63.552371221817289</v>
      </c>
      <c r="GH46">
        <v>99.946773422368992</v>
      </c>
      <c r="GI46">
        <v>78.185940890478193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271.71035865234393</v>
      </c>
      <c r="AO47">
        <v>130.42404334663743</v>
      </c>
      <c r="AP47">
        <v>463.21415928864701</v>
      </c>
      <c r="AQ47">
        <v>740.56277629937165</v>
      </c>
      <c r="AR47">
        <v>124.70343734496568</v>
      </c>
      <c r="AS47">
        <v>1399.4531830825215</v>
      </c>
      <c r="AT47">
        <v>61.899269639667011</v>
      </c>
      <c r="AU47">
        <v>29.386651967433451</v>
      </c>
      <c r="AV47"/>
      <c r="AW47"/>
      <c r="FY47" s="211">
        <v>42</v>
      </c>
      <c r="FZ47">
        <v>113.22855491285995</v>
      </c>
      <c r="GA47">
        <v>146.50925797266245</v>
      </c>
      <c r="GB47">
        <v>49.428979377274196</v>
      </c>
      <c r="GC47">
        <v>47.150928885771599</v>
      </c>
      <c r="GD47">
        <v>48.162340722460456</v>
      </c>
      <c r="GE47">
        <v>59.65798790042632</v>
      </c>
      <c r="GF47">
        <v>72.576785694552598</v>
      </c>
      <c r="GG47">
        <v>106.42149896368498</v>
      </c>
      <c r="GH47">
        <v>108.78098945815108</v>
      </c>
      <c r="GI47">
        <v>95.061122635272511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>
        <f>AVERAGE(D37:D47)</f>
        <v>139.08395666069606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194.48114888204537</v>
      </c>
      <c r="AO48">
        <v>127.1575601682185</v>
      </c>
      <c r="AP48">
        <v>511.45793117490041</v>
      </c>
      <c r="AQ48">
        <v>736.45644364125712</v>
      </c>
      <c r="AR48">
        <v>121.59281398024973</v>
      </c>
      <c r="AS48">
        <v>1115.6689562740219</v>
      </c>
      <c r="AT48">
        <v>63.636119914470783</v>
      </c>
      <c r="AU48">
        <v>164.09038728475682</v>
      </c>
      <c r="AV48"/>
      <c r="AW48"/>
      <c r="FY48" s="211">
        <v>43</v>
      </c>
      <c r="FZ48">
        <v>110.97648053396647</v>
      </c>
      <c r="GA48">
        <v>156.19558624223782</v>
      </c>
      <c r="GB48">
        <v>63.498173908614739</v>
      </c>
      <c r="GC48">
        <v>51.303354484074809</v>
      </c>
      <c r="GD48">
        <v>57.689601629342484</v>
      </c>
      <c r="GE48">
        <v>92.993653980941929</v>
      </c>
      <c r="GF48">
        <v>86.636351253380909</v>
      </c>
      <c r="GG48">
        <v>60.639810189876357</v>
      </c>
      <c r="GH48">
        <v>55.356428256509176</v>
      </c>
      <c r="GI48">
        <v>98.883888015242889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272.45688995570259</v>
      </c>
      <c r="AO49">
        <v>144.93582467623744</v>
      </c>
      <c r="AP49">
        <v>602.32041966037468</v>
      </c>
      <c r="AQ49">
        <v>786.01714998658315</v>
      </c>
      <c r="AR49">
        <v>135.38370186250444</v>
      </c>
      <c r="AS49">
        <v>1193.8865189233441</v>
      </c>
      <c r="AT49">
        <v>68.073747535445264</v>
      </c>
      <c r="AU49">
        <v>151.66987698112527</v>
      </c>
      <c r="AV49"/>
      <c r="AW49"/>
      <c r="FY49" s="211">
        <v>44</v>
      </c>
      <c r="FZ49">
        <v>114.85953383230253</v>
      </c>
      <c r="GA49">
        <v>132.21000769947599</v>
      </c>
      <c r="GB49">
        <v>54.500704653808071</v>
      </c>
      <c r="GC49">
        <v>48.318628918628235</v>
      </c>
      <c r="GD49">
        <v>41.703582000061772</v>
      </c>
      <c r="GE49">
        <v>74.201428393058293</v>
      </c>
      <c r="GF49">
        <v>72.38145676675876</v>
      </c>
      <c r="GG49">
        <v>34.300287273317281</v>
      </c>
      <c r="GH49">
        <v>59.859353779977582</v>
      </c>
      <c r="GI49">
        <v>84.529135681216687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274.10072460195892</v>
      </c>
      <c r="AO50">
        <v>164.43736967750004</v>
      </c>
      <c r="AP50">
        <v>726.74572226972521</v>
      </c>
      <c r="AQ50">
        <v>896.63017135688528</v>
      </c>
      <c r="AR50">
        <v>154.21140565856339</v>
      </c>
      <c r="AS50">
        <v>1428.2282490884863</v>
      </c>
      <c r="AT50">
        <v>74.823914577560075</v>
      </c>
      <c r="AU50">
        <v>225.02539167198759</v>
      </c>
      <c r="AV50"/>
      <c r="AW50"/>
      <c r="FY50" s="211">
        <v>45</v>
      </c>
      <c r="FZ50">
        <v>79.490611113264578</v>
      </c>
      <c r="GA50">
        <v>133.29070788296391</v>
      </c>
      <c r="GB50">
        <v>61.341150679969367</v>
      </c>
      <c r="GC50">
        <v>50.10842581902866</v>
      </c>
      <c r="GD50">
        <v>38.855908863164728</v>
      </c>
      <c r="GE50">
        <v>62.440438562020603</v>
      </c>
      <c r="GF50">
        <v>132.97005296590888</v>
      </c>
      <c r="GG50">
        <v>134.67273117757625</v>
      </c>
      <c r="GH50">
        <v>104.55638568197398</v>
      </c>
      <c r="GI50">
        <v>100.64512499507586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207.43718839767308</v>
      </c>
      <c r="AO51">
        <v>110.64528903271813</v>
      </c>
      <c r="AP51">
        <v>453.17371218582298</v>
      </c>
      <c r="AQ51">
        <v>651.53792670451787</v>
      </c>
      <c r="AR51">
        <v>103.24657975391511</v>
      </c>
      <c r="AS51">
        <v>1032.5330401921601</v>
      </c>
      <c r="AT51">
        <v>55.195663496194094</v>
      </c>
      <c r="AU51">
        <v>28.532463111105532</v>
      </c>
      <c r="AV51"/>
      <c r="AW51"/>
      <c r="FY51" s="211">
        <v>46</v>
      </c>
      <c r="FZ51">
        <v>104.61519054476882</v>
      </c>
      <c r="GA51">
        <v>132.51307219289845</v>
      </c>
      <c r="GB51">
        <v>51.068662816442419</v>
      </c>
      <c r="GC51">
        <v>37.278649941627819</v>
      </c>
      <c r="GD51">
        <v>33.615965413512441</v>
      </c>
      <c r="GE51">
        <v>52.315547215664118</v>
      </c>
      <c r="GF51">
        <v>54.527285565698058</v>
      </c>
      <c r="GG51">
        <v>29.685848298402846</v>
      </c>
      <c r="GH51">
        <v>28.094882900705734</v>
      </c>
      <c r="GI51">
        <v>66.547397975827067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>
        <f>SUM(G52:AK52)</f>
        <v>133.29338034384733</v>
      </c>
      <c r="E52" s="19">
        <f>F374</f>
        <v>3.2848767931578191E-2</v>
      </c>
      <c r="F52" s="8"/>
      <c r="G52" s="49">
        <f>$E$52*$E$21*G37</f>
        <v>0</v>
      </c>
      <c r="H52" s="49">
        <f t="shared" ref="H52:AK52" si="26">$E$52*$E$21*H37</f>
        <v>1.5980160838334381E-2</v>
      </c>
      <c r="I52" s="49">
        <f t="shared" si="26"/>
        <v>1.5595805675737213</v>
      </c>
      <c r="J52" s="49">
        <f t="shared" si="26"/>
        <v>5.7060859163832083</v>
      </c>
      <c r="K52" s="49">
        <f t="shared" si="26"/>
        <v>12.952938371763203</v>
      </c>
      <c r="L52" s="49">
        <f t="shared" si="26"/>
        <v>13.402053137755045</v>
      </c>
      <c r="M52" s="49">
        <f t="shared" si="26"/>
        <v>27.750025508797687</v>
      </c>
      <c r="N52" s="49">
        <f t="shared" si="26"/>
        <v>33.259491729902471</v>
      </c>
      <c r="O52" s="49">
        <f t="shared" si="26"/>
        <v>21.833374763021233</v>
      </c>
      <c r="P52" s="49">
        <f t="shared" si="26"/>
        <v>16.813850187812434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201.1511085021038</v>
      </c>
      <c r="AO52">
        <v>115.75531029256736</v>
      </c>
      <c r="AP52">
        <v>484.54149690116287</v>
      </c>
      <c r="AQ52">
        <v>666.75652808931068</v>
      </c>
      <c r="AR52">
        <v>109.6816671832369</v>
      </c>
      <c r="AS52">
        <v>1163.5087307724132</v>
      </c>
      <c r="AT52">
        <v>60.838490270937307</v>
      </c>
      <c r="AU52">
        <v>155.43629573748453</v>
      </c>
      <c r="AV52"/>
      <c r="AW52"/>
      <c r="FY52" s="211">
        <v>47</v>
      </c>
      <c r="FZ52">
        <v>84.878724949092472</v>
      </c>
      <c r="GA52">
        <v>112.66612826840522</v>
      </c>
      <c r="GB52">
        <v>53.812004806102102</v>
      </c>
      <c r="GC52">
        <v>51.482387892974778</v>
      </c>
      <c r="GD52">
        <v>41.197787640136404</v>
      </c>
      <c r="GE52">
        <v>41.343507452233567</v>
      </c>
      <c r="GF52">
        <v>47.58977068943657</v>
      </c>
      <c r="GG52">
        <v>66.219946062974898</v>
      </c>
      <c r="GH52">
        <v>73.202761777951594</v>
      </c>
      <c r="GI52">
        <v>75.908929993220241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>
        <f t="shared" ref="D53:D61" si="27">SUM(G53:AK53)</f>
        <v>0</v>
      </c>
      <c r="E53" s="19">
        <f>F375</f>
        <v>0</v>
      </c>
      <c r="F53" s="8"/>
      <c r="G53" s="49">
        <f>$E$53*$E$22*G38</f>
        <v>0</v>
      </c>
      <c r="H53" s="49">
        <f t="shared" ref="H53:AK53" si="28">$E$53*$E$22*H38</f>
        <v>0</v>
      </c>
      <c r="I53" s="49">
        <f t="shared" si="28"/>
        <v>0</v>
      </c>
      <c r="J53" s="49">
        <f t="shared" si="28"/>
        <v>0</v>
      </c>
      <c r="K53" s="49">
        <f t="shared" si="28"/>
        <v>0</v>
      </c>
      <c r="L53" s="49">
        <f t="shared" si="28"/>
        <v>0</v>
      </c>
      <c r="M53" s="49">
        <f t="shared" si="28"/>
        <v>0</v>
      </c>
      <c r="N53" s="49">
        <f t="shared" si="28"/>
        <v>0</v>
      </c>
      <c r="O53" s="49">
        <f t="shared" si="28"/>
        <v>0</v>
      </c>
      <c r="P53" s="49">
        <f t="shared" si="28"/>
        <v>0</v>
      </c>
      <c r="Q53" s="49">
        <f t="shared" si="28"/>
        <v>0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313.63206643319728</v>
      </c>
      <c r="AO53">
        <v>164.3700886966007</v>
      </c>
      <c r="AP53">
        <v>780.0735612912257</v>
      </c>
      <c r="AQ53">
        <v>873.00466425037166</v>
      </c>
      <c r="AR53">
        <v>154.82008896573097</v>
      </c>
      <c r="AS53">
        <v>1521.8072579317291</v>
      </c>
      <c r="AT53">
        <v>75.044885685806278</v>
      </c>
      <c r="AU53">
        <v>93.356596403885959</v>
      </c>
      <c r="AV53"/>
      <c r="AW53"/>
      <c r="FY53" s="211">
        <v>48</v>
      </c>
      <c r="FZ53">
        <v>105.6031629562742</v>
      </c>
      <c r="GA53">
        <v>132.24337715165333</v>
      </c>
      <c r="GB53">
        <v>50.404697404686218</v>
      </c>
      <c r="GC53">
        <v>52.232068527281548</v>
      </c>
      <c r="GD53">
        <v>61.643947521127217</v>
      </c>
      <c r="GE53">
        <v>93.926707277373609</v>
      </c>
      <c r="GF53">
        <v>87.345206676651486</v>
      </c>
      <c r="GG53">
        <v>105.53369208589595</v>
      </c>
      <c r="GH53">
        <v>102.8680846195309</v>
      </c>
      <c r="GI53">
        <v>106.47822867803221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>
        <f t="shared" si="27"/>
        <v>0</v>
      </c>
      <c r="E54" s="19">
        <f t="shared" ref="E54:E61" si="29">F376</f>
        <v>0</v>
      </c>
      <c r="F54" s="8"/>
      <c r="G54" s="49">
        <f>$E$54*$E$23*G39</f>
        <v>0</v>
      </c>
      <c r="H54" s="49">
        <f t="shared" ref="H54:AK54" si="30">$E$54*$E$23*H39</f>
        <v>0</v>
      </c>
      <c r="I54" s="49">
        <f t="shared" si="30"/>
        <v>0</v>
      </c>
      <c r="J54" s="49">
        <f t="shared" si="30"/>
        <v>0</v>
      </c>
      <c r="K54" s="49">
        <f t="shared" si="30"/>
        <v>0</v>
      </c>
      <c r="L54" s="49">
        <f t="shared" si="30"/>
        <v>0</v>
      </c>
      <c r="M54" s="49">
        <f t="shared" si="30"/>
        <v>0</v>
      </c>
      <c r="N54" s="49">
        <f t="shared" si="30"/>
        <v>0</v>
      </c>
      <c r="O54" s="49">
        <f t="shared" si="30"/>
        <v>0</v>
      </c>
      <c r="P54" s="49">
        <f t="shared" si="30"/>
        <v>0</v>
      </c>
      <c r="Q54" s="49">
        <f t="shared" si="30"/>
        <v>0</v>
      </c>
      <c r="R54" s="49">
        <f t="shared" si="30"/>
        <v>0</v>
      </c>
      <c r="S54" s="49">
        <f t="shared" si="30"/>
        <v>0</v>
      </c>
      <c r="T54" s="49">
        <f t="shared" si="30"/>
        <v>0</v>
      </c>
      <c r="U54" s="49">
        <f t="shared" si="30"/>
        <v>0</v>
      </c>
      <c r="V54" s="49">
        <f t="shared" si="30"/>
        <v>0</v>
      </c>
      <c r="W54" s="49">
        <f t="shared" si="30"/>
        <v>0</v>
      </c>
      <c r="X54" s="49">
        <f t="shared" si="30"/>
        <v>0</v>
      </c>
      <c r="Y54" s="49">
        <f t="shared" si="30"/>
        <v>0</v>
      </c>
      <c r="Z54" s="49">
        <f t="shared" si="30"/>
        <v>0</v>
      </c>
      <c r="AA54" s="49">
        <f t="shared" si="30"/>
        <v>0</v>
      </c>
      <c r="AB54" s="49">
        <f t="shared" si="30"/>
        <v>0</v>
      </c>
      <c r="AC54" s="49">
        <f t="shared" si="30"/>
        <v>0</v>
      </c>
      <c r="AD54" s="49">
        <f t="shared" si="30"/>
        <v>0</v>
      </c>
      <c r="AE54" s="49">
        <f t="shared" si="30"/>
        <v>0</v>
      </c>
      <c r="AF54" s="49">
        <f t="shared" si="30"/>
        <v>0</v>
      </c>
      <c r="AG54" s="49">
        <f t="shared" si="30"/>
        <v>0</v>
      </c>
      <c r="AH54" s="49">
        <f t="shared" si="30"/>
        <v>0</v>
      </c>
      <c r="AI54" s="49">
        <f t="shared" si="30"/>
        <v>0</v>
      </c>
      <c r="AJ54" s="49">
        <f t="shared" si="30"/>
        <v>0</v>
      </c>
      <c r="AK54" s="49">
        <f t="shared" si="30"/>
        <v>0</v>
      </c>
      <c r="AL54" s="42"/>
      <c r="AM54" s="43">
        <v>38</v>
      </c>
      <c r="AN54">
        <v>306.08587673468315</v>
      </c>
      <c r="AO54">
        <v>150.57353505017491</v>
      </c>
      <c r="AP54">
        <v>549.80859177027457</v>
      </c>
      <c r="AQ54">
        <v>804.53462790147364</v>
      </c>
      <c r="AR54">
        <v>140.28473721695357</v>
      </c>
      <c r="AS54">
        <v>1656.1589950841101</v>
      </c>
      <c r="AT54">
        <v>66.959241192619857</v>
      </c>
      <c r="AU54">
        <v>-59.618487616031985</v>
      </c>
      <c r="AV54"/>
      <c r="AW54"/>
      <c r="FY54" s="211">
        <v>49</v>
      </c>
      <c r="FZ54">
        <v>127.39024681443838</v>
      </c>
      <c r="GA54">
        <v>170.27808331689846</v>
      </c>
      <c r="GB54">
        <v>61.349876175770518</v>
      </c>
      <c r="GC54">
        <v>39.879061424206789</v>
      </c>
      <c r="GD54">
        <v>34.713077975874853</v>
      </c>
      <c r="GE54">
        <v>84.26334611655524</v>
      </c>
      <c r="GF54">
        <v>105.28802692951996</v>
      </c>
      <c r="GG54">
        <v>54.742781161303796</v>
      </c>
      <c r="GH54">
        <v>58.858491173352455</v>
      </c>
      <c r="GI54">
        <v>91.37109619347035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>
        <f t="shared" si="27"/>
        <v>107.05400700060477</v>
      </c>
      <c r="E55" s="19">
        <f t="shared" si="29"/>
        <v>2.3569106977070226E-2</v>
      </c>
      <c r="F55" s="8"/>
      <c r="G55" s="49">
        <f>$E$55*$E$24*G40</f>
        <v>0</v>
      </c>
      <c r="H55" s="49">
        <f t="shared" ref="H55:AK55" si="31">$E$55*$E$24*H40</f>
        <v>0.4731933440974801</v>
      </c>
      <c r="I55" s="49">
        <f t="shared" si="31"/>
        <v>6.4043949013236281</v>
      </c>
      <c r="J55" s="49">
        <f t="shared" si="31"/>
        <v>4.6391733924033547</v>
      </c>
      <c r="K55" s="49">
        <f t="shared" si="31"/>
        <v>11.009361950630669</v>
      </c>
      <c r="L55" s="49">
        <f t="shared" si="31"/>
        <v>40.348242137652704</v>
      </c>
      <c r="M55" s="49">
        <f t="shared" si="31"/>
        <v>32.257624230851661</v>
      </c>
      <c r="N55" s="49">
        <f t="shared" si="31"/>
        <v>9.891301036430443</v>
      </c>
      <c r="O55" s="49">
        <f t="shared" si="31"/>
        <v>2.0307160072148154</v>
      </c>
      <c r="P55" s="49">
        <f t="shared" si="31"/>
        <v>0</v>
      </c>
      <c r="Q55" s="49">
        <f t="shared" si="31"/>
        <v>0</v>
      </c>
      <c r="R55" s="49">
        <f t="shared" si="31"/>
        <v>0</v>
      </c>
      <c r="S55" s="49">
        <f t="shared" si="31"/>
        <v>0</v>
      </c>
      <c r="T55" s="49">
        <f t="shared" si="31"/>
        <v>0</v>
      </c>
      <c r="U55" s="49">
        <f t="shared" si="31"/>
        <v>0</v>
      </c>
      <c r="V55" s="49">
        <f t="shared" si="31"/>
        <v>0</v>
      </c>
      <c r="W55" s="49">
        <f t="shared" si="31"/>
        <v>0</v>
      </c>
      <c r="X55" s="49">
        <f t="shared" si="31"/>
        <v>0</v>
      </c>
      <c r="Y55" s="49">
        <f t="shared" si="31"/>
        <v>0</v>
      </c>
      <c r="Z55" s="49">
        <f t="shared" si="31"/>
        <v>0</v>
      </c>
      <c r="AA55" s="49">
        <f t="shared" si="31"/>
        <v>0</v>
      </c>
      <c r="AB55" s="49">
        <f t="shared" si="31"/>
        <v>0</v>
      </c>
      <c r="AC55" s="49">
        <f t="shared" si="31"/>
        <v>0</v>
      </c>
      <c r="AD55" s="49">
        <f t="shared" si="31"/>
        <v>0</v>
      </c>
      <c r="AE55" s="49">
        <f t="shared" si="31"/>
        <v>0</v>
      </c>
      <c r="AF55" s="49">
        <f t="shared" si="31"/>
        <v>0</v>
      </c>
      <c r="AG55" s="49">
        <f t="shared" si="31"/>
        <v>0</v>
      </c>
      <c r="AH55" s="49">
        <f t="shared" si="31"/>
        <v>0</v>
      </c>
      <c r="AI55" s="49">
        <f t="shared" si="31"/>
        <v>0</v>
      </c>
      <c r="AJ55" s="49">
        <f t="shared" si="31"/>
        <v>0</v>
      </c>
      <c r="AK55" s="49">
        <f t="shared" si="31"/>
        <v>0</v>
      </c>
      <c r="AL55" s="42"/>
      <c r="AM55" s="43">
        <v>39</v>
      </c>
      <c r="AN55">
        <v>219.12460738706551</v>
      </c>
      <c r="AO55">
        <v>118.6512970120807</v>
      </c>
      <c r="AP55">
        <v>519.47587892282741</v>
      </c>
      <c r="AQ55">
        <v>674.97834399416115</v>
      </c>
      <c r="AR55">
        <v>115.14176837554452</v>
      </c>
      <c r="AS55">
        <v>1223.7587507170979</v>
      </c>
      <c r="AT55">
        <v>60.647266748120302</v>
      </c>
      <c r="AU55">
        <v>106.64157026988542</v>
      </c>
      <c r="AV55"/>
      <c r="AW55"/>
      <c r="FY55" s="211">
        <v>50</v>
      </c>
      <c r="FZ55">
        <v>137.94668114538572</v>
      </c>
      <c r="GA55">
        <v>134.47090528136721</v>
      </c>
      <c r="GB55">
        <v>40.014727938671072</v>
      </c>
      <c r="GC55">
        <v>41.28405420973462</v>
      </c>
      <c r="GD55">
        <v>47.13337203401246</v>
      </c>
      <c r="GE55">
        <v>80.362537014535221</v>
      </c>
      <c r="GF55">
        <v>75.297538429838553</v>
      </c>
      <c r="GG55">
        <v>83.639833768357192</v>
      </c>
      <c r="GH55">
        <v>110.84708820246817</v>
      </c>
      <c r="GI55">
        <v>96.932516351175337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>
        <f t="shared" si="27"/>
        <v>0</v>
      </c>
      <c r="E56" s="19">
        <f t="shared" si="29"/>
        <v>0</v>
      </c>
      <c r="F56" s="8"/>
      <c r="G56" s="49">
        <f>$E$56*$E$25*G41</f>
        <v>0</v>
      </c>
      <c r="H56" s="49">
        <f t="shared" ref="H56:AK56" si="32">$E$56*$E$25*H41</f>
        <v>0</v>
      </c>
      <c r="I56" s="49">
        <f t="shared" si="32"/>
        <v>0</v>
      </c>
      <c r="J56" s="49">
        <f t="shared" si="32"/>
        <v>0</v>
      </c>
      <c r="K56" s="49">
        <f t="shared" si="32"/>
        <v>0</v>
      </c>
      <c r="L56" s="49">
        <f t="shared" si="32"/>
        <v>0</v>
      </c>
      <c r="M56" s="49">
        <f t="shared" si="32"/>
        <v>0</v>
      </c>
      <c r="N56" s="49">
        <f t="shared" si="32"/>
        <v>0</v>
      </c>
      <c r="O56" s="49">
        <f t="shared" si="32"/>
        <v>0</v>
      </c>
      <c r="P56" s="49">
        <f t="shared" si="32"/>
        <v>0</v>
      </c>
      <c r="Q56" s="49">
        <f t="shared" si="32"/>
        <v>0</v>
      </c>
      <c r="R56" s="49">
        <f t="shared" si="32"/>
        <v>0</v>
      </c>
      <c r="S56" s="49">
        <f t="shared" si="32"/>
        <v>0</v>
      </c>
      <c r="T56" s="49">
        <f t="shared" si="32"/>
        <v>0</v>
      </c>
      <c r="U56" s="49">
        <f t="shared" si="32"/>
        <v>0</v>
      </c>
      <c r="V56" s="49">
        <f t="shared" si="32"/>
        <v>0</v>
      </c>
      <c r="W56" s="49">
        <f t="shared" si="32"/>
        <v>0</v>
      </c>
      <c r="X56" s="49">
        <f t="shared" si="32"/>
        <v>0</v>
      </c>
      <c r="Y56" s="49">
        <f t="shared" si="32"/>
        <v>0</v>
      </c>
      <c r="Z56" s="49">
        <f t="shared" si="32"/>
        <v>0</v>
      </c>
      <c r="AA56" s="49">
        <f t="shared" si="32"/>
        <v>0</v>
      </c>
      <c r="AB56" s="49">
        <f t="shared" si="32"/>
        <v>0</v>
      </c>
      <c r="AC56" s="49">
        <f t="shared" si="32"/>
        <v>0</v>
      </c>
      <c r="AD56" s="49">
        <f t="shared" si="32"/>
        <v>0</v>
      </c>
      <c r="AE56" s="49">
        <f t="shared" si="32"/>
        <v>0</v>
      </c>
      <c r="AF56" s="49">
        <f t="shared" si="32"/>
        <v>0</v>
      </c>
      <c r="AG56" s="49">
        <f t="shared" si="32"/>
        <v>0</v>
      </c>
      <c r="AH56" s="49">
        <f t="shared" si="32"/>
        <v>0</v>
      </c>
      <c r="AI56" s="49">
        <f t="shared" si="32"/>
        <v>0</v>
      </c>
      <c r="AJ56" s="49">
        <f t="shared" si="32"/>
        <v>0</v>
      </c>
      <c r="AK56" s="49">
        <f t="shared" si="32"/>
        <v>0</v>
      </c>
      <c r="AL56" s="42"/>
      <c r="AM56" s="43">
        <v>40</v>
      </c>
      <c r="AN56">
        <v>244.52925223322887</v>
      </c>
      <c r="AO56">
        <v>132.68500637842399</v>
      </c>
      <c r="AP56">
        <v>504.63762434283365</v>
      </c>
      <c r="AQ56">
        <v>767.96016886768211</v>
      </c>
      <c r="AR56">
        <v>126.51848475183655</v>
      </c>
      <c r="AS56">
        <v>1495.1785785540785</v>
      </c>
      <c r="AT56">
        <v>68.580924866778091</v>
      </c>
      <c r="AU56">
        <v>155.41738733346381</v>
      </c>
      <c r="AV56"/>
      <c r="AW56"/>
      <c r="FY56" s="211">
        <v>51</v>
      </c>
      <c r="FZ56">
        <v>111.66016238519596</v>
      </c>
      <c r="GA56">
        <v>135.1133687960814</v>
      </c>
      <c r="GB56">
        <v>43.5524630585059</v>
      </c>
      <c r="GC56">
        <v>34.231987249538314</v>
      </c>
      <c r="GD56">
        <v>38.836822820311689</v>
      </c>
      <c r="GE56">
        <v>67.534735315345728</v>
      </c>
      <c r="GF56">
        <v>49.602025541041449</v>
      </c>
      <c r="GG56">
        <v>37.806935267080036</v>
      </c>
      <c r="GH56">
        <v>63.415407426753418</v>
      </c>
      <c r="GI56">
        <v>74.647630933870445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>
        <f t="shared" si="27"/>
        <v>344.84933870623337</v>
      </c>
      <c r="E57" s="19">
        <f t="shared" si="29"/>
        <v>3.214899717254658E-2</v>
      </c>
      <c r="F57" s="8"/>
      <c r="G57" s="49">
        <f>$E$57*$E$26*G42</f>
        <v>2.1103437798053522E-2</v>
      </c>
      <c r="H57" s="49">
        <f t="shared" ref="H57:AK57" si="33">$E$57*$E$26*H42</f>
        <v>4.9892276869377197</v>
      </c>
      <c r="I57" s="49">
        <f t="shared" si="33"/>
        <v>18.506383307248608</v>
      </c>
      <c r="J57" s="49">
        <f t="shared" si="33"/>
        <v>0.69426950177310265</v>
      </c>
      <c r="K57" s="49">
        <f t="shared" si="33"/>
        <v>1.3084217394443189</v>
      </c>
      <c r="L57" s="49">
        <f t="shared" si="33"/>
        <v>80.925186572774464</v>
      </c>
      <c r="M57" s="49">
        <f t="shared" si="33"/>
        <v>132.58129414165828</v>
      </c>
      <c r="N57" s="49">
        <f t="shared" si="33"/>
        <v>63.454175068708892</v>
      </c>
      <c r="O57" s="49">
        <f t="shared" si="33"/>
        <v>26.116765559065925</v>
      </c>
      <c r="P57" s="49">
        <f t="shared" si="33"/>
        <v>16.252511690824019</v>
      </c>
      <c r="Q57" s="49">
        <f t="shared" si="33"/>
        <v>0</v>
      </c>
      <c r="R57" s="49">
        <f t="shared" si="33"/>
        <v>0</v>
      </c>
      <c r="S57" s="49">
        <f t="shared" si="33"/>
        <v>0</v>
      </c>
      <c r="T57" s="49">
        <f t="shared" si="33"/>
        <v>0</v>
      </c>
      <c r="U57" s="49">
        <f t="shared" si="33"/>
        <v>0</v>
      </c>
      <c r="V57" s="49">
        <f t="shared" si="33"/>
        <v>0</v>
      </c>
      <c r="W57" s="49">
        <f t="shared" si="33"/>
        <v>0</v>
      </c>
      <c r="X57" s="49">
        <f t="shared" si="33"/>
        <v>0</v>
      </c>
      <c r="Y57" s="49">
        <f t="shared" si="33"/>
        <v>0</v>
      </c>
      <c r="Z57" s="49">
        <f t="shared" si="33"/>
        <v>0</v>
      </c>
      <c r="AA57" s="49">
        <f t="shared" si="33"/>
        <v>0</v>
      </c>
      <c r="AB57" s="49">
        <f t="shared" si="33"/>
        <v>0</v>
      </c>
      <c r="AC57" s="49">
        <f t="shared" si="33"/>
        <v>0</v>
      </c>
      <c r="AD57" s="49">
        <f t="shared" si="33"/>
        <v>0</v>
      </c>
      <c r="AE57" s="49">
        <f t="shared" si="33"/>
        <v>0</v>
      </c>
      <c r="AF57" s="49">
        <f t="shared" si="33"/>
        <v>0</v>
      </c>
      <c r="AG57" s="49">
        <f t="shared" si="33"/>
        <v>0</v>
      </c>
      <c r="AH57" s="49">
        <f t="shared" si="33"/>
        <v>0</v>
      </c>
      <c r="AI57" s="49">
        <f t="shared" si="33"/>
        <v>0</v>
      </c>
      <c r="AJ57" s="49">
        <f t="shared" si="33"/>
        <v>0</v>
      </c>
      <c r="AK57" s="49">
        <f t="shared" si="33"/>
        <v>0</v>
      </c>
      <c r="AL57" s="42"/>
      <c r="AM57" s="43">
        <v>41</v>
      </c>
      <c r="AN57">
        <v>222.451732698131</v>
      </c>
      <c r="AO57">
        <v>121.90801605493384</v>
      </c>
      <c r="AP57">
        <v>398.57617425391197</v>
      </c>
      <c r="AQ57">
        <v>710.42940672393763</v>
      </c>
      <c r="AR57">
        <v>117.13274821891399</v>
      </c>
      <c r="AS57">
        <v>1163.0825148325985</v>
      </c>
      <c r="AT57">
        <v>64.519387063342322</v>
      </c>
      <c r="AU57">
        <v>-98.483793408330286</v>
      </c>
      <c r="AV57"/>
      <c r="AW57"/>
      <c r="FY57" s="211">
        <v>52</v>
      </c>
      <c r="FZ57">
        <v>134.96982245298472</v>
      </c>
      <c r="GA57">
        <v>147.10487967874218</v>
      </c>
      <c r="GB57">
        <v>44.801116617022771</v>
      </c>
      <c r="GC57">
        <v>41.339904433682719</v>
      </c>
      <c r="GD57">
        <v>35.099576740269235</v>
      </c>
      <c r="GE57">
        <v>62.061628281592107</v>
      </c>
      <c r="GF57">
        <v>98.989831470046582</v>
      </c>
      <c r="GG57">
        <v>67.194905795312081</v>
      </c>
      <c r="GH57">
        <v>42.746206174932112</v>
      </c>
      <c r="GI57">
        <v>83.338023237983805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>
        <f t="shared" si="27"/>
        <v>0</v>
      </c>
      <c r="E58" s="19">
        <f t="shared" si="29"/>
        <v>0</v>
      </c>
      <c r="F58" s="8"/>
      <c r="G58" s="49">
        <f>$E$58*$E$27*G43</f>
        <v>0</v>
      </c>
      <c r="H58" s="49">
        <f t="shared" ref="H58:AK58" si="34">$E$58*$E$27*H43</f>
        <v>0</v>
      </c>
      <c r="I58" s="49">
        <f t="shared" si="34"/>
        <v>0</v>
      </c>
      <c r="J58" s="49">
        <f t="shared" si="34"/>
        <v>0</v>
      </c>
      <c r="K58" s="49">
        <f t="shared" si="34"/>
        <v>0</v>
      </c>
      <c r="L58" s="49">
        <f t="shared" si="34"/>
        <v>0</v>
      </c>
      <c r="M58" s="49">
        <f t="shared" si="34"/>
        <v>0</v>
      </c>
      <c r="N58" s="49">
        <f t="shared" si="34"/>
        <v>0</v>
      </c>
      <c r="O58" s="49">
        <f t="shared" si="34"/>
        <v>0</v>
      </c>
      <c r="P58" s="49">
        <f t="shared" si="34"/>
        <v>0</v>
      </c>
      <c r="Q58" s="49">
        <f t="shared" si="34"/>
        <v>0</v>
      </c>
      <c r="R58" s="49">
        <f t="shared" si="34"/>
        <v>0</v>
      </c>
      <c r="S58" s="49">
        <f t="shared" si="34"/>
        <v>0</v>
      </c>
      <c r="T58" s="49">
        <f t="shared" si="34"/>
        <v>0</v>
      </c>
      <c r="U58" s="49">
        <f t="shared" si="34"/>
        <v>0</v>
      </c>
      <c r="V58" s="49">
        <f t="shared" si="34"/>
        <v>0</v>
      </c>
      <c r="W58" s="49">
        <f t="shared" si="34"/>
        <v>0</v>
      </c>
      <c r="X58" s="49">
        <f t="shared" si="34"/>
        <v>0</v>
      </c>
      <c r="Y58" s="49">
        <f t="shared" si="34"/>
        <v>0</v>
      </c>
      <c r="Z58" s="49">
        <f t="shared" si="34"/>
        <v>0</v>
      </c>
      <c r="AA58" s="49">
        <f t="shared" si="34"/>
        <v>0</v>
      </c>
      <c r="AB58" s="49">
        <f t="shared" si="34"/>
        <v>0</v>
      </c>
      <c r="AC58" s="49">
        <f t="shared" si="34"/>
        <v>0</v>
      </c>
      <c r="AD58" s="49">
        <f t="shared" si="34"/>
        <v>0</v>
      </c>
      <c r="AE58" s="49">
        <f t="shared" si="34"/>
        <v>0</v>
      </c>
      <c r="AF58" s="49">
        <f t="shared" si="34"/>
        <v>0</v>
      </c>
      <c r="AG58" s="49">
        <f t="shared" si="34"/>
        <v>0</v>
      </c>
      <c r="AH58" s="49">
        <f t="shared" si="34"/>
        <v>0</v>
      </c>
      <c r="AI58" s="49">
        <f t="shared" si="34"/>
        <v>0</v>
      </c>
      <c r="AJ58" s="49">
        <f t="shared" si="34"/>
        <v>0</v>
      </c>
      <c r="AK58" s="49">
        <f t="shared" si="34"/>
        <v>0</v>
      </c>
      <c r="AL58" s="42"/>
      <c r="AM58" s="43">
        <v>42</v>
      </c>
      <c r="AN58">
        <v>251.13390486972489</v>
      </c>
      <c r="AO58">
        <v>151.56600055677515</v>
      </c>
      <c r="AP58">
        <v>718.11803291364311</v>
      </c>
      <c r="AQ58">
        <v>846.97844652311619</v>
      </c>
      <c r="AR58">
        <v>143.14040817429733</v>
      </c>
      <c r="AS58">
        <v>1451.488095316002</v>
      </c>
      <c r="AT58">
        <v>80.772194375891672</v>
      </c>
      <c r="AU58">
        <v>287.02494886674606</v>
      </c>
      <c r="AV58"/>
      <c r="AW58"/>
      <c r="FY58" s="211">
        <v>53</v>
      </c>
      <c r="FZ58">
        <v>108.0598127507225</v>
      </c>
      <c r="GA58">
        <v>144.10319079779359</v>
      </c>
      <c r="GB58">
        <v>55.54507028333358</v>
      </c>
      <c r="GC58">
        <v>50.318157447083109</v>
      </c>
      <c r="GD58">
        <v>32.857298408634449</v>
      </c>
      <c r="GE58">
        <v>44.732576801573764</v>
      </c>
      <c r="GF58">
        <v>65.488214947760028</v>
      </c>
      <c r="GG58">
        <v>74.7034126582532</v>
      </c>
      <c r="GH58">
        <v>108.62180265276595</v>
      </c>
      <c r="GI58">
        <v>84.201587282016419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>
        <f t="shared" si="27"/>
        <v>95.363459705994742</v>
      </c>
      <c r="E59" s="19">
        <f t="shared" si="29"/>
        <v>4.0217170448389787E-2</v>
      </c>
      <c r="F59" s="8"/>
      <c r="G59" s="49">
        <f>$E$59*$E$28*G44</f>
        <v>0</v>
      </c>
      <c r="H59" s="49">
        <f t="shared" ref="H59:AK59" si="35">$E$59*$E$28*H44</f>
        <v>0.1570008163721282</v>
      </c>
      <c r="I59" s="49">
        <f t="shared" si="35"/>
        <v>2.1936714845933123</v>
      </c>
      <c r="J59" s="49">
        <f t="shared" si="35"/>
        <v>0</v>
      </c>
      <c r="K59" s="49">
        <f t="shared" si="35"/>
        <v>0</v>
      </c>
      <c r="L59" s="49">
        <f t="shared" si="35"/>
        <v>6.200813537774267</v>
      </c>
      <c r="M59" s="49">
        <f t="shared" si="35"/>
        <v>17.926789893445896</v>
      </c>
      <c r="N59" s="49">
        <f t="shared" si="35"/>
        <v>18.59183767534131</v>
      </c>
      <c r="O59" s="49">
        <f t="shared" si="35"/>
        <v>21.718841993139286</v>
      </c>
      <c r="P59" s="49">
        <f t="shared" si="35"/>
        <v>19.822991014053095</v>
      </c>
      <c r="Q59" s="49">
        <f t="shared" si="35"/>
        <v>8.7515132912754545</v>
      </c>
      <c r="R59" s="49">
        <f t="shared" si="35"/>
        <v>0</v>
      </c>
      <c r="S59" s="49">
        <f t="shared" si="35"/>
        <v>0</v>
      </c>
      <c r="T59" s="49">
        <f t="shared" si="35"/>
        <v>0</v>
      </c>
      <c r="U59" s="49">
        <f t="shared" si="35"/>
        <v>0</v>
      </c>
      <c r="V59" s="49">
        <f t="shared" si="35"/>
        <v>0</v>
      </c>
      <c r="W59" s="49">
        <f t="shared" si="35"/>
        <v>0</v>
      </c>
      <c r="X59" s="49">
        <f t="shared" si="35"/>
        <v>0</v>
      </c>
      <c r="Y59" s="49">
        <f t="shared" si="35"/>
        <v>0</v>
      </c>
      <c r="Z59" s="49">
        <f t="shared" si="35"/>
        <v>0</v>
      </c>
      <c r="AA59" s="49">
        <f t="shared" si="35"/>
        <v>0</v>
      </c>
      <c r="AB59" s="49">
        <f t="shared" si="35"/>
        <v>0</v>
      </c>
      <c r="AC59" s="49">
        <f t="shared" si="35"/>
        <v>0</v>
      </c>
      <c r="AD59" s="49">
        <f t="shared" si="35"/>
        <v>0</v>
      </c>
      <c r="AE59" s="49">
        <f t="shared" si="35"/>
        <v>0</v>
      </c>
      <c r="AF59" s="49">
        <f t="shared" si="35"/>
        <v>0</v>
      </c>
      <c r="AG59" s="49">
        <f t="shared" si="35"/>
        <v>0</v>
      </c>
      <c r="AH59" s="49">
        <f t="shared" si="35"/>
        <v>0</v>
      </c>
      <c r="AI59" s="49">
        <f t="shared" si="35"/>
        <v>0</v>
      </c>
      <c r="AJ59" s="49">
        <f t="shared" si="35"/>
        <v>0</v>
      </c>
      <c r="AK59" s="49">
        <f t="shared" si="35"/>
        <v>0</v>
      </c>
      <c r="AL59" s="42"/>
      <c r="AM59" s="43">
        <v>43</v>
      </c>
      <c r="AN59">
        <v>318.57073766879432</v>
      </c>
      <c r="AO59">
        <v>154.67234177578922</v>
      </c>
      <c r="AP59">
        <v>564.88377576330106</v>
      </c>
      <c r="AQ59">
        <v>834.17332849418756</v>
      </c>
      <c r="AR59">
        <v>146.59018494585786</v>
      </c>
      <c r="AS59">
        <v>1466.2134651031529</v>
      </c>
      <c r="AT59">
        <v>70.596441118432566</v>
      </c>
      <c r="AU59">
        <v>-14.197770200602612</v>
      </c>
      <c r="AV59"/>
      <c r="AW59"/>
      <c r="FY59" s="211">
        <v>54</v>
      </c>
      <c r="FZ59">
        <v>86.054335848246737</v>
      </c>
      <c r="GA59">
        <v>133.9391359924004</v>
      </c>
      <c r="GB59">
        <v>57.554162888545605</v>
      </c>
      <c r="GC59">
        <v>44.092129942381355</v>
      </c>
      <c r="GD59">
        <v>26.945442996068159</v>
      </c>
      <c r="GE59">
        <v>52.679716187428085</v>
      </c>
      <c r="GF59">
        <v>106.94186633786705</v>
      </c>
      <c r="GG59">
        <v>84.433584800237</v>
      </c>
      <c r="GH59">
        <v>82.082019965236725</v>
      </c>
      <c r="GI59">
        <v>83.515148696221189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>
        <f t="shared" si="27"/>
        <v>0</v>
      </c>
      <c r="E60" s="19">
        <f t="shared" si="29"/>
        <v>0</v>
      </c>
      <c r="F60" s="8"/>
      <c r="G60" s="49">
        <f>$E$60*$E$29*G45</f>
        <v>0</v>
      </c>
      <c r="H60" s="49">
        <f t="shared" ref="H60:AK60" si="36">$E$60*$E$29*H45</f>
        <v>0</v>
      </c>
      <c r="I60" s="49">
        <f t="shared" si="36"/>
        <v>0</v>
      </c>
      <c r="J60" s="49">
        <f t="shared" si="36"/>
        <v>0</v>
      </c>
      <c r="K60" s="49">
        <f t="shared" si="36"/>
        <v>0</v>
      </c>
      <c r="L60" s="49">
        <f t="shared" si="36"/>
        <v>0</v>
      </c>
      <c r="M60" s="49">
        <f t="shared" si="36"/>
        <v>0</v>
      </c>
      <c r="N60" s="49">
        <f t="shared" si="36"/>
        <v>0</v>
      </c>
      <c r="O60" s="49">
        <f t="shared" si="36"/>
        <v>0</v>
      </c>
      <c r="P60" s="49">
        <f t="shared" si="36"/>
        <v>0</v>
      </c>
      <c r="Q60" s="49">
        <f t="shared" si="36"/>
        <v>0</v>
      </c>
      <c r="R60" s="49">
        <f t="shared" si="36"/>
        <v>0</v>
      </c>
      <c r="S60" s="49">
        <f t="shared" si="36"/>
        <v>0</v>
      </c>
      <c r="T60" s="49">
        <f t="shared" si="36"/>
        <v>0</v>
      </c>
      <c r="U60" s="49">
        <f t="shared" si="36"/>
        <v>0</v>
      </c>
      <c r="V60" s="49">
        <f t="shared" si="36"/>
        <v>0</v>
      </c>
      <c r="W60" s="49">
        <f t="shared" si="36"/>
        <v>0</v>
      </c>
      <c r="X60" s="49">
        <f t="shared" si="36"/>
        <v>0</v>
      </c>
      <c r="Y60" s="49">
        <f t="shared" si="36"/>
        <v>0</v>
      </c>
      <c r="Z60" s="49">
        <f t="shared" si="36"/>
        <v>0</v>
      </c>
      <c r="AA60" s="49">
        <f t="shared" si="36"/>
        <v>0</v>
      </c>
      <c r="AB60" s="49">
        <f t="shared" si="36"/>
        <v>0</v>
      </c>
      <c r="AC60" s="49">
        <f t="shared" si="36"/>
        <v>0</v>
      </c>
      <c r="AD60" s="49">
        <f t="shared" si="36"/>
        <v>0</v>
      </c>
      <c r="AE60" s="49">
        <f t="shared" si="36"/>
        <v>0</v>
      </c>
      <c r="AF60" s="49">
        <f t="shared" si="36"/>
        <v>0</v>
      </c>
      <c r="AG60" s="49">
        <f t="shared" si="36"/>
        <v>0</v>
      </c>
      <c r="AH60" s="49">
        <f t="shared" si="36"/>
        <v>0</v>
      </c>
      <c r="AI60" s="49">
        <f t="shared" si="36"/>
        <v>0</v>
      </c>
      <c r="AJ60" s="49">
        <f t="shared" si="36"/>
        <v>0</v>
      </c>
      <c r="AK60" s="49">
        <f t="shared" si="36"/>
        <v>0</v>
      </c>
      <c r="AL60" s="42"/>
      <c r="AM60" s="43">
        <v>44</v>
      </c>
      <c r="AN60">
        <v>247.71227240741413</v>
      </c>
      <c r="AO60">
        <v>133.10577458710318</v>
      </c>
      <c r="AP60">
        <v>518.78797727707104</v>
      </c>
      <c r="AQ60">
        <v>716.86411899860514</v>
      </c>
      <c r="AR60">
        <v>127.38454211150452</v>
      </c>
      <c r="AS60">
        <v>1216.6466623445028</v>
      </c>
      <c r="AT60">
        <v>65.294416357234454</v>
      </c>
      <c r="AU60">
        <v>128.45349529297835</v>
      </c>
      <c r="AV60"/>
      <c r="AW60"/>
      <c r="FY60" s="211">
        <v>55</v>
      </c>
      <c r="FZ60">
        <v>132.54393136855475</v>
      </c>
      <c r="GA60">
        <v>205.10470985675428</v>
      </c>
      <c r="GB60">
        <v>63.070961702400652</v>
      </c>
      <c r="GC60">
        <v>29.928576661004367</v>
      </c>
      <c r="GD60">
        <v>46.741168353257372</v>
      </c>
      <c r="GE60">
        <v>109.64121381454324</v>
      </c>
      <c r="GF60">
        <v>106.87941358000404</v>
      </c>
      <c r="GG60">
        <v>69.556797965979399</v>
      </c>
      <c r="GH60">
        <v>88.750403502827922</v>
      </c>
      <c r="GI60">
        <v>106.08226784654482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>
        <f t="shared" si="27"/>
        <v>0</v>
      </c>
      <c r="E61" s="19">
        <f t="shared" si="29"/>
        <v>0</v>
      </c>
      <c r="F61" s="8"/>
      <c r="G61" s="49">
        <f>$E$61*$E$30*G46</f>
        <v>0</v>
      </c>
      <c r="H61" s="49">
        <f t="shared" ref="H61:AK61" si="37">$E$61*$E$30*H46</f>
        <v>0</v>
      </c>
      <c r="I61" s="49">
        <f t="shared" si="37"/>
        <v>0</v>
      </c>
      <c r="J61" s="49">
        <f t="shared" si="37"/>
        <v>0</v>
      </c>
      <c r="K61" s="49">
        <f t="shared" si="37"/>
        <v>0</v>
      </c>
      <c r="L61" s="49">
        <f t="shared" si="37"/>
        <v>0</v>
      </c>
      <c r="M61" s="49">
        <f t="shared" si="37"/>
        <v>0</v>
      </c>
      <c r="N61" s="49">
        <f t="shared" si="37"/>
        <v>0</v>
      </c>
      <c r="O61" s="49">
        <f t="shared" si="37"/>
        <v>0</v>
      </c>
      <c r="P61" s="49">
        <f t="shared" si="37"/>
        <v>0</v>
      </c>
      <c r="Q61" s="49">
        <f t="shared" si="37"/>
        <v>0</v>
      </c>
      <c r="R61" s="49">
        <f t="shared" si="37"/>
        <v>0</v>
      </c>
      <c r="S61" s="49">
        <f t="shared" si="37"/>
        <v>0</v>
      </c>
      <c r="T61" s="49">
        <f t="shared" si="37"/>
        <v>0</v>
      </c>
      <c r="U61" s="49">
        <f t="shared" si="37"/>
        <v>0</v>
      </c>
      <c r="V61" s="49">
        <f t="shared" si="37"/>
        <v>0</v>
      </c>
      <c r="W61" s="49">
        <f t="shared" si="37"/>
        <v>0</v>
      </c>
      <c r="X61" s="49">
        <f t="shared" si="37"/>
        <v>0</v>
      </c>
      <c r="Y61" s="49">
        <f t="shared" si="37"/>
        <v>0</v>
      </c>
      <c r="Z61" s="49">
        <f t="shared" si="37"/>
        <v>0</v>
      </c>
      <c r="AA61" s="49">
        <f t="shared" si="37"/>
        <v>0</v>
      </c>
      <c r="AB61" s="49">
        <f t="shared" si="37"/>
        <v>0</v>
      </c>
      <c r="AC61" s="49">
        <f t="shared" si="37"/>
        <v>0</v>
      </c>
      <c r="AD61" s="49">
        <f t="shared" si="37"/>
        <v>0</v>
      </c>
      <c r="AE61" s="49">
        <f t="shared" si="37"/>
        <v>0</v>
      </c>
      <c r="AF61" s="49">
        <f t="shared" si="37"/>
        <v>0</v>
      </c>
      <c r="AG61" s="49">
        <f t="shared" si="37"/>
        <v>0</v>
      </c>
      <c r="AH61" s="49">
        <f t="shared" si="37"/>
        <v>0</v>
      </c>
      <c r="AI61" s="49">
        <f t="shared" si="37"/>
        <v>0</v>
      </c>
      <c r="AJ61" s="49">
        <f t="shared" si="37"/>
        <v>0</v>
      </c>
      <c r="AK61" s="49">
        <f t="shared" si="37"/>
        <v>0</v>
      </c>
      <c r="AL61" s="42"/>
      <c r="AM61" s="43">
        <v>45</v>
      </c>
      <c r="AN61">
        <v>302.8469432512394</v>
      </c>
      <c r="AO61">
        <v>166.5751902059194</v>
      </c>
      <c r="AP61">
        <v>791.09110385482006</v>
      </c>
      <c r="AQ61">
        <v>898.37153774094679</v>
      </c>
      <c r="AR61">
        <v>154.28489809523501</v>
      </c>
      <c r="AS61">
        <v>1627.3430829543072</v>
      </c>
      <c r="AT61">
        <v>77.263556400756315</v>
      </c>
      <c r="AU61">
        <v>393.63094337232877</v>
      </c>
      <c r="AV61"/>
      <c r="AW61"/>
      <c r="FY61" s="211">
        <v>56</v>
      </c>
      <c r="FZ61">
        <v>109.47374599293477</v>
      </c>
      <c r="GA61">
        <v>133.09276463789669</v>
      </c>
      <c r="GB61">
        <v>59.099663307982496</v>
      </c>
      <c r="GC61">
        <v>44.345778902550592</v>
      </c>
      <c r="GD61">
        <v>41.650509316304934</v>
      </c>
      <c r="GE61">
        <v>70.838104736146065</v>
      </c>
      <c r="GF61">
        <v>76.163012506056447</v>
      </c>
      <c r="GG61">
        <v>83.675721055582855</v>
      </c>
      <c r="GH61">
        <v>95.93369410229036</v>
      </c>
      <c r="GI61">
        <v>91.628013015466621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251.40347666637882</v>
      </c>
      <c r="AO62">
        <v>102.4398479978706</v>
      </c>
      <c r="AP62">
        <v>332.08371779427165</v>
      </c>
      <c r="AQ62">
        <v>590.26250286554773</v>
      </c>
      <c r="AR62">
        <v>98.291176847805175</v>
      </c>
      <c r="AS62">
        <v>1243.0285507524814</v>
      </c>
      <c r="AT62">
        <v>45.066248845341569</v>
      </c>
      <c r="AU62">
        <v>11.674716932708982</v>
      </c>
      <c r="AV62"/>
      <c r="AW62"/>
      <c r="FY62" s="211">
        <v>57</v>
      </c>
      <c r="FZ62">
        <v>89.106335202140144</v>
      </c>
      <c r="GA62">
        <v>120.81803811710807</v>
      </c>
      <c r="GB62">
        <v>33.891412280652162</v>
      </c>
      <c r="GC62">
        <v>36.869955600602118</v>
      </c>
      <c r="GD62">
        <v>27.168958230175466</v>
      </c>
      <c r="GE62">
        <v>15.299627963489856</v>
      </c>
      <c r="GF62">
        <v>30.02888681177388</v>
      </c>
      <c r="GG62">
        <v>39.818677374917911</v>
      </c>
      <c r="GH62">
        <v>45.323608217666141</v>
      </c>
      <c r="GI62">
        <v>53.595776309265851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>
        <f>SUM(D52:D62)</f>
        <v>680.5601857566802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240.58438210023184</v>
      </c>
      <c r="AO63">
        <v>119.93955545202689</v>
      </c>
      <c r="AP63">
        <v>519.13432511199017</v>
      </c>
      <c r="AQ63">
        <v>648.30194953252783</v>
      </c>
      <c r="AR63">
        <v>113.67194761780152</v>
      </c>
      <c r="AS63">
        <v>1139.2810676719555</v>
      </c>
      <c r="AT63">
        <v>59.571682199599017</v>
      </c>
      <c r="AU63">
        <v>198.90902848251574</v>
      </c>
      <c r="AV63"/>
      <c r="AW63"/>
      <c r="FY63" s="211">
        <v>58</v>
      </c>
      <c r="FZ63">
        <v>91.652198634961593</v>
      </c>
      <c r="GA63">
        <v>152.53945292030906</v>
      </c>
      <c r="GB63">
        <v>54.665481620160591</v>
      </c>
      <c r="GC63">
        <v>41.961639283540379</v>
      </c>
      <c r="GD63">
        <v>34.379737803478307</v>
      </c>
      <c r="GE63">
        <v>109.00768661638827</v>
      </c>
      <c r="GF63">
        <v>170.25351211294588</v>
      </c>
      <c r="GG63">
        <v>89.992036440587682</v>
      </c>
      <c r="GH63">
        <v>106.54290582274444</v>
      </c>
      <c r="GI63">
        <v>107.79739506680366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260.34557406452166</v>
      </c>
      <c r="AO64">
        <v>173.14720722416357</v>
      </c>
      <c r="AP64">
        <v>863.59100110753695</v>
      </c>
      <c r="AQ64">
        <v>898.27917289850666</v>
      </c>
      <c r="AR64">
        <v>161.75202197087381</v>
      </c>
      <c r="AS64">
        <v>1575.2315281271717</v>
      </c>
      <c r="AT64">
        <v>87.444585770960558</v>
      </c>
      <c r="AU64">
        <v>326.76267562485555</v>
      </c>
      <c r="AV64"/>
      <c r="AW64"/>
      <c r="FY64" s="211">
        <v>59</v>
      </c>
      <c r="FZ64">
        <v>126.90319166144431</v>
      </c>
      <c r="GA64">
        <v>180.14325709339306</v>
      </c>
      <c r="GB64">
        <v>64.595586619836993</v>
      </c>
      <c r="GC64">
        <v>44.458272624956713</v>
      </c>
      <c r="GD64">
        <v>43.50261252869651</v>
      </c>
      <c r="GE64">
        <v>108.74477460756658</v>
      </c>
      <c r="GF64">
        <v>148.6678585819111</v>
      </c>
      <c r="GG64">
        <v>44.659573990882997</v>
      </c>
      <c r="GH64">
        <v>34.527361310576872</v>
      </c>
      <c r="GI64">
        <v>104.52253533411215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260.15680345652248</v>
      </c>
      <c r="AO65">
        <v>148.06596217838418</v>
      </c>
      <c r="AP65">
        <v>725.75306879637048</v>
      </c>
      <c r="AQ65">
        <v>828.13408728139098</v>
      </c>
      <c r="AR65">
        <v>138.7171726319888</v>
      </c>
      <c r="AS65">
        <v>1292.0895635459208</v>
      </c>
      <c r="AT65">
        <v>73.25909428794823</v>
      </c>
      <c r="AU65">
        <v>96.520343840185902</v>
      </c>
      <c r="AV65"/>
      <c r="AW65"/>
      <c r="FY65" s="211">
        <v>60</v>
      </c>
      <c r="FZ65">
        <v>117.13227412553104</v>
      </c>
      <c r="GA65">
        <v>152.82560933362578</v>
      </c>
      <c r="GB65">
        <v>60.669709515838875</v>
      </c>
      <c r="GC65">
        <v>51.744640331405961</v>
      </c>
      <c r="GD65">
        <v>43.197741296688996</v>
      </c>
      <c r="GE65">
        <v>56.514463590195959</v>
      </c>
      <c r="GF65">
        <v>89.087755396026878</v>
      </c>
      <c r="GG65">
        <v>82.124820677989931</v>
      </c>
      <c r="GH65">
        <v>77.254617768877665</v>
      </c>
      <c r="GI65">
        <v>94.099967725327474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273.83854472351737</v>
      </c>
      <c r="AO66">
        <v>153.14728471671285</v>
      </c>
      <c r="AP66">
        <v>612.04935106546054</v>
      </c>
      <c r="AQ66">
        <v>847.9292543755455</v>
      </c>
      <c r="AR66">
        <v>146.89623620383375</v>
      </c>
      <c r="AS66">
        <v>1322.5550933214395</v>
      </c>
      <c r="AT66">
        <v>77.376008907918362</v>
      </c>
      <c r="AU66">
        <v>31.660834273290178</v>
      </c>
      <c r="AV66"/>
      <c r="AW66"/>
      <c r="FY66" s="211">
        <v>61</v>
      </c>
      <c r="FZ66">
        <v>104.94084365494378</v>
      </c>
      <c r="GA66">
        <v>135.68847462886995</v>
      </c>
      <c r="GB66">
        <v>53.046973365461284</v>
      </c>
      <c r="GC66">
        <v>41.209789449361544</v>
      </c>
      <c r="GD66">
        <v>49.408050371488642</v>
      </c>
      <c r="GE66">
        <v>102.55027495735801</v>
      </c>
      <c r="GF66">
        <v>109.55550150704532</v>
      </c>
      <c r="GG66">
        <v>82.111800067264227</v>
      </c>
      <c r="GH66">
        <v>81.78370754380272</v>
      </c>
      <c r="GI66">
        <v>100.03161704233619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251.50049004266529</v>
      </c>
      <c r="AO67">
        <v>117.61452477200426</v>
      </c>
      <c r="AP67">
        <v>556.91514311794856</v>
      </c>
      <c r="AQ67">
        <v>656.40153879372428</v>
      </c>
      <c r="AR67">
        <v>112.19345528498593</v>
      </c>
      <c r="AS67">
        <v>1143.3161935352982</v>
      </c>
      <c r="AT67">
        <v>60.671318719703528</v>
      </c>
      <c r="AU67">
        <v>173.75227645798168</v>
      </c>
      <c r="AV67"/>
      <c r="AW67"/>
      <c r="FY67" s="211">
        <v>62</v>
      </c>
      <c r="FZ67">
        <v>102.00642046240726</v>
      </c>
      <c r="GA67">
        <v>131.436347504568</v>
      </c>
      <c r="GB67">
        <v>52.087926701163482</v>
      </c>
      <c r="GC67">
        <v>43.270789749257155</v>
      </c>
      <c r="GD67">
        <v>28.952268859948845</v>
      </c>
      <c r="GE67">
        <v>50.377159013754842</v>
      </c>
      <c r="GF67">
        <v>86.61818473645755</v>
      </c>
      <c r="GG67">
        <v>47.208056715647444</v>
      </c>
      <c r="GH67">
        <v>52.403963075962437</v>
      </c>
      <c r="GI67">
        <v>75.668592353913894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218.98203393294648</v>
      </c>
      <c r="AO68">
        <v>132.16980091665511</v>
      </c>
      <c r="AP68">
        <v>579.92196644392584</v>
      </c>
      <c r="AQ68">
        <v>757.6458948825682</v>
      </c>
      <c r="AR68">
        <v>124.938909579751</v>
      </c>
      <c r="AS68">
        <v>1292.0113882691162</v>
      </c>
      <c r="AT68">
        <v>67.05130145312576</v>
      </c>
      <c r="AU68">
        <v>193.23877580202983</v>
      </c>
      <c r="AV68"/>
      <c r="AW68"/>
      <c r="FY68" s="211">
        <v>63</v>
      </c>
      <c r="FZ68">
        <v>130.63484624540141</v>
      </c>
      <c r="GA68">
        <v>160.11736502076866</v>
      </c>
      <c r="GB68">
        <v>48.508334706643623</v>
      </c>
      <c r="GC68">
        <v>39.434031459047048</v>
      </c>
      <c r="GD68">
        <v>31.400116895407724</v>
      </c>
      <c r="GE68">
        <v>39.575630129652836</v>
      </c>
      <c r="GF68">
        <v>57.379573366100203</v>
      </c>
      <c r="GG68">
        <v>92.867487352588967</v>
      </c>
      <c r="GH68">
        <v>109.67540816100008</v>
      </c>
      <c r="GI68">
        <v>82.676910419305031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195.44415222945651</v>
      </c>
      <c r="AO69">
        <v>136.04778590726909</v>
      </c>
      <c r="AP69">
        <v>681.3977569887561</v>
      </c>
      <c r="AQ69">
        <v>768.63112402993647</v>
      </c>
      <c r="AR69">
        <v>128.72752168599641</v>
      </c>
      <c r="AS69">
        <v>1278.3945956102953</v>
      </c>
      <c r="AT69">
        <v>72.7830441029691</v>
      </c>
      <c r="AU69">
        <v>77.991629391898556</v>
      </c>
      <c r="AV69"/>
      <c r="AW69"/>
      <c r="FY69" s="211">
        <v>64</v>
      </c>
      <c r="FZ69">
        <v>119.91592512225773</v>
      </c>
      <c r="GA69">
        <v>135.88783709429288</v>
      </c>
      <c r="GB69">
        <v>60.974107607294975</v>
      </c>
      <c r="GC69">
        <v>36.061916327122184</v>
      </c>
      <c r="GD69">
        <v>31.065639883376022</v>
      </c>
      <c r="GE69">
        <v>51.397845329626122</v>
      </c>
      <c r="GF69">
        <v>54.50951877038279</v>
      </c>
      <c r="GG69">
        <v>87.103373520905791</v>
      </c>
      <c r="GH69">
        <v>99.774533107411287</v>
      </c>
      <c r="GI69">
        <v>82.06955516193031</v>
      </c>
      <c r="GJ69"/>
      <c r="GK69"/>
      <c r="GL69"/>
      <c r="GM69"/>
    </row>
    <row r="70" spans="1:195" s="7" customFormat="1">
      <c r="A70" s="4"/>
      <c r="B70" s="66"/>
      <c r="C70" s="71">
        <f t="shared" ref="C70:C79" si="38">C4</f>
        <v>39646</v>
      </c>
      <c r="D70" s="72">
        <f t="shared" ref="D70:D75" si="39">SUM(G70:AK70)</f>
        <v>158.33333333333334</v>
      </c>
      <c r="E70" s="64"/>
      <c r="F70" s="64"/>
      <c r="G70" s="18">
        <f>AVERAGE(E228:E237)</f>
        <v>0</v>
      </c>
      <c r="H70" s="18">
        <f t="shared" ref="H70:AK70" si="40">AVERAGE(F228:F237)</f>
        <v>2.083333333333333</v>
      </c>
      <c r="I70" s="18">
        <f t="shared" si="40"/>
        <v>35.416666666666671</v>
      </c>
      <c r="J70" s="18">
        <f t="shared" si="40"/>
        <v>48.958333333333329</v>
      </c>
      <c r="K70" s="18">
        <f t="shared" si="40"/>
        <v>37.499999999999993</v>
      </c>
      <c r="L70" s="18">
        <f t="shared" si="40"/>
        <v>4.1666666666666661</v>
      </c>
      <c r="M70" s="18">
        <f t="shared" si="40"/>
        <v>19.791666666666664</v>
      </c>
      <c r="N70" s="18">
        <f t="shared" si="40"/>
        <v>5.208333333333333</v>
      </c>
      <c r="O70" s="18">
        <f t="shared" si="40"/>
        <v>5.208333333333333</v>
      </c>
      <c r="P70" s="18">
        <f t="shared" si="40"/>
        <v>0</v>
      </c>
      <c r="Q70" s="18">
        <f t="shared" si="40"/>
        <v>0</v>
      </c>
      <c r="R70" s="18">
        <f t="shared" si="40"/>
        <v>0</v>
      </c>
      <c r="S70" s="18">
        <f t="shared" si="40"/>
        <v>0</v>
      </c>
      <c r="T70" s="18">
        <f t="shared" si="40"/>
        <v>0</v>
      </c>
      <c r="U70" s="18">
        <f t="shared" si="40"/>
        <v>0</v>
      </c>
      <c r="V70" s="18">
        <f t="shared" si="40"/>
        <v>0</v>
      </c>
      <c r="W70" s="18">
        <f t="shared" si="40"/>
        <v>0</v>
      </c>
      <c r="X70" s="18">
        <f t="shared" si="40"/>
        <v>0</v>
      </c>
      <c r="Y70" s="18">
        <f t="shared" si="40"/>
        <v>0</v>
      </c>
      <c r="Z70" s="18">
        <f t="shared" si="40"/>
        <v>0</v>
      </c>
      <c r="AA70" s="18">
        <f t="shared" si="40"/>
        <v>0</v>
      </c>
      <c r="AB70" s="18">
        <f t="shared" si="40"/>
        <v>0</v>
      </c>
      <c r="AC70" s="18">
        <f t="shared" si="40"/>
        <v>0</v>
      </c>
      <c r="AD70" s="18">
        <f t="shared" si="40"/>
        <v>0</v>
      </c>
      <c r="AE70" s="18">
        <f t="shared" si="40"/>
        <v>0</v>
      </c>
      <c r="AF70" s="18">
        <f t="shared" si="40"/>
        <v>0</v>
      </c>
      <c r="AG70" s="18">
        <f t="shared" si="40"/>
        <v>0</v>
      </c>
      <c r="AH70" s="18">
        <f t="shared" si="40"/>
        <v>0</v>
      </c>
      <c r="AI70" s="18">
        <f t="shared" si="40"/>
        <v>0</v>
      </c>
      <c r="AJ70" s="18">
        <f t="shared" si="40"/>
        <v>0</v>
      </c>
      <c r="AK70" s="18">
        <f t="shared" si="40"/>
        <v>0</v>
      </c>
      <c r="AL70" s="2"/>
      <c r="AM70" s="43">
        <v>54</v>
      </c>
      <c r="AN70">
        <v>216.62351247988559</v>
      </c>
      <c r="AO70">
        <v>138.18826287061523</v>
      </c>
      <c r="AP70">
        <v>569.25816734917021</v>
      </c>
      <c r="AQ70">
        <v>758.2375436546323</v>
      </c>
      <c r="AR70">
        <v>128.41669547357603</v>
      </c>
      <c r="AS70">
        <v>1236.856441327044</v>
      </c>
      <c r="AT70">
        <v>67.123279958531597</v>
      </c>
      <c r="AU70">
        <v>155.96444774821276</v>
      </c>
      <c r="AV70"/>
      <c r="AW70"/>
      <c r="FY70" s="211">
        <v>65</v>
      </c>
      <c r="FZ70">
        <v>107.72274232468595</v>
      </c>
      <c r="GA70">
        <v>156.63667641449564</v>
      </c>
      <c r="GB70">
        <v>58.346464992342476</v>
      </c>
      <c r="GC70">
        <v>50.47968567618171</v>
      </c>
      <c r="GD70">
        <v>42.111544716569334</v>
      </c>
      <c r="GE70">
        <v>72.934483652333185</v>
      </c>
      <c r="GF70">
        <v>115.21045162867837</v>
      </c>
      <c r="GG70">
        <v>68.426105022732173</v>
      </c>
      <c r="GH70">
        <v>39.390714806425507</v>
      </c>
      <c r="GI70">
        <v>90.256805719460218</v>
      </c>
      <c r="GJ70"/>
      <c r="GK70"/>
      <c r="GL70"/>
      <c r="GM70"/>
    </row>
    <row r="71" spans="1:195" s="7" customFormat="1">
      <c r="A71" s="4"/>
      <c r="B71" s="66"/>
      <c r="C71" s="71">
        <f t="shared" si="38"/>
        <v>39673</v>
      </c>
      <c r="D71" s="72">
        <f t="shared" si="39"/>
        <v>158.94345238095238</v>
      </c>
      <c r="E71" s="64"/>
      <c r="F71" s="64"/>
      <c r="G71" s="18">
        <f>AVERAGE(E238:E247)</f>
        <v>0</v>
      </c>
      <c r="H71" s="18">
        <f t="shared" ref="H71:AK71" si="41">AVERAGE(F238:F247)</f>
        <v>1.0416666666666665</v>
      </c>
      <c r="I71" s="18">
        <f t="shared" si="41"/>
        <v>12.604166666666668</v>
      </c>
      <c r="J71" s="18">
        <f t="shared" si="41"/>
        <v>10.625</v>
      </c>
      <c r="K71" s="18">
        <f t="shared" si="41"/>
        <v>25.297619047619051</v>
      </c>
      <c r="L71" s="18">
        <f t="shared" si="41"/>
        <v>31.666666666666668</v>
      </c>
      <c r="M71" s="18">
        <f t="shared" si="41"/>
        <v>25.833333333333336</v>
      </c>
      <c r="N71" s="18">
        <f t="shared" si="41"/>
        <v>31.041666666666664</v>
      </c>
      <c r="O71" s="18">
        <f t="shared" si="41"/>
        <v>11.458333333333334</v>
      </c>
      <c r="P71" s="18">
        <f t="shared" si="41"/>
        <v>9.375</v>
      </c>
      <c r="Q71" s="18">
        <f t="shared" si="41"/>
        <v>0</v>
      </c>
      <c r="R71" s="18">
        <f t="shared" si="41"/>
        <v>0</v>
      </c>
      <c r="S71" s="18">
        <f t="shared" si="41"/>
        <v>0</v>
      </c>
      <c r="T71" s="18">
        <f t="shared" si="41"/>
        <v>0</v>
      </c>
      <c r="U71" s="18">
        <f t="shared" si="41"/>
        <v>0</v>
      </c>
      <c r="V71" s="18">
        <f t="shared" si="41"/>
        <v>0</v>
      </c>
      <c r="W71" s="18">
        <f t="shared" si="41"/>
        <v>0</v>
      </c>
      <c r="X71" s="18">
        <f t="shared" si="41"/>
        <v>0</v>
      </c>
      <c r="Y71" s="18">
        <f t="shared" si="41"/>
        <v>0</v>
      </c>
      <c r="Z71" s="18">
        <f t="shared" si="41"/>
        <v>0</v>
      </c>
      <c r="AA71" s="18">
        <f t="shared" si="41"/>
        <v>0</v>
      </c>
      <c r="AB71" s="18">
        <f t="shared" si="41"/>
        <v>0</v>
      </c>
      <c r="AC71" s="18">
        <f t="shared" si="41"/>
        <v>0</v>
      </c>
      <c r="AD71" s="18">
        <f t="shared" si="41"/>
        <v>0</v>
      </c>
      <c r="AE71" s="18">
        <f t="shared" si="41"/>
        <v>0</v>
      </c>
      <c r="AF71" s="18">
        <f t="shared" si="41"/>
        <v>0</v>
      </c>
      <c r="AG71" s="18">
        <f t="shared" si="41"/>
        <v>0</v>
      </c>
      <c r="AH71" s="18">
        <f t="shared" si="41"/>
        <v>0</v>
      </c>
      <c r="AI71" s="18">
        <f t="shared" si="41"/>
        <v>0</v>
      </c>
      <c r="AJ71" s="18">
        <f t="shared" si="41"/>
        <v>0</v>
      </c>
      <c r="AK71" s="18">
        <f t="shared" si="41"/>
        <v>0</v>
      </c>
      <c r="AL71" s="2"/>
      <c r="AM71" s="43">
        <v>55</v>
      </c>
      <c r="AN71">
        <v>279.27538773611769</v>
      </c>
      <c r="AO71">
        <v>170.34577876914591</v>
      </c>
      <c r="AP71">
        <v>558.41817896234306</v>
      </c>
      <c r="AQ71">
        <v>958.29944465187089</v>
      </c>
      <c r="AR71">
        <v>161.51824759933484</v>
      </c>
      <c r="AS71">
        <v>1511.8101042084454</v>
      </c>
      <c r="AT71">
        <v>77.949967171221772</v>
      </c>
      <c r="AU71">
        <v>116.55645636047524</v>
      </c>
      <c r="AV71"/>
      <c r="AW71"/>
      <c r="FY71" s="211">
        <v>66</v>
      </c>
      <c r="FZ71">
        <v>136.90844344377166</v>
      </c>
      <c r="GA71">
        <v>174.53419830410928</v>
      </c>
      <c r="GB71">
        <v>55.642722446644711</v>
      </c>
      <c r="GC71">
        <v>44.444672489894394</v>
      </c>
      <c r="GD71">
        <v>39.974223576051116</v>
      </c>
      <c r="GE71">
        <v>42.75641835089673</v>
      </c>
      <c r="GF71">
        <v>34.13246839504604</v>
      </c>
      <c r="GG71">
        <v>77.099509097371495</v>
      </c>
      <c r="GH71">
        <v>101.98362949531389</v>
      </c>
      <c r="GI71">
        <v>84.874715817002695</v>
      </c>
      <c r="GJ71"/>
      <c r="GK71"/>
      <c r="GL71"/>
      <c r="GM71"/>
    </row>
    <row r="72" spans="1:195" s="7" customFormat="1">
      <c r="A72" s="4"/>
      <c r="B72" s="66"/>
      <c r="C72" s="71">
        <f t="shared" si="38"/>
        <v>39714</v>
      </c>
      <c r="D72" s="72">
        <f t="shared" si="39"/>
        <v>262.64880952380952</v>
      </c>
      <c r="E72" s="64"/>
      <c r="F72" s="64"/>
      <c r="G72" s="18">
        <f>AVERAGE(E248:E257)</f>
        <v>9.765625</v>
      </c>
      <c r="H72" s="18">
        <f t="shared" ref="H72:AK72" si="42">AVERAGE(F248:F257)</f>
        <v>71.52157738095238</v>
      </c>
      <c r="I72" s="18">
        <f t="shared" si="42"/>
        <v>83.705357142857139</v>
      </c>
      <c r="J72" s="18">
        <f t="shared" si="42"/>
        <v>51.432291666666664</v>
      </c>
      <c r="K72" s="18">
        <f t="shared" si="42"/>
        <v>27.473958333333336</v>
      </c>
      <c r="L72" s="18">
        <f t="shared" si="42"/>
        <v>0</v>
      </c>
      <c r="M72" s="18">
        <f t="shared" si="42"/>
        <v>0</v>
      </c>
      <c r="N72" s="18">
        <f t="shared" si="42"/>
        <v>8.3333333333333321</v>
      </c>
      <c r="O72" s="18">
        <f t="shared" si="42"/>
        <v>4.1666666666666661</v>
      </c>
      <c r="P72" s="18">
        <f t="shared" si="42"/>
        <v>6.2499999999999991</v>
      </c>
      <c r="Q72" s="18">
        <f t="shared" si="42"/>
        <v>0</v>
      </c>
      <c r="R72" s="18">
        <f t="shared" si="42"/>
        <v>0</v>
      </c>
      <c r="S72" s="18">
        <f t="shared" si="42"/>
        <v>0</v>
      </c>
      <c r="T72" s="18">
        <f t="shared" si="42"/>
        <v>0</v>
      </c>
      <c r="U72" s="18">
        <f t="shared" si="42"/>
        <v>0</v>
      </c>
      <c r="V72" s="18">
        <f t="shared" si="42"/>
        <v>0</v>
      </c>
      <c r="W72" s="18">
        <f t="shared" si="42"/>
        <v>0</v>
      </c>
      <c r="X72" s="18">
        <f t="shared" si="42"/>
        <v>0</v>
      </c>
      <c r="Y72" s="18">
        <f t="shared" si="42"/>
        <v>0</v>
      </c>
      <c r="Z72" s="18">
        <f t="shared" si="42"/>
        <v>0</v>
      </c>
      <c r="AA72" s="18">
        <f t="shared" si="42"/>
        <v>0</v>
      </c>
      <c r="AB72" s="18">
        <f t="shared" si="42"/>
        <v>0</v>
      </c>
      <c r="AC72" s="18">
        <f t="shared" si="42"/>
        <v>0</v>
      </c>
      <c r="AD72" s="18">
        <f t="shared" si="42"/>
        <v>0</v>
      </c>
      <c r="AE72" s="18">
        <f t="shared" si="42"/>
        <v>0</v>
      </c>
      <c r="AF72" s="18">
        <f t="shared" si="42"/>
        <v>0</v>
      </c>
      <c r="AG72" s="18">
        <f t="shared" si="42"/>
        <v>0</v>
      </c>
      <c r="AH72" s="18">
        <f t="shared" si="42"/>
        <v>0</v>
      </c>
      <c r="AI72" s="18">
        <f t="shared" si="42"/>
        <v>0</v>
      </c>
      <c r="AJ72" s="18">
        <f t="shared" si="42"/>
        <v>0</v>
      </c>
      <c r="AK72" s="18">
        <f t="shared" si="42"/>
        <v>0</v>
      </c>
      <c r="AL72" s="2"/>
      <c r="AM72" s="43">
        <v>56</v>
      </c>
      <c r="AN72">
        <v>264.32826640716314</v>
      </c>
      <c r="AO72">
        <v>145.02393327581765</v>
      </c>
      <c r="AP72">
        <v>498.62350541765761</v>
      </c>
      <c r="AQ72">
        <v>805.90100757321181</v>
      </c>
      <c r="AR72">
        <v>138.05330297079414</v>
      </c>
      <c r="AS72">
        <v>1514.7442032461113</v>
      </c>
      <c r="AT72">
        <v>68.329813618315896</v>
      </c>
      <c r="AU72">
        <v>80.402374450735437</v>
      </c>
      <c r="AV72"/>
      <c r="AW72"/>
      <c r="FY72" s="211">
        <v>67</v>
      </c>
      <c r="FZ72">
        <v>90.079582169783464</v>
      </c>
      <c r="GA72">
        <v>127.15649858765777</v>
      </c>
      <c r="GB72">
        <v>42.858696338800485</v>
      </c>
      <c r="GC72">
        <v>36.086512880095484</v>
      </c>
      <c r="GD72">
        <v>30.921937527491338</v>
      </c>
      <c r="GE72">
        <v>41.991800303299151</v>
      </c>
      <c r="GF72">
        <v>76.060621483642521</v>
      </c>
      <c r="GG72">
        <v>71.148833830261239</v>
      </c>
      <c r="GH72">
        <v>68.025056002853134</v>
      </c>
      <c r="GI72">
        <v>72.989733232076176</v>
      </c>
      <c r="GJ72"/>
      <c r="GK72"/>
      <c r="GL72"/>
      <c r="GM72"/>
    </row>
    <row r="73" spans="1:195" s="7" customFormat="1">
      <c r="A73" s="4"/>
      <c r="B73" s="66"/>
      <c r="C73" s="71">
        <f t="shared" si="38"/>
        <v>39747</v>
      </c>
      <c r="D73" s="72">
        <f t="shared" si="39"/>
        <v>341.41183887951132</v>
      </c>
      <c r="E73" s="64"/>
      <c r="F73" s="64"/>
      <c r="G73" s="18">
        <f>AVERAGE(E258:E267)</f>
        <v>0</v>
      </c>
      <c r="H73" s="18">
        <f t="shared" ref="H73:AK73" si="43">AVERAGE(F258:F267)</f>
        <v>78.529094827586206</v>
      </c>
      <c r="I73" s="18">
        <f t="shared" si="43"/>
        <v>108.1005470822281</v>
      </c>
      <c r="J73" s="18">
        <f t="shared" si="43"/>
        <v>55.729166666666664</v>
      </c>
      <c r="K73" s="18">
        <f t="shared" si="43"/>
        <v>39.820075757575751</v>
      </c>
      <c r="L73" s="18">
        <f t="shared" si="43"/>
        <v>49.668560606060602</v>
      </c>
      <c r="M73" s="18">
        <f t="shared" si="43"/>
        <v>6.7234848484848486</v>
      </c>
      <c r="N73" s="18">
        <f t="shared" si="43"/>
        <v>2.8409090909090908</v>
      </c>
      <c r="O73" s="18">
        <f t="shared" si="43"/>
        <v>0</v>
      </c>
      <c r="P73" s="18">
        <f t="shared" si="43"/>
        <v>0</v>
      </c>
      <c r="Q73" s="18">
        <f t="shared" si="43"/>
        <v>0</v>
      </c>
      <c r="R73" s="18">
        <f t="shared" si="43"/>
        <v>0</v>
      </c>
      <c r="S73" s="18">
        <f t="shared" si="43"/>
        <v>0</v>
      </c>
      <c r="T73" s="18">
        <f t="shared" si="43"/>
        <v>0</v>
      </c>
      <c r="U73" s="18">
        <f t="shared" si="43"/>
        <v>0</v>
      </c>
      <c r="V73" s="18">
        <f t="shared" si="43"/>
        <v>0</v>
      </c>
      <c r="W73" s="18">
        <f t="shared" si="43"/>
        <v>0</v>
      </c>
      <c r="X73" s="18">
        <f t="shared" si="43"/>
        <v>0</v>
      </c>
      <c r="Y73" s="18">
        <f t="shared" si="43"/>
        <v>0</v>
      </c>
      <c r="Z73" s="18">
        <f t="shared" si="43"/>
        <v>0</v>
      </c>
      <c r="AA73" s="18">
        <f t="shared" si="43"/>
        <v>0</v>
      </c>
      <c r="AB73" s="18">
        <f t="shared" si="43"/>
        <v>0</v>
      </c>
      <c r="AC73" s="18">
        <f t="shared" si="43"/>
        <v>0</v>
      </c>
      <c r="AD73" s="18">
        <f t="shared" si="43"/>
        <v>0</v>
      </c>
      <c r="AE73" s="18">
        <f t="shared" si="43"/>
        <v>0</v>
      </c>
      <c r="AF73" s="18">
        <f t="shared" si="43"/>
        <v>0</v>
      </c>
      <c r="AG73" s="18">
        <f t="shared" si="43"/>
        <v>0</v>
      </c>
      <c r="AH73" s="18">
        <f t="shared" si="43"/>
        <v>0</v>
      </c>
      <c r="AI73" s="18">
        <f t="shared" si="43"/>
        <v>0</v>
      </c>
      <c r="AJ73" s="18">
        <f t="shared" si="43"/>
        <v>0</v>
      </c>
      <c r="AK73" s="18">
        <f t="shared" si="43"/>
        <v>0</v>
      </c>
      <c r="AL73" s="2"/>
      <c r="AM73" s="43">
        <v>57</v>
      </c>
      <c r="AN73">
        <v>167.63557280769029</v>
      </c>
      <c r="AO73">
        <v>83.274628387412875</v>
      </c>
      <c r="AP73">
        <v>336.33464908970541</v>
      </c>
      <c r="AQ73">
        <v>491.92127610779158</v>
      </c>
      <c r="AR73">
        <v>79.603861935101122</v>
      </c>
      <c r="AS73">
        <v>974.48321058553518</v>
      </c>
      <c r="AT73">
        <v>41.10204714150801</v>
      </c>
      <c r="AU73">
        <v>-11.017877532149299</v>
      </c>
      <c r="AV73"/>
      <c r="AW73"/>
      <c r="FY73" s="211">
        <v>68</v>
      </c>
      <c r="FZ73">
        <v>131.01941065318397</v>
      </c>
      <c r="GA73">
        <v>181.66048439459959</v>
      </c>
      <c r="GB73">
        <v>54.801852023020487</v>
      </c>
      <c r="GC73">
        <v>42.48675584995167</v>
      </c>
      <c r="GD73">
        <v>41.882541855227004</v>
      </c>
      <c r="GE73">
        <v>63.29432707116262</v>
      </c>
      <c r="GF73">
        <v>69.299981635097993</v>
      </c>
      <c r="GG73">
        <v>87.769442049965406</v>
      </c>
      <c r="GH73">
        <v>107.40503139301765</v>
      </c>
      <c r="GI73">
        <v>94.136837405601369</v>
      </c>
      <c r="GJ73"/>
      <c r="GK73"/>
      <c r="GL73"/>
      <c r="GM73"/>
    </row>
    <row r="74" spans="1:195" s="7" customFormat="1">
      <c r="A74" s="4"/>
      <c r="B74" s="66"/>
      <c r="C74" s="71">
        <f t="shared" si="38"/>
        <v>39775</v>
      </c>
      <c r="D74" s="72">
        <f t="shared" si="39"/>
        <v>417.64390701890693</v>
      </c>
      <c r="E74" s="64"/>
      <c r="F74" s="64"/>
      <c r="G74" s="18">
        <f>AVERAGE(E268:E277)</f>
        <v>0</v>
      </c>
      <c r="H74" s="18">
        <f t="shared" ref="H74:AK74" si="44">AVERAGE(F268:F277)</f>
        <v>45.833333333333336</v>
      </c>
      <c r="I74" s="18">
        <f t="shared" si="44"/>
        <v>156.92129629629628</v>
      </c>
      <c r="J74" s="18">
        <f t="shared" si="44"/>
        <v>9.375</v>
      </c>
      <c r="K74" s="18">
        <f t="shared" si="44"/>
        <v>31.912878787878789</v>
      </c>
      <c r="L74" s="18">
        <f t="shared" si="44"/>
        <v>95.316142191142191</v>
      </c>
      <c r="M74" s="18">
        <f t="shared" si="44"/>
        <v>64.5541958041958</v>
      </c>
      <c r="N74" s="18">
        <f t="shared" si="44"/>
        <v>11.647727272727272</v>
      </c>
      <c r="O74" s="18">
        <f t="shared" si="44"/>
        <v>2.083333333333333</v>
      </c>
      <c r="P74" s="18">
        <f t="shared" si="44"/>
        <v>0</v>
      </c>
      <c r="Q74" s="18">
        <f t="shared" si="44"/>
        <v>0</v>
      </c>
      <c r="R74" s="18">
        <f t="shared" si="44"/>
        <v>0</v>
      </c>
      <c r="S74" s="18">
        <f t="shared" si="44"/>
        <v>0</v>
      </c>
      <c r="T74" s="18">
        <f t="shared" si="44"/>
        <v>0</v>
      </c>
      <c r="U74" s="18">
        <f t="shared" si="44"/>
        <v>0</v>
      </c>
      <c r="V74" s="18">
        <f t="shared" si="44"/>
        <v>0</v>
      </c>
      <c r="W74" s="18">
        <f t="shared" si="44"/>
        <v>0</v>
      </c>
      <c r="X74" s="18">
        <f t="shared" si="44"/>
        <v>0</v>
      </c>
      <c r="Y74" s="18">
        <f t="shared" si="44"/>
        <v>0</v>
      </c>
      <c r="Z74" s="18">
        <f t="shared" si="44"/>
        <v>0</v>
      </c>
      <c r="AA74" s="18">
        <f t="shared" si="44"/>
        <v>0</v>
      </c>
      <c r="AB74" s="18">
        <f t="shared" si="44"/>
        <v>0</v>
      </c>
      <c r="AC74" s="18">
        <f t="shared" si="44"/>
        <v>0</v>
      </c>
      <c r="AD74" s="18">
        <f t="shared" si="44"/>
        <v>0</v>
      </c>
      <c r="AE74" s="18">
        <f t="shared" si="44"/>
        <v>0</v>
      </c>
      <c r="AF74" s="18">
        <f t="shared" si="44"/>
        <v>0</v>
      </c>
      <c r="AG74" s="18">
        <f t="shared" si="44"/>
        <v>0</v>
      </c>
      <c r="AH74" s="18">
        <f t="shared" si="44"/>
        <v>0</v>
      </c>
      <c r="AI74" s="18">
        <f t="shared" si="44"/>
        <v>0</v>
      </c>
      <c r="AJ74" s="18">
        <f t="shared" si="44"/>
        <v>0</v>
      </c>
      <c r="AK74" s="18">
        <f t="shared" si="44"/>
        <v>0</v>
      </c>
      <c r="AL74" s="2"/>
      <c r="AM74" s="43">
        <v>58</v>
      </c>
      <c r="AN74">
        <v>240.49628193154973</v>
      </c>
      <c r="AO74">
        <v>180.27350060722551</v>
      </c>
      <c r="AP74">
        <v>1000.0877475749185</v>
      </c>
      <c r="AQ74">
        <v>958.79204632191988</v>
      </c>
      <c r="AR74">
        <v>166.28734220170324</v>
      </c>
      <c r="AS74">
        <v>1401.1792359675951</v>
      </c>
      <c r="AT74">
        <v>93.20439462171079</v>
      </c>
      <c r="AU74">
        <v>162.85240369551937</v>
      </c>
      <c r="AV74"/>
      <c r="AW74"/>
      <c r="FY74" s="211">
        <v>69</v>
      </c>
      <c r="FZ74">
        <v>105.8808758885031</v>
      </c>
      <c r="GA74">
        <v>164.67107857740109</v>
      </c>
      <c r="GB74">
        <v>66.449953397378053</v>
      </c>
      <c r="GC74">
        <v>41.503652871178026</v>
      </c>
      <c r="GD74">
        <v>52.145868737945911</v>
      </c>
      <c r="GE74">
        <v>85.283737705168846</v>
      </c>
      <c r="GF74">
        <v>88.640290796662597</v>
      </c>
      <c r="GG74">
        <v>57.330407321927574</v>
      </c>
      <c r="GH74">
        <v>22.627185253795247</v>
      </c>
      <c r="GI74">
        <v>90.713694155208998</v>
      </c>
      <c r="GJ74"/>
      <c r="GK74"/>
      <c r="GL74"/>
      <c r="GM74"/>
    </row>
    <row r="75" spans="1:195" s="7" customFormat="1">
      <c r="A75" s="4"/>
      <c r="B75" s="66"/>
      <c r="C75" s="71">
        <f t="shared" si="38"/>
        <v>39799</v>
      </c>
      <c r="D75" s="72">
        <f t="shared" si="39"/>
        <v>1094.2816782890313</v>
      </c>
      <c r="E75" s="64"/>
      <c r="F75" s="64"/>
      <c r="G75" s="18">
        <f>AVERAGE(E278:E287)</f>
        <v>15.064102564102564</v>
      </c>
      <c r="H75" s="18">
        <f t="shared" ref="H75:AK75" si="45">AVERAGE(F278:F287)</f>
        <v>532.63416526284175</v>
      </c>
      <c r="I75" s="18">
        <f t="shared" si="45"/>
        <v>315.0047562731387</v>
      </c>
      <c r="J75" s="18">
        <f t="shared" si="45"/>
        <v>3.125</v>
      </c>
      <c r="K75" s="18">
        <f t="shared" si="45"/>
        <v>0</v>
      </c>
      <c r="L75" s="18">
        <f t="shared" si="45"/>
        <v>111.59759358288768</v>
      </c>
      <c r="M75" s="18">
        <f t="shared" si="45"/>
        <v>104.45075757575758</v>
      </c>
      <c r="N75" s="18">
        <f t="shared" si="45"/>
        <v>12.405303030303028</v>
      </c>
      <c r="O75" s="18">
        <f t="shared" si="45"/>
        <v>0</v>
      </c>
      <c r="P75" s="18">
        <f t="shared" si="45"/>
        <v>0</v>
      </c>
      <c r="Q75" s="18">
        <f t="shared" si="45"/>
        <v>0</v>
      </c>
      <c r="R75" s="18">
        <f t="shared" si="45"/>
        <v>0</v>
      </c>
      <c r="S75" s="18">
        <f t="shared" si="45"/>
        <v>0</v>
      </c>
      <c r="T75" s="18">
        <f t="shared" si="45"/>
        <v>0</v>
      </c>
      <c r="U75" s="18">
        <f t="shared" si="45"/>
        <v>0</v>
      </c>
      <c r="V75" s="18">
        <f t="shared" si="45"/>
        <v>0</v>
      </c>
      <c r="W75" s="18">
        <f t="shared" si="45"/>
        <v>0</v>
      </c>
      <c r="X75" s="18">
        <f t="shared" si="45"/>
        <v>0</v>
      </c>
      <c r="Y75" s="18">
        <f t="shared" si="45"/>
        <v>0</v>
      </c>
      <c r="Z75" s="18">
        <f t="shared" si="45"/>
        <v>0</v>
      </c>
      <c r="AA75" s="18">
        <f t="shared" si="45"/>
        <v>0</v>
      </c>
      <c r="AB75" s="18">
        <f t="shared" si="45"/>
        <v>0</v>
      </c>
      <c r="AC75" s="18">
        <f t="shared" si="45"/>
        <v>0</v>
      </c>
      <c r="AD75" s="18">
        <f t="shared" si="45"/>
        <v>0</v>
      </c>
      <c r="AE75" s="18">
        <f t="shared" si="45"/>
        <v>0</v>
      </c>
      <c r="AF75" s="18">
        <f t="shared" si="45"/>
        <v>0</v>
      </c>
      <c r="AG75" s="18">
        <f t="shared" si="45"/>
        <v>0</v>
      </c>
      <c r="AH75" s="18">
        <f t="shared" si="45"/>
        <v>0</v>
      </c>
      <c r="AI75" s="18">
        <f t="shared" si="45"/>
        <v>0</v>
      </c>
      <c r="AJ75" s="18">
        <f t="shared" si="45"/>
        <v>0</v>
      </c>
      <c r="AK75" s="18">
        <f t="shared" si="45"/>
        <v>0</v>
      </c>
      <c r="AL75" s="2"/>
      <c r="AM75" s="43">
        <v>59</v>
      </c>
      <c r="AN75">
        <v>288.03972928139513</v>
      </c>
      <c r="AO75">
        <v>168.71923706130326</v>
      </c>
      <c r="AP75">
        <v>803.55853191918482</v>
      </c>
      <c r="AQ75">
        <v>900.72502435337731</v>
      </c>
      <c r="AR75">
        <v>159.12054761172701</v>
      </c>
      <c r="AS75">
        <v>1454.055599068331</v>
      </c>
      <c r="AT75">
        <v>78.691060200586975</v>
      </c>
      <c r="AU75">
        <v>229.37922674972191</v>
      </c>
      <c r="AV75"/>
      <c r="AW75"/>
      <c r="FY75" s="211">
        <v>70</v>
      </c>
      <c r="FZ75">
        <v>110.91176445409369</v>
      </c>
      <c r="GA75">
        <v>153.02971513844278</v>
      </c>
      <c r="GB75">
        <v>57.954915621830118</v>
      </c>
      <c r="GC75">
        <v>42.105723016727126</v>
      </c>
      <c r="GD75">
        <v>34.125298706496707</v>
      </c>
      <c r="GE75">
        <v>61.39663030767354</v>
      </c>
      <c r="GF75">
        <v>145.19739957858394</v>
      </c>
      <c r="GG75">
        <v>135.06231459614659</v>
      </c>
      <c r="GH75">
        <v>94.275018404354682</v>
      </c>
      <c r="GI75">
        <v>102.93569123647838</v>
      </c>
      <c r="GJ75"/>
      <c r="GK75"/>
      <c r="GL75"/>
      <c r="GM75"/>
    </row>
    <row r="76" spans="1:195" s="7" customFormat="1">
      <c r="A76" s="4"/>
      <c r="B76" s="66"/>
      <c r="C76" s="71">
        <f t="shared" si="38"/>
        <v>39847</v>
      </c>
      <c r="D76" s="72">
        <f>SUM(G76:AK76)</f>
        <v>122.91666666666666</v>
      </c>
      <c r="E76" s="64"/>
      <c r="F76" s="64"/>
      <c r="G76" s="18">
        <f>AVERAGE(E288:E297)</f>
        <v>0</v>
      </c>
      <c r="H76" s="18">
        <f t="shared" ref="H76:AK76" si="46">AVERAGE(F288:F297)</f>
        <v>28.125</v>
      </c>
      <c r="I76" s="18">
        <f t="shared" si="46"/>
        <v>12.5</v>
      </c>
      <c r="J76" s="18">
        <f t="shared" si="46"/>
        <v>1.0416666666666665</v>
      </c>
      <c r="K76" s="18">
        <f t="shared" si="46"/>
        <v>3.6458333333333335</v>
      </c>
      <c r="L76" s="18">
        <f t="shared" si="46"/>
        <v>12.760416666666668</v>
      </c>
      <c r="M76" s="18">
        <f t="shared" si="46"/>
        <v>20.833333333333332</v>
      </c>
      <c r="N76" s="18">
        <f t="shared" si="46"/>
        <v>27.34375</v>
      </c>
      <c r="O76" s="18">
        <f t="shared" si="46"/>
        <v>11.458333333333334</v>
      </c>
      <c r="P76" s="18">
        <f t="shared" si="46"/>
        <v>5.2083333333333339</v>
      </c>
      <c r="Q76" s="18">
        <f t="shared" si="46"/>
        <v>0</v>
      </c>
      <c r="R76" s="18">
        <f t="shared" si="46"/>
        <v>0</v>
      </c>
      <c r="S76" s="18">
        <f t="shared" si="46"/>
        <v>0</v>
      </c>
      <c r="T76" s="18">
        <f t="shared" si="46"/>
        <v>0</v>
      </c>
      <c r="U76" s="18">
        <f t="shared" si="46"/>
        <v>0</v>
      </c>
      <c r="V76" s="18">
        <f t="shared" si="46"/>
        <v>0</v>
      </c>
      <c r="W76" s="18">
        <f t="shared" si="46"/>
        <v>0</v>
      </c>
      <c r="X76" s="18">
        <f t="shared" si="46"/>
        <v>0</v>
      </c>
      <c r="Y76" s="18">
        <f t="shared" si="46"/>
        <v>0</v>
      </c>
      <c r="Z76" s="18">
        <f t="shared" si="46"/>
        <v>0</v>
      </c>
      <c r="AA76" s="18">
        <f t="shared" si="46"/>
        <v>0</v>
      </c>
      <c r="AB76" s="18">
        <f t="shared" si="46"/>
        <v>0</v>
      </c>
      <c r="AC76" s="18">
        <f t="shared" si="46"/>
        <v>0</v>
      </c>
      <c r="AD76" s="18">
        <f t="shared" si="46"/>
        <v>0</v>
      </c>
      <c r="AE76" s="18">
        <f t="shared" si="46"/>
        <v>0</v>
      </c>
      <c r="AF76" s="18">
        <f t="shared" si="46"/>
        <v>0</v>
      </c>
      <c r="AG76" s="18">
        <f t="shared" si="46"/>
        <v>0</v>
      </c>
      <c r="AH76" s="18">
        <f t="shared" si="46"/>
        <v>0</v>
      </c>
      <c r="AI76" s="18">
        <f t="shared" si="46"/>
        <v>0</v>
      </c>
      <c r="AJ76" s="18">
        <f t="shared" si="46"/>
        <v>0</v>
      </c>
      <c r="AK76" s="18">
        <f t="shared" si="46"/>
        <v>0</v>
      </c>
      <c r="AL76" s="2"/>
      <c r="AM76" s="43">
        <v>60</v>
      </c>
      <c r="AN76">
        <v>256.04865025456576</v>
      </c>
      <c r="AO76">
        <v>148.29116092280054</v>
      </c>
      <c r="AP76">
        <v>487.00594091906453</v>
      </c>
      <c r="AQ76">
        <v>824.65159976150858</v>
      </c>
      <c r="AR76">
        <v>141.50101337680616</v>
      </c>
      <c r="AS76">
        <v>1557.5599045196268</v>
      </c>
      <c r="AT76">
        <v>74.620763010659232</v>
      </c>
      <c r="AU76">
        <v>66.211581185470706</v>
      </c>
      <c r="AV76"/>
      <c r="AW76"/>
      <c r="FY76" s="211">
        <v>71</v>
      </c>
      <c r="FZ76">
        <v>89.34233449090479</v>
      </c>
      <c r="GA76">
        <v>118.86416104913222</v>
      </c>
      <c r="GB76">
        <v>51.087589514296639</v>
      </c>
      <c r="GC76">
        <v>52.008415074976497</v>
      </c>
      <c r="GD76">
        <v>38.109189100826427</v>
      </c>
      <c r="GE76">
        <v>74.196344729055554</v>
      </c>
      <c r="GF76">
        <v>122.80032985683543</v>
      </c>
      <c r="GG76">
        <v>79.154655400626197</v>
      </c>
      <c r="GH76">
        <v>81.009458473127467</v>
      </c>
      <c r="GI76">
        <v>92.062957493890778</v>
      </c>
      <c r="GJ76"/>
      <c r="GK76"/>
      <c r="GL76"/>
      <c r="GM76"/>
    </row>
    <row r="77" spans="1:195" s="7" customFormat="1">
      <c r="A77" s="4"/>
      <c r="B77" s="66"/>
      <c r="C77" s="71">
        <f t="shared" si="38"/>
        <v>39910</v>
      </c>
      <c r="D77" s="72">
        <f>SUM(G77:AK77)</f>
        <v>89.930555555555543</v>
      </c>
      <c r="E77" s="64"/>
      <c r="F77" s="64"/>
      <c r="G77" s="18">
        <f>AVERAGE(E298:E307)</f>
        <v>0</v>
      </c>
      <c r="H77" s="18">
        <f t="shared" ref="H77:AK77" si="47">AVERAGE(F298:F307)</f>
        <v>17.361111111111111</v>
      </c>
      <c r="I77" s="18">
        <f t="shared" si="47"/>
        <v>38.194444444444443</v>
      </c>
      <c r="J77" s="18">
        <f t="shared" si="47"/>
        <v>0</v>
      </c>
      <c r="K77" s="18">
        <f t="shared" si="47"/>
        <v>0</v>
      </c>
      <c r="L77" s="18">
        <f t="shared" si="47"/>
        <v>7.2916666666666661</v>
      </c>
      <c r="M77" s="18">
        <f t="shared" si="47"/>
        <v>13.541666666666666</v>
      </c>
      <c r="N77" s="18">
        <f t="shared" si="47"/>
        <v>11.458333333333332</v>
      </c>
      <c r="O77" s="18">
        <f t="shared" si="47"/>
        <v>2.083333333333333</v>
      </c>
      <c r="P77" s="18">
        <f t="shared" si="47"/>
        <v>0</v>
      </c>
      <c r="Q77" s="18">
        <f t="shared" si="47"/>
        <v>0</v>
      </c>
      <c r="R77" s="18">
        <f t="shared" si="47"/>
        <v>0</v>
      </c>
      <c r="S77" s="18">
        <f t="shared" si="47"/>
        <v>0</v>
      </c>
      <c r="T77" s="18">
        <f t="shared" si="47"/>
        <v>0</v>
      </c>
      <c r="U77" s="18">
        <f t="shared" si="47"/>
        <v>0</v>
      </c>
      <c r="V77" s="18">
        <f t="shared" si="47"/>
        <v>0</v>
      </c>
      <c r="W77" s="18">
        <f t="shared" si="47"/>
        <v>0</v>
      </c>
      <c r="X77" s="18">
        <f t="shared" si="47"/>
        <v>0</v>
      </c>
      <c r="Y77" s="18">
        <f t="shared" si="47"/>
        <v>0</v>
      </c>
      <c r="Z77" s="18">
        <f t="shared" si="47"/>
        <v>0</v>
      </c>
      <c r="AA77" s="18">
        <f t="shared" si="47"/>
        <v>0</v>
      </c>
      <c r="AB77" s="18">
        <f t="shared" si="47"/>
        <v>0</v>
      </c>
      <c r="AC77" s="18">
        <f t="shared" si="47"/>
        <v>0</v>
      </c>
      <c r="AD77" s="18">
        <f t="shared" si="47"/>
        <v>0</v>
      </c>
      <c r="AE77" s="18">
        <f t="shared" si="47"/>
        <v>0</v>
      </c>
      <c r="AF77" s="18">
        <f t="shared" si="47"/>
        <v>0</v>
      </c>
      <c r="AG77" s="18">
        <f t="shared" si="47"/>
        <v>0</v>
      </c>
      <c r="AH77" s="18">
        <f t="shared" si="47"/>
        <v>0</v>
      </c>
      <c r="AI77" s="18">
        <f t="shared" si="47"/>
        <v>0</v>
      </c>
      <c r="AJ77" s="18">
        <f t="shared" si="47"/>
        <v>0</v>
      </c>
      <c r="AK77" s="18">
        <f t="shared" si="47"/>
        <v>0</v>
      </c>
      <c r="AL77" s="2"/>
      <c r="AM77" s="43">
        <v>61</v>
      </c>
      <c r="AN77">
        <v>281.46096256809392</v>
      </c>
      <c r="AO77">
        <v>160.80121693709941</v>
      </c>
      <c r="AP77">
        <v>755.76519551199715</v>
      </c>
      <c r="AQ77">
        <v>860.32703258793163</v>
      </c>
      <c r="AR77">
        <v>150.81135739674858</v>
      </c>
      <c r="AS77">
        <v>1453.6596178185844</v>
      </c>
      <c r="AT77">
        <v>80.313168301401475</v>
      </c>
      <c r="AU77">
        <v>284.89911592067858</v>
      </c>
      <c r="AV77"/>
      <c r="AW77"/>
      <c r="FY77" s="211">
        <v>72</v>
      </c>
      <c r="FZ77">
        <v>106.01472181547939</v>
      </c>
      <c r="GA77">
        <v>167.76942103437625</v>
      </c>
      <c r="GB77">
        <v>59.377810617293292</v>
      </c>
      <c r="GC77">
        <v>45.638084861037584</v>
      </c>
      <c r="GD77">
        <v>33.631722572700518</v>
      </c>
      <c r="GE77">
        <v>85.529943411600513</v>
      </c>
      <c r="GF77">
        <v>146.03407948285169</v>
      </c>
      <c r="GG77">
        <v>71.114312184563843</v>
      </c>
      <c r="GH77">
        <v>87.412864722195167</v>
      </c>
      <c r="GI77">
        <v>101.77067198795181</v>
      </c>
      <c r="GJ77"/>
      <c r="GK77"/>
      <c r="GL77"/>
      <c r="GM77"/>
    </row>
    <row r="78" spans="1:195" s="7" customFormat="1">
      <c r="A78" s="4"/>
      <c r="B78" s="66"/>
      <c r="C78" s="71">
        <f t="shared" si="38"/>
        <v>39949</v>
      </c>
      <c r="D78" s="72">
        <f>SUM(G78:AK78)</f>
        <v>20.833333333333332</v>
      </c>
      <c r="E78" s="64"/>
      <c r="F78" s="64"/>
      <c r="G78" s="18">
        <f>AVERAGE(E308:E317)</f>
        <v>0</v>
      </c>
      <c r="H78" s="18">
        <f t="shared" ref="H78:AK78" si="48">AVERAGE(F308:F317)</f>
        <v>0</v>
      </c>
      <c r="I78" s="18">
        <f t="shared" si="48"/>
        <v>0</v>
      </c>
      <c r="J78" s="18">
        <f t="shared" si="48"/>
        <v>0</v>
      </c>
      <c r="K78" s="18">
        <f t="shared" si="48"/>
        <v>0</v>
      </c>
      <c r="L78" s="18">
        <f t="shared" si="48"/>
        <v>2.083333333333333</v>
      </c>
      <c r="M78" s="18">
        <f t="shared" si="48"/>
        <v>3.125</v>
      </c>
      <c r="N78" s="18">
        <f t="shared" si="48"/>
        <v>0</v>
      </c>
      <c r="O78" s="18">
        <f t="shared" si="48"/>
        <v>7.291666666666667</v>
      </c>
      <c r="P78" s="18">
        <f t="shared" si="48"/>
        <v>6.25</v>
      </c>
      <c r="Q78" s="18">
        <f t="shared" si="48"/>
        <v>2.083333333333333</v>
      </c>
      <c r="R78" s="18">
        <f t="shared" si="48"/>
        <v>0</v>
      </c>
      <c r="S78" s="18">
        <f t="shared" si="48"/>
        <v>0</v>
      </c>
      <c r="T78" s="18">
        <f t="shared" si="48"/>
        <v>0</v>
      </c>
      <c r="U78" s="18">
        <f t="shared" si="48"/>
        <v>0</v>
      </c>
      <c r="V78" s="18">
        <f t="shared" si="48"/>
        <v>0</v>
      </c>
      <c r="W78" s="18">
        <f t="shared" si="48"/>
        <v>0</v>
      </c>
      <c r="X78" s="18">
        <f t="shared" si="48"/>
        <v>0</v>
      </c>
      <c r="Y78" s="18">
        <f t="shared" si="48"/>
        <v>0</v>
      </c>
      <c r="Z78" s="18">
        <f t="shared" si="48"/>
        <v>0</v>
      </c>
      <c r="AA78" s="18">
        <f t="shared" si="48"/>
        <v>0</v>
      </c>
      <c r="AB78" s="18">
        <f t="shared" si="48"/>
        <v>0</v>
      </c>
      <c r="AC78" s="18">
        <f t="shared" si="48"/>
        <v>0</v>
      </c>
      <c r="AD78" s="18">
        <f t="shared" si="48"/>
        <v>0</v>
      </c>
      <c r="AE78" s="18">
        <f t="shared" si="48"/>
        <v>0</v>
      </c>
      <c r="AF78" s="18">
        <f t="shared" si="48"/>
        <v>0</v>
      </c>
      <c r="AG78" s="18">
        <f t="shared" si="48"/>
        <v>0</v>
      </c>
      <c r="AH78" s="18">
        <f t="shared" si="48"/>
        <v>0</v>
      </c>
      <c r="AI78" s="18">
        <f t="shared" si="48"/>
        <v>0</v>
      </c>
      <c r="AJ78" s="18">
        <f t="shared" si="48"/>
        <v>0</v>
      </c>
      <c r="AK78" s="18">
        <f t="shared" si="48"/>
        <v>0</v>
      </c>
      <c r="AL78" s="2"/>
      <c r="AM78" s="43">
        <v>62</v>
      </c>
      <c r="AN78">
        <v>220.67004030016597</v>
      </c>
      <c r="AO78">
        <v>118.87182416610069</v>
      </c>
      <c r="AP78">
        <v>333.04224609702447</v>
      </c>
      <c r="AQ78">
        <v>670.02970917308107</v>
      </c>
      <c r="AR78">
        <v>113.71288540807252</v>
      </c>
      <c r="AS78">
        <v>1191.0135463722329</v>
      </c>
      <c r="AT78">
        <v>54.989282617781633</v>
      </c>
      <c r="AU78">
        <v>31.284357467387526</v>
      </c>
      <c r="AV78"/>
      <c r="AW78"/>
      <c r="FY78" s="211">
        <v>73</v>
      </c>
      <c r="FZ78">
        <v>104.68271328566399</v>
      </c>
      <c r="GA78">
        <v>143.09375872576268</v>
      </c>
      <c r="GB78">
        <v>50.228062745600198</v>
      </c>
      <c r="GC78">
        <v>51.267265175912485</v>
      </c>
      <c r="GD78">
        <v>38.789194727460483</v>
      </c>
      <c r="GE78">
        <v>46.179655479345122</v>
      </c>
      <c r="GF78">
        <v>64.593718449828827</v>
      </c>
      <c r="GG78">
        <v>36.594997355357194</v>
      </c>
      <c r="GH78">
        <v>32.24277593150569</v>
      </c>
      <c r="GI78">
        <v>74.247399826102622</v>
      </c>
      <c r="GJ78"/>
      <c r="GK78"/>
      <c r="GL78"/>
      <c r="GM78"/>
    </row>
    <row r="79" spans="1:195" s="7" customFormat="1">
      <c r="A79" s="4"/>
      <c r="B79" s="66"/>
      <c r="C79" s="71">
        <f t="shared" si="38"/>
        <v>39987</v>
      </c>
      <c r="D79" s="72">
        <f>SUM(G79:AK79)</f>
        <v>107.99099219995213</v>
      </c>
      <c r="E79" s="64"/>
      <c r="F79" s="64"/>
      <c r="G79" s="18">
        <f>AVERAGE(E318:E327)</f>
        <v>0</v>
      </c>
      <c r="H79" s="18">
        <f t="shared" ref="H79:AK79" si="49">AVERAGE(F318:F327)</f>
        <v>0</v>
      </c>
      <c r="I79" s="18">
        <f t="shared" si="49"/>
        <v>15.51418439716312</v>
      </c>
      <c r="J79" s="18">
        <f t="shared" si="49"/>
        <v>69.670956738959234</v>
      </c>
      <c r="K79" s="18">
        <f t="shared" si="49"/>
        <v>0</v>
      </c>
      <c r="L79" s="18">
        <f t="shared" si="49"/>
        <v>15.51418439716312</v>
      </c>
      <c r="M79" s="18">
        <f t="shared" si="49"/>
        <v>2.083333333333333</v>
      </c>
      <c r="N79" s="18">
        <f t="shared" si="49"/>
        <v>2.083333333333333</v>
      </c>
      <c r="O79" s="18">
        <f t="shared" si="49"/>
        <v>3.125</v>
      </c>
      <c r="P79" s="18">
        <f t="shared" si="49"/>
        <v>0</v>
      </c>
      <c r="Q79" s="18">
        <f t="shared" si="49"/>
        <v>0</v>
      </c>
      <c r="R79" s="18">
        <f t="shared" si="49"/>
        <v>0</v>
      </c>
      <c r="S79" s="18">
        <f t="shared" si="49"/>
        <v>0</v>
      </c>
      <c r="T79" s="18">
        <f t="shared" si="49"/>
        <v>0</v>
      </c>
      <c r="U79" s="18">
        <f t="shared" si="49"/>
        <v>0</v>
      </c>
      <c r="V79" s="18">
        <f t="shared" si="49"/>
        <v>0</v>
      </c>
      <c r="W79" s="18">
        <f t="shared" si="49"/>
        <v>0</v>
      </c>
      <c r="X79" s="18">
        <f t="shared" si="49"/>
        <v>0</v>
      </c>
      <c r="Y79" s="18">
        <f t="shared" si="49"/>
        <v>0</v>
      </c>
      <c r="Z79" s="18">
        <f t="shared" si="49"/>
        <v>0</v>
      </c>
      <c r="AA79" s="18">
        <f t="shared" si="49"/>
        <v>0</v>
      </c>
      <c r="AB79" s="18">
        <f t="shared" si="49"/>
        <v>0</v>
      </c>
      <c r="AC79" s="18">
        <f t="shared" si="49"/>
        <v>0</v>
      </c>
      <c r="AD79" s="18">
        <f t="shared" si="49"/>
        <v>0</v>
      </c>
      <c r="AE79" s="18">
        <f t="shared" si="49"/>
        <v>0</v>
      </c>
      <c r="AF79" s="18">
        <f t="shared" si="49"/>
        <v>0</v>
      </c>
      <c r="AG79" s="18">
        <f t="shared" si="49"/>
        <v>0</v>
      </c>
      <c r="AH79" s="18">
        <f t="shared" si="49"/>
        <v>0</v>
      </c>
      <c r="AI79" s="18">
        <f t="shared" si="49"/>
        <v>0</v>
      </c>
      <c r="AJ79" s="18">
        <f t="shared" si="49"/>
        <v>0</v>
      </c>
      <c r="AK79" s="18">
        <f t="shared" si="49"/>
        <v>0</v>
      </c>
      <c r="AL79" s="2"/>
      <c r="AM79" s="43">
        <v>63</v>
      </c>
      <c r="AN79">
        <v>206.99846334549383</v>
      </c>
      <c r="AO79">
        <v>132.14986372557203</v>
      </c>
      <c r="AP79">
        <v>645.62781677933413</v>
      </c>
      <c r="AQ79">
        <v>792.26970375591554</v>
      </c>
      <c r="AR79">
        <v>125.34462978426589</v>
      </c>
      <c r="AS79">
        <v>1301.7567252595029</v>
      </c>
      <c r="AT79">
        <v>75.924528999084231</v>
      </c>
      <c r="AU79">
        <v>224.56905709000935</v>
      </c>
      <c r="AV79"/>
      <c r="AW79"/>
      <c r="FY79" s="211">
        <v>74</v>
      </c>
      <c r="FZ79">
        <v>117.66914065841522</v>
      </c>
      <c r="GA79">
        <v>151.86095527047627</v>
      </c>
      <c r="GB79">
        <v>63.356364115619051</v>
      </c>
      <c r="GC79">
        <v>48.243411866832496</v>
      </c>
      <c r="GD79">
        <v>47.716982835241566</v>
      </c>
      <c r="GE79">
        <v>104.18674247700798</v>
      </c>
      <c r="GF79">
        <v>148.29665732432468</v>
      </c>
      <c r="GG79">
        <v>73.490958600505081</v>
      </c>
      <c r="GH79">
        <v>45.09027286131915</v>
      </c>
      <c r="GI79">
        <v>106.61068863457038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257.63365724178408</v>
      </c>
      <c r="AO80">
        <v>130.53625610874374</v>
      </c>
      <c r="AP80">
        <v>512.77727724150509</v>
      </c>
      <c r="AQ80">
        <v>758.7602519246002</v>
      </c>
      <c r="AR80">
        <v>124.82875576965536</v>
      </c>
      <c r="AS80">
        <v>1228.3454696297904</v>
      </c>
      <c r="AT80">
        <v>65.29291199389688</v>
      </c>
      <c r="AU80">
        <v>116.9145183669137</v>
      </c>
      <c r="AV80"/>
      <c r="AW80"/>
      <c r="FY80" s="211">
        <v>75</v>
      </c>
      <c r="FZ80">
        <v>146.84338086722536</v>
      </c>
      <c r="GA80">
        <v>203.65240990373027</v>
      </c>
      <c r="GB80">
        <v>61.652198185880813</v>
      </c>
      <c r="GC80">
        <v>44.093795959255438</v>
      </c>
      <c r="GD80">
        <v>44.326111811022081</v>
      </c>
      <c r="GE80">
        <v>49.217903955295988</v>
      </c>
      <c r="GF80">
        <v>25.79365191018756</v>
      </c>
      <c r="GG80">
        <v>39.862318210508683</v>
      </c>
      <c r="GH80">
        <v>62.460378170967914</v>
      </c>
      <c r="GI80">
        <v>83.231005630003366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252.81891846055001</v>
      </c>
      <c r="AO81">
        <v>145.74898946117145</v>
      </c>
      <c r="AP81">
        <v>676.75018650551101</v>
      </c>
      <c r="AQ81">
        <v>801.51567495390452</v>
      </c>
      <c r="AR81">
        <v>135.83766104602307</v>
      </c>
      <c r="AS81">
        <v>1245.6528396650879</v>
      </c>
      <c r="AT81">
        <v>68.420729123449064</v>
      </c>
      <c r="AU81">
        <v>118.67889544562819</v>
      </c>
      <c r="AV81"/>
      <c r="AW81"/>
      <c r="FY81" s="211">
        <v>76</v>
      </c>
      <c r="FZ81">
        <v>121.04146136618135</v>
      </c>
      <c r="GA81">
        <v>158.96178684112658</v>
      </c>
      <c r="GB81">
        <v>43.098744152569807</v>
      </c>
      <c r="GC81">
        <v>38.445707212349397</v>
      </c>
      <c r="GD81">
        <v>40.299178213377523</v>
      </c>
      <c r="GE81">
        <v>78.81843044666887</v>
      </c>
      <c r="GF81">
        <v>104.97677257635125</v>
      </c>
      <c r="GG81">
        <v>58.290806434469296</v>
      </c>
      <c r="GH81">
        <v>41.582235607834058</v>
      </c>
      <c r="GI81">
        <v>85.594035381511858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252.902389071073</v>
      </c>
      <c r="AO82">
        <v>133.62799632237108</v>
      </c>
      <c r="AP82">
        <v>527.44669558010378</v>
      </c>
      <c r="AQ82">
        <v>792.35100141610201</v>
      </c>
      <c r="AR82">
        <v>127.50658560720311</v>
      </c>
      <c r="AS82">
        <v>1361.9547064523069</v>
      </c>
      <c r="AT82">
        <v>69.134556567303747</v>
      </c>
      <c r="AU82">
        <v>91.674047003568816</v>
      </c>
      <c r="AV82"/>
      <c r="AW82"/>
      <c r="FY82" s="211">
        <v>77</v>
      </c>
      <c r="FZ82">
        <v>110.97732606636382</v>
      </c>
      <c r="GA82">
        <v>139.58379859052354</v>
      </c>
      <c r="GB82">
        <v>38.729540474317794</v>
      </c>
      <c r="GC82">
        <v>39.016058064812476</v>
      </c>
      <c r="GD82">
        <v>35.597188050310514</v>
      </c>
      <c r="GE82">
        <v>50.175447678673329</v>
      </c>
      <c r="GF82">
        <v>66.187044404262792</v>
      </c>
      <c r="GG82">
        <v>50.633909313646413</v>
      </c>
      <c r="GH82">
        <v>32.23331645609322</v>
      </c>
      <c r="GI82">
        <v>68.959263287002486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209.47930447831203</v>
      </c>
      <c r="AO83">
        <v>115.03521364943067</v>
      </c>
      <c r="AP83">
        <v>479.04788477047055</v>
      </c>
      <c r="AQ83">
        <v>657.31927235596083</v>
      </c>
      <c r="AR83">
        <v>110.11785253841261</v>
      </c>
      <c r="AS83">
        <v>1126.6410946769747</v>
      </c>
      <c r="AT83">
        <v>54.588999258674797</v>
      </c>
      <c r="AU83">
        <v>137.9345152182544</v>
      </c>
      <c r="AV83"/>
      <c r="AW83"/>
      <c r="FY83" s="211">
        <v>78</v>
      </c>
      <c r="FZ83">
        <v>111.8868433519353</v>
      </c>
      <c r="GA83">
        <v>185.00467659141358</v>
      </c>
      <c r="GB83">
        <v>53.387234139789875</v>
      </c>
      <c r="GC83">
        <v>40.503071260568284</v>
      </c>
      <c r="GD83">
        <v>56.683299173011122</v>
      </c>
      <c r="GE83">
        <v>103.23999915750515</v>
      </c>
      <c r="GF83">
        <v>115.34083695538341</v>
      </c>
      <c r="GG83">
        <v>85.21728660453411</v>
      </c>
      <c r="GH83">
        <v>63.106620595926572</v>
      </c>
      <c r="GI83">
        <v>103.97525644820792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283.58363743105502</v>
      </c>
      <c r="AO84">
        <v>151.54574088337435</v>
      </c>
      <c r="AP84">
        <v>674.93572114961216</v>
      </c>
      <c r="AQ84">
        <v>873.75666433082779</v>
      </c>
      <c r="AR84">
        <v>142.52955979646583</v>
      </c>
      <c r="AS84">
        <v>1597.4533854536846</v>
      </c>
      <c r="AT84">
        <v>79.165681926794292</v>
      </c>
      <c r="AU84">
        <v>4.8418564369835337</v>
      </c>
      <c r="AV84"/>
      <c r="AW84"/>
      <c r="AX84" s="157" t="s">
        <v>111</v>
      </c>
      <c r="CJ84" s="157" t="s">
        <v>112</v>
      </c>
      <c r="FY84" s="211">
        <v>79</v>
      </c>
      <c r="FZ84">
        <v>134.74658169278581</v>
      </c>
      <c r="GA84">
        <v>155.23435686174508</v>
      </c>
      <c r="GB84">
        <v>51.412666974094236</v>
      </c>
      <c r="GC84">
        <v>38.922818238716914</v>
      </c>
      <c r="GD84">
        <v>26.402630659220609</v>
      </c>
      <c r="GE84">
        <v>35.587017596888543</v>
      </c>
      <c r="GF84">
        <v>75.288210244754097</v>
      </c>
      <c r="GG84">
        <v>84.894177025515731</v>
      </c>
      <c r="GH84">
        <v>90.834481549462538</v>
      </c>
      <c r="GI84">
        <v>81.97537236504121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299.7395847801638</v>
      </c>
      <c r="AO85">
        <v>142.13514550937373</v>
      </c>
      <c r="AP85">
        <v>516.82861140560806</v>
      </c>
      <c r="AQ85">
        <v>775.24674470516948</v>
      </c>
      <c r="AR85">
        <v>134.85172748536175</v>
      </c>
      <c r="AS85">
        <v>1462.2970770774052</v>
      </c>
      <c r="AT85">
        <v>60.716537227808921</v>
      </c>
      <c r="AU85">
        <v>12.100400247363964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1">
        <v>80</v>
      </c>
      <c r="FZ85">
        <v>80.836037524375683</v>
      </c>
      <c r="GA85">
        <v>118.58588718469939</v>
      </c>
      <c r="GB85">
        <v>48.506287204146432</v>
      </c>
      <c r="GC85">
        <v>43.495741598005303</v>
      </c>
      <c r="GD85">
        <v>37.711221411755531</v>
      </c>
      <c r="GE85">
        <v>67.655268635741166</v>
      </c>
      <c r="GF85">
        <v>95.660885733992345</v>
      </c>
      <c r="GG85">
        <v>57.563650433350531</v>
      </c>
      <c r="GH85">
        <v>55.085346119004114</v>
      </c>
      <c r="GI85">
        <v>80.706124457980394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245.89469999576073</v>
      </c>
      <c r="AO86">
        <v>167.3582609816967</v>
      </c>
      <c r="AP86">
        <v>790.2042783348254</v>
      </c>
      <c r="AQ86">
        <v>936.99447106082766</v>
      </c>
      <c r="AR86">
        <v>158.0951232874483</v>
      </c>
      <c r="AS86">
        <v>1446.4211268141785</v>
      </c>
      <c r="AT86">
        <v>81.734537740175156</v>
      </c>
      <c r="AU86">
        <v>421.74042778130473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19" t="s">
        <v>123</v>
      </c>
      <c r="CX86" s="219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1">
        <v>81</v>
      </c>
      <c r="FZ86">
        <v>103.20631429021584</v>
      </c>
      <c r="GA86">
        <v>156.95832376493962</v>
      </c>
      <c r="GB86">
        <v>60.665172450878323</v>
      </c>
      <c r="GC86">
        <v>42.625263609193723</v>
      </c>
      <c r="GD86">
        <v>51.715714482836923</v>
      </c>
      <c r="GE86">
        <v>128.47396993671228</v>
      </c>
      <c r="GF86">
        <v>163.18000336354103</v>
      </c>
      <c r="GG86">
        <v>58.709344638532428</v>
      </c>
      <c r="GH86">
        <v>22.953758296705626</v>
      </c>
      <c r="GI86">
        <v>104.07101236519114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234.58548696587641</v>
      </c>
      <c r="AO87">
        <v>148.48904479037003</v>
      </c>
      <c r="AP87">
        <v>687.16643890890543</v>
      </c>
      <c r="AQ87">
        <v>798.63543518367192</v>
      </c>
      <c r="AR87">
        <v>138.97457008363986</v>
      </c>
      <c r="AS87">
        <v>1500.8400626581486</v>
      </c>
      <c r="AT87">
        <v>74.737453129703397</v>
      </c>
      <c r="AU87">
        <v>158.38404758531271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1">
        <v>82</v>
      </c>
      <c r="FZ87">
        <v>96.302182040172283</v>
      </c>
      <c r="GA87">
        <v>141.46692427919098</v>
      </c>
      <c r="GB87">
        <v>56.106706912048303</v>
      </c>
      <c r="GC87">
        <v>44.825686960632389</v>
      </c>
      <c r="GD87">
        <v>41.111246751800685</v>
      </c>
      <c r="GE87">
        <v>95.736268980152829</v>
      </c>
      <c r="GF87">
        <v>147.23547187196928</v>
      </c>
      <c r="GG87">
        <v>67.785871863540095</v>
      </c>
      <c r="GH87">
        <v>31.34507216025526</v>
      </c>
      <c r="GI87">
        <v>93.852606413707221</v>
      </c>
      <c r="GJ87"/>
      <c r="GK87"/>
      <c r="GL87"/>
      <c r="GM87"/>
    </row>
    <row r="88" spans="1:195" s="7" customFormat="1">
      <c r="A88" s="128"/>
      <c r="B88" s="76">
        <f ca="1">IF(C88="", "", RAND())</f>
        <v>0.97051466911826001</v>
      </c>
      <c r="C88">
        <v>5</v>
      </c>
      <c r="D88">
        <v>39646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221.34816217097392</v>
      </c>
      <c r="AO88">
        <v>165.7943066377785</v>
      </c>
      <c r="AP88">
        <v>781.02879100811049</v>
      </c>
      <c r="AQ88">
        <v>904.29363269005</v>
      </c>
      <c r="AR88">
        <v>156.1117507023439</v>
      </c>
      <c r="AS88">
        <v>1483.9823750121154</v>
      </c>
      <c r="AT88">
        <v>81.946418136105891</v>
      </c>
      <c r="AU88">
        <v>104.95075628760151</v>
      </c>
      <c r="AV88"/>
      <c r="AW88"/>
      <c r="AX88" s="128"/>
      <c r="AY88" s="76">
        <f ca="1">IF(AZ88="", "", RAND())</f>
        <v>0.18215466683941983</v>
      </c>
      <c r="AZ88">
        <v>1</v>
      </c>
      <c r="BA88" s="129">
        <f>IF(AZ88="", "",$C$4)</f>
        <v>39646</v>
      </c>
      <c r="BB88">
        <v>0</v>
      </c>
      <c r="BC88">
        <v>0</v>
      </c>
      <c r="BD88">
        <v>1</v>
      </c>
      <c r="BE88">
        <v>6</v>
      </c>
      <c r="BF88">
        <v>3</v>
      </c>
      <c r="BG88">
        <v>0</v>
      </c>
      <c r="BH88">
        <v>1</v>
      </c>
      <c r="BI88">
        <v>0</v>
      </c>
      <c r="BJ88">
        <v>1</v>
      </c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 s="147"/>
      <c r="CH88" s="176"/>
      <c r="CJ88" s="128"/>
      <c r="CK88" s="76">
        <f ca="1">IF(AZ88="", "", RAND())</f>
        <v>0.86221999410425099</v>
      </c>
      <c r="CL88" s="179">
        <f>IF(AZ88="", "", AZ88)</f>
        <v>1</v>
      </c>
      <c r="CM88" s="180">
        <f>IF(AZ88="", "", BA88)</f>
        <v>39646</v>
      </c>
      <c r="CN88">
        <v>0</v>
      </c>
      <c r="CO88">
        <v>0</v>
      </c>
      <c r="CP88">
        <v>4</v>
      </c>
      <c r="CQ88">
        <v>1</v>
      </c>
      <c r="CR88">
        <v>1</v>
      </c>
      <c r="CS88"/>
      <c r="CT88"/>
      <c r="CU88"/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0">IF(DD88="", "", RAND())</f>
        <v>0.40425914378721917</v>
      </c>
      <c r="DD88">
        <f>IF(AZ88="", "", AZ88)</f>
        <v>1</v>
      </c>
      <c r="DE88" s="129">
        <f t="shared" ref="DE88:DE97" si="51">IF(DD88="", "", $C$4)</f>
        <v>39646</v>
      </c>
      <c r="DF88" s="161">
        <f t="shared" ref="DF88:DM88" si="52">IF($AZ88="", "", ((BB88*$CW88)+(CN88*$CX88))/$CZ88)</f>
        <v>0</v>
      </c>
      <c r="DG88" s="161">
        <f t="shared" si="52"/>
        <v>0</v>
      </c>
      <c r="DH88" s="161">
        <f t="shared" si="52"/>
        <v>93.75</v>
      </c>
      <c r="DI88" s="161">
        <f t="shared" si="52"/>
        <v>83.333333333333329</v>
      </c>
      <c r="DJ88" s="161">
        <f t="shared" si="52"/>
        <v>52.083333333333336</v>
      </c>
      <c r="DK88" s="161">
        <f t="shared" si="52"/>
        <v>0</v>
      </c>
      <c r="DL88" s="161">
        <f t="shared" si="52"/>
        <v>10.416666666666666</v>
      </c>
      <c r="DM88" s="161">
        <f t="shared" si="52"/>
        <v>0</v>
      </c>
      <c r="DN88" s="161">
        <f t="shared" ref="DN88:EJ88" si="53">IF($AZ88="", "", (BJ88*$CW88)/$CZ88)</f>
        <v>10.416666666666666</v>
      </c>
      <c r="DO88" s="161">
        <f t="shared" si="53"/>
        <v>0</v>
      </c>
      <c r="DP88" s="161">
        <f t="shared" si="53"/>
        <v>0</v>
      </c>
      <c r="DQ88" s="161">
        <f t="shared" si="53"/>
        <v>0</v>
      </c>
      <c r="DR88" s="161">
        <f t="shared" si="53"/>
        <v>0</v>
      </c>
      <c r="DS88" s="161">
        <f t="shared" si="53"/>
        <v>0</v>
      </c>
      <c r="DT88" s="161">
        <f t="shared" si="53"/>
        <v>0</v>
      </c>
      <c r="DU88" s="161">
        <f t="shared" si="53"/>
        <v>0</v>
      </c>
      <c r="DV88" s="161">
        <f t="shared" si="53"/>
        <v>0</v>
      </c>
      <c r="DW88" s="161">
        <f t="shared" si="53"/>
        <v>0</v>
      </c>
      <c r="DX88" s="161">
        <f t="shared" si="53"/>
        <v>0</v>
      </c>
      <c r="DY88" s="161">
        <f t="shared" si="53"/>
        <v>0</v>
      </c>
      <c r="DZ88" s="161">
        <f t="shared" si="53"/>
        <v>0</v>
      </c>
      <c r="EA88" s="161">
        <f t="shared" si="53"/>
        <v>0</v>
      </c>
      <c r="EB88" s="161">
        <f t="shared" si="53"/>
        <v>0</v>
      </c>
      <c r="EC88" s="161">
        <f t="shared" si="53"/>
        <v>0</v>
      </c>
      <c r="ED88" s="161">
        <f t="shared" si="53"/>
        <v>0</v>
      </c>
      <c r="EE88" s="161">
        <f t="shared" si="53"/>
        <v>0</v>
      </c>
      <c r="EF88" s="161">
        <f t="shared" si="53"/>
        <v>0</v>
      </c>
      <c r="EG88" s="161">
        <f t="shared" si="53"/>
        <v>0</v>
      </c>
      <c r="EH88" s="161">
        <f t="shared" si="53"/>
        <v>0</v>
      </c>
      <c r="EI88" s="161">
        <f t="shared" si="53"/>
        <v>0</v>
      </c>
      <c r="EJ88" s="161">
        <f t="shared" si="53"/>
        <v>0</v>
      </c>
      <c r="EK88" s="147">
        <f t="shared" ref="EK88:EK119" si="54">IF(DF88="", "", SUM(DF88:EJ88))</f>
        <v>249.99999999999997</v>
      </c>
      <c r="EL88" s="149"/>
      <c r="EN88" s="146"/>
      <c r="EO88" s="146"/>
      <c r="EP88" s="139">
        <f t="shared" ref="EP88:EP119" si="55">IF(DF88="", "", DF88*G$36)</f>
        <v>0</v>
      </c>
      <c r="EQ88" s="139">
        <f t="shared" ref="EQ88:EQ119" si="56">IF(DG88="", "", DG88*H$36)</f>
        <v>0</v>
      </c>
      <c r="ER88" s="139">
        <f t="shared" ref="ER88:ER119" si="57">IF(DH88="", "", DH88*I$36)</f>
        <v>6.8658853295641213</v>
      </c>
      <c r="ES88" s="139">
        <f t="shared" ref="ES88:ES119" si="58">IF(DI88="", "", DI88*J$36)</f>
        <v>17.996141995940945</v>
      </c>
      <c r="ET88" s="139">
        <f t="shared" ref="ET88:ET119" si="59">IF(DJ88="", "", DJ88*K$36)</f>
        <v>24.225404598934794</v>
      </c>
      <c r="EU88" s="139">
        <f t="shared" ref="EU88:EU119" si="60">IF(DK88="", "", DK88*L$36)</f>
        <v>0</v>
      </c>
      <c r="EV88" s="139">
        <f t="shared" ref="EV88:EV119" si="61">IF(DL88="", "", DL88*M$36)</f>
        <v>14.286847949341793</v>
      </c>
      <c r="EW88" s="139">
        <f t="shared" ref="EW88:EW119" si="62">IF(DM88="", "", DM88*N$36)</f>
        <v>0</v>
      </c>
      <c r="EX88" s="139">
        <f t="shared" ref="EX88:EX119" si="63">IF(DN88="", "", DN88*O$36)</f>
        <v>30.77145509025932</v>
      </c>
      <c r="EY88" s="139">
        <f t="shared" ref="EY88:EY119" si="64">IF(DO88="", "", DO88*P$36)</f>
        <v>0</v>
      </c>
      <c r="EZ88" s="139">
        <f t="shared" ref="EZ88:EZ119" si="65">IF(DP88="", "", DP88*Q$36)</f>
        <v>0</v>
      </c>
      <c r="FA88" s="139">
        <f t="shared" ref="FA88:FA119" si="66">IF(DQ88="", "", DQ88*R$36)</f>
        <v>0</v>
      </c>
      <c r="FB88" s="139">
        <f t="shared" ref="FB88:FB119" si="67">IF(DR88="", "", DR88*S$36)</f>
        <v>0</v>
      </c>
      <c r="FC88" s="139">
        <f t="shared" ref="FC88:FC119" si="68">IF(DS88="", "", DS88*T$36)</f>
        <v>0</v>
      </c>
      <c r="FD88" s="139">
        <f t="shared" ref="FD88:FD119" si="69">IF(DT88="", "", DT88*U$36)</f>
        <v>0</v>
      </c>
      <c r="FE88" s="139">
        <f t="shared" ref="FE88:FE119" si="70">IF(DU88="", "", DU88*V$36)</f>
        <v>0</v>
      </c>
      <c r="FF88" s="139">
        <f t="shared" ref="FF88:FF119" si="71">IF(DV88="", "", DV88*W$36)</f>
        <v>0</v>
      </c>
      <c r="FG88" s="139">
        <f t="shared" ref="FG88:FG119" si="72">IF(DW88="", "", DW88*X$36)</f>
        <v>0</v>
      </c>
      <c r="FH88" s="139">
        <f t="shared" ref="FH88:FH119" si="73">IF(DX88="", "", DX88*Y$36)</f>
        <v>0</v>
      </c>
      <c r="FI88" s="139">
        <f t="shared" ref="FI88:FI119" si="74">IF(DY88="", "", DY88*Z$36)</f>
        <v>0</v>
      </c>
      <c r="FJ88" s="139">
        <f t="shared" ref="FJ88:FJ119" si="75">IF(DZ88="", "", DZ88*AA$36)</f>
        <v>0</v>
      </c>
      <c r="FK88" s="139">
        <f t="shared" ref="FK88:FK119" si="76">IF(EA88="", "", EA88*AB$36)</f>
        <v>0</v>
      </c>
      <c r="FL88" s="139">
        <f t="shared" ref="FL88:FL119" si="77">IF(EB88="", "", EB88*AC$36)</f>
        <v>0</v>
      </c>
      <c r="FM88" s="139">
        <f t="shared" ref="FM88:FM119" si="78">IF(EC88="", "", EC88*AD$36)</f>
        <v>0</v>
      </c>
      <c r="FN88" s="139">
        <f t="shared" ref="FN88:FN119" si="79">IF(ED88="", "", ED88*AE$36)</f>
        <v>0</v>
      </c>
      <c r="FO88" s="139">
        <f t="shared" ref="FO88:FO119" si="80">IF(EE88="", "", EE88*AF$36)</f>
        <v>0</v>
      </c>
      <c r="FP88" s="139">
        <f t="shared" ref="FP88:FP119" si="81">IF(EF88="", "", EF88*AG$36)</f>
        <v>0</v>
      </c>
      <c r="FQ88" s="139">
        <f t="shared" ref="FQ88:FQ119" si="82">IF(EG88="", "", EG88*AH$36)</f>
        <v>0</v>
      </c>
      <c r="FR88" s="139">
        <f t="shared" ref="FR88:FR119" si="83">IF(EH88="", "", EH88*AI$36)</f>
        <v>0</v>
      </c>
      <c r="FS88" s="139">
        <f t="shared" ref="FS88:FS119" si="84">IF(EI88="", "", EI88*AJ$36)</f>
        <v>0</v>
      </c>
      <c r="FT88" s="139">
        <f t="shared" ref="FT88:FT119" si="85">IF(EJ88="", "", EJ88*AK$36)</f>
        <v>0</v>
      </c>
      <c r="FU88" s="148">
        <f t="shared" ref="FU88:FU119" si="86">IF(EP88="","",SUM(EP88:FT88))</f>
        <v>94.145734964040969</v>
      </c>
      <c r="FV88" s="149"/>
      <c r="FY88" s="211">
        <v>83</v>
      </c>
      <c r="FZ88">
        <v>123.23178183487812</v>
      </c>
      <c r="GA88">
        <v>173.5817934344478</v>
      </c>
      <c r="GB88">
        <v>59.174432043394759</v>
      </c>
      <c r="GC88">
        <v>38.20934881848369</v>
      </c>
      <c r="GD88">
        <v>47.549991626275471</v>
      </c>
      <c r="GE88">
        <v>76.592165962231519</v>
      </c>
      <c r="GF88">
        <v>52.63310834595049</v>
      </c>
      <c r="GG88">
        <v>44.675896334023335</v>
      </c>
      <c r="GH88">
        <v>66.404799340967415</v>
      </c>
      <c r="GI88">
        <v>87.245238254318124</v>
      </c>
      <c r="GJ88"/>
      <c r="GK88"/>
      <c r="GL88"/>
      <c r="GM88"/>
    </row>
    <row r="89" spans="1:195" s="7" customFormat="1">
      <c r="A89" s="115"/>
      <c r="B89" s="76">
        <f ca="1">IF(C89="", "", RAND())</f>
        <v>0.50847029140153976</v>
      </c>
      <c r="C89">
        <v>1</v>
      </c>
      <c r="D89">
        <v>39646</v>
      </c>
      <c r="E89">
        <v>0</v>
      </c>
      <c r="F89">
        <v>0</v>
      </c>
      <c r="G89">
        <v>93.75</v>
      </c>
      <c r="H89">
        <v>83.333333333333329</v>
      </c>
      <c r="I89">
        <v>52.083333333333336</v>
      </c>
      <c r="J89">
        <v>0</v>
      </c>
      <c r="K89">
        <v>10.416666666666666</v>
      </c>
      <c r="L89">
        <v>0</v>
      </c>
      <c r="M89">
        <v>10.416666666666666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234.48661943183683</v>
      </c>
      <c r="AO89">
        <v>118.56993733955122</v>
      </c>
      <c r="AP89">
        <v>481.27929280199714</v>
      </c>
      <c r="AQ89">
        <v>641.91954170253928</v>
      </c>
      <c r="AR89">
        <v>111.71430755802953</v>
      </c>
      <c r="AS89">
        <v>1102.2623825460646</v>
      </c>
      <c r="AT89">
        <v>55.136408969193589</v>
      </c>
      <c r="AU89">
        <v>133.68678861009741</v>
      </c>
      <c r="AV89"/>
      <c r="AW89"/>
      <c r="AX89" s="150"/>
      <c r="AY89" s="76">
        <f t="shared" ref="AY89:AY151" ca="1" si="87">IF(AZ89="", "", RAND())</f>
        <v>0.99373356661000667</v>
      </c>
      <c r="AZ89">
        <v>2</v>
      </c>
      <c r="BA89" s="129">
        <f t="shared" ref="BA89:BA97" si="88">IF(AZ89="", "",$C$4)</f>
        <v>39646</v>
      </c>
      <c r="BB89">
        <v>0</v>
      </c>
      <c r="BC89">
        <v>0</v>
      </c>
      <c r="BD89">
        <v>1</v>
      </c>
      <c r="BE89">
        <v>3</v>
      </c>
      <c r="BF89">
        <v>6</v>
      </c>
      <c r="BG89">
        <v>1</v>
      </c>
      <c r="BH89">
        <v>6</v>
      </c>
      <c r="BI89">
        <v>1</v>
      </c>
      <c r="BJ89">
        <v>3</v>
      </c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 s="147"/>
      <c r="CH89" s="176"/>
      <c r="CJ89" s="150"/>
      <c r="CK89" s="76">
        <f t="shared" ref="CK89:CK152" ca="1" si="89">IF(AZ89="", "", RAND())</f>
        <v>0.14844220506892936</v>
      </c>
      <c r="CL89" s="179">
        <f t="shared" ref="CL89:CL152" si="90">IF(AZ89="", "", AZ89)</f>
        <v>2</v>
      </c>
      <c r="CM89" s="180">
        <f t="shared" ref="CM89:CM152" si="91">IF(AZ89="", "", BA89)</f>
        <v>39646</v>
      </c>
      <c r="CN89">
        <v>0</v>
      </c>
      <c r="CO89"/>
      <c r="CP89"/>
      <c r="CQ89"/>
      <c r="CR89"/>
      <c r="CS89"/>
      <c r="CT89"/>
      <c r="CU89"/>
      <c r="CW89">
        <v>1</v>
      </c>
      <c r="CX89">
        <f>2/1</f>
        <v>2</v>
      </c>
      <c r="CY89" s="158"/>
      <c r="CZ89" s="177">
        <f t="shared" ref="CZ89:CZ152" si="92">IF(AZ89="", "", $G$15)</f>
        <v>9.6000000000000002E-2</v>
      </c>
      <c r="DB89" s="150"/>
      <c r="DC89" s="76">
        <f t="shared" ca="1" si="50"/>
        <v>0.96261944309298997</v>
      </c>
      <c r="DD89">
        <f t="shared" ref="DD89:DD152" si="93">IF(AZ89="", "", AZ89)</f>
        <v>2</v>
      </c>
      <c r="DE89" s="129">
        <f t="shared" si="51"/>
        <v>39646</v>
      </c>
      <c r="DF89" s="161">
        <f t="shared" ref="DF89:DF152" si="94">IF($AZ89="", "", ((BB89*$CW89)+(CN89*$CX89))/$CZ89)</f>
        <v>0</v>
      </c>
      <c r="DG89" s="161">
        <f t="shared" ref="DG89:DG152" si="95">IF($AZ89="", "", ((BC89*$CW89)+(CO89*$CX89))/$CZ89)</f>
        <v>0</v>
      </c>
      <c r="DH89" s="161">
        <f t="shared" ref="DH89:DH152" si="96">IF($AZ89="", "", ((BD89*$CW89)+(CP89*$CX89))/$CZ89)</f>
        <v>10.416666666666666</v>
      </c>
      <c r="DI89" s="161">
        <f t="shared" ref="DI89:DI152" si="97">IF($AZ89="", "", ((BE89*$CW89)+(CQ89*$CX89))/$CZ89)</f>
        <v>31.25</v>
      </c>
      <c r="DJ89" s="161">
        <f t="shared" ref="DJ89:DJ152" si="98">IF($AZ89="", "", ((BF89*$CW89)+(CR89*$CX89))/$CZ89)</f>
        <v>62.5</v>
      </c>
      <c r="DK89" s="161">
        <f t="shared" ref="DK89:DK152" si="99">IF($AZ89="", "", ((BG89*$CW89)+(CS89*$CX89))/$CZ89)</f>
        <v>10.416666666666666</v>
      </c>
      <c r="DL89" s="161">
        <f t="shared" ref="DL89:DL152" si="100">IF($AZ89="", "", ((BH89*$CW89)+(CT89*$CX89))/$CZ89)</f>
        <v>62.5</v>
      </c>
      <c r="DM89" s="161">
        <f t="shared" ref="DM89:DM152" si="101">IF($AZ89="", "", ((BI89*$CW89)+(CU89*$CX89))/$CZ89)</f>
        <v>10.416666666666666</v>
      </c>
      <c r="DN89" s="161">
        <f t="shared" ref="DN89:DN152" si="102">IF($AZ89="", "", (BJ89*$CW89)/$CZ89)</f>
        <v>31.25</v>
      </c>
      <c r="DO89" s="161">
        <f t="shared" ref="DO89:DO152" si="103">IF($AZ89="", "", (BK89*$CW89)/$CZ89)</f>
        <v>0</v>
      </c>
      <c r="DP89" s="161">
        <f t="shared" ref="DP89:DP152" si="104">IF($AZ89="", "", (BL89*$CW89)/$CZ89)</f>
        <v>0</v>
      </c>
      <c r="DQ89" s="161">
        <f t="shared" ref="DQ89:DQ152" si="105">IF($AZ89="", "", (BM89*$CW89)/$CZ89)</f>
        <v>0</v>
      </c>
      <c r="DR89" s="161">
        <f t="shared" ref="DR89:DR152" si="106">IF($AZ89="", "", (BN89*$CW89)/$CZ89)</f>
        <v>0</v>
      </c>
      <c r="DS89" s="161">
        <f t="shared" ref="DS89:DS152" si="107">IF($AZ89="", "", (BO89*$CW89)/$CZ89)</f>
        <v>0</v>
      </c>
      <c r="DT89" s="161">
        <f t="shared" ref="DT89:DT152" si="108">IF($AZ89="", "", (BP89*$CW89)/$CZ89)</f>
        <v>0</v>
      </c>
      <c r="DU89" s="161">
        <f t="shared" ref="DU89:DU152" si="109">IF($AZ89="", "", (BQ89*$CW89)/$CZ89)</f>
        <v>0</v>
      </c>
      <c r="DV89" s="161">
        <f t="shared" ref="DV89:DV152" si="110">IF($AZ89="", "", (BR89*$CW89)/$CZ89)</f>
        <v>0</v>
      </c>
      <c r="DW89" s="161">
        <f t="shared" ref="DW89:DW152" si="111">IF($AZ89="", "", (BS89*$CW89)/$CZ89)</f>
        <v>0</v>
      </c>
      <c r="DX89" s="161">
        <f t="shared" ref="DX89:DX152" si="112">IF($AZ89="", "", (BT89*$CW89)/$CZ89)</f>
        <v>0</v>
      </c>
      <c r="DY89" s="161">
        <f t="shared" ref="DY89:DY152" si="113">IF($AZ89="", "", (BU89*$CW89)/$CZ89)</f>
        <v>0</v>
      </c>
      <c r="DZ89" s="161">
        <f t="shared" ref="DZ89:DZ152" si="114">IF($AZ89="", "", (BV89*$CW89)/$CZ89)</f>
        <v>0</v>
      </c>
      <c r="EA89" s="161">
        <f t="shared" ref="EA89:EA152" si="115">IF($AZ89="", "", (BW89*$CW89)/$CZ89)</f>
        <v>0</v>
      </c>
      <c r="EB89" s="161">
        <f t="shared" ref="EB89:EB152" si="116">IF($AZ89="", "", (BX89*$CW89)/$CZ89)</f>
        <v>0</v>
      </c>
      <c r="EC89" s="161">
        <f t="shared" ref="EC89:EC152" si="117">IF($AZ89="", "", (BY89*$CW89)/$CZ89)</f>
        <v>0</v>
      </c>
      <c r="ED89" s="161">
        <f t="shared" ref="ED89:ED152" si="118">IF($AZ89="", "", (BZ89*$CW89)/$CZ89)</f>
        <v>0</v>
      </c>
      <c r="EE89" s="161">
        <f t="shared" ref="EE89:EE152" si="119">IF($AZ89="", "", (CA89*$CW89)/$CZ89)</f>
        <v>0</v>
      </c>
      <c r="EF89" s="161">
        <f t="shared" ref="EF89:EF152" si="120">IF($AZ89="", "", (CB89*$CW89)/$CZ89)</f>
        <v>0</v>
      </c>
      <c r="EG89" s="161">
        <f t="shared" ref="EG89:EG152" si="121">IF($AZ89="", "", (CC89*$CW89)/$CZ89)</f>
        <v>0</v>
      </c>
      <c r="EH89" s="161">
        <f t="shared" ref="EH89:EH152" si="122">IF($AZ89="", "", (CD89*$CW89)/$CZ89)</f>
        <v>0</v>
      </c>
      <c r="EI89" s="161">
        <f t="shared" ref="EI89:EI152" si="123">IF($AZ89="", "", (CE89*$CW89)/$CZ89)</f>
        <v>0</v>
      </c>
      <c r="EJ89" s="161">
        <f t="shared" ref="EJ89:EJ152" si="124">IF($AZ89="", "", (CF89*$CW89)/$CZ89)</f>
        <v>0</v>
      </c>
      <c r="EK89" s="147">
        <f t="shared" si="54"/>
        <v>218.74999999999997</v>
      </c>
      <c r="EL89" s="149"/>
      <c r="EN89" s="150"/>
      <c r="EO89" s="150"/>
      <c r="EP89" s="139">
        <f t="shared" si="55"/>
        <v>0</v>
      </c>
      <c r="EQ89" s="139">
        <f t="shared" si="56"/>
        <v>0</v>
      </c>
      <c r="ER89" s="139">
        <f t="shared" si="57"/>
        <v>0.76287614772934675</v>
      </c>
      <c r="ES89" s="139">
        <f t="shared" si="58"/>
        <v>6.7485532484778545</v>
      </c>
      <c r="ET89" s="139">
        <f t="shared" si="59"/>
        <v>29.070485518721753</v>
      </c>
      <c r="EU89" s="139">
        <f t="shared" si="60"/>
        <v>8.7853696509678922</v>
      </c>
      <c r="EV89" s="139">
        <f t="shared" si="61"/>
        <v>85.721087696050759</v>
      </c>
      <c r="EW89" s="139">
        <f t="shared" si="62"/>
        <v>21.551798137789032</v>
      </c>
      <c r="EX89" s="139">
        <f t="shared" si="63"/>
        <v>92.314365270777969</v>
      </c>
      <c r="EY89" s="139">
        <f t="shared" si="64"/>
        <v>0</v>
      </c>
      <c r="EZ89" s="139">
        <f t="shared" si="65"/>
        <v>0</v>
      </c>
      <c r="FA89" s="139">
        <f t="shared" si="66"/>
        <v>0</v>
      </c>
      <c r="FB89" s="139">
        <f t="shared" si="67"/>
        <v>0</v>
      </c>
      <c r="FC89" s="139">
        <f t="shared" si="68"/>
        <v>0</v>
      </c>
      <c r="FD89" s="139">
        <f t="shared" si="69"/>
        <v>0</v>
      </c>
      <c r="FE89" s="139">
        <f t="shared" si="70"/>
        <v>0</v>
      </c>
      <c r="FF89" s="139">
        <f t="shared" si="71"/>
        <v>0</v>
      </c>
      <c r="FG89" s="139">
        <f t="shared" si="72"/>
        <v>0</v>
      </c>
      <c r="FH89" s="139">
        <f t="shared" si="73"/>
        <v>0</v>
      </c>
      <c r="FI89" s="139">
        <f t="shared" si="74"/>
        <v>0</v>
      </c>
      <c r="FJ89" s="139">
        <f t="shared" si="75"/>
        <v>0</v>
      </c>
      <c r="FK89" s="139">
        <f t="shared" si="76"/>
        <v>0</v>
      </c>
      <c r="FL89" s="139">
        <f t="shared" si="77"/>
        <v>0</v>
      </c>
      <c r="FM89" s="139">
        <f t="shared" si="78"/>
        <v>0</v>
      </c>
      <c r="FN89" s="139">
        <f t="shared" si="79"/>
        <v>0</v>
      </c>
      <c r="FO89" s="139">
        <f t="shared" si="80"/>
        <v>0</v>
      </c>
      <c r="FP89" s="139">
        <f t="shared" si="81"/>
        <v>0</v>
      </c>
      <c r="FQ89" s="139">
        <f t="shared" si="82"/>
        <v>0</v>
      </c>
      <c r="FR89" s="139">
        <f t="shared" si="83"/>
        <v>0</v>
      </c>
      <c r="FS89" s="139">
        <f t="shared" si="84"/>
        <v>0</v>
      </c>
      <c r="FT89" s="139">
        <f t="shared" si="85"/>
        <v>0</v>
      </c>
      <c r="FU89" s="148">
        <f t="shared" si="86"/>
        <v>244.95453567051459</v>
      </c>
      <c r="FV89" s="149"/>
      <c r="FY89" s="211">
        <v>84</v>
      </c>
      <c r="FZ89">
        <v>123.133513628836</v>
      </c>
      <c r="GA89">
        <v>147.71512162452396</v>
      </c>
      <c r="GB89">
        <v>67.392674801807672</v>
      </c>
      <c r="GC89">
        <v>59.022504737698597</v>
      </c>
      <c r="GD89">
        <v>70.895599031902478</v>
      </c>
      <c r="GE89">
        <v>152.70355805464354</v>
      </c>
      <c r="GF89">
        <v>173.98715484971703</v>
      </c>
      <c r="GG89">
        <v>69.597933452668286</v>
      </c>
      <c r="GH89">
        <v>38.646989245975192</v>
      </c>
      <c r="GI89">
        <v>128.03668495991732</v>
      </c>
      <c r="GJ89"/>
      <c r="GK89"/>
      <c r="GL89"/>
      <c r="GM89"/>
    </row>
    <row r="90" spans="1:195" s="7" customFormat="1">
      <c r="A90" s="115"/>
      <c r="B90" s="76">
        <f ca="1">IF(C90="", "", RAND())</f>
        <v>0.62877867321216829</v>
      </c>
      <c r="C90">
        <v>7</v>
      </c>
      <c r="D90">
        <v>39646</v>
      </c>
      <c r="E90">
        <v>0</v>
      </c>
      <c r="F90">
        <v>0</v>
      </c>
      <c r="G90">
        <v>0</v>
      </c>
      <c r="H90">
        <v>31.25</v>
      </c>
      <c r="I90">
        <v>20.833333333333332</v>
      </c>
      <c r="J90">
        <v>0</v>
      </c>
      <c r="K90">
        <v>10.416666666666666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304.84555495800572</v>
      </c>
      <c r="AO90">
        <v>169.8579886454358</v>
      </c>
      <c r="AP90">
        <v>761.61101312685878</v>
      </c>
      <c r="AQ90">
        <v>906.5221746443118</v>
      </c>
      <c r="AR90">
        <v>160.68258204944789</v>
      </c>
      <c r="AS90">
        <v>1674.5882984408522</v>
      </c>
      <c r="AT90">
        <v>75.865264228278605</v>
      </c>
      <c r="AU90">
        <v>167.87438252754248</v>
      </c>
      <c r="AV90"/>
      <c r="AW90"/>
      <c r="AX90" s="150"/>
      <c r="AY90" s="76">
        <f t="shared" ca="1" si="87"/>
        <v>0.46098153149272214</v>
      </c>
      <c r="AZ90">
        <v>3</v>
      </c>
      <c r="BA90" s="129">
        <f t="shared" si="88"/>
        <v>39646</v>
      </c>
      <c r="BB90">
        <v>0</v>
      </c>
      <c r="BC90">
        <v>0</v>
      </c>
      <c r="BD90">
        <v>1</v>
      </c>
      <c r="BE90">
        <v>3</v>
      </c>
      <c r="BF90">
        <v>0</v>
      </c>
      <c r="BG90">
        <v>2</v>
      </c>
      <c r="BH90">
        <v>1</v>
      </c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 s="147"/>
      <c r="CH90" s="176"/>
      <c r="CJ90" s="150"/>
      <c r="CK90" s="76">
        <f t="shared" ca="1" si="89"/>
        <v>0.14466955935226355</v>
      </c>
      <c r="CL90" s="179">
        <f t="shared" si="90"/>
        <v>3</v>
      </c>
      <c r="CM90" s="180">
        <f t="shared" si="91"/>
        <v>39646</v>
      </c>
      <c r="CN90">
        <v>0</v>
      </c>
      <c r="CO90">
        <v>0</v>
      </c>
      <c r="CP90">
        <v>0</v>
      </c>
      <c r="CQ90">
        <v>1</v>
      </c>
      <c r="CR90"/>
      <c r="CS90"/>
      <c r="CT90"/>
      <c r="CU90"/>
      <c r="CW90">
        <v>1</v>
      </c>
      <c r="CX90">
        <v>1</v>
      </c>
      <c r="CY90" s="158"/>
      <c r="CZ90" s="177">
        <f t="shared" si="92"/>
        <v>9.6000000000000002E-2</v>
      </c>
      <c r="DB90" s="150"/>
      <c r="DC90" s="76">
        <f t="shared" ca="1" si="50"/>
        <v>0.53716340982541477</v>
      </c>
      <c r="DD90">
        <f t="shared" si="93"/>
        <v>3</v>
      </c>
      <c r="DE90" s="129">
        <f t="shared" si="51"/>
        <v>39646</v>
      </c>
      <c r="DF90" s="161">
        <f t="shared" si="94"/>
        <v>0</v>
      </c>
      <c r="DG90" s="161">
        <f t="shared" si="95"/>
        <v>0</v>
      </c>
      <c r="DH90" s="161">
        <f t="shared" si="96"/>
        <v>10.416666666666666</v>
      </c>
      <c r="DI90" s="161">
        <f t="shared" si="97"/>
        <v>41.666666666666664</v>
      </c>
      <c r="DJ90" s="161">
        <f t="shared" si="98"/>
        <v>0</v>
      </c>
      <c r="DK90" s="161">
        <f t="shared" si="99"/>
        <v>20.833333333333332</v>
      </c>
      <c r="DL90" s="161">
        <f t="shared" si="100"/>
        <v>10.416666666666666</v>
      </c>
      <c r="DM90" s="161">
        <f t="shared" si="101"/>
        <v>0</v>
      </c>
      <c r="DN90" s="161">
        <f t="shared" si="102"/>
        <v>0</v>
      </c>
      <c r="DO90" s="161">
        <f t="shared" si="103"/>
        <v>0</v>
      </c>
      <c r="DP90" s="161">
        <f t="shared" si="104"/>
        <v>0</v>
      </c>
      <c r="DQ90" s="161">
        <f t="shared" si="105"/>
        <v>0</v>
      </c>
      <c r="DR90" s="161">
        <f t="shared" si="106"/>
        <v>0</v>
      </c>
      <c r="DS90" s="161">
        <f t="shared" si="107"/>
        <v>0</v>
      </c>
      <c r="DT90" s="161">
        <f t="shared" si="108"/>
        <v>0</v>
      </c>
      <c r="DU90" s="161">
        <f t="shared" si="109"/>
        <v>0</v>
      </c>
      <c r="DV90" s="161">
        <f t="shared" si="110"/>
        <v>0</v>
      </c>
      <c r="DW90" s="161">
        <f t="shared" si="111"/>
        <v>0</v>
      </c>
      <c r="DX90" s="161">
        <f t="shared" si="112"/>
        <v>0</v>
      </c>
      <c r="DY90" s="161">
        <f t="shared" si="113"/>
        <v>0</v>
      </c>
      <c r="DZ90" s="161">
        <f t="shared" si="114"/>
        <v>0</v>
      </c>
      <c r="EA90" s="161">
        <f t="shared" si="115"/>
        <v>0</v>
      </c>
      <c r="EB90" s="161">
        <f t="shared" si="116"/>
        <v>0</v>
      </c>
      <c r="EC90" s="161">
        <f t="shared" si="117"/>
        <v>0</v>
      </c>
      <c r="ED90" s="161">
        <f t="shared" si="118"/>
        <v>0</v>
      </c>
      <c r="EE90" s="161">
        <f t="shared" si="119"/>
        <v>0</v>
      </c>
      <c r="EF90" s="161">
        <f t="shared" si="120"/>
        <v>0</v>
      </c>
      <c r="EG90" s="161">
        <f t="shared" si="121"/>
        <v>0</v>
      </c>
      <c r="EH90" s="161">
        <f t="shared" si="122"/>
        <v>0</v>
      </c>
      <c r="EI90" s="161">
        <f t="shared" si="123"/>
        <v>0</v>
      </c>
      <c r="EJ90" s="161">
        <f t="shared" si="124"/>
        <v>0</v>
      </c>
      <c r="EK90" s="147">
        <f t="shared" si="54"/>
        <v>83.333333333333329</v>
      </c>
      <c r="EL90" s="149"/>
      <c r="EN90" s="150"/>
      <c r="EO90" s="150"/>
      <c r="EP90" s="139">
        <f t="shared" si="55"/>
        <v>0</v>
      </c>
      <c r="EQ90" s="139">
        <f t="shared" si="56"/>
        <v>0</v>
      </c>
      <c r="ER90" s="139">
        <f t="shared" si="57"/>
        <v>0.76287614772934675</v>
      </c>
      <c r="ES90" s="139">
        <f t="shared" si="58"/>
        <v>8.9980709979704727</v>
      </c>
      <c r="ET90" s="139">
        <f t="shared" si="59"/>
        <v>0</v>
      </c>
      <c r="EU90" s="139">
        <f t="shared" si="60"/>
        <v>17.570739301935784</v>
      </c>
      <c r="EV90" s="139">
        <f t="shared" si="61"/>
        <v>14.286847949341793</v>
      </c>
      <c r="EW90" s="139">
        <f t="shared" si="62"/>
        <v>0</v>
      </c>
      <c r="EX90" s="139">
        <f t="shared" si="63"/>
        <v>0</v>
      </c>
      <c r="EY90" s="139">
        <f t="shared" si="64"/>
        <v>0</v>
      </c>
      <c r="EZ90" s="139">
        <f t="shared" si="65"/>
        <v>0</v>
      </c>
      <c r="FA90" s="139">
        <f t="shared" si="66"/>
        <v>0</v>
      </c>
      <c r="FB90" s="139">
        <f t="shared" si="67"/>
        <v>0</v>
      </c>
      <c r="FC90" s="139">
        <f t="shared" si="68"/>
        <v>0</v>
      </c>
      <c r="FD90" s="139">
        <f t="shared" si="69"/>
        <v>0</v>
      </c>
      <c r="FE90" s="139">
        <f t="shared" si="70"/>
        <v>0</v>
      </c>
      <c r="FF90" s="139">
        <f t="shared" si="71"/>
        <v>0</v>
      </c>
      <c r="FG90" s="139">
        <f t="shared" si="72"/>
        <v>0</v>
      </c>
      <c r="FH90" s="139">
        <f t="shared" si="73"/>
        <v>0</v>
      </c>
      <c r="FI90" s="139">
        <f t="shared" si="74"/>
        <v>0</v>
      </c>
      <c r="FJ90" s="139">
        <f t="shared" si="75"/>
        <v>0</v>
      </c>
      <c r="FK90" s="139">
        <f t="shared" si="76"/>
        <v>0</v>
      </c>
      <c r="FL90" s="139">
        <f t="shared" si="77"/>
        <v>0</v>
      </c>
      <c r="FM90" s="139">
        <f t="shared" si="78"/>
        <v>0</v>
      </c>
      <c r="FN90" s="139">
        <f t="shared" si="79"/>
        <v>0</v>
      </c>
      <c r="FO90" s="139">
        <f t="shared" si="80"/>
        <v>0</v>
      </c>
      <c r="FP90" s="139">
        <f t="shared" si="81"/>
        <v>0</v>
      </c>
      <c r="FQ90" s="139">
        <f t="shared" si="82"/>
        <v>0</v>
      </c>
      <c r="FR90" s="139">
        <f t="shared" si="83"/>
        <v>0</v>
      </c>
      <c r="FS90" s="139">
        <f t="shared" si="84"/>
        <v>0</v>
      </c>
      <c r="FT90" s="139">
        <f t="shared" si="85"/>
        <v>0</v>
      </c>
      <c r="FU90" s="148">
        <f t="shared" si="86"/>
        <v>41.618534396977395</v>
      </c>
      <c r="FV90" s="149"/>
      <c r="FY90" s="211">
        <v>85</v>
      </c>
      <c r="FZ90">
        <v>121.4059020363141</v>
      </c>
      <c r="GA90">
        <v>143.49047586212362</v>
      </c>
      <c r="GB90">
        <v>63.611449140185414</v>
      </c>
      <c r="GC90">
        <v>46.607201450481774</v>
      </c>
      <c r="GD90">
        <v>43.138642421357744</v>
      </c>
      <c r="GE90">
        <v>65.644931278590875</v>
      </c>
      <c r="GF90">
        <v>67.150732629928015</v>
      </c>
      <c r="GG90">
        <v>84.59161903952949</v>
      </c>
      <c r="GH90">
        <v>90.716716749364934</v>
      </c>
      <c r="GI90">
        <v>91.580136540937104</v>
      </c>
      <c r="GJ90"/>
      <c r="GK90"/>
      <c r="GL90"/>
      <c r="GM90"/>
    </row>
    <row r="91" spans="1:195" s="7" customFormat="1">
      <c r="A91" s="77"/>
      <c r="B91" s="76">
        <f ca="1">IF(C91="", "", RAND())</f>
        <v>0.17474533578360352</v>
      </c>
      <c r="C91">
        <v>9</v>
      </c>
      <c r="D91">
        <v>39646</v>
      </c>
      <c r="E91">
        <v>0</v>
      </c>
      <c r="F91">
        <v>0</v>
      </c>
      <c r="G91">
        <v>10.416666666666666</v>
      </c>
      <c r="H91">
        <v>20.833333333333332</v>
      </c>
      <c r="I91">
        <v>31.25</v>
      </c>
      <c r="J91">
        <v>10.416666666666666</v>
      </c>
      <c r="K91">
        <v>10.416666666666666</v>
      </c>
      <c r="L91">
        <v>10.416666666666666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237.02142671442257</v>
      </c>
      <c r="AO91">
        <v>131.66920816298085</v>
      </c>
      <c r="AP91">
        <v>378.47844595534019</v>
      </c>
      <c r="AQ91">
        <v>761.1331546040775</v>
      </c>
      <c r="AR91">
        <v>126.20110562578336</v>
      </c>
      <c r="AS91">
        <v>1293.6520377716447</v>
      </c>
      <c r="AT91">
        <v>63.799072973211388</v>
      </c>
      <c r="AU91">
        <v>-0.29049621898911937</v>
      </c>
      <c r="AV91"/>
      <c r="AW91"/>
      <c r="AX91" s="151"/>
      <c r="AY91" s="76">
        <f t="shared" ca="1" si="87"/>
        <v>0.64656377295996537</v>
      </c>
      <c r="AZ91">
        <v>4</v>
      </c>
      <c r="BA91" s="129">
        <f t="shared" si="88"/>
        <v>39646</v>
      </c>
      <c r="BB91">
        <v>0</v>
      </c>
      <c r="BC91">
        <v>0</v>
      </c>
      <c r="BD91">
        <v>0</v>
      </c>
      <c r="BE91">
        <v>12</v>
      </c>
      <c r="BF91">
        <v>4</v>
      </c>
      <c r="BG91">
        <v>0</v>
      </c>
      <c r="BH91">
        <v>2</v>
      </c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 s="147"/>
      <c r="CH91" s="176"/>
      <c r="CJ91" s="151"/>
      <c r="CK91" s="76">
        <f t="shared" ca="1" si="89"/>
        <v>0.68609209019732997</v>
      </c>
      <c r="CL91" s="179">
        <f t="shared" si="90"/>
        <v>4</v>
      </c>
      <c r="CM91" s="180">
        <f t="shared" si="91"/>
        <v>39646</v>
      </c>
      <c r="CN91">
        <v>0</v>
      </c>
      <c r="CO91">
        <v>0</v>
      </c>
      <c r="CP91">
        <v>2</v>
      </c>
      <c r="CQ91"/>
      <c r="CR91"/>
      <c r="CS91"/>
      <c r="CT91"/>
      <c r="CU91"/>
      <c r="CW91">
        <v>1</v>
      </c>
      <c r="CX91">
        <v>1</v>
      </c>
      <c r="CY91" s="158"/>
      <c r="CZ91" s="177">
        <f t="shared" si="92"/>
        <v>9.6000000000000002E-2</v>
      </c>
      <c r="DB91" s="151"/>
      <c r="DC91" s="76">
        <f t="shared" ca="1" si="50"/>
        <v>0.94093619991394584</v>
      </c>
      <c r="DD91">
        <f t="shared" si="93"/>
        <v>4</v>
      </c>
      <c r="DE91" s="129">
        <f t="shared" si="51"/>
        <v>39646</v>
      </c>
      <c r="DF91" s="161">
        <f t="shared" si="94"/>
        <v>0</v>
      </c>
      <c r="DG91" s="161">
        <f t="shared" si="95"/>
        <v>0</v>
      </c>
      <c r="DH91" s="161">
        <f t="shared" si="96"/>
        <v>20.833333333333332</v>
      </c>
      <c r="DI91" s="161">
        <f t="shared" si="97"/>
        <v>125</v>
      </c>
      <c r="DJ91" s="161">
        <f t="shared" si="98"/>
        <v>41.666666666666664</v>
      </c>
      <c r="DK91" s="161">
        <f t="shared" si="99"/>
        <v>0</v>
      </c>
      <c r="DL91" s="161">
        <f t="shared" si="100"/>
        <v>20.833333333333332</v>
      </c>
      <c r="DM91" s="161">
        <f t="shared" si="101"/>
        <v>0</v>
      </c>
      <c r="DN91" s="161">
        <f t="shared" si="102"/>
        <v>0</v>
      </c>
      <c r="DO91" s="161">
        <f t="shared" si="103"/>
        <v>0</v>
      </c>
      <c r="DP91" s="161">
        <f t="shared" si="104"/>
        <v>0</v>
      </c>
      <c r="DQ91" s="161">
        <f t="shared" si="105"/>
        <v>0</v>
      </c>
      <c r="DR91" s="161">
        <f t="shared" si="106"/>
        <v>0</v>
      </c>
      <c r="DS91" s="161">
        <f t="shared" si="107"/>
        <v>0</v>
      </c>
      <c r="DT91" s="161">
        <f t="shared" si="108"/>
        <v>0</v>
      </c>
      <c r="DU91" s="161">
        <f t="shared" si="109"/>
        <v>0</v>
      </c>
      <c r="DV91" s="161">
        <f t="shared" si="110"/>
        <v>0</v>
      </c>
      <c r="DW91" s="161">
        <f t="shared" si="111"/>
        <v>0</v>
      </c>
      <c r="DX91" s="161">
        <f t="shared" si="112"/>
        <v>0</v>
      </c>
      <c r="DY91" s="161">
        <f t="shared" si="113"/>
        <v>0</v>
      </c>
      <c r="DZ91" s="161">
        <f t="shared" si="114"/>
        <v>0</v>
      </c>
      <c r="EA91" s="161">
        <f t="shared" si="115"/>
        <v>0</v>
      </c>
      <c r="EB91" s="161">
        <f t="shared" si="116"/>
        <v>0</v>
      </c>
      <c r="EC91" s="161">
        <f t="shared" si="117"/>
        <v>0</v>
      </c>
      <c r="ED91" s="161">
        <f t="shared" si="118"/>
        <v>0</v>
      </c>
      <c r="EE91" s="161">
        <f t="shared" si="119"/>
        <v>0</v>
      </c>
      <c r="EF91" s="161">
        <f t="shared" si="120"/>
        <v>0</v>
      </c>
      <c r="EG91" s="161">
        <f t="shared" si="121"/>
        <v>0</v>
      </c>
      <c r="EH91" s="161">
        <f t="shared" si="122"/>
        <v>0</v>
      </c>
      <c r="EI91" s="161">
        <f t="shared" si="123"/>
        <v>0</v>
      </c>
      <c r="EJ91" s="161">
        <f t="shared" si="124"/>
        <v>0</v>
      </c>
      <c r="EK91" s="147">
        <f t="shared" si="54"/>
        <v>208.33333333333334</v>
      </c>
      <c r="EL91" s="149"/>
      <c r="EN91" s="151"/>
      <c r="EO91" s="151"/>
      <c r="EP91" s="139">
        <f t="shared" si="55"/>
        <v>0</v>
      </c>
      <c r="EQ91" s="139">
        <f t="shared" si="56"/>
        <v>0</v>
      </c>
      <c r="ER91" s="139">
        <f t="shared" si="57"/>
        <v>1.5257522954586935</v>
      </c>
      <c r="ES91" s="139">
        <f t="shared" si="58"/>
        <v>26.994212993911418</v>
      </c>
      <c r="ET91" s="139">
        <f t="shared" si="59"/>
        <v>19.380323679147835</v>
      </c>
      <c r="EU91" s="139">
        <f t="shared" si="60"/>
        <v>0</v>
      </c>
      <c r="EV91" s="139">
        <f t="shared" si="61"/>
        <v>28.573695898683585</v>
      </c>
      <c r="EW91" s="139">
        <f t="shared" si="62"/>
        <v>0</v>
      </c>
      <c r="EX91" s="139">
        <f t="shared" si="63"/>
        <v>0</v>
      </c>
      <c r="EY91" s="139">
        <f t="shared" si="64"/>
        <v>0</v>
      </c>
      <c r="EZ91" s="139">
        <f t="shared" si="65"/>
        <v>0</v>
      </c>
      <c r="FA91" s="139">
        <f t="shared" si="66"/>
        <v>0</v>
      </c>
      <c r="FB91" s="139">
        <f t="shared" si="67"/>
        <v>0</v>
      </c>
      <c r="FC91" s="139">
        <f t="shared" si="68"/>
        <v>0</v>
      </c>
      <c r="FD91" s="139">
        <f t="shared" si="69"/>
        <v>0</v>
      </c>
      <c r="FE91" s="139">
        <f t="shared" si="70"/>
        <v>0</v>
      </c>
      <c r="FF91" s="139">
        <f t="shared" si="71"/>
        <v>0</v>
      </c>
      <c r="FG91" s="139">
        <f t="shared" si="72"/>
        <v>0</v>
      </c>
      <c r="FH91" s="139">
        <f t="shared" si="73"/>
        <v>0</v>
      </c>
      <c r="FI91" s="139">
        <f t="shared" si="74"/>
        <v>0</v>
      </c>
      <c r="FJ91" s="139">
        <f t="shared" si="75"/>
        <v>0</v>
      </c>
      <c r="FK91" s="139">
        <f t="shared" si="76"/>
        <v>0</v>
      </c>
      <c r="FL91" s="139">
        <f t="shared" si="77"/>
        <v>0</v>
      </c>
      <c r="FM91" s="139">
        <f t="shared" si="78"/>
        <v>0</v>
      </c>
      <c r="FN91" s="139">
        <f t="shared" si="79"/>
        <v>0</v>
      </c>
      <c r="FO91" s="139">
        <f t="shared" si="80"/>
        <v>0</v>
      </c>
      <c r="FP91" s="139">
        <f t="shared" si="81"/>
        <v>0</v>
      </c>
      <c r="FQ91" s="139">
        <f t="shared" si="82"/>
        <v>0</v>
      </c>
      <c r="FR91" s="139">
        <f t="shared" si="83"/>
        <v>0</v>
      </c>
      <c r="FS91" s="139">
        <f t="shared" si="84"/>
        <v>0</v>
      </c>
      <c r="FT91" s="139">
        <f t="shared" si="85"/>
        <v>0</v>
      </c>
      <c r="FU91" s="148">
        <f t="shared" si="86"/>
        <v>76.473984867201537</v>
      </c>
      <c r="FV91" s="149"/>
      <c r="FY91" s="211">
        <v>86</v>
      </c>
      <c r="FZ91">
        <v>132.95092090031474</v>
      </c>
      <c r="GA91">
        <v>196.0118437258287</v>
      </c>
      <c r="GB91">
        <v>67.18257628784886</v>
      </c>
      <c r="GC91">
        <v>54.238171320612707</v>
      </c>
      <c r="GD91">
        <v>44.18309610347351</v>
      </c>
      <c r="GE91">
        <v>74.005291234894997</v>
      </c>
      <c r="GF91">
        <v>108.90726985867954</v>
      </c>
      <c r="GG91">
        <v>91.625842792461427</v>
      </c>
      <c r="GH91">
        <v>95.643515036045173</v>
      </c>
      <c r="GI91">
        <v>106.17990731726455</v>
      </c>
      <c r="GJ91"/>
      <c r="GK91"/>
      <c r="GL91"/>
      <c r="GM91"/>
    </row>
    <row r="92" spans="1:195" s="7" customFormat="1">
      <c r="A92" s="77"/>
      <c r="B92" s="76">
        <f ca="1">IF(C92="", "", RAND())</f>
        <v>0.86774446441788222</v>
      </c>
      <c r="C92">
        <v>4</v>
      </c>
      <c r="D92">
        <v>39646</v>
      </c>
      <c r="E92">
        <v>0</v>
      </c>
      <c r="F92">
        <v>0</v>
      </c>
      <c r="G92">
        <v>20.833333333333332</v>
      </c>
      <c r="H92">
        <v>125</v>
      </c>
      <c r="I92">
        <v>41.666666666666664</v>
      </c>
      <c r="J92">
        <v>0</v>
      </c>
      <c r="K92">
        <v>20.833333333333332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279.27394278901977</v>
      </c>
      <c r="AO92">
        <v>136.77981954522792</v>
      </c>
      <c r="AP92">
        <v>457.01887520300983</v>
      </c>
      <c r="AQ92">
        <v>771.10915823244</v>
      </c>
      <c r="AR92">
        <v>128.04715528367996</v>
      </c>
      <c r="AS92">
        <v>1401.9831712442597</v>
      </c>
      <c r="AT92">
        <v>59.113687941458387</v>
      </c>
      <c r="AU92">
        <v>58.868640351849024</v>
      </c>
      <c r="AV92"/>
      <c r="AW92"/>
      <c r="AX92" s="151"/>
      <c r="AY92" s="76">
        <f t="shared" ca="1" si="87"/>
        <v>0.28039049551852901</v>
      </c>
      <c r="AZ92">
        <v>5</v>
      </c>
      <c r="BA92" s="129">
        <f t="shared" si="88"/>
        <v>39646</v>
      </c>
      <c r="BB92">
        <v>0</v>
      </c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 s="147"/>
      <c r="CH92" s="176"/>
      <c r="CJ92" s="151"/>
      <c r="CK92" s="76">
        <f t="shared" ca="1" si="89"/>
        <v>0.87741843767337468</v>
      </c>
      <c r="CL92" s="179">
        <f t="shared" si="90"/>
        <v>5</v>
      </c>
      <c r="CM92" s="180">
        <f t="shared" si="91"/>
        <v>39646</v>
      </c>
      <c r="CN92"/>
      <c r="CO92"/>
      <c r="CP92"/>
      <c r="CQ92"/>
      <c r="CR92"/>
      <c r="CS92"/>
      <c r="CT92"/>
      <c r="CU92"/>
      <c r="CW92">
        <v>1</v>
      </c>
      <c r="CX92">
        <v>1</v>
      </c>
      <c r="CY92" s="158"/>
      <c r="CZ92" s="177">
        <f t="shared" si="92"/>
        <v>9.6000000000000002E-2</v>
      </c>
      <c r="DB92" s="151"/>
      <c r="DC92" s="76">
        <f t="shared" ca="1" si="50"/>
        <v>0.10389224757455828</v>
      </c>
      <c r="DD92">
        <f t="shared" si="93"/>
        <v>5</v>
      </c>
      <c r="DE92" s="129">
        <f t="shared" si="51"/>
        <v>39646</v>
      </c>
      <c r="DF92" s="161">
        <f t="shared" si="94"/>
        <v>0</v>
      </c>
      <c r="DG92" s="161">
        <f t="shared" si="95"/>
        <v>0</v>
      </c>
      <c r="DH92" s="161">
        <f t="shared" si="96"/>
        <v>0</v>
      </c>
      <c r="DI92" s="161">
        <f t="shared" si="97"/>
        <v>0</v>
      </c>
      <c r="DJ92" s="161">
        <f t="shared" si="98"/>
        <v>0</v>
      </c>
      <c r="DK92" s="161">
        <f t="shared" si="99"/>
        <v>0</v>
      </c>
      <c r="DL92" s="161">
        <f t="shared" si="100"/>
        <v>0</v>
      </c>
      <c r="DM92" s="161">
        <f t="shared" si="101"/>
        <v>0</v>
      </c>
      <c r="DN92" s="161">
        <f t="shared" si="102"/>
        <v>0</v>
      </c>
      <c r="DO92" s="161">
        <f t="shared" si="103"/>
        <v>0</v>
      </c>
      <c r="DP92" s="161">
        <f t="shared" si="104"/>
        <v>0</v>
      </c>
      <c r="DQ92" s="161">
        <f t="shared" si="105"/>
        <v>0</v>
      </c>
      <c r="DR92" s="161">
        <f t="shared" si="106"/>
        <v>0</v>
      </c>
      <c r="DS92" s="161">
        <f t="shared" si="107"/>
        <v>0</v>
      </c>
      <c r="DT92" s="161">
        <f t="shared" si="108"/>
        <v>0</v>
      </c>
      <c r="DU92" s="161">
        <f t="shared" si="109"/>
        <v>0</v>
      </c>
      <c r="DV92" s="161">
        <f t="shared" si="110"/>
        <v>0</v>
      </c>
      <c r="DW92" s="161">
        <f t="shared" si="111"/>
        <v>0</v>
      </c>
      <c r="DX92" s="161">
        <f t="shared" si="112"/>
        <v>0</v>
      </c>
      <c r="DY92" s="161">
        <f t="shared" si="113"/>
        <v>0</v>
      </c>
      <c r="DZ92" s="161">
        <f t="shared" si="114"/>
        <v>0</v>
      </c>
      <c r="EA92" s="161">
        <f t="shared" si="115"/>
        <v>0</v>
      </c>
      <c r="EB92" s="161">
        <f t="shared" si="116"/>
        <v>0</v>
      </c>
      <c r="EC92" s="161">
        <f t="shared" si="117"/>
        <v>0</v>
      </c>
      <c r="ED92" s="161">
        <f t="shared" si="118"/>
        <v>0</v>
      </c>
      <c r="EE92" s="161">
        <f t="shared" si="119"/>
        <v>0</v>
      </c>
      <c r="EF92" s="161">
        <f t="shared" si="120"/>
        <v>0</v>
      </c>
      <c r="EG92" s="161">
        <f t="shared" si="121"/>
        <v>0</v>
      </c>
      <c r="EH92" s="161">
        <f t="shared" si="122"/>
        <v>0</v>
      </c>
      <c r="EI92" s="161">
        <f t="shared" si="123"/>
        <v>0</v>
      </c>
      <c r="EJ92" s="161">
        <f t="shared" si="124"/>
        <v>0</v>
      </c>
      <c r="EK92" s="147">
        <f t="shared" si="54"/>
        <v>0</v>
      </c>
      <c r="EL92" s="149"/>
      <c r="EN92" s="151"/>
      <c r="EO92" s="151"/>
      <c r="EP92" s="139">
        <f t="shared" si="55"/>
        <v>0</v>
      </c>
      <c r="EQ92" s="139">
        <f t="shared" si="56"/>
        <v>0</v>
      </c>
      <c r="ER92" s="139">
        <f t="shared" si="57"/>
        <v>0</v>
      </c>
      <c r="ES92" s="139">
        <f t="shared" si="58"/>
        <v>0</v>
      </c>
      <c r="ET92" s="139">
        <f t="shared" si="59"/>
        <v>0</v>
      </c>
      <c r="EU92" s="139">
        <f t="shared" si="60"/>
        <v>0</v>
      </c>
      <c r="EV92" s="139">
        <f t="shared" si="61"/>
        <v>0</v>
      </c>
      <c r="EW92" s="139">
        <f t="shared" si="62"/>
        <v>0</v>
      </c>
      <c r="EX92" s="139">
        <f t="shared" si="63"/>
        <v>0</v>
      </c>
      <c r="EY92" s="139">
        <f t="shared" si="64"/>
        <v>0</v>
      </c>
      <c r="EZ92" s="139">
        <f t="shared" si="65"/>
        <v>0</v>
      </c>
      <c r="FA92" s="139">
        <f t="shared" si="66"/>
        <v>0</v>
      </c>
      <c r="FB92" s="139">
        <f t="shared" si="67"/>
        <v>0</v>
      </c>
      <c r="FC92" s="139">
        <f t="shared" si="68"/>
        <v>0</v>
      </c>
      <c r="FD92" s="139">
        <f t="shared" si="69"/>
        <v>0</v>
      </c>
      <c r="FE92" s="139">
        <f t="shared" si="70"/>
        <v>0</v>
      </c>
      <c r="FF92" s="139">
        <f t="shared" si="71"/>
        <v>0</v>
      </c>
      <c r="FG92" s="139">
        <f t="shared" si="72"/>
        <v>0</v>
      </c>
      <c r="FH92" s="139">
        <f t="shared" si="73"/>
        <v>0</v>
      </c>
      <c r="FI92" s="139">
        <f t="shared" si="74"/>
        <v>0</v>
      </c>
      <c r="FJ92" s="139">
        <f t="shared" si="75"/>
        <v>0</v>
      </c>
      <c r="FK92" s="139">
        <f t="shared" si="76"/>
        <v>0</v>
      </c>
      <c r="FL92" s="139">
        <f t="shared" si="77"/>
        <v>0</v>
      </c>
      <c r="FM92" s="139">
        <f t="shared" si="78"/>
        <v>0</v>
      </c>
      <c r="FN92" s="139">
        <f t="shared" si="79"/>
        <v>0</v>
      </c>
      <c r="FO92" s="139">
        <f t="shared" si="80"/>
        <v>0</v>
      </c>
      <c r="FP92" s="139">
        <f t="shared" si="81"/>
        <v>0</v>
      </c>
      <c r="FQ92" s="139">
        <f t="shared" si="82"/>
        <v>0</v>
      </c>
      <c r="FR92" s="139">
        <f t="shared" si="83"/>
        <v>0</v>
      </c>
      <c r="FS92" s="139">
        <f t="shared" si="84"/>
        <v>0</v>
      </c>
      <c r="FT92" s="139">
        <f t="shared" si="85"/>
        <v>0</v>
      </c>
      <c r="FU92" s="148">
        <f t="shared" si="86"/>
        <v>0</v>
      </c>
      <c r="FV92" s="149"/>
      <c r="FY92" s="211">
        <v>87</v>
      </c>
      <c r="FZ92">
        <v>99.765721887619435</v>
      </c>
      <c r="GA92">
        <v>175.5188593534437</v>
      </c>
      <c r="GB92">
        <v>70.348435096573184</v>
      </c>
      <c r="GC92">
        <v>46.126243675972454</v>
      </c>
      <c r="GD92">
        <v>50.941441554529632</v>
      </c>
      <c r="GE92">
        <v>98.433869227251108</v>
      </c>
      <c r="GF92">
        <v>101.47969062212327</v>
      </c>
      <c r="GG92">
        <v>79.470339683153142</v>
      </c>
      <c r="GH92">
        <v>98.072139652922417</v>
      </c>
      <c r="GI92">
        <v>106.32780766205101</v>
      </c>
      <c r="GJ92"/>
      <c r="GK92"/>
      <c r="GL92"/>
      <c r="GM92"/>
    </row>
    <row r="93" spans="1:195" s="7" customFormat="1">
      <c r="A93" s="77"/>
      <c r="B93" s="76">
        <f ca="1">IF(C93="", "", RAND())</f>
        <v>0.97157497688864192</v>
      </c>
      <c r="C93">
        <v>3</v>
      </c>
      <c r="D93">
        <v>39646</v>
      </c>
      <c r="E93">
        <v>0</v>
      </c>
      <c r="F93">
        <v>0</v>
      </c>
      <c r="G93">
        <v>10.416666666666666</v>
      </c>
      <c r="H93">
        <v>41.666666666666664</v>
      </c>
      <c r="I93">
        <v>0</v>
      </c>
      <c r="J93">
        <v>20.833333333333332</v>
      </c>
      <c r="K93">
        <v>10.416666666666666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233.44734147943555</v>
      </c>
      <c r="AO93">
        <v>110.40151702600799</v>
      </c>
      <c r="AP93">
        <v>481.3333794027821</v>
      </c>
      <c r="AQ93">
        <v>632.09289238600638</v>
      </c>
      <c r="AR93">
        <v>102.90549057049142</v>
      </c>
      <c r="AS93">
        <v>1034.4031024508349</v>
      </c>
      <c r="AT93">
        <v>50.128043499031513</v>
      </c>
      <c r="AU93">
        <v>146.60362258913511</v>
      </c>
      <c r="AV93"/>
      <c r="AW93"/>
      <c r="AX93" s="151"/>
      <c r="AY93" s="76">
        <f t="shared" ca="1" si="87"/>
        <v>0.37414342258567923</v>
      </c>
      <c r="AZ93">
        <v>6</v>
      </c>
      <c r="BA93" s="129">
        <f t="shared" si="88"/>
        <v>39646</v>
      </c>
      <c r="BB93">
        <v>0</v>
      </c>
      <c r="BC93">
        <v>0</v>
      </c>
      <c r="BD93">
        <v>0</v>
      </c>
      <c r="BE93">
        <v>2</v>
      </c>
      <c r="BF93">
        <v>2</v>
      </c>
      <c r="BG93">
        <v>1</v>
      </c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 s="147"/>
      <c r="CH93" s="176"/>
      <c r="CJ93" s="151"/>
      <c r="CK93" s="76">
        <f t="shared" ca="1" si="89"/>
        <v>0.90098884122707812</v>
      </c>
      <c r="CL93" s="179">
        <f t="shared" si="90"/>
        <v>6</v>
      </c>
      <c r="CM93" s="180">
        <f t="shared" si="91"/>
        <v>39646</v>
      </c>
      <c r="CN93">
        <v>0</v>
      </c>
      <c r="CO93"/>
      <c r="CP93"/>
      <c r="CQ93"/>
      <c r="CR93"/>
      <c r="CS93"/>
      <c r="CT93"/>
      <c r="CU93"/>
      <c r="CW93">
        <v>1</v>
      </c>
      <c r="CX93">
        <v>2</v>
      </c>
      <c r="CY93" s="159"/>
      <c r="CZ93" s="177">
        <f t="shared" si="92"/>
        <v>9.6000000000000002E-2</v>
      </c>
      <c r="DB93" s="151"/>
      <c r="DC93" s="76">
        <f t="shared" ca="1" si="50"/>
        <v>0.61538623300926032</v>
      </c>
      <c r="DD93">
        <f t="shared" si="93"/>
        <v>6</v>
      </c>
      <c r="DE93" s="129">
        <f t="shared" si="51"/>
        <v>39646</v>
      </c>
      <c r="DF93" s="161">
        <f t="shared" si="94"/>
        <v>0</v>
      </c>
      <c r="DG93" s="161">
        <f t="shared" si="95"/>
        <v>0</v>
      </c>
      <c r="DH93" s="161">
        <f t="shared" si="96"/>
        <v>0</v>
      </c>
      <c r="DI93" s="161">
        <f t="shared" si="97"/>
        <v>20.833333333333332</v>
      </c>
      <c r="DJ93" s="161">
        <f t="shared" si="98"/>
        <v>20.833333333333332</v>
      </c>
      <c r="DK93" s="161">
        <f t="shared" si="99"/>
        <v>10.416666666666666</v>
      </c>
      <c r="DL93" s="161">
        <f t="shared" si="100"/>
        <v>0</v>
      </c>
      <c r="DM93" s="161">
        <f t="shared" si="101"/>
        <v>0</v>
      </c>
      <c r="DN93" s="161">
        <f t="shared" si="102"/>
        <v>0</v>
      </c>
      <c r="DO93" s="161">
        <f t="shared" si="103"/>
        <v>0</v>
      </c>
      <c r="DP93" s="161">
        <f t="shared" si="104"/>
        <v>0</v>
      </c>
      <c r="DQ93" s="161">
        <f t="shared" si="105"/>
        <v>0</v>
      </c>
      <c r="DR93" s="161">
        <f t="shared" si="106"/>
        <v>0</v>
      </c>
      <c r="DS93" s="161">
        <f t="shared" si="107"/>
        <v>0</v>
      </c>
      <c r="DT93" s="161">
        <f t="shared" si="108"/>
        <v>0</v>
      </c>
      <c r="DU93" s="161">
        <f t="shared" si="109"/>
        <v>0</v>
      </c>
      <c r="DV93" s="161">
        <f t="shared" si="110"/>
        <v>0</v>
      </c>
      <c r="DW93" s="161">
        <f t="shared" si="111"/>
        <v>0</v>
      </c>
      <c r="DX93" s="161">
        <f t="shared" si="112"/>
        <v>0</v>
      </c>
      <c r="DY93" s="161">
        <f t="shared" si="113"/>
        <v>0</v>
      </c>
      <c r="DZ93" s="161">
        <f t="shared" si="114"/>
        <v>0</v>
      </c>
      <c r="EA93" s="161">
        <f t="shared" si="115"/>
        <v>0</v>
      </c>
      <c r="EB93" s="161">
        <f t="shared" si="116"/>
        <v>0</v>
      </c>
      <c r="EC93" s="161">
        <f t="shared" si="117"/>
        <v>0</v>
      </c>
      <c r="ED93" s="161">
        <f t="shared" si="118"/>
        <v>0</v>
      </c>
      <c r="EE93" s="161">
        <f t="shared" si="119"/>
        <v>0</v>
      </c>
      <c r="EF93" s="161">
        <f t="shared" si="120"/>
        <v>0</v>
      </c>
      <c r="EG93" s="161">
        <f t="shared" si="121"/>
        <v>0</v>
      </c>
      <c r="EH93" s="161">
        <f t="shared" si="122"/>
        <v>0</v>
      </c>
      <c r="EI93" s="161">
        <f t="shared" si="123"/>
        <v>0</v>
      </c>
      <c r="EJ93" s="161">
        <f t="shared" si="124"/>
        <v>0</v>
      </c>
      <c r="EK93" s="147">
        <f t="shared" si="54"/>
        <v>52.083333333333329</v>
      </c>
      <c r="EL93" s="149"/>
      <c r="EN93" s="151"/>
      <c r="EO93" s="151"/>
      <c r="EP93" s="139">
        <f t="shared" si="55"/>
        <v>0</v>
      </c>
      <c r="EQ93" s="139">
        <f t="shared" si="56"/>
        <v>0</v>
      </c>
      <c r="ER93" s="139">
        <f t="shared" si="57"/>
        <v>0</v>
      </c>
      <c r="ES93" s="139">
        <f t="shared" si="58"/>
        <v>4.4990354989852364</v>
      </c>
      <c r="ET93" s="139">
        <f t="shared" si="59"/>
        <v>9.6901618395739177</v>
      </c>
      <c r="EU93" s="139">
        <f t="shared" si="60"/>
        <v>8.7853696509678922</v>
      </c>
      <c r="EV93" s="139">
        <f t="shared" si="61"/>
        <v>0</v>
      </c>
      <c r="EW93" s="139">
        <f t="shared" si="62"/>
        <v>0</v>
      </c>
      <c r="EX93" s="139">
        <f t="shared" si="63"/>
        <v>0</v>
      </c>
      <c r="EY93" s="139">
        <f t="shared" si="64"/>
        <v>0</v>
      </c>
      <c r="EZ93" s="139">
        <f t="shared" si="65"/>
        <v>0</v>
      </c>
      <c r="FA93" s="139">
        <f t="shared" si="66"/>
        <v>0</v>
      </c>
      <c r="FB93" s="139">
        <f t="shared" si="67"/>
        <v>0</v>
      </c>
      <c r="FC93" s="139">
        <f t="shared" si="68"/>
        <v>0</v>
      </c>
      <c r="FD93" s="139">
        <f t="shared" si="69"/>
        <v>0</v>
      </c>
      <c r="FE93" s="139">
        <f t="shared" si="70"/>
        <v>0</v>
      </c>
      <c r="FF93" s="139">
        <f t="shared" si="71"/>
        <v>0</v>
      </c>
      <c r="FG93" s="139">
        <f t="shared" si="72"/>
        <v>0</v>
      </c>
      <c r="FH93" s="139">
        <f t="shared" si="73"/>
        <v>0</v>
      </c>
      <c r="FI93" s="139">
        <f t="shared" si="74"/>
        <v>0</v>
      </c>
      <c r="FJ93" s="139">
        <f t="shared" si="75"/>
        <v>0</v>
      </c>
      <c r="FK93" s="139">
        <f t="shared" si="76"/>
        <v>0</v>
      </c>
      <c r="FL93" s="139">
        <f t="shared" si="77"/>
        <v>0</v>
      </c>
      <c r="FM93" s="139">
        <f t="shared" si="78"/>
        <v>0</v>
      </c>
      <c r="FN93" s="139">
        <f t="shared" si="79"/>
        <v>0</v>
      </c>
      <c r="FO93" s="139">
        <f t="shared" si="80"/>
        <v>0</v>
      </c>
      <c r="FP93" s="139">
        <f t="shared" si="81"/>
        <v>0</v>
      </c>
      <c r="FQ93" s="139">
        <f t="shared" si="82"/>
        <v>0</v>
      </c>
      <c r="FR93" s="139">
        <f t="shared" si="83"/>
        <v>0</v>
      </c>
      <c r="FS93" s="139">
        <f t="shared" si="84"/>
        <v>0</v>
      </c>
      <c r="FT93" s="139">
        <f t="shared" si="85"/>
        <v>0</v>
      </c>
      <c r="FU93" s="148">
        <f t="shared" si="86"/>
        <v>22.974566989527048</v>
      </c>
      <c r="FV93" s="149"/>
      <c r="FY93" s="211">
        <v>88</v>
      </c>
      <c r="FZ93">
        <v>92.179001289423368</v>
      </c>
      <c r="GA93">
        <v>153.03348399871982</v>
      </c>
      <c r="GB93">
        <v>68.7510316120959</v>
      </c>
      <c r="GC93">
        <v>50.090372494367294</v>
      </c>
      <c r="GD93">
        <v>40.589065176797916</v>
      </c>
      <c r="GE93">
        <v>85.491045747111315</v>
      </c>
      <c r="GF93">
        <v>115.56613643155055</v>
      </c>
      <c r="GG93">
        <v>38.584683286360075</v>
      </c>
      <c r="GH93">
        <v>50.69034487672446</v>
      </c>
      <c r="GI93">
        <v>92.520432042555115</v>
      </c>
      <c r="GJ93"/>
      <c r="GK93"/>
      <c r="GL93"/>
      <c r="GM93"/>
    </row>
    <row r="94" spans="1:195" s="7" customFormat="1">
      <c r="A94" s="77"/>
      <c r="B94" s="76">
        <f ca="1">IF(C94="", "", RAND())</f>
        <v>0.56156814257909393</v>
      </c>
      <c r="C94">
        <v>10</v>
      </c>
      <c r="D94">
        <v>39646</v>
      </c>
      <c r="E94">
        <v>0</v>
      </c>
      <c r="F94">
        <v>0</v>
      </c>
      <c r="G94">
        <v>72.916666666666671</v>
      </c>
      <c r="H94">
        <v>83.333333333333329</v>
      </c>
      <c r="I94">
        <v>83.333333333333329</v>
      </c>
      <c r="J94">
        <v>0</v>
      </c>
      <c r="K94">
        <v>41.666666666666664</v>
      </c>
      <c r="L94">
        <v>20.833333333333332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296.07015424731679</v>
      </c>
      <c r="AO94">
        <v>167.53127651728209</v>
      </c>
      <c r="AP94">
        <v>760.5921172236923</v>
      </c>
      <c r="AQ94">
        <v>918.34512427827531</v>
      </c>
      <c r="AR94">
        <v>156.06108280309761</v>
      </c>
      <c r="AS94">
        <v>1466.2563994221075</v>
      </c>
      <c r="AT94">
        <v>79.012506496745104</v>
      </c>
      <c r="AU94">
        <v>345.09767648699955</v>
      </c>
      <c r="AV94"/>
      <c r="AW94"/>
      <c r="AX94" s="151"/>
      <c r="AY94" s="76">
        <f t="shared" ca="1" si="87"/>
        <v>0.81361172787226232</v>
      </c>
      <c r="AZ94">
        <v>7</v>
      </c>
      <c r="BA94" s="129">
        <f t="shared" si="88"/>
        <v>39646</v>
      </c>
      <c r="BB94">
        <v>0</v>
      </c>
      <c r="BC94">
        <v>0</v>
      </c>
      <c r="BD94">
        <v>0</v>
      </c>
      <c r="BE94">
        <v>1</v>
      </c>
      <c r="BF94">
        <v>0</v>
      </c>
      <c r="BG94">
        <v>0</v>
      </c>
      <c r="BH94">
        <v>1</v>
      </c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 s="147"/>
      <c r="CH94" s="176"/>
      <c r="CJ94" s="151"/>
      <c r="CK94" s="76">
        <f t="shared" ca="1" si="89"/>
        <v>0.44503372329360769</v>
      </c>
      <c r="CL94" s="179">
        <f t="shared" si="90"/>
        <v>7</v>
      </c>
      <c r="CM94" s="180">
        <f t="shared" si="91"/>
        <v>39646</v>
      </c>
      <c r="CN94">
        <v>0</v>
      </c>
      <c r="CO94">
        <v>0</v>
      </c>
      <c r="CP94">
        <v>0</v>
      </c>
      <c r="CQ94">
        <v>1</v>
      </c>
      <c r="CR94">
        <v>1</v>
      </c>
      <c r="CS94"/>
      <c r="CT94"/>
      <c r="CU94"/>
      <c r="CV94" s="160"/>
      <c r="CW94">
        <v>1</v>
      </c>
      <c r="CX94">
        <v>2</v>
      </c>
      <c r="CY94" s="164"/>
      <c r="CZ94" s="177">
        <f t="shared" si="92"/>
        <v>9.6000000000000002E-2</v>
      </c>
      <c r="DB94" s="151"/>
      <c r="DC94" s="76">
        <f t="shared" ca="1" si="50"/>
        <v>3.7904019200146077E-2</v>
      </c>
      <c r="DD94">
        <f t="shared" si="93"/>
        <v>7</v>
      </c>
      <c r="DE94" s="129">
        <f t="shared" si="51"/>
        <v>39646</v>
      </c>
      <c r="DF94" s="161">
        <f t="shared" si="94"/>
        <v>0</v>
      </c>
      <c r="DG94" s="161">
        <f t="shared" si="95"/>
        <v>0</v>
      </c>
      <c r="DH94" s="161">
        <f t="shared" si="96"/>
        <v>0</v>
      </c>
      <c r="DI94" s="161">
        <f t="shared" si="97"/>
        <v>31.25</v>
      </c>
      <c r="DJ94" s="161">
        <f t="shared" si="98"/>
        <v>20.833333333333332</v>
      </c>
      <c r="DK94" s="161">
        <f t="shared" si="99"/>
        <v>0</v>
      </c>
      <c r="DL94" s="161">
        <f t="shared" si="100"/>
        <v>10.416666666666666</v>
      </c>
      <c r="DM94" s="161">
        <f t="shared" si="101"/>
        <v>0</v>
      </c>
      <c r="DN94" s="161">
        <f t="shared" si="102"/>
        <v>0</v>
      </c>
      <c r="DO94" s="161">
        <f t="shared" si="103"/>
        <v>0</v>
      </c>
      <c r="DP94" s="161">
        <f t="shared" si="104"/>
        <v>0</v>
      </c>
      <c r="DQ94" s="161">
        <f t="shared" si="105"/>
        <v>0</v>
      </c>
      <c r="DR94" s="161">
        <f t="shared" si="106"/>
        <v>0</v>
      </c>
      <c r="DS94" s="161">
        <f t="shared" si="107"/>
        <v>0</v>
      </c>
      <c r="DT94" s="161">
        <f t="shared" si="108"/>
        <v>0</v>
      </c>
      <c r="DU94" s="161">
        <f t="shared" si="109"/>
        <v>0</v>
      </c>
      <c r="DV94" s="161">
        <f t="shared" si="110"/>
        <v>0</v>
      </c>
      <c r="DW94" s="161">
        <f t="shared" si="111"/>
        <v>0</v>
      </c>
      <c r="DX94" s="161">
        <f t="shared" si="112"/>
        <v>0</v>
      </c>
      <c r="DY94" s="161">
        <f t="shared" si="113"/>
        <v>0</v>
      </c>
      <c r="DZ94" s="161">
        <f t="shared" si="114"/>
        <v>0</v>
      </c>
      <c r="EA94" s="161">
        <f t="shared" si="115"/>
        <v>0</v>
      </c>
      <c r="EB94" s="161">
        <f t="shared" si="116"/>
        <v>0</v>
      </c>
      <c r="EC94" s="161">
        <f t="shared" si="117"/>
        <v>0</v>
      </c>
      <c r="ED94" s="161">
        <f t="shared" si="118"/>
        <v>0</v>
      </c>
      <c r="EE94" s="161">
        <f t="shared" si="119"/>
        <v>0</v>
      </c>
      <c r="EF94" s="161">
        <f t="shared" si="120"/>
        <v>0</v>
      </c>
      <c r="EG94" s="161">
        <f t="shared" si="121"/>
        <v>0</v>
      </c>
      <c r="EH94" s="161">
        <f t="shared" si="122"/>
        <v>0</v>
      </c>
      <c r="EI94" s="161">
        <f t="shared" si="123"/>
        <v>0</v>
      </c>
      <c r="EJ94" s="161">
        <f t="shared" si="124"/>
        <v>0</v>
      </c>
      <c r="EK94" s="147">
        <f t="shared" si="54"/>
        <v>62.499999999999993</v>
      </c>
      <c r="EL94" s="149"/>
      <c r="EN94" s="151"/>
      <c r="EO94" s="151"/>
      <c r="EP94" s="139">
        <f t="shared" si="55"/>
        <v>0</v>
      </c>
      <c r="EQ94" s="139">
        <f t="shared" si="56"/>
        <v>0</v>
      </c>
      <c r="ER94" s="139">
        <f t="shared" si="57"/>
        <v>0</v>
      </c>
      <c r="ES94" s="139">
        <f t="shared" si="58"/>
        <v>6.7485532484778545</v>
      </c>
      <c r="ET94" s="139">
        <f t="shared" si="59"/>
        <v>9.6901618395739177</v>
      </c>
      <c r="EU94" s="139">
        <f t="shared" si="60"/>
        <v>0</v>
      </c>
      <c r="EV94" s="139">
        <f t="shared" si="61"/>
        <v>14.286847949341793</v>
      </c>
      <c r="EW94" s="139">
        <f t="shared" si="62"/>
        <v>0</v>
      </c>
      <c r="EX94" s="139">
        <f t="shared" si="63"/>
        <v>0</v>
      </c>
      <c r="EY94" s="139">
        <f t="shared" si="64"/>
        <v>0</v>
      </c>
      <c r="EZ94" s="139">
        <f t="shared" si="65"/>
        <v>0</v>
      </c>
      <c r="FA94" s="139">
        <f t="shared" si="66"/>
        <v>0</v>
      </c>
      <c r="FB94" s="139">
        <f t="shared" si="67"/>
        <v>0</v>
      </c>
      <c r="FC94" s="139">
        <f t="shared" si="68"/>
        <v>0</v>
      </c>
      <c r="FD94" s="139">
        <f t="shared" si="69"/>
        <v>0</v>
      </c>
      <c r="FE94" s="139">
        <f t="shared" si="70"/>
        <v>0</v>
      </c>
      <c r="FF94" s="139">
        <f t="shared" si="71"/>
        <v>0</v>
      </c>
      <c r="FG94" s="139">
        <f t="shared" si="72"/>
        <v>0</v>
      </c>
      <c r="FH94" s="139">
        <f t="shared" si="73"/>
        <v>0</v>
      </c>
      <c r="FI94" s="139">
        <f t="shared" si="74"/>
        <v>0</v>
      </c>
      <c r="FJ94" s="139">
        <f t="shared" si="75"/>
        <v>0</v>
      </c>
      <c r="FK94" s="139">
        <f t="shared" si="76"/>
        <v>0</v>
      </c>
      <c r="FL94" s="139">
        <f t="shared" si="77"/>
        <v>0</v>
      </c>
      <c r="FM94" s="139">
        <f t="shared" si="78"/>
        <v>0</v>
      </c>
      <c r="FN94" s="139">
        <f t="shared" si="79"/>
        <v>0</v>
      </c>
      <c r="FO94" s="139">
        <f t="shared" si="80"/>
        <v>0</v>
      </c>
      <c r="FP94" s="139">
        <f t="shared" si="81"/>
        <v>0</v>
      </c>
      <c r="FQ94" s="139">
        <f t="shared" si="82"/>
        <v>0</v>
      </c>
      <c r="FR94" s="139">
        <f t="shared" si="83"/>
        <v>0</v>
      </c>
      <c r="FS94" s="139">
        <f t="shared" si="84"/>
        <v>0</v>
      </c>
      <c r="FT94" s="139">
        <f t="shared" si="85"/>
        <v>0</v>
      </c>
      <c r="FU94" s="148">
        <f t="shared" si="86"/>
        <v>30.725563037393563</v>
      </c>
      <c r="FV94" s="149"/>
      <c r="FY94" s="211">
        <v>89</v>
      </c>
      <c r="FZ94">
        <v>125.58360446736617</v>
      </c>
      <c r="GA94">
        <v>144.56493066202754</v>
      </c>
      <c r="GB94">
        <v>61.702249755496368</v>
      </c>
      <c r="GC94">
        <v>46.153134310658423</v>
      </c>
      <c r="GD94">
        <v>28.504379480687412</v>
      </c>
      <c r="GE94">
        <v>63.230487986983462</v>
      </c>
      <c r="GF94">
        <v>120.35087379723318</v>
      </c>
      <c r="GG94">
        <v>91.976484428200337</v>
      </c>
      <c r="GH94">
        <v>90.776054435667433</v>
      </c>
      <c r="GI94">
        <v>94.968723586776733</v>
      </c>
      <c r="GJ94"/>
      <c r="GK94"/>
      <c r="GL94"/>
      <c r="GM94"/>
    </row>
    <row r="95" spans="1:195" s="7" customFormat="1">
      <c r="A95" s="77"/>
      <c r="B95" s="76">
        <f ca="1">IF(C95="", "", RAND())</f>
        <v>0.20140998403421495</v>
      </c>
      <c r="C95">
        <v>6</v>
      </c>
      <c r="D95">
        <v>39646</v>
      </c>
      <c r="E95">
        <v>0</v>
      </c>
      <c r="F95">
        <v>0</v>
      </c>
      <c r="G95">
        <v>0</v>
      </c>
      <c r="H95">
        <v>20.833333333333332</v>
      </c>
      <c r="I95">
        <v>20.833333333333332</v>
      </c>
      <c r="J95">
        <v>10.416666666666666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227.0905416707904</v>
      </c>
      <c r="AO95">
        <v>129.31404765519164</v>
      </c>
      <c r="AP95">
        <v>593.84517049550743</v>
      </c>
      <c r="AQ95">
        <v>775.29831320822473</v>
      </c>
      <c r="AR95">
        <v>124.53512065201032</v>
      </c>
      <c r="AS95">
        <v>1259.5825540262742</v>
      </c>
      <c r="AT95">
        <v>69.100733330155393</v>
      </c>
      <c r="AU95">
        <v>141.93725820661217</v>
      </c>
      <c r="AV95"/>
      <c r="AW95"/>
      <c r="AX95" s="151"/>
      <c r="AY95" s="76">
        <f t="shared" ca="1" si="87"/>
        <v>0.20519907754371891</v>
      </c>
      <c r="AZ95">
        <v>8</v>
      </c>
      <c r="BA95" s="129">
        <f t="shared" si="88"/>
        <v>39646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 s="147"/>
      <c r="CH95" s="176"/>
      <c r="CJ95" s="151"/>
      <c r="CK95" s="76">
        <f t="shared" ca="1" si="89"/>
        <v>3.208786193137958E-2</v>
      </c>
      <c r="CL95" s="179">
        <f t="shared" si="90"/>
        <v>8</v>
      </c>
      <c r="CM95" s="180">
        <f t="shared" si="91"/>
        <v>39646</v>
      </c>
      <c r="CN95">
        <v>0</v>
      </c>
      <c r="CO95">
        <v>1</v>
      </c>
      <c r="CP95">
        <v>0</v>
      </c>
      <c r="CQ95">
        <v>1</v>
      </c>
      <c r="CR95"/>
      <c r="CS95"/>
      <c r="CT95"/>
      <c r="CU95"/>
      <c r="CV95" s="160"/>
      <c r="CW95">
        <v>1</v>
      </c>
      <c r="CX95">
        <v>2</v>
      </c>
      <c r="CY95" s="164"/>
      <c r="CZ95" s="177">
        <f t="shared" si="92"/>
        <v>9.6000000000000002E-2</v>
      </c>
      <c r="DB95" s="151"/>
      <c r="DC95" s="76">
        <f t="shared" ca="1" si="50"/>
        <v>0.71115159405742223</v>
      </c>
      <c r="DD95">
        <f t="shared" si="93"/>
        <v>8</v>
      </c>
      <c r="DE95" s="129">
        <f t="shared" si="51"/>
        <v>39646</v>
      </c>
      <c r="DF95" s="161">
        <f t="shared" si="94"/>
        <v>0</v>
      </c>
      <c r="DG95" s="161">
        <f t="shared" si="95"/>
        <v>20.833333333333332</v>
      </c>
      <c r="DH95" s="161">
        <f t="shared" si="96"/>
        <v>0</v>
      </c>
      <c r="DI95" s="161">
        <f t="shared" si="97"/>
        <v>20.833333333333332</v>
      </c>
      <c r="DJ95" s="161">
        <f t="shared" si="98"/>
        <v>0</v>
      </c>
      <c r="DK95" s="161">
        <f t="shared" si="99"/>
        <v>10.416666666666666</v>
      </c>
      <c r="DL95" s="161">
        <f t="shared" si="100"/>
        <v>0</v>
      </c>
      <c r="DM95" s="161">
        <f t="shared" si="101"/>
        <v>0</v>
      </c>
      <c r="DN95" s="161">
        <f t="shared" si="102"/>
        <v>0</v>
      </c>
      <c r="DO95" s="161">
        <f t="shared" si="103"/>
        <v>0</v>
      </c>
      <c r="DP95" s="161">
        <f t="shared" si="104"/>
        <v>0</v>
      </c>
      <c r="DQ95" s="161">
        <f t="shared" si="105"/>
        <v>0</v>
      </c>
      <c r="DR95" s="161">
        <f t="shared" si="106"/>
        <v>0</v>
      </c>
      <c r="DS95" s="161">
        <f t="shared" si="107"/>
        <v>0</v>
      </c>
      <c r="DT95" s="161">
        <f t="shared" si="108"/>
        <v>0</v>
      </c>
      <c r="DU95" s="161">
        <f t="shared" si="109"/>
        <v>0</v>
      </c>
      <c r="DV95" s="161">
        <f t="shared" si="110"/>
        <v>0</v>
      </c>
      <c r="DW95" s="161">
        <f t="shared" si="111"/>
        <v>0</v>
      </c>
      <c r="DX95" s="161">
        <f t="shared" si="112"/>
        <v>0</v>
      </c>
      <c r="DY95" s="161">
        <f t="shared" si="113"/>
        <v>0</v>
      </c>
      <c r="DZ95" s="161">
        <f t="shared" si="114"/>
        <v>0</v>
      </c>
      <c r="EA95" s="161">
        <f t="shared" si="115"/>
        <v>0</v>
      </c>
      <c r="EB95" s="161">
        <f t="shared" si="116"/>
        <v>0</v>
      </c>
      <c r="EC95" s="161">
        <f t="shared" si="117"/>
        <v>0</v>
      </c>
      <c r="ED95" s="161">
        <f t="shared" si="118"/>
        <v>0</v>
      </c>
      <c r="EE95" s="161">
        <f t="shared" si="119"/>
        <v>0</v>
      </c>
      <c r="EF95" s="161">
        <f t="shared" si="120"/>
        <v>0</v>
      </c>
      <c r="EG95" s="161">
        <f t="shared" si="121"/>
        <v>0</v>
      </c>
      <c r="EH95" s="161">
        <f t="shared" si="122"/>
        <v>0</v>
      </c>
      <c r="EI95" s="161">
        <f t="shared" si="123"/>
        <v>0</v>
      </c>
      <c r="EJ95" s="161">
        <f t="shared" si="124"/>
        <v>0</v>
      </c>
      <c r="EK95" s="147">
        <f t="shared" si="54"/>
        <v>52.083333333333329</v>
      </c>
      <c r="EL95" s="149"/>
      <c r="EN95" s="151"/>
      <c r="EO95" s="151"/>
      <c r="EP95" s="139">
        <f t="shared" si="55"/>
        <v>0</v>
      </c>
      <c r="EQ95" s="139">
        <f t="shared" si="56"/>
        <v>0.24023541666666665</v>
      </c>
      <c r="ER95" s="139">
        <f t="shared" si="57"/>
        <v>0</v>
      </c>
      <c r="ES95" s="139">
        <f t="shared" si="58"/>
        <v>4.4990354989852364</v>
      </c>
      <c r="ET95" s="139">
        <f t="shared" si="59"/>
        <v>0</v>
      </c>
      <c r="EU95" s="139">
        <f t="shared" si="60"/>
        <v>8.7853696509678922</v>
      </c>
      <c r="EV95" s="139">
        <f t="shared" si="61"/>
        <v>0</v>
      </c>
      <c r="EW95" s="139">
        <f t="shared" si="62"/>
        <v>0</v>
      </c>
      <c r="EX95" s="139">
        <f t="shared" si="63"/>
        <v>0</v>
      </c>
      <c r="EY95" s="139">
        <f t="shared" si="64"/>
        <v>0</v>
      </c>
      <c r="EZ95" s="139">
        <f t="shared" si="65"/>
        <v>0</v>
      </c>
      <c r="FA95" s="139">
        <f t="shared" si="66"/>
        <v>0</v>
      </c>
      <c r="FB95" s="139">
        <f t="shared" si="67"/>
        <v>0</v>
      </c>
      <c r="FC95" s="139">
        <f t="shared" si="68"/>
        <v>0</v>
      </c>
      <c r="FD95" s="139">
        <f t="shared" si="69"/>
        <v>0</v>
      </c>
      <c r="FE95" s="139">
        <f t="shared" si="70"/>
        <v>0</v>
      </c>
      <c r="FF95" s="139">
        <f t="shared" si="71"/>
        <v>0</v>
      </c>
      <c r="FG95" s="139">
        <f t="shared" si="72"/>
        <v>0</v>
      </c>
      <c r="FH95" s="139">
        <f t="shared" si="73"/>
        <v>0</v>
      </c>
      <c r="FI95" s="139">
        <f t="shared" si="74"/>
        <v>0</v>
      </c>
      <c r="FJ95" s="139">
        <f t="shared" si="75"/>
        <v>0</v>
      </c>
      <c r="FK95" s="139">
        <f t="shared" si="76"/>
        <v>0</v>
      </c>
      <c r="FL95" s="139">
        <f t="shared" si="77"/>
        <v>0</v>
      </c>
      <c r="FM95" s="139">
        <f t="shared" si="78"/>
        <v>0</v>
      </c>
      <c r="FN95" s="139">
        <f t="shared" si="79"/>
        <v>0</v>
      </c>
      <c r="FO95" s="139">
        <f t="shared" si="80"/>
        <v>0</v>
      </c>
      <c r="FP95" s="139">
        <f t="shared" si="81"/>
        <v>0</v>
      </c>
      <c r="FQ95" s="139">
        <f t="shared" si="82"/>
        <v>0</v>
      </c>
      <c r="FR95" s="139">
        <f t="shared" si="83"/>
        <v>0</v>
      </c>
      <c r="FS95" s="139">
        <f t="shared" si="84"/>
        <v>0</v>
      </c>
      <c r="FT95" s="139">
        <f t="shared" si="85"/>
        <v>0</v>
      </c>
      <c r="FU95" s="148">
        <f t="shared" si="86"/>
        <v>13.524640566619794</v>
      </c>
      <c r="FV95" s="149"/>
      <c r="FY95" s="211">
        <v>90</v>
      </c>
      <c r="FZ95">
        <v>124.88769852928546</v>
      </c>
      <c r="GA95">
        <v>151.86753854140454</v>
      </c>
      <c r="GB95">
        <v>45.52243988547869</v>
      </c>
      <c r="GC95">
        <v>45.760985962164462</v>
      </c>
      <c r="GD95">
        <v>49.81885754837819</v>
      </c>
      <c r="GE95">
        <v>66.37257925303453</v>
      </c>
      <c r="GF95">
        <v>55.294473448119348</v>
      </c>
      <c r="GG95">
        <v>63.715104789098454</v>
      </c>
      <c r="GH95">
        <v>63.822899543196037</v>
      </c>
      <c r="GI95">
        <v>84.877699580361551</v>
      </c>
      <c r="GJ95"/>
      <c r="GK95"/>
      <c r="GL95"/>
      <c r="GM95"/>
    </row>
    <row r="96" spans="1:195" s="7" customFormat="1">
      <c r="A96" s="77"/>
      <c r="B96" s="76">
        <f ca="1">IF(C96="", "", RAND())</f>
        <v>0.60124736956274538</v>
      </c>
      <c r="C96">
        <v>2</v>
      </c>
      <c r="D96">
        <v>39646</v>
      </c>
      <c r="E96">
        <v>0</v>
      </c>
      <c r="F96">
        <v>0</v>
      </c>
      <c r="G96">
        <v>10.416666666666666</v>
      </c>
      <c r="H96">
        <v>31.25</v>
      </c>
      <c r="I96">
        <v>62.5</v>
      </c>
      <c r="J96">
        <v>10.416666666666666</v>
      </c>
      <c r="K96">
        <v>62.5</v>
      </c>
      <c r="L96">
        <v>10.416666666666666</v>
      </c>
      <c r="M96">
        <v>31.25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258.07943618163836</v>
      </c>
      <c r="AO96">
        <v>130.28682045492437</v>
      </c>
      <c r="AP96">
        <v>647.52352762484509</v>
      </c>
      <c r="AQ96">
        <v>685.80645030305095</v>
      </c>
      <c r="AR96">
        <v>122.08426801532225</v>
      </c>
      <c r="AS96">
        <v>1270.5360801456422</v>
      </c>
      <c r="AT96">
        <v>61.223741356578159</v>
      </c>
      <c r="AU96">
        <v>258.18373741089346</v>
      </c>
      <c r="AV96"/>
      <c r="AW96"/>
      <c r="AX96" s="151"/>
      <c r="AY96" s="76">
        <f t="shared" ca="1" si="87"/>
        <v>0.2253184613763537</v>
      </c>
      <c r="AZ96">
        <v>9</v>
      </c>
      <c r="BA96" s="129">
        <f t="shared" si="88"/>
        <v>39646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1</v>
      </c>
      <c r="BH96">
        <v>1</v>
      </c>
      <c r="BI96">
        <v>1</v>
      </c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 s="147"/>
      <c r="CH96" s="176"/>
      <c r="CJ96" s="151"/>
      <c r="CK96" s="76">
        <f t="shared" ca="1" si="89"/>
        <v>0.38210929504471736</v>
      </c>
      <c r="CL96" s="179">
        <f t="shared" si="90"/>
        <v>9</v>
      </c>
      <c r="CM96" s="180">
        <f t="shared" si="91"/>
        <v>39646</v>
      </c>
      <c r="CN96">
        <v>0</v>
      </c>
      <c r="CO96">
        <v>0</v>
      </c>
      <c r="CP96">
        <v>1</v>
      </c>
      <c r="CQ96">
        <v>2</v>
      </c>
      <c r="CR96">
        <v>3</v>
      </c>
      <c r="CS96"/>
      <c r="CT96"/>
      <c r="CU96"/>
      <c r="CV96" s="160"/>
      <c r="CW96">
        <v>1</v>
      </c>
      <c r="CX96">
        <v>1</v>
      </c>
      <c r="CY96" s="164"/>
      <c r="CZ96" s="177">
        <f t="shared" si="92"/>
        <v>9.6000000000000002E-2</v>
      </c>
      <c r="DB96" s="151"/>
      <c r="DC96" s="76">
        <f t="shared" ca="1" si="50"/>
        <v>4.2448175425350954E-2</v>
      </c>
      <c r="DD96">
        <f t="shared" si="93"/>
        <v>9</v>
      </c>
      <c r="DE96" s="129">
        <f t="shared" si="51"/>
        <v>39646</v>
      </c>
      <c r="DF96" s="161">
        <f t="shared" si="94"/>
        <v>0</v>
      </c>
      <c r="DG96" s="161">
        <f t="shared" si="95"/>
        <v>0</v>
      </c>
      <c r="DH96" s="161">
        <f t="shared" si="96"/>
        <v>10.416666666666666</v>
      </c>
      <c r="DI96" s="161">
        <f t="shared" si="97"/>
        <v>20.833333333333332</v>
      </c>
      <c r="DJ96" s="161">
        <f t="shared" si="98"/>
        <v>31.25</v>
      </c>
      <c r="DK96" s="161">
        <f t="shared" si="99"/>
        <v>10.416666666666666</v>
      </c>
      <c r="DL96" s="161">
        <f t="shared" si="100"/>
        <v>10.416666666666666</v>
      </c>
      <c r="DM96" s="161">
        <f t="shared" si="101"/>
        <v>10.416666666666666</v>
      </c>
      <c r="DN96" s="161">
        <f t="shared" si="102"/>
        <v>0</v>
      </c>
      <c r="DO96" s="161">
        <f t="shared" si="103"/>
        <v>0</v>
      </c>
      <c r="DP96" s="161">
        <f t="shared" si="104"/>
        <v>0</v>
      </c>
      <c r="DQ96" s="161">
        <f t="shared" si="105"/>
        <v>0</v>
      </c>
      <c r="DR96" s="161">
        <f t="shared" si="106"/>
        <v>0</v>
      </c>
      <c r="DS96" s="161">
        <f t="shared" si="107"/>
        <v>0</v>
      </c>
      <c r="DT96" s="161">
        <f t="shared" si="108"/>
        <v>0</v>
      </c>
      <c r="DU96" s="161">
        <f t="shared" si="109"/>
        <v>0</v>
      </c>
      <c r="DV96" s="161">
        <f t="shared" si="110"/>
        <v>0</v>
      </c>
      <c r="DW96" s="161">
        <f t="shared" si="111"/>
        <v>0</v>
      </c>
      <c r="DX96" s="161">
        <f t="shared" si="112"/>
        <v>0</v>
      </c>
      <c r="DY96" s="161">
        <f t="shared" si="113"/>
        <v>0</v>
      </c>
      <c r="DZ96" s="161">
        <f t="shared" si="114"/>
        <v>0</v>
      </c>
      <c r="EA96" s="161">
        <f t="shared" si="115"/>
        <v>0</v>
      </c>
      <c r="EB96" s="161">
        <f t="shared" si="116"/>
        <v>0</v>
      </c>
      <c r="EC96" s="161">
        <f t="shared" si="117"/>
        <v>0</v>
      </c>
      <c r="ED96" s="161">
        <f t="shared" si="118"/>
        <v>0</v>
      </c>
      <c r="EE96" s="161">
        <f t="shared" si="119"/>
        <v>0</v>
      </c>
      <c r="EF96" s="161">
        <f t="shared" si="120"/>
        <v>0</v>
      </c>
      <c r="EG96" s="161">
        <f t="shared" si="121"/>
        <v>0</v>
      </c>
      <c r="EH96" s="161">
        <f t="shared" si="122"/>
        <v>0</v>
      </c>
      <c r="EI96" s="161">
        <f t="shared" si="123"/>
        <v>0</v>
      </c>
      <c r="EJ96" s="161">
        <f t="shared" si="124"/>
        <v>0</v>
      </c>
      <c r="EK96" s="147">
        <f t="shared" si="54"/>
        <v>93.750000000000014</v>
      </c>
      <c r="EL96" s="149"/>
      <c r="EN96" s="151"/>
      <c r="EO96" s="151"/>
      <c r="EP96" s="139">
        <f t="shared" si="55"/>
        <v>0</v>
      </c>
      <c r="EQ96" s="139">
        <f t="shared" si="56"/>
        <v>0</v>
      </c>
      <c r="ER96" s="139">
        <f t="shared" si="57"/>
        <v>0.76287614772934675</v>
      </c>
      <c r="ES96" s="139">
        <f t="shared" si="58"/>
        <v>4.4990354989852364</v>
      </c>
      <c r="ET96" s="139">
        <f t="shared" si="59"/>
        <v>14.535242759360877</v>
      </c>
      <c r="EU96" s="139">
        <f t="shared" si="60"/>
        <v>8.7853696509678922</v>
      </c>
      <c r="EV96" s="139">
        <f t="shared" si="61"/>
        <v>14.286847949341793</v>
      </c>
      <c r="EW96" s="139">
        <f t="shared" si="62"/>
        <v>21.551798137789032</v>
      </c>
      <c r="EX96" s="139">
        <f t="shared" si="63"/>
        <v>0</v>
      </c>
      <c r="EY96" s="139">
        <f t="shared" si="64"/>
        <v>0</v>
      </c>
      <c r="EZ96" s="139">
        <f t="shared" si="65"/>
        <v>0</v>
      </c>
      <c r="FA96" s="139">
        <f t="shared" si="66"/>
        <v>0</v>
      </c>
      <c r="FB96" s="139">
        <f t="shared" si="67"/>
        <v>0</v>
      </c>
      <c r="FC96" s="139">
        <f t="shared" si="68"/>
        <v>0</v>
      </c>
      <c r="FD96" s="139">
        <f t="shared" si="69"/>
        <v>0</v>
      </c>
      <c r="FE96" s="139">
        <f t="shared" si="70"/>
        <v>0</v>
      </c>
      <c r="FF96" s="139">
        <f t="shared" si="71"/>
        <v>0</v>
      </c>
      <c r="FG96" s="139">
        <f t="shared" si="72"/>
        <v>0</v>
      </c>
      <c r="FH96" s="139">
        <f t="shared" si="73"/>
        <v>0</v>
      </c>
      <c r="FI96" s="139">
        <f t="shared" si="74"/>
        <v>0</v>
      </c>
      <c r="FJ96" s="139">
        <f t="shared" si="75"/>
        <v>0</v>
      </c>
      <c r="FK96" s="139">
        <f t="shared" si="76"/>
        <v>0</v>
      </c>
      <c r="FL96" s="139">
        <f t="shared" si="77"/>
        <v>0</v>
      </c>
      <c r="FM96" s="139">
        <f t="shared" si="78"/>
        <v>0</v>
      </c>
      <c r="FN96" s="139">
        <f t="shared" si="79"/>
        <v>0</v>
      </c>
      <c r="FO96" s="139">
        <f t="shared" si="80"/>
        <v>0</v>
      </c>
      <c r="FP96" s="139">
        <f t="shared" si="81"/>
        <v>0</v>
      </c>
      <c r="FQ96" s="139">
        <f t="shared" si="82"/>
        <v>0</v>
      </c>
      <c r="FR96" s="139">
        <f t="shared" si="83"/>
        <v>0</v>
      </c>
      <c r="FS96" s="139">
        <f t="shared" si="84"/>
        <v>0</v>
      </c>
      <c r="FT96" s="139">
        <f t="shared" si="85"/>
        <v>0</v>
      </c>
      <c r="FU96" s="148">
        <f t="shared" si="86"/>
        <v>64.42117014417417</v>
      </c>
      <c r="FV96" s="149"/>
      <c r="FY96" s="211">
        <v>91</v>
      </c>
      <c r="FZ96">
        <v>134.82362249952862</v>
      </c>
      <c r="GA96">
        <v>195.63871335314778</v>
      </c>
      <c r="GB96">
        <v>69.267004738154981</v>
      </c>
      <c r="GC96">
        <v>45.49513075269558</v>
      </c>
      <c r="GD96">
        <v>30.155464991543901</v>
      </c>
      <c r="GE96">
        <v>25.930687236277027</v>
      </c>
      <c r="GF96">
        <v>102.72166334064923</v>
      </c>
      <c r="GG96">
        <v>117.57502301352301</v>
      </c>
      <c r="GH96">
        <v>61.862553060175365</v>
      </c>
      <c r="GI96">
        <v>91.216430361101715</v>
      </c>
      <c r="GJ96"/>
      <c r="GK96"/>
      <c r="GL96"/>
      <c r="GM96"/>
    </row>
    <row r="97" spans="1:195" s="7" customFormat="1">
      <c r="A97" s="77"/>
      <c r="B97" s="76">
        <f ca="1">IF(C97="", "", RAND())</f>
        <v>6.9773949908338295E-2</v>
      </c>
      <c r="C97">
        <v>8</v>
      </c>
      <c r="D97">
        <v>39646</v>
      </c>
      <c r="E97">
        <v>0</v>
      </c>
      <c r="F97">
        <v>20.833333333333332</v>
      </c>
      <c r="G97">
        <v>0</v>
      </c>
      <c r="H97">
        <v>20.833333333333332</v>
      </c>
      <c r="I97">
        <v>0</v>
      </c>
      <c r="J97">
        <v>10.416666666666666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314.66148111591764</v>
      </c>
      <c r="AO97">
        <v>167.01225366247655</v>
      </c>
      <c r="AP97">
        <v>705.92428644501956</v>
      </c>
      <c r="AQ97">
        <v>892.55887719874693</v>
      </c>
      <c r="AR97">
        <v>155.61382380938721</v>
      </c>
      <c r="AS97">
        <v>1448.5294050569607</v>
      </c>
      <c r="AT97">
        <v>71.366890937276452</v>
      </c>
      <c r="AU97">
        <v>86.72264157564419</v>
      </c>
      <c r="AV97"/>
      <c r="AW97"/>
      <c r="AX97" s="151"/>
      <c r="AY97" s="76">
        <f t="shared" ca="1" si="87"/>
        <v>0.77761676776132571</v>
      </c>
      <c r="AZ97">
        <v>10</v>
      </c>
      <c r="BA97" s="129">
        <f t="shared" si="88"/>
        <v>39646</v>
      </c>
      <c r="BB97">
        <v>0</v>
      </c>
      <c r="BC97">
        <v>0</v>
      </c>
      <c r="BD97">
        <v>3</v>
      </c>
      <c r="BE97">
        <v>6</v>
      </c>
      <c r="BF97">
        <v>6</v>
      </c>
      <c r="BG97">
        <v>0</v>
      </c>
      <c r="BH97">
        <v>4</v>
      </c>
      <c r="BI97">
        <v>2</v>
      </c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 s="147"/>
      <c r="CH97" s="176"/>
      <c r="CJ97" s="151"/>
      <c r="CK97" s="76">
        <f t="shared" ca="1" si="89"/>
        <v>0.79538536608117694</v>
      </c>
      <c r="CL97" s="179">
        <f t="shared" si="90"/>
        <v>10</v>
      </c>
      <c r="CM97" s="180">
        <f t="shared" si="91"/>
        <v>39646</v>
      </c>
      <c r="CN97">
        <v>0</v>
      </c>
      <c r="CO97">
        <v>0</v>
      </c>
      <c r="CP97">
        <v>2</v>
      </c>
      <c r="CQ97">
        <v>1</v>
      </c>
      <c r="CR97">
        <v>1</v>
      </c>
      <c r="CS97"/>
      <c r="CT97"/>
      <c r="CU97"/>
      <c r="CV97" s="160"/>
      <c r="CW97">
        <v>1</v>
      </c>
      <c r="CX97">
        <v>2</v>
      </c>
      <c r="CY97" s="164"/>
      <c r="CZ97" s="177">
        <f t="shared" si="92"/>
        <v>9.6000000000000002E-2</v>
      </c>
      <c r="DB97" s="151"/>
      <c r="DC97" s="76">
        <f t="shared" ca="1" si="50"/>
        <v>0.78044707361038235</v>
      </c>
      <c r="DD97">
        <f t="shared" si="93"/>
        <v>10</v>
      </c>
      <c r="DE97" s="129">
        <f t="shared" si="51"/>
        <v>39646</v>
      </c>
      <c r="DF97" s="161">
        <f t="shared" si="94"/>
        <v>0</v>
      </c>
      <c r="DG97" s="161">
        <f t="shared" si="95"/>
        <v>0</v>
      </c>
      <c r="DH97" s="161">
        <f t="shared" si="96"/>
        <v>72.916666666666671</v>
      </c>
      <c r="DI97" s="161">
        <f t="shared" si="97"/>
        <v>83.333333333333329</v>
      </c>
      <c r="DJ97" s="161">
        <f t="shared" si="98"/>
        <v>83.333333333333329</v>
      </c>
      <c r="DK97" s="161">
        <f t="shared" si="99"/>
        <v>0</v>
      </c>
      <c r="DL97" s="161">
        <f t="shared" si="100"/>
        <v>41.666666666666664</v>
      </c>
      <c r="DM97" s="161">
        <f t="shared" si="101"/>
        <v>20.833333333333332</v>
      </c>
      <c r="DN97" s="161">
        <f t="shared" si="102"/>
        <v>0</v>
      </c>
      <c r="DO97" s="161">
        <f t="shared" si="103"/>
        <v>0</v>
      </c>
      <c r="DP97" s="161">
        <f t="shared" si="104"/>
        <v>0</v>
      </c>
      <c r="DQ97" s="161">
        <f t="shared" si="105"/>
        <v>0</v>
      </c>
      <c r="DR97" s="161">
        <f t="shared" si="106"/>
        <v>0</v>
      </c>
      <c r="DS97" s="161">
        <f t="shared" si="107"/>
        <v>0</v>
      </c>
      <c r="DT97" s="161">
        <f t="shared" si="108"/>
        <v>0</v>
      </c>
      <c r="DU97" s="161">
        <f t="shared" si="109"/>
        <v>0</v>
      </c>
      <c r="DV97" s="161">
        <f t="shared" si="110"/>
        <v>0</v>
      </c>
      <c r="DW97" s="161">
        <f t="shared" si="111"/>
        <v>0</v>
      </c>
      <c r="DX97" s="161">
        <f t="shared" si="112"/>
        <v>0</v>
      </c>
      <c r="DY97" s="161">
        <f t="shared" si="113"/>
        <v>0</v>
      </c>
      <c r="DZ97" s="161">
        <f t="shared" si="114"/>
        <v>0</v>
      </c>
      <c r="EA97" s="161">
        <f t="shared" si="115"/>
        <v>0</v>
      </c>
      <c r="EB97" s="161">
        <f t="shared" si="116"/>
        <v>0</v>
      </c>
      <c r="EC97" s="161">
        <f t="shared" si="117"/>
        <v>0</v>
      </c>
      <c r="ED97" s="161">
        <f t="shared" si="118"/>
        <v>0</v>
      </c>
      <c r="EE97" s="161">
        <f t="shared" si="119"/>
        <v>0</v>
      </c>
      <c r="EF97" s="161">
        <f t="shared" si="120"/>
        <v>0</v>
      </c>
      <c r="EG97" s="161">
        <f t="shared" si="121"/>
        <v>0</v>
      </c>
      <c r="EH97" s="161">
        <f t="shared" si="122"/>
        <v>0</v>
      </c>
      <c r="EI97" s="161">
        <f t="shared" si="123"/>
        <v>0</v>
      </c>
      <c r="EJ97" s="161">
        <f t="shared" si="124"/>
        <v>0</v>
      </c>
      <c r="EK97" s="147">
        <f t="shared" si="54"/>
        <v>302.08333333333331</v>
      </c>
      <c r="EL97" s="149"/>
      <c r="EN97" s="151"/>
      <c r="EO97" s="151"/>
      <c r="EP97" s="139">
        <f t="shared" si="55"/>
        <v>0</v>
      </c>
      <c r="EQ97" s="139">
        <f t="shared" si="56"/>
        <v>0</v>
      </c>
      <c r="ER97" s="139">
        <f t="shared" si="57"/>
        <v>5.3401330341054285</v>
      </c>
      <c r="ES97" s="139">
        <f t="shared" si="58"/>
        <v>17.996141995940945</v>
      </c>
      <c r="ET97" s="139">
        <f t="shared" si="59"/>
        <v>38.760647358295671</v>
      </c>
      <c r="EU97" s="139">
        <f t="shared" si="60"/>
        <v>0</v>
      </c>
      <c r="EV97" s="139">
        <f t="shared" si="61"/>
        <v>57.14739179736717</v>
      </c>
      <c r="EW97" s="139">
        <f t="shared" si="62"/>
        <v>43.103596275578063</v>
      </c>
      <c r="EX97" s="139">
        <f t="shared" si="63"/>
        <v>0</v>
      </c>
      <c r="EY97" s="139">
        <f t="shared" si="64"/>
        <v>0</v>
      </c>
      <c r="EZ97" s="139">
        <f t="shared" si="65"/>
        <v>0</v>
      </c>
      <c r="FA97" s="139">
        <f t="shared" si="66"/>
        <v>0</v>
      </c>
      <c r="FB97" s="139">
        <f t="shared" si="67"/>
        <v>0</v>
      </c>
      <c r="FC97" s="139">
        <f t="shared" si="68"/>
        <v>0</v>
      </c>
      <c r="FD97" s="139">
        <f t="shared" si="69"/>
        <v>0</v>
      </c>
      <c r="FE97" s="139">
        <f t="shared" si="70"/>
        <v>0</v>
      </c>
      <c r="FF97" s="139">
        <f t="shared" si="71"/>
        <v>0</v>
      </c>
      <c r="FG97" s="139">
        <f t="shared" si="72"/>
        <v>0</v>
      </c>
      <c r="FH97" s="139">
        <f t="shared" si="73"/>
        <v>0</v>
      </c>
      <c r="FI97" s="139">
        <f t="shared" si="74"/>
        <v>0</v>
      </c>
      <c r="FJ97" s="139">
        <f t="shared" si="75"/>
        <v>0</v>
      </c>
      <c r="FK97" s="139">
        <f t="shared" si="76"/>
        <v>0</v>
      </c>
      <c r="FL97" s="139">
        <f t="shared" si="77"/>
        <v>0</v>
      </c>
      <c r="FM97" s="139">
        <f t="shared" si="78"/>
        <v>0</v>
      </c>
      <c r="FN97" s="139">
        <f t="shared" si="79"/>
        <v>0</v>
      </c>
      <c r="FO97" s="139">
        <f t="shared" si="80"/>
        <v>0</v>
      </c>
      <c r="FP97" s="139">
        <f t="shared" si="81"/>
        <v>0</v>
      </c>
      <c r="FQ97" s="139">
        <f t="shared" si="82"/>
        <v>0</v>
      </c>
      <c r="FR97" s="139">
        <f t="shared" si="83"/>
        <v>0</v>
      </c>
      <c r="FS97" s="139">
        <f t="shared" si="84"/>
        <v>0</v>
      </c>
      <c r="FT97" s="139">
        <f t="shared" si="85"/>
        <v>0</v>
      </c>
      <c r="FU97" s="148">
        <f t="shared" si="86"/>
        <v>162.34791046128728</v>
      </c>
      <c r="FV97" s="149"/>
      <c r="FY97" s="211">
        <v>92</v>
      </c>
      <c r="FZ97">
        <v>144.9945584112059</v>
      </c>
      <c r="GA97">
        <v>159.85582426159408</v>
      </c>
      <c r="GB97">
        <v>38.737564088536068</v>
      </c>
      <c r="GC97">
        <v>37.35386245974636</v>
      </c>
      <c r="GD97">
        <v>31.48734426627124</v>
      </c>
      <c r="GE97">
        <v>40.411878836949001</v>
      </c>
      <c r="GF97">
        <v>57.941236457618267</v>
      </c>
      <c r="GG97">
        <v>54.896295152283287</v>
      </c>
      <c r="GH97">
        <v>61.705092954864782</v>
      </c>
      <c r="GI97">
        <v>75.244166138264433</v>
      </c>
      <c r="GJ97"/>
      <c r="GK97"/>
      <c r="GL97"/>
      <c r="GM97"/>
    </row>
    <row r="98" spans="1:195" s="7" customFormat="1">
      <c r="A98" s="128"/>
      <c r="B98" s="76">
        <f ca="1">IF(C98="", "", RAND())</f>
        <v>0.34927485890616961</v>
      </c>
      <c r="C98">
        <v>4</v>
      </c>
      <c r="D98">
        <v>39673</v>
      </c>
      <c r="E98">
        <v>0</v>
      </c>
      <c r="F98">
        <v>0</v>
      </c>
      <c r="G98">
        <v>115.625</v>
      </c>
      <c r="H98">
        <v>20.833333333333332</v>
      </c>
      <c r="I98">
        <v>0</v>
      </c>
      <c r="J98">
        <v>0</v>
      </c>
      <c r="K98">
        <v>20.833333333333332</v>
      </c>
      <c r="L98">
        <v>31.25</v>
      </c>
      <c r="M98">
        <v>10.416666666666666</v>
      </c>
      <c r="N98">
        <v>31.25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273.68702437453732</v>
      </c>
      <c r="AO98">
        <v>152.17475920922891</v>
      </c>
      <c r="AP98">
        <v>711.97891181369812</v>
      </c>
      <c r="AQ98">
        <v>815.76803823346938</v>
      </c>
      <c r="AR98">
        <v>141.37101335801768</v>
      </c>
      <c r="AS98">
        <v>1495.2418988850272</v>
      </c>
      <c r="AT98">
        <v>66.422653790939918</v>
      </c>
      <c r="AU98">
        <v>214.94153502385871</v>
      </c>
      <c r="AV98"/>
      <c r="AW98"/>
      <c r="AX98" s="128"/>
      <c r="AY98" s="76">
        <f t="shared" ca="1" si="87"/>
        <v>0.20482974673056109</v>
      </c>
      <c r="AZ98">
        <v>1</v>
      </c>
      <c r="BA98" s="129">
        <f>IF(AZ98="", "",$C$5)</f>
        <v>39673</v>
      </c>
      <c r="BB98">
        <v>0</v>
      </c>
      <c r="BC98">
        <v>0</v>
      </c>
      <c r="BD98">
        <v>0</v>
      </c>
      <c r="BE98">
        <v>0</v>
      </c>
      <c r="BF98">
        <v>4</v>
      </c>
      <c r="BG98">
        <v>9</v>
      </c>
      <c r="BH98">
        <v>7</v>
      </c>
      <c r="BI98">
        <v>0</v>
      </c>
      <c r="BJ98">
        <v>2</v>
      </c>
      <c r="BK98">
        <v>2</v>
      </c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 s="147"/>
      <c r="CH98" s="176"/>
      <c r="CJ98" s="128"/>
      <c r="CK98" s="76">
        <f t="shared" ca="1" si="89"/>
        <v>0.40693888382949095</v>
      </c>
      <c r="CL98" s="179">
        <f t="shared" si="90"/>
        <v>1</v>
      </c>
      <c r="CM98" s="180">
        <f t="shared" si="91"/>
        <v>39673</v>
      </c>
      <c r="CN98"/>
      <c r="CO98"/>
      <c r="CP98"/>
      <c r="CQ98"/>
      <c r="CR98"/>
      <c r="CS98"/>
      <c r="CT98"/>
      <c r="CU98"/>
      <c r="CW98">
        <v>1</v>
      </c>
      <c r="CX98">
        <v>1</v>
      </c>
      <c r="CY98" s="158"/>
      <c r="CZ98" s="177">
        <f t="shared" si="92"/>
        <v>9.6000000000000002E-2</v>
      </c>
      <c r="DB98" s="128"/>
      <c r="DC98" s="76">
        <f t="shared" ca="1" si="50"/>
        <v>0.74679244602655959</v>
      </c>
      <c r="DD98">
        <f t="shared" si="93"/>
        <v>1</v>
      </c>
      <c r="DE98" s="129">
        <f t="shared" ref="DE98:DE107" si="125">IF((DD98)="", "", $C$5)</f>
        <v>39673</v>
      </c>
      <c r="DF98" s="161">
        <f t="shared" si="94"/>
        <v>0</v>
      </c>
      <c r="DG98" s="161">
        <f t="shared" si="95"/>
        <v>0</v>
      </c>
      <c r="DH98" s="161">
        <f t="shared" si="96"/>
        <v>0</v>
      </c>
      <c r="DI98" s="161">
        <f t="shared" si="97"/>
        <v>0</v>
      </c>
      <c r="DJ98" s="161">
        <f t="shared" si="98"/>
        <v>41.666666666666664</v>
      </c>
      <c r="DK98" s="161">
        <f t="shared" si="99"/>
        <v>93.75</v>
      </c>
      <c r="DL98" s="161">
        <f t="shared" si="100"/>
        <v>72.916666666666671</v>
      </c>
      <c r="DM98" s="161">
        <f t="shared" si="101"/>
        <v>0</v>
      </c>
      <c r="DN98" s="161">
        <f t="shared" si="102"/>
        <v>20.833333333333332</v>
      </c>
      <c r="DO98" s="161">
        <f t="shared" si="103"/>
        <v>20.833333333333332</v>
      </c>
      <c r="DP98" s="161">
        <f t="shared" si="104"/>
        <v>0</v>
      </c>
      <c r="DQ98" s="161">
        <f t="shared" si="105"/>
        <v>0</v>
      </c>
      <c r="DR98" s="161">
        <f t="shared" si="106"/>
        <v>0</v>
      </c>
      <c r="DS98" s="161">
        <f t="shared" si="107"/>
        <v>0</v>
      </c>
      <c r="DT98" s="161">
        <f t="shared" si="108"/>
        <v>0</v>
      </c>
      <c r="DU98" s="161">
        <f t="shared" si="109"/>
        <v>0</v>
      </c>
      <c r="DV98" s="161">
        <f t="shared" si="110"/>
        <v>0</v>
      </c>
      <c r="DW98" s="161">
        <f t="shared" si="111"/>
        <v>0</v>
      </c>
      <c r="DX98" s="161">
        <f t="shared" si="112"/>
        <v>0</v>
      </c>
      <c r="DY98" s="161">
        <f t="shared" si="113"/>
        <v>0</v>
      </c>
      <c r="DZ98" s="161">
        <f t="shared" si="114"/>
        <v>0</v>
      </c>
      <c r="EA98" s="161">
        <f t="shared" si="115"/>
        <v>0</v>
      </c>
      <c r="EB98" s="161">
        <f t="shared" si="116"/>
        <v>0</v>
      </c>
      <c r="EC98" s="161">
        <f t="shared" si="117"/>
        <v>0</v>
      </c>
      <c r="ED98" s="161">
        <f t="shared" si="118"/>
        <v>0</v>
      </c>
      <c r="EE98" s="161">
        <f t="shared" si="119"/>
        <v>0</v>
      </c>
      <c r="EF98" s="161">
        <f t="shared" si="120"/>
        <v>0</v>
      </c>
      <c r="EG98" s="161">
        <f t="shared" si="121"/>
        <v>0</v>
      </c>
      <c r="EH98" s="161">
        <f t="shared" si="122"/>
        <v>0</v>
      </c>
      <c r="EI98" s="161">
        <f t="shared" si="123"/>
        <v>0</v>
      </c>
      <c r="EJ98" s="161">
        <f t="shared" si="124"/>
        <v>0</v>
      </c>
      <c r="EK98" s="147">
        <f t="shared" si="54"/>
        <v>250</v>
      </c>
      <c r="EL98" s="149"/>
      <c r="EN98" s="146"/>
      <c r="EO98" s="146"/>
      <c r="EP98" s="139">
        <f t="shared" si="55"/>
        <v>0</v>
      </c>
      <c r="EQ98" s="139">
        <f t="shared" si="56"/>
        <v>0</v>
      </c>
      <c r="ER98" s="139">
        <f t="shared" si="57"/>
        <v>0</v>
      </c>
      <c r="ES98" s="139">
        <f t="shared" si="58"/>
        <v>0</v>
      </c>
      <c r="ET98" s="139">
        <f t="shared" si="59"/>
        <v>19.380323679147835</v>
      </c>
      <c r="EU98" s="139">
        <f t="shared" si="60"/>
        <v>79.068326858711032</v>
      </c>
      <c r="EV98" s="139">
        <f t="shared" si="61"/>
        <v>100.00793564539256</v>
      </c>
      <c r="EW98" s="139">
        <f t="shared" si="62"/>
        <v>0</v>
      </c>
      <c r="EX98" s="139">
        <f t="shared" si="63"/>
        <v>61.542910180518639</v>
      </c>
      <c r="EY98" s="139">
        <f t="shared" si="64"/>
        <v>84.256187959224732</v>
      </c>
      <c r="EZ98" s="139">
        <f t="shared" si="65"/>
        <v>0</v>
      </c>
      <c r="FA98" s="139">
        <f t="shared" si="66"/>
        <v>0</v>
      </c>
      <c r="FB98" s="139">
        <f t="shared" si="67"/>
        <v>0</v>
      </c>
      <c r="FC98" s="139">
        <f t="shared" si="68"/>
        <v>0</v>
      </c>
      <c r="FD98" s="139">
        <f t="shared" si="69"/>
        <v>0</v>
      </c>
      <c r="FE98" s="139">
        <f t="shared" si="70"/>
        <v>0</v>
      </c>
      <c r="FF98" s="139">
        <f t="shared" si="71"/>
        <v>0</v>
      </c>
      <c r="FG98" s="139">
        <f t="shared" si="72"/>
        <v>0</v>
      </c>
      <c r="FH98" s="139">
        <f t="shared" si="73"/>
        <v>0</v>
      </c>
      <c r="FI98" s="139">
        <f t="shared" si="74"/>
        <v>0</v>
      </c>
      <c r="FJ98" s="139">
        <f t="shared" si="75"/>
        <v>0</v>
      </c>
      <c r="FK98" s="139">
        <f t="shared" si="76"/>
        <v>0</v>
      </c>
      <c r="FL98" s="139">
        <f t="shared" si="77"/>
        <v>0</v>
      </c>
      <c r="FM98" s="139">
        <f t="shared" si="78"/>
        <v>0</v>
      </c>
      <c r="FN98" s="139">
        <f t="shared" si="79"/>
        <v>0</v>
      </c>
      <c r="FO98" s="139">
        <f t="shared" si="80"/>
        <v>0</v>
      </c>
      <c r="FP98" s="139">
        <f t="shared" si="81"/>
        <v>0</v>
      </c>
      <c r="FQ98" s="139">
        <f t="shared" si="82"/>
        <v>0</v>
      </c>
      <c r="FR98" s="139">
        <f t="shared" si="83"/>
        <v>0</v>
      </c>
      <c r="FS98" s="139">
        <f t="shared" si="84"/>
        <v>0</v>
      </c>
      <c r="FT98" s="139">
        <f t="shared" si="85"/>
        <v>0</v>
      </c>
      <c r="FU98" s="148">
        <f t="shared" si="86"/>
        <v>344.2556843229948</v>
      </c>
      <c r="FV98" s="149"/>
      <c r="FY98" s="211">
        <v>93</v>
      </c>
      <c r="FZ98">
        <v>110.28454887465541</v>
      </c>
      <c r="GA98">
        <v>146.29060422803929</v>
      </c>
      <c r="GB98">
        <v>60.599895514741426</v>
      </c>
      <c r="GC98">
        <v>41.005543199594186</v>
      </c>
      <c r="GD98">
        <v>29.575774641094913</v>
      </c>
      <c r="GE98">
        <v>53.0104163300594</v>
      </c>
      <c r="GF98">
        <v>79.449539413391321</v>
      </c>
      <c r="GG98">
        <v>82.896465752682346</v>
      </c>
      <c r="GH98">
        <v>88.135258530145038</v>
      </c>
      <c r="GI98">
        <v>83.527523436912901</v>
      </c>
      <c r="GJ98"/>
      <c r="GK98"/>
      <c r="GL98"/>
      <c r="GM98"/>
    </row>
    <row r="99" spans="1:195" s="7" customFormat="1">
      <c r="A99" s="1"/>
      <c r="B99" s="76">
        <f ca="1">IF(C99="", "", RAND())</f>
        <v>0.85935098594661863</v>
      </c>
      <c r="C99">
        <v>1</v>
      </c>
      <c r="D99">
        <v>39673</v>
      </c>
      <c r="E99">
        <v>0</v>
      </c>
      <c r="F99">
        <v>0</v>
      </c>
      <c r="G99">
        <v>0</v>
      </c>
      <c r="H99">
        <v>0</v>
      </c>
      <c r="I99">
        <v>41.666666666666664</v>
      </c>
      <c r="J99">
        <v>93.75</v>
      </c>
      <c r="K99">
        <v>72.916666666666671</v>
      </c>
      <c r="L99">
        <v>0</v>
      </c>
      <c r="M99">
        <v>20.833333333333332</v>
      </c>
      <c r="N99">
        <v>20.833333333333332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266.88517007648557</v>
      </c>
      <c r="AO99">
        <v>136.80960801454003</v>
      </c>
      <c r="AP99">
        <v>512.69080484047163</v>
      </c>
      <c r="AQ99">
        <v>769.2985559949708</v>
      </c>
      <c r="AR99">
        <v>131.29592402258683</v>
      </c>
      <c r="AS99">
        <v>1422.9876256749124</v>
      </c>
      <c r="AT99">
        <v>64.694012667545934</v>
      </c>
      <c r="AU99">
        <v>-77.429056243164808</v>
      </c>
      <c r="AV99"/>
      <c r="AW99"/>
      <c r="AX99" s="146"/>
      <c r="AY99" s="76">
        <f t="shared" ca="1" si="87"/>
        <v>0.47668761765128487</v>
      </c>
      <c r="AZ99">
        <v>2</v>
      </c>
      <c r="BA99" s="129">
        <f t="shared" ref="BA99:BA107" si="126">IF(AZ99="", "",$C$5)</f>
        <v>39673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2</v>
      </c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 s="147"/>
      <c r="CH99" s="176"/>
      <c r="CJ99" s="146"/>
      <c r="CK99" s="76">
        <f t="shared" ca="1" si="89"/>
        <v>0.79684654970618984</v>
      </c>
      <c r="CL99" s="179">
        <f t="shared" si="90"/>
        <v>2</v>
      </c>
      <c r="CM99" s="180">
        <f t="shared" si="91"/>
        <v>39673</v>
      </c>
      <c r="CN99">
        <v>0</v>
      </c>
      <c r="CO99">
        <v>0</v>
      </c>
      <c r="CP99">
        <v>1</v>
      </c>
      <c r="CQ99">
        <v>1</v>
      </c>
      <c r="CR99">
        <v>0</v>
      </c>
      <c r="CS99">
        <v>1</v>
      </c>
      <c r="CT99"/>
      <c r="CU99"/>
      <c r="CW99">
        <v>1</v>
      </c>
      <c r="CX99">
        <v>6</v>
      </c>
      <c r="CY99" s="158"/>
      <c r="CZ99" s="177">
        <f t="shared" si="92"/>
        <v>9.6000000000000002E-2</v>
      </c>
      <c r="DB99" s="146"/>
      <c r="DC99" s="76">
        <f t="shared" ca="1" si="50"/>
        <v>0.12934265663126898</v>
      </c>
      <c r="DD99">
        <f t="shared" si="93"/>
        <v>2</v>
      </c>
      <c r="DE99" s="129">
        <f t="shared" si="125"/>
        <v>39673</v>
      </c>
      <c r="DF99" s="161">
        <f t="shared" si="94"/>
        <v>0</v>
      </c>
      <c r="DG99" s="161">
        <f t="shared" si="95"/>
        <v>0</v>
      </c>
      <c r="DH99" s="161">
        <f t="shared" si="96"/>
        <v>62.5</v>
      </c>
      <c r="DI99" s="161">
        <f t="shared" si="97"/>
        <v>62.5</v>
      </c>
      <c r="DJ99" s="161">
        <f t="shared" si="98"/>
        <v>0</v>
      </c>
      <c r="DK99" s="161">
        <f t="shared" si="99"/>
        <v>62.5</v>
      </c>
      <c r="DL99" s="161">
        <f t="shared" si="100"/>
        <v>20.833333333333332</v>
      </c>
      <c r="DM99" s="161">
        <f t="shared" si="101"/>
        <v>0</v>
      </c>
      <c r="DN99" s="161">
        <f t="shared" si="102"/>
        <v>0</v>
      </c>
      <c r="DO99" s="161">
        <f t="shared" si="103"/>
        <v>0</v>
      </c>
      <c r="DP99" s="161">
        <f t="shared" si="104"/>
        <v>0</v>
      </c>
      <c r="DQ99" s="161">
        <f t="shared" si="105"/>
        <v>0</v>
      </c>
      <c r="DR99" s="161">
        <f t="shared" si="106"/>
        <v>0</v>
      </c>
      <c r="DS99" s="161">
        <f t="shared" si="107"/>
        <v>0</v>
      </c>
      <c r="DT99" s="161">
        <f t="shared" si="108"/>
        <v>0</v>
      </c>
      <c r="DU99" s="161">
        <f t="shared" si="109"/>
        <v>0</v>
      </c>
      <c r="DV99" s="161">
        <f t="shared" si="110"/>
        <v>0</v>
      </c>
      <c r="DW99" s="161">
        <f t="shared" si="111"/>
        <v>0</v>
      </c>
      <c r="DX99" s="161">
        <f t="shared" si="112"/>
        <v>0</v>
      </c>
      <c r="DY99" s="161">
        <f t="shared" si="113"/>
        <v>0</v>
      </c>
      <c r="DZ99" s="161">
        <f t="shared" si="114"/>
        <v>0</v>
      </c>
      <c r="EA99" s="161">
        <f t="shared" si="115"/>
        <v>0</v>
      </c>
      <c r="EB99" s="161">
        <f t="shared" si="116"/>
        <v>0</v>
      </c>
      <c r="EC99" s="161">
        <f t="shared" si="117"/>
        <v>0</v>
      </c>
      <c r="ED99" s="161">
        <f t="shared" si="118"/>
        <v>0</v>
      </c>
      <c r="EE99" s="161">
        <f t="shared" si="119"/>
        <v>0</v>
      </c>
      <c r="EF99" s="161">
        <f t="shared" si="120"/>
        <v>0</v>
      </c>
      <c r="EG99" s="161">
        <f t="shared" si="121"/>
        <v>0</v>
      </c>
      <c r="EH99" s="161">
        <f t="shared" si="122"/>
        <v>0</v>
      </c>
      <c r="EI99" s="161">
        <f t="shared" si="123"/>
        <v>0</v>
      </c>
      <c r="EJ99" s="161">
        <f t="shared" si="124"/>
        <v>0</v>
      </c>
      <c r="EK99" s="147">
        <f t="shared" si="54"/>
        <v>208.33333333333334</v>
      </c>
      <c r="EL99" s="149"/>
      <c r="EN99" s="146"/>
      <c r="EO99" s="146"/>
      <c r="EP99" s="139">
        <f t="shared" si="55"/>
        <v>0</v>
      </c>
      <c r="EQ99" s="139">
        <f t="shared" si="56"/>
        <v>0</v>
      </c>
      <c r="ER99" s="139">
        <f t="shared" si="57"/>
        <v>4.5772568863760812</v>
      </c>
      <c r="ES99" s="139">
        <f t="shared" si="58"/>
        <v>13.497106496955709</v>
      </c>
      <c r="ET99" s="139">
        <f t="shared" si="59"/>
        <v>0</v>
      </c>
      <c r="EU99" s="139">
        <f t="shared" si="60"/>
        <v>52.712217905807357</v>
      </c>
      <c r="EV99" s="139">
        <f t="shared" si="61"/>
        <v>28.573695898683585</v>
      </c>
      <c r="EW99" s="139">
        <f t="shared" si="62"/>
        <v>0</v>
      </c>
      <c r="EX99" s="139">
        <f t="shared" si="63"/>
        <v>0</v>
      </c>
      <c r="EY99" s="139">
        <f t="shared" si="64"/>
        <v>0</v>
      </c>
      <c r="EZ99" s="139">
        <f t="shared" si="65"/>
        <v>0</v>
      </c>
      <c r="FA99" s="139">
        <f t="shared" si="66"/>
        <v>0</v>
      </c>
      <c r="FB99" s="139">
        <f t="shared" si="67"/>
        <v>0</v>
      </c>
      <c r="FC99" s="139">
        <f t="shared" si="68"/>
        <v>0</v>
      </c>
      <c r="FD99" s="139">
        <f t="shared" si="69"/>
        <v>0</v>
      </c>
      <c r="FE99" s="139">
        <f t="shared" si="70"/>
        <v>0</v>
      </c>
      <c r="FF99" s="139">
        <f t="shared" si="71"/>
        <v>0</v>
      </c>
      <c r="FG99" s="139">
        <f t="shared" si="72"/>
        <v>0</v>
      </c>
      <c r="FH99" s="139">
        <f t="shared" si="73"/>
        <v>0</v>
      </c>
      <c r="FI99" s="139">
        <f t="shared" si="74"/>
        <v>0</v>
      </c>
      <c r="FJ99" s="139">
        <f t="shared" si="75"/>
        <v>0</v>
      </c>
      <c r="FK99" s="139">
        <f t="shared" si="76"/>
        <v>0</v>
      </c>
      <c r="FL99" s="139">
        <f t="shared" si="77"/>
        <v>0</v>
      </c>
      <c r="FM99" s="139">
        <f t="shared" si="78"/>
        <v>0</v>
      </c>
      <c r="FN99" s="139">
        <f t="shared" si="79"/>
        <v>0</v>
      </c>
      <c r="FO99" s="139">
        <f t="shared" si="80"/>
        <v>0</v>
      </c>
      <c r="FP99" s="139">
        <f t="shared" si="81"/>
        <v>0</v>
      </c>
      <c r="FQ99" s="139">
        <f t="shared" si="82"/>
        <v>0</v>
      </c>
      <c r="FR99" s="139">
        <f t="shared" si="83"/>
        <v>0</v>
      </c>
      <c r="FS99" s="139">
        <f t="shared" si="84"/>
        <v>0</v>
      </c>
      <c r="FT99" s="139">
        <f t="shared" si="85"/>
        <v>0</v>
      </c>
      <c r="FU99" s="148">
        <f t="shared" si="86"/>
        <v>99.360277187822732</v>
      </c>
      <c r="FV99" s="149"/>
      <c r="FY99" s="211">
        <v>94</v>
      </c>
      <c r="FZ99">
        <v>142.5926349709087</v>
      </c>
      <c r="GA99">
        <v>134.58956525537505</v>
      </c>
      <c r="GB99">
        <v>42.377596419737024</v>
      </c>
      <c r="GC99">
        <v>42.204075485761429</v>
      </c>
      <c r="GD99">
        <v>45.050871365132807</v>
      </c>
      <c r="GE99">
        <v>85.29770074709846</v>
      </c>
      <c r="GF99">
        <v>113.39700270633394</v>
      </c>
      <c r="GG99">
        <v>89.438035269518267</v>
      </c>
      <c r="GH99">
        <v>74.924485464045532</v>
      </c>
      <c r="GI99">
        <v>99.60340703686721</v>
      </c>
      <c r="GJ99"/>
      <c r="GK99"/>
      <c r="GL99"/>
      <c r="GM99"/>
    </row>
    <row r="100" spans="1:195" s="7" customFormat="1">
      <c r="A100" s="1"/>
      <c r="B100" s="76">
        <f ca="1">IF(C100="", "", RAND())</f>
        <v>0.35544530296904941</v>
      </c>
      <c r="C100">
        <v>6</v>
      </c>
      <c r="D100">
        <v>39673</v>
      </c>
      <c r="E100">
        <v>0</v>
      </c>
      <c r="F100">
        <v>10.416666666666666</v>
      </c>
      <c r="G100">
        <v>0</v>
      </c>
      <c r="H100">
        <v>0</v>
      </c>
      <c r="I100">
        <v>0</v>
      </c>
      <c r="J100">
        <v>52.083333333333336</v>
      </c>
      <c r="K100">
        <v>20.833333333333332</v>
      </c>
      <c r="L100">
        <v>41.666666666666664</v>
      </c>
      <c r="M100">
        <v>10.416666666666666</v>
      </c>
      <c r="N100">
        <v>10.416666666666666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356.00935634041912</v>
      </c>
      <c r="AO100">
        <v>204.11814512373525</v>
      </c>
      <c r="AP100">
        <v>990.89270912725874</v>
      </c>
      <c r="AQ100">
        <v>1031.1317343876901</v>
      </c>
      <c r="AR100">
        <v>192.13153631548121</v>
      </c>
      <c r="AS100">
        <v>1969.033996040265</v>
      </c>
      <c r="AT100">
        <v>99.479333798707842</v>
      </c>
      <c r="AU100">
        <v>478.12488232458884</v>
      </c>
      <c r="AV100"/>
      <c r="AW100"/>
      <c r="AX100" s="146"/>
      <c r="AY100" s="76">
        <f t="shared" ca="1" si="87"/>
        <v>0.57074690153502949</v>
      </c>
      <c r="AZ100">
        <v>3</v>
      </c>
      <c r="BA100" s="129">
        <f t="shared" si="126"/>
        <v>39673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2</v>
      </c>
      <c r="BJ100">
        <v>2</v>
      </c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 s="147"/>
      <c r="CH100" s="176"/>
      <c r="CJ100" s="146"/>
      <c r="CK100" s="76">
        <f t="shared" ca="1" si="89"/>
        <v>0.87241018509812474</v>
      </c>
      <c r="CL100" s="179">
        <f t="shared" si="90"/>
        <v>3</v>
      </c>
      <c r="CM100" s="180">
        <f t="shared" si="91"/>
        <v>39673</v>
      </c>
      <c r="CN100">
        <v>0</v>
      </c>
      <c r="CO100"/>
      <c r="CP100"/>
      <c r="CQ100"/>
      <c r="CR100"/>
      <c r="CS100"/>
      <c r="CT100"/>
      <c r="CU100"/>
      <c r="CW100">
        <v>1</v>
      </c>
      <c r="CX100">
        <f>350/51</f>
        <v>6.8627450980392153</v>
      </c>
      <c r="CY100" s="158"/>
      <c r="CZ100" s="177">
        <f t="shared" si="92"/>
        <v>9.6000000000000002E-2</v>
      </c>
      <c r="DB100" s="146"/>
      <c r="DC100" s="76">
        <f t="shared" ca="1" si="50"/>
        <v>0.52759081801553176</v>
      </c>
      <c r="DD100">
        <f t="shared" si="93"/>
        <v>3</v>
      </c>
      <c r="DE100" s="129">
        <f t="shared" si="125"/>
        <v>39673</v>
      </c>
      <c r="DF100" s="161">
        <f t="shared" si="94"/>
        <v>0</v>
      </c>
      <c r="DG100" s="161">
        <f t="shared" si="95"/>
        <v>0</v>
      </c>
      <c r="DH100" s="161">
        <f t="shared" si="96"/>
        <v>0</v>
      </c>
      <c r="DI100" s="161">
        <f t="shared" si="97"/>
        <v>0</v>
      </c>
      <c r="DJ100" s="161">
        <f t="shared" si="98"/>
        <v>0</v>
      </c>
      <c r="DK100" s="161">
        <f t="shared" si="99"/>
        <v>0</v>
      </c>
      <c r="DL100" s="161">
        <f t="shared" si="100"/>
        <v>0</v>
      </c>
      <c r="DM100" s="161">
        <f t="shared" si="101"/>
        <v>20.833333333333332</v>
      </c>
      <c r="DN100" s="161">
        <f t="shared" si="102"/>
        <v>20.833333333333332</v>
      </c>
      <c r="DO100" s="161">
        <f t="shared" si="103"/>
        <v>0</v>
      </c>
      <c r="DP100" s="161">
        <f t="shared" si="104"/>
        <v>0</v>
      </c>
      <c r="DQ100" s="161">
        <f t="shared" si="105"/>
        <v>0</v>
      </c>
      <c r="DR100" s="161">
        <f t="shared" si="106"/>
        <v>0</v>
      </c>
      <c r="DS100" s="161">
        <f t="shared" si="107"/>
        <v>0</v>
      </c>
      <c r="DT100" s="161">
        <f t="shared" si="108"/>
        <v>0</v>
      </c>
      <c r="DU100" s="161">
        <f t="shared" si="109"/>
        <v>0</v>
      </c>
      <c r="DV100" s="161">
        <f t="shared" si="110"/>
        <v>0</v>
      </c>
      <c r="DW100" s="161">
        <f t="shared" si="111"/>
        <v>0</v>
      </c>
      <c r="DX100" s="161">
        <f t="shared" si="112"/>
        <v>0</v>
      </c>
      <c r="DY100" s="161">
        <f t="shared" si="113"/>
        <v>0</v>
      </c>
      <c r="DZ100" s="161">
        <f t="shared" si="114"/>
        <v>0</v>
      </c>
      <c r="EA100" s="161">
        <f t="shared" si="115"/>
        <v>0</v>
      </c>
      <c r="EB100" s="161">
        <f t="shared" si="116"/>
        <v>0</v>
      </c>
      <c r="EC100" s="161">
        <f t="shared" si="117"/>
        <v>0</v>
      </c>
      <c r="ED100" s="161">
        <f t="shared" si="118"/>
        <v>0</v>
      </c>
      <c r="EE100" s="161">
        <f t="shared" si="119"/>
        <v>0</v>
      </c>
      <c r="EF100" s="161">
        <f t="shared" si="120"/>
        <v>0</v>
      </c>
      <c r="EG100" s="161">
        <f t="shared" si="121"/>
        <v>0</v>
      </c>
      <c r="EH100" s="161">
        <f t="shared" si="122"/>
        <v>0</v>
      </c>
      <c r="EI100" s="161">
        <f t="shared" si="123"/>
        <v>0</v>
      </c>
      <c r="EJ100" s="161">
        <f t="shared" si="124"/>
        <v>0</v>
      </c>
      <c r="EK100" s="147">
        <f t="shared" si="54"/>
        <v>41.666666666666664</v>
      </c>
      <c r="EL100" s="149"/>
      <c r="EN100" s="146"/>
      <c r="EO100" s="146"/>
      <c r="EP100" s="139">
        <f t="shared" si="55"/>
        <v>0</v>
      </c>
      <c r="EQ100" s="139">
        <f t="shared" si="56"/>
        <v>0</v>
      </c>
      <c r="ER100" s="139">
        <f t="shared" si="57"/>
        <v>0</v>
      </c>
      <c r="ES100" s="139">
        <f t="shared" si="58"/>
        <v>0</v>
      </c>
      <c r="ET100" s="139">
        <f t="shared" si="59"/>
        <v>0</v>
      </c>
      <c r="EU100" s="139">
        <f t="shared" si="60"/>
        <v>0</v>
      </c>
      <c r="EV100" s="139">
        <f t="shared" si="61"/>
        <v>0</v>
      </c>
      <c r="EW100" s="139">
        <f t="shared" si="62"/>
        <v>43.103596275578063</v>
      </c>
      <c r="EX100" s="139">
        <f t="shared" si="63"/>
        <v>61.542910180518639</v>
      </c>
      <c r="EY100" s="139">
        <f t="shared" si="64"/>
        <v>0</v>
      </c>
      <c r="EZ100" s="139">
        <f t="shared" si="65"/>
        <v>0</v>
      </c>
      <c r="FA100" s="139">
        <f t="shared" si="66"/>
        <v>0</v>
      </c>
      <c r="FB100" s="139">
        <f t="shared" si="67"/>
        <v>0</v>
      </c>
      <c r="FC100" s="139">
        <f t="shared" si="68"/>
        <v>0</v>
      </c>
      <c r="FD100" s="139">
        <f t="shared" si="69"/>
        <v>0</v>
      </c>
      <c r="FE100" s="139">
        <f t="shared" si="70"/>
        <v>0</v>
      </c>
      <c r="FF100" s="139">
        <f t="shared" si="71"/>
        <v>0</v>
      </c>
      <c r="FG100" s="139">
        <f t="shared" si="72"/>
        <v>0</v>
      </c>
      <c r="FH100" s="139">
        <f t="shared" si="73"/>
        <v>0</v>
      </c>
      <c r="FI100" s="139">
        <f t="shared" si="74"/>
        <v>0</v>
      </c>
      <c r="FJ100" s="139">
        <f t="shared" si="75"/>
        <v>0</v>
      </c>
      <c r="FK100" s="139">
        <f t="shared" si="76"/>
        <v>0</v>
      </c>
      <c r="FL100" s="139">
        <f t="shared" si="77"/>
        <v>0</v>
      </c>
      <c r="FM100" s="139">
        <f t="shared" si="78"/>
        <v>0</v>
      </c>
      <c r="FN100" s="139">
        <f t="shared" si="79"/>
        <v>0</v>
      </c>
      <c r="FO100" s="139">
        <f t="shared" si="80"/>
        <v>0</v>
      </c>
      <c r="FP100" s="139">
        <f t="shared" si="81"/>
        <v>0</v>
      </c>
      <c r="FQ100" s="139">
        <f t="shared" si="82"/>
        <v>0</v>
      </c>
      <c r="FR100" s="139">
        <f t="shared" si="83"/>
        <v>0</v>
      </c>
      <c r="FS100" s="139">
        <f t="shared" si="84"/>
        <v>0</v>
      </c>
      <c r="FT100" s="139">
        <f t="shared" si="85"/>
        <v>0</v>
      </c>
      <c r="FU100" s="148">
        <f t="shared" si="86"/>
        <v>104.6465064560967</v>
      </c>
      <c r="FV100" s="149"/>
      <c r="FY100" s="211">
        <v>95</v>
      </c>
      <c r="FZ100">
        <v>111.0181769681442</v>
      </c>
      <c r="GA100">
        <v>155.5058584341179</v>
      </c>
      <c r="GB100">
        <v>64.201403791649312</v>
      </c>
      <c r="GC100">
        <v>50.958094788835162</v>
      </c>
      <c r="GD100">
        <v>38.722793598411698</v>
      </c>
      <c r="GE100">
        <v>56.128215384591705</v>
      </c>
      <c r="GF100">
        <v>58.48739387174188</v>
      </c>
      <c r="GG100">
        <v>44.578518516437896</v>
      </c>
      <c r="GH100">
        <v>63.91843556980092</v>
      </c>
      <c r="GI100">
        <v>81.47092825091228</v>
      </c>
      <c r="GJ100"/>
      <c r="GK100"/>
      <c r="GL100"/>
      <c r="GM100"/>
    </row>
    <row r="101" spans="1:195" s="7" customFormat="1">
      <c r="A101" s="1"/>
      <c r="B101" s="76">
        <f ca="1">IF(C101="", "", RAND())</f>
        <v>0.7088779048871523</v>
      </c>
      <c r="C101">
        <v>5</v>
      </c>
      <c r="D101">
        <v>39673</v>
      </c>
      <c r="E101">
        <v>0</v>
      </c>
      <c r="F101">
        <v>0</v>
      </c>
      <c r="G101">
        <v>10.416666666666666</v>
      </c>
      <c r="H101">
        <v>10.416666666666666</v>
      </c>
      <c r="I101">
        <v>0</v>
      </c>
      <c r="J101">
        <v>20.833333333333332</v>
      </c>
      <c r="K101">
        <v>0</v>
      </c>
      <c r="L101">
        <v>20.833333333333332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300.54195727015707</v>
      </c>
      <c r="AO101">
        <v>143.98942447019039</v>
      </c>
      <c r="AP101">
        <v>515.13785534684132</v>
      </c>
      <c r="AQ101">
        <v>817.93780714881325</v>
      </c>
      <c r="AR101">
        <v>136.94054276151161</v>
      </c>
      <c r="AS101">
        <v>1390.3634582340435</v>
      </c>
      <c r="AT101">
        <v>71.835898039178616</v>
      </c>
      <c r="AU101">
        <v>57.796483614531375</v>
      </c>
      <c r="AV101"/>
      <c r="AW101"/>
      <c r="AX101" s="146"/>
      <c r="AY101" s="76">
        <f t="shared" ca="1" si="87"/>
        <v>0.40326224140426259</v>
      </c>
      <c r="AZ101">
        <v>4</v>
      </c>
      <c r="BA101" s="129">
        <f t="shared" si="126"/>
        <v>39673</v>
      </c>
      <c r="BB101">
        <v>0</v>
      </c>
      <c r="BC101">
        <v>0</v>
      </c>
      <c r="BD101">
        <v>4</v>
      </c>
      <c r="BE101">
        <v>2</v>
      </c>
      <c r="BF101">
        <v>0</v>
      </c>
      <c r="BG101">
        <v>0</v>
      </c>
      <c r="BH101">
        <v>2</v>
      </c>
      <c r="BI101">
        <v>3</v>
      </c>
      <c r="BJ101">
        <v>1</v>
      </c>
      <c r="BK101">
        <v>3</v>
      </c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 s="147"/>
      <c r="CH101" s="176"/>
      <c r="CJ101" s="146"/>
      <c r="CK101" s="76">
        <f t="shared" ca="1" si="89"/>
        <v>0.31470873826874968</v>
      </c>
      <c r="CL101" s="179">
        <f t="shared" si="90"/>
        <v>4</v>
      </c>
      <c r="CM101" s="180">
        <f t="shared" si="91"/>
        <v>39673</v>
      </c>
      <c r="CN101">
        <v>0</v>
      </c>
      <c r="CO101">
        <v>0</v>
      </c>
      <c r="CP101">
        <v>1</v>
      </c>
      <c r="CQ101"/>
      <c r="CR101"/>
      <c r="CS101"/>
      <c r="CT101"/>
      <c r="CU101"/>
      <c r="CW101">
        <v>1</v>
      </c>
      <c r="CX101">
        <f>355/50</f>
        <v>7.1</v>
      </c>
      <c r="CY101" s="158"/>
      <c r="CZ101" s="177">
        <f t="shared" si="92"/>
        <v>9.6000000000000002E-2</v>
      </c>
      <c r="DB101" s="146"/>
      <c r="DC101" s="76">
        <f t="shared" ca="1" si="50"/>
        <v>0.98626791759030219</v>
      </c>
      <c r="DD101">
        <f t="shared" si="93"/>
        <v>4</v>
      </c>
      <c r="DE101" s="129">
        <f t="shared" si="125"/>
        <v>39673</v>
      </c>
      <c r="DF101" s="161">
        <f t="shared" si="94"/>
        <v>0</v>
      </c>
      <c r="DG101" s="161">
        <f t="shared" si="95"/>
        <v>0</v>
      </c>
      <c r="DH101" s="161">
        <f t="shared" si="96"/>
        <v>115.625</v>
      </c>
      <c r="DI101" s="161">
        <f t="shared" si="97"/>
        <v>20.833333333333332</v>
      </c>
      <c r="DJ101" s="161">
        <f t="shared" si="98"/>
        <v>0</v>
      </c>
      <c r="DK101" s="161">
        <f t="shared" si="99"/>
        <v>0</v>
      </c>
      <c r="DL101" s="161">
        <f t="shared" si="100"/>
        <v>20.833333333333332</v>
      </c>
      <c r="DM101" s="161">
        <f t="shared" si="101"/>
        <v>31.25</v>
      </c>
      <c r="DN101" s="161">
        <f t="shared" si="102"/>
        <v>10.416666666666666</v>
      </c>
      <c r="DO101" s="161">
        <f t="shared" si="103"/>
        <v>31.25</v>
      </c>
      <c r="DP101" s="161">
        <f t="shared" si="104"/>
        <v>0</v>
      </c>
      <c r="DQ101" s="161">
        <f t="shared" si="105"/>
        <v>0</v>
      </c>
      <c r="DR101" s="161">
        <f t="shared" si="106"/>
        <v>0</v>
      </c>
      <c r="DS101" s="161">
        <f t="shared" si="107"/>
        <v>0</v>
      </c>
      <c r="DT101" s="161">
        <f t="shared" si="108"/>
        <v>0</v>
      </c>
      <c r="DU101" s="161">
        <f t="shared" si="109"/>
        <v>0</v>
      </c>
      <c r="DV101" s="161">
        <f t="shared" si="110"/>
        <v>0</v>
      </c>
      <c r="DW101" s="161">
        <f t="shared" si="111"/>
        <v>0</v>
      </c>
      <c r="DX101" s="161">
        <f t="shared" si="112"/>
        <v>0</v>
      </c>
      <c r="DY101" s="161">
        <f t="shared" si="113"/>
        <v>0</v>
      </c>
      <c r="DZ101" s="161">
        <f t="shared" si="114"/>
        <v>0</v>
      </c>
      <c r="EA101" s="161">
        <f t="shared" si="115"/>
        <v>0</v>
      </c>
      <c r="EB101" s="161">
        <f t="shared" si="116"/>
        <v>0</v>
      </c>
      <c r="EC101" s="161">
        <f t="shared" si="117"/>
        <v>0</v>
      </c>
      <c r="ED101" s="161">
        <f t="shared" si="118"/>
        <v>0</v>
      </c>
      <c r="EE101" s="161">
        <f t="shared" si="119"/>
        <v>0</v>
      </c>
      <c r="EF101" s="161">
        <f t="shared" si="120"/>
        <v>0</v>
      </c>
      <c r="EG101" s="161">
        <f t="shared" si="121"/>
        <v>0</v>
      </c>
      <c r="EH101" s="161">
        <f t="shared" si="122"/>
        <v>0</v>
      </c>
      <c r="EI101" s="161">
        <f t="shared" si="123"/>
        <v>0</v>
      </c>
      <c r="EJ101" s="161">
        <f t="shared" si="124"/>
        <v>0</v>
      </c>
      <c r="EK101" s="147">
        <f t="shared" si="54"/>
        <v>230.20833333333334</v>
      </c>
      <c r="EL101" s="149"/>
      <c r="EN101" s="146"/>
      <c r="EO101" s="146"/>
      <c r="EP101" s="139">
        <f t="shared" si="55"/>
        <v>0</v>
      </c>
      <c r="EQ101" s="139">
        <f t="shared" si="56"/>
        <v>0</v>
      </c>
      <c r="ER101" s="139">
        <f t="shared" si="57"/>
        <v>8.4679252397957505</v>
      </c>
      <c r="ES101" s="139">
        <f t="shared" si="58"/>
        <v>4.4990354989852364</v>
      </c>
      <c r="ET101" s="139">
        <f t="shared" si="59"/>
        <v>0</v>
      </c>
      <c r="EU101" s="139">
        <f t="shared" si="60"/>
        <v>0</v>
      </c>
      <c r="EV101" s="139">
        <f t="shared" si="61"/>
        <v>28.573695898683585</v>
      </c>
      <c r="EW101" s="139">
        <f t="shared" si="62"/>
        <v>64.655394413367091</v>
      </c>
      <c r="EX101" s="139">
        <f t="shared" si="63"/>
        <v>30.77145509025932</v>
      </c>
      <c r="EY101" s="139">
        <f t="shared" si="64"/>
        <v>126.38428193883711</v>
      </c>
      <c r="EZ101" s="139">
        <f t="shared" si="65"/>
        <v>0</v>
      </c>
      <c r="FA101" s="139">
        <f t="shared" si="66"/>
        <v>0</v>
      </c>
      <c r="FB101" s="139">
        <f t="shared" si="67"/>
        <v>0</v>
      </c>
      <c r="FC101" s="139">
        <f t="shared" si="68"/>
        <v>0</v>
      </c>
      <c r="FD101" s="139">
        <f t="shared" si="69"/>
        <v>0</v>
      </c>
      <c r="FE101" s="139">
        <f t="shared" si="70"/>
        <v>0</v>
      </c>
      <c r="FF101" s="139">
        <f t="shared" si="71"/>
        <v>0</v>
      </c>
      <c r="FG101" s="139">
        <f t="shared" si="72"/>
        <v>0</v>
      </c>
      <c r="FH101" s="139">
        <f t="shared" si="73"/>
        <v>0</v>
      </c>
      <c r="FI101" s="139">
        <f t="shared" si="74"/>
        <v>0</v>
      </c>
      <c r="FJ101" s="139">
        <f t="shared" si="75"/>
        <v>0</v>
      </c>
      <c r="FK101" s="139">
        <f t="shared" si="76"/>
        <v>0</v>
      </c>
      <c r="FL101" s="139">
        <f t="shared" si="77"/>
        <v>0</v>
      </c>
      <c r="FM101" s="139">
        <f t="shared" si="78"/>
        <v>0</v>
      </c>
      <c r="FN101" s="139">
        <f t="shared" si="79"/>
        <v>0</v>
      </c>
      <c r="FO101" s="139">
        <f t="shared" si="80"/>
        <v>0</v>
      </c>
      <c r="FP101" s="139">
        <f t="shared" si="81"/>
        <v>0</v>
      </c>
      <c r="FQ101" s="139">
        <f t="shared" si="82"/>
        <v>0</v>
      </c>
      <c r="FR101" s="139">
        <f t="shared" si="83"/>
        <v>0</v>
      </c>
      <c r="FS101" s="139">
        <f t="shared" si="84"/>
        <v>0</v>
      </c>
      <c r="FT101" s="139">
        <f t="shared" si="85"/>
        <v>0</v>
      </c>
      <c r="FU101" s="148">
        <f t="shared" si="86"/>
        <v>263.3517880799281</v>
      </c>
      <c r="FV101" s="149"/>
      <c r="FY101" s="211">
        <v>96</v>
      </c>
      <c r="FZ101">
        <v>113.19705461371933</v>
      </c>
      <c r="GA101">
        <v>136.83919660524282</v>
      </c>
      <c r="GB101">
        <v>45.192177472539399</v>
      </c>
      <c r="GC101">
        <v>46.64823677460619</v>
      </c>
      <c r="GD101">
        <v>34.965105628717509</v>
      </c>
      <c r="GE101">
        <v>58.315643244141313</v>
      </c>
      <c r="GF101">
        <v>92.956328620559532</v>
      </c>
      <c r="GG101">
        <v>41.694577303322966</v>
      </c>
      <c r="GH101">
        <v>38.282722718135716</v>
      </c>
      <c r="GI101">
        <v>78.100052895183808</v>
      </c>
      <c r="GJ101"/>
      <c r="GK101"/>
      <c r="GL101"/>
      <c r="GM101"/>
    </row>
    <row r="102" spans="1:195" s="7" customFormat="1">
      <c r="A102" s="1"/>
      <c r="B102" s="76">
        <f ca="1">IF(C102="", "", RAND())</f>
        <v>0.38343470750866526</v>
      </c>
      <c r="C102">
        <v>2</v>
      </c>
      <c r="D102">
        <v>39673</v>
      </c>
      <c r="E102">
        <v>0</v>
      </c>
      <c r="F102">
        <v>0</v>
      </c>
      <c r="G102">
        <v>62.5</v>
      </c>
      <c r="H102">
        <v>62.5</v>
      </c>
      <c r="I102">
        <v>0</v>
      </c>
      <c r="J102">
        <v>62.5</v>
      </c>
      <c r="K102">
        <v>20.833333333333332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297.77075593589518</v>
      </c>
      <c r="AO102">
        <v>171.93339692153381</v>
      </c>
      <c r="AP102">
        <v>653.83360980610996</v>
      </c>
      <c r="AQ102">
        <v>970.92843457742424</v>
      </c>
      <c r="AR102">
        <v>160.86394647978958</v>
      </c>
      <c r="AS102">
        <v>1684.2043107054485</v>
      </c>
      <c r="AT102">
        <v>85.865346536876487</v>
      </c>
      <c r="AU102">
        <v>211.05305194816725</v>
      </c>
      <c r="AV102"/>
      <c r="AW102"/>
      <c r="AX102" s="146"/>
      <c r="AY102" s="76">
        <f t="shared" ca="1" si="87"/>
        <v>0.48094033238520595</v>
      </c>
      <c r="AZ102">
        <v>5</v>
      </c>
      <c r="BA102" s="129">
        <f t="shared" si="126"/>
        <v>39673</v>
      </c>
      <c r="BB102">
        <v>0</v>
      </c>
      <c r="BC102">
        <v>0</v>
      </c>
      <c r="BD102">
        <v>1</v>
      </c>
      <c r="BE102">
        <v>1</v>
      </c>
      <c r="BF102">
        <v>0</v>
      </c>
      <c r="BG102">
        <v>2</v>
      </c>
      <c r="BH102">
        <v>0</v>
      </c>
      <c r="BI102">
        <v>2</v>
      </c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 s="147"/>
      <c r="CH102" s="176"/>
      <c r="CJ102" s="146"/>
      <c r="CK102" s="76">
        <f t="shared" ca="1" si="89"/>
        <v>0.41950624637241152</v>
      </c>
      <c r="CL102" s="179">
        <f t="shared" si="90"/>
        <v>5</v>
      </c>
      <c r="CM102" s="180">
        <f t="shared" si="91"/>
        <v>39673</v>
      </c>
      <c r="CN102"/>
      <c r="CO102"/>
      <c r="CP102"/>
      <c r="CQ102"/>
      <c r="CR102"/>
      <c r="CS102"/>
      <c r="CT102"/>
      <c r="CU102"/>
      <c r="CW102">
        <v>1</v>
      </c>
      <c r="CX102">
        <v>1</v>
      </c>
      <c r="CY102" s="164"/>
      <c r="CZ102" s="177">
        <f t="shared" si="92"/>
        <v>9.6000000000000002E-2</v>
      </c>
      <c r="DB102" s="146"/>
      <c r="DC102" s="76">
        <f t="shared" ca="1" si="50"/>
        <v>2.6311754731263903E-2</v>
      </c>
      <c r="DD102">
        <f t="shared" si="93"/>
        <v>5</v>
      </c>
      <c r="DE102" s="129">
        <f t="shared" si="125"/>
        <v>39673</v>
      </c>
      <c r="DF102" s="161">
        <f t="shared" si="94"/>
        <v>0</v>
      </c>
      <c r="DG102" s="161">
        <f t="shared" si="95"/>
        <v>0</v>
      </c>
      <c r="DH102" s="161">
        <f t="shared" si="96"/>
        <v>10.416666666666666</v>
      </c>
      <c r="DI102" s="161">
        <f t="shared" si="97"/>
        <v>10.416666666666666</v>
      </c>
      <c r="DJ102" s="161">
        <f t="shared" si="98"/>
        <v>0</v>
      </c>
      <c r="DK102" s="161">
        <f t="shared" si="99"/>
        <v>20.833333333333332</v>
      </c>
      <c r="DL102" s="161">
        <f t="shared" si="100"/>
        <v>0</v>
      </c>
      <c r="DM102" s="161">
        <f t="shared" si="101"/>
        <v>20.833333333333332</v>
      </c>
      <c r="DN102" s="161">
        <f t="shared" si="102"/>
        <v>0</v>
      </c>
      <c r="DO102" s="161">
        <f t="shared" si="103"/>
        <v>0</v>
      </c>
      <c r="DP102" s="161">
        <f t="shared" si="104"/>
        <v>0</v>
      </c>
      <c r="DQ102" s="161">
        <f t="shared" si="105"/>
        <v>0</v>
      </c>
      <c r="DR102" s="161">
        <f t="shared" si="106"/>
        <v>0</v>
      </c>
      <c r="DS102" s="161">
        <f t="shared" si="107"/>
        <v>0</v>
      </c>
      <c r="DT102" s="161">
        <f t="shared" si="108"/>
        <v>0</v>
      </c>
      <c r="DU102" s="161">
        <f t="shared" si="109"/>
        <v>0</v>
      </c>
      <c r="DV102" s="161">
        <f t="shared" si="110"/>
        <v>0</v>
      </c>
      <c r="DW102" s="161">
        <f t="shared" si="111"/>
        <v>0</v>
      </c>
      <c r="DX102" s="161">
        <f t="shared" si="112"/>
        <v>0</v>
      </c>
      <c r="DY102" s="161">
        <f t="shared" si="113"/>
        <v>0</v>
      </c>
      <c r="DZ102" s="161">
        <f t="shared" si="114"/>
        <v>0</v>
      </c>
      <c r="EA102" s="161">
        <f t="shared" si="115"/>
        <v>0</v>
      </c>
      <c r="EB102" s="161">
        <f t="shared" si="116"/>
        <v>0</v>
      </c>
      <c r="EC102" s="161">
        <f t="shared" si="117"/>
        <v>0</v>
      </c>
      <c r="ED102" s="161">
        <f t="shared" si="118"/>
        <v>0</v>
      </c>
      <c r="EE102" s="161">
        <f t="shared" si="119"/>
        <v>0</v>
      </c>
      <c r="EF102" s="161">
        <f t="shared" si="120"/>
        <v>0</v>
      </c>
      <c r="EG102" s="161">
        <f t="shared" si="121"/>
        <v>0</v>
      </c>
      <c r="EH102" s="161">
        <f t="shared" si="122"/>
        <v>0</v>
      </c>
      <c r="EI102" s="161">
        <f t="shared" si="123"/>
        <v>0</v>
      </c>
      <c r="EJ102" s="161">
        <f t="shared" si="124"/>
        <v>0</v>
      </c>
      <c r="EK102" s="147">
        <f t="shared" si="54"/>
        <v>62.5</v>
      </c>
      <c r="EL102" s="149"/>
      <c r="EN102" s="146"/>
      <c r="EO102" s="146"/>
      <c r="EP102" s="139">
        <f t="shared" si="55"/>
        <v>0</v>
      </c>
      <c r="EQ102" s="139">
        <f t="shared" si="56"/>
        <v>0</v>
      </c>
      <c r="ER102" s="139">
        <f t="shared" si="57"/>
        <v>0.76287614772934675</v>
      </c>
      <c r="ES102" s="139">
        <f t="shared" si="58"/>
        <v>2.2495177494926182</v>
      </c>
      <c r="ET102" s="139">
        <f t="shared" si="59"/>
        <v>0</v>
      </c>
      <c r="EU102" s="139">
        <f t="shared" si="60"/>
        <v>17.570739301935784</v>
      </c>
      <c r="EV102" s="139">
        <f t="shared" si="61"/>
        <v>0</v>
      </c>
      <c r="EW102" s="139">
        <f t="shared" si="62"/>
        <v>43.103596275578063</v>
      </c>
      <c r="EX102" s="139">
        <f t="shared" si="63"/>
        <v>0</v>
      </c>
      <c r="EY102" s="139">
        <f t="shared" si="64"/>
        <v>0</v>
      </c>
      <c r="EZ102" s="139">
        <f t="shared" si="65"/>
        <v>0</v>
      </c>
      <c r="FA102" s="139">
        <f t="shared" si="66"/>
        <v>0</v>
      </c>
      <c r="FB102" s="139">
        <f t="shared" si="67"/>
        <v>0</v>
      </c>
      <c r="FC102" s="139">
        <f t="shared" si="68"/>
        <v>0</v>
      </c>
      <c r="FD102" s="139">
        <f t="shared" si="69"/>
        <v>0</v>
      </c>
      <c r="FE102" s="139">
        <f t="shared" si="70"/>
        <v>0</v>
      </c>
      <c r="FF102" s="139">
        <f t="shared" si="71"/>
        <v>0</v>
      </c>
      <c r="FG102" s="139">
        <f t="shared" si="72"/>
        <v>0</v>
      </c>
      <c r="FH102" s="139">
        <f t="shared" si="73"/>
        <v>0</v>
      </c>
      <c r="FI102" s="139">
        <f t="shared" si="74"/>
        <v>0</v>
      </c>
      <c r="FJ102" s="139">
        <f t="shared" si="75"/>
        <v>0</v>
      </c>
      <c r="FK102" s="139">
        <f t="shared" si="76"/>
        <v>0</v>
      </c>
      <c r="FL102" s="139">
        <f t="shared" si="77"/>
        <v>0</v>
      </c>
      <c r="FM102" s="139">
        <f t="shared" si="78"/>
        <v>0</v>
      </c>
      <c r="FN102" s="139">
        <f t="shared" si="79"/>
        <v>0</v>
      </c>
      <c r="FO102" s="139">
        <f t="shared" si="80"/>
        <v>0</v>
      </c>
      <c r="FP102" s="139">
        <f t="shared" si="81"/>
        <v>0</v>
      </c>
      <c r="FQ102" s="139">
        <f t="shared" si="82"/>
        <v>0</v>
      </c>
      <c r="FR102" s="139">
        <f t="shared" si="83"/>
        <v>0</v>
      </c>
      <c r="FS102" s="139">
        <f t="shared" si="84"/>
        <v>0</v>
      </c>
      <c r="FT102" s="139">
        <f t="shared" si="85"/>
        <v>0</v>
      </c>
      <c r="FU102" s="148">
        <f t="shared" si="86"/>
        <v>63.686729474735813</v>
      </c>
      <c r="FV102" s="149"/>
      <c r="FY102" s="211">
        <v>97</v>
      </c>
      <c r="FZ102">
        <v>130.59341245290798</v>
      </c>
      <c r="GA102">
        <v>140.75088438612727</v>
      </c>
      <c r="GB102">
        <v>50.134178970363308</v>
      </c>
      <c r="GC102">
        <v>46.940370661012061</v>
      </c>
      <c r="GD102">
        <v>51.742320883184561</v>
      </c>
      <c r="GE102">
        <v>81.22927010371447</v>
      </c>
      <c r="GF102">
        <v>92.559186484182803</v>
      </c>
      <c r="GG102">
        <v>124.34386730690541</v>
      </c>
      <c r="GH102">
        <v>124.86718558497333</v>
      </c>
      <c r="GI102">
        <v>106.84660520844973</v>
      </c>
      <c r="GJ102"/>
      <c r="GK102"/>
      <c r="GL102"/>
      <c r="GM102"/>
    </row>
    <row r="103" spans="1:195" s="7" customFormat="1">
      <c r="A103" s="1"/>
      <c r="B103" s="76">
        <f ca="1">IF(C103="", "", RAND())</f>
        <v>0.43935804044723592</v>
      </c>
      <c r="C103">
        <v>8</v>
      </c>
      <c r="D103">
        <v>39673</v>
      </c>
      <c r="E103">
        <v>0</v>
      </c>
      <c r="F103">
        <v>0</v>
      </c>
      <c r="G103">
        <v>83.333333333333329</v>
      </c>
      <c r="H103">
        <v>10.416666666666666</v>
      </c>
      <c r="I103">
        <v>52.083333333333336</v>
      </c>
      <c r="J103">
        <v>52.083333333333336</v>
      </c>
      <c r="K103">
        <v>20.833333333333332</v>
      </c>
      <c r="L103">
        <v>20.833333333333332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302.06206494993933</v>
      </c>
      <c r="AO103">
        <v>172.14884699620845</v>
      </c>
      <c r="AP103">
        <v>851.66134430352099</v>
      </c>
      <c r="AQ103">
        <v>926.48454841563932</v>
      </c>
      <c r="AR103">
        <v>161.23699472485438</v>
      </c>
      <c r="AS103">
        <v>1489.8258465891688</v>
      </c>
      <c r="AT103">
        <v>84.927820806436898</v>
      </c>
      <c r="AU103">
        <v>210.29103050547002</v>
      </c>
      <c r="AV103"/>
      <c r="AW103"/>
      <c r="AX103" s="146"/>
      <c r="AY103" s="76">
        <f ca="1">IF(AZ103="", "", RAND())</f>
        <v>0.32926910663607067</v>
      </c>
      <c r="AZ103">
        <v>6</v>
      </c>
      <c r="BA103" s="129">
        <f t="shared" si="126"/>
        <v>39673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2</v>
      </c>
      <c r="BH103">
        <v>2</v>
      </c>
      <c r="BI103">
        <v>4</v>
      </c>
      <c r="BJ103">
        <v>1</v>
      </c>
      <c r="BK103">
        <v>1</v>
      </c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 s="147"/>
      <c r="CH103" s="176"/>
      <c r="CJ103" s="146"/>
      <c r="CK103" s="76">
        <f t="shared" ca="1" si="89"/>
        <v>0.7524778639020413</v>
      </c>
      <c r="CL103" s="179">
        <f t="shared" si="90"/>
        <v>6</v>
      </c>
      <c r="CM103" s="180">
        <f t="shared" si="91"/>
        <v>39673</v>
      </c>
      <c r="CN103">
        <v>0</v>
      </c>
      <c r="CO103">
        <v>1</v>
      </c>
      <c r="CP103">
        <v>0</v>
      </c>
      <c r="CQ103">
        <v>0</v>
      </c>
      <c r="CR103">
        <v>0</v>
      </c>
      <c r="CS103">
        <v>3</v>
      </c>
      <c r="CT103"/>
      <c r="CU103"/>
      <c r="CV103" s="160"/>
      <c r="CW103">
        <v>1</v>
      </c>
      <c r="CX103">
        <v>1</v>
      </c>
      <c r="CY103" s="164"/>
      <c r="CZ103" s="177">
        <f t="shared" si="92"/>
        <v>9.6000000000000002E-2</v>
      </c>
      <c r="DB103" s="146"/>
      <c r="DC103" s="76">
        <f t="shared" ca="1" si="50"/>
        <v>0.67674164422088401</v>
      </c>
      <c r="DD103">
        <f>IF(AZ103="", "", AZ103)</f>
        <v>6</v>
      </c>
      <c r="DE103" s="129">
        <f t="shared" si="125"/>
        <v>39673</v>
      </c>
      <c r="DF103" s="161">
        <f t="shared" si="94"/>
        <v>0</v>
      </c>
      <c r="DG103" s="161">
        <f t="shared" si="95"/>
        <v>10.416666666666666</v>
      </c>
      <c r="DH103" s="161">
        <f t="shared" si="96"/>
        <v>0</v>
      </c>
      <c r="DI103" s="161">
        <f t="shared" si="97"/>
        <v>0</v>
      </c>
      <c r="DJ103" s="161">
        <f t="shared" si="98"/>
        <v>0</v>
      </c>
      <c r="DK103" s="161">
        <f t="shared" si="99"/>
        <v>52.083333333333336</v>
      </c>
      <c r="DL103" s="161">
        <f t="shared" si="100"/>
        <v>20.833333333333332</v>
      </c>
      <c r="DM103" s="161">
        <f t="shared" si="101"/>
        <v>41.666666666666664</v>
      </c>
      <c r="DN103" s="161">
        <f t="shared" si="102"/>
        <v>10.416666666666666</v>
      </c>
      <c r="DO103" s="161">
        <f t="shared" si="103"/>
        <v>10.416666666666666</v>
      </c>
      <c r="DP103" s="161">
        <f t="shared" si="104"/>
        <v>0</v>
      </c>
      <c r="DQ103" s="161">
        <f t="shared" si="105"/>
        <v>0</v>
      </c>
      <c r="DR103" s="161">
        <f t="shared" si="106"/>
        <v>0</v>
      </c>
      <c r="DS103" s="161">
        <f t="shared" si="107"/>
        <v>0</v>
      </c>
      <c r="DT103" s="161">
        <f t="shared" si="108"/>
        <v>0</v>
      </c>
      <c r="DU103" s="161">
        <f t="shared" si="109"/>
        <v>0</v>
      </c>
      <c r="DV103" s="161">
        <f t="shared" si="110"/>
        <v>0</v>
      </c>
      <c r="DW103" s="161">
        <f t="shared" si="111"/>
        <v>0</v>
      </c>
      <c r="DX103" s="161">
        <f t="shared" si="112"/>
        <v>0</v>
      </c>
      <c r="DY103" s="161">
        <f t="shared" si="113"/>
        <v>0</v>
      </c>
      <c r="DZ103" s="161">
        <f t="shared" si="114"/>
        <v>0</v>
      </c>
      <c r="EA103" s="161">
        <f t="shared" si="115"/>
        <v>0</v>
      </c>
      <c r="EB103" s="161">
        <f t="shared" si="116"/>
        <v>0</v>
      </c>
      <c r="EC103" s="161">
        <f t="shared" si="117"/>
        <v>0</v>
      </c>
      <c r="ED103" s="161">
        <f t="shared" si="118"/>
        <v>0</v>
      </c>
      <c r="EE103" s="161">
        <f t="shared" si="119"/>
        <v>0</v>
      </c>
      <c r="EF103" s="161">
        <f t="shared" si="120"/>
        <v>0</v>
      </c>
      <c r="EG103" s="161">
        <f t="shared" si="121"/>
        <v>0</v>
      </c>
      <c r="EH103" s="161">
        <f t="shared" si="122"/>
        <v>0</v>
      </c>
      <c r="EI103" s="161">
        <f t="shared" si="123"/>
        <v>0</v>
      </c>
      <c r="EJ103" s="161">
        <f t="shared" si="124"/>
        <v>0</v>
      </c>
      <c r="EK103" s="147">
        <f t="shared" si="54"/>
        <v>145.83333333333331</v>
      </c>
      <c r="EL103" s="149"/>
      <c r="EN103" s="146"/>
      <c r="EO103" s="146"/>
      <c r="EP103" s="139">
        <f t="shared" si="55"/>
        <v>0</v>
      </c>
      <c r="EQ103" s="139">
        <f t="shared" si="56"/>
        <v>0.12011770833333332</v>
      </c>
      <c r="ER103" s="139">
        <f t="shared" si="57"/>
        <v>0</v>
      </c>
      <c r="ES103" s="139">
        <f t="shared" si="58"/>
        <v>0</v>
      </c>
      <c r="ET103" s="139">
        <f t="shared" si="59"/>
        <v>0</v>
      </c>
      <c r="EU103" s="139">
        <f t="shared" si="60"/>
        <v>43.92684825483947</v>
      </c>
      <c r="EV103" s="139">
        <f t="shared" si="61"/>
        <v>28.573695898683585</v>
      </c>
      <c r="EW103" s="139">
        <f t="shared" si="62"/>
        <v>86.207192551156126</v>
      </c>
      <c r="EX103" s="139">
        <f t="shared" si="63"/>
        <v>30.77145509025932</v>
      </c>
      <c r="EY103" s="139">
        <f t="shared" si="64"/>
        <v>42.128093979612366</v>
      </c>
      <c r="EZ103" s="139">
        <f t="shared" si="65"/>
        <v>0</v>
      </c>
      <c r="FA103" s="139">
        <f t="shared" si="66"/>
        <v>0</v>
      </c>
      <c r="FB103" s="139">
        <f t="shared" si="67"/>
        <v>0</v>
      </c>
      <c r="FC103" s="139">
        <f t="shared" si="68"/>
        <v>0</v>
      </c>
      <c r="FD103" s="139">
        <f t="shared" si="69"/>
        <v>0</v>
      </c>
      <c r="FE103" s="139">
        <f t="shared" si="70"/>
        <v>0</v>
      </c>
      <c r="FF103" s="139">
        <f t="shared" si="71"/>
        <v>0</v>
      </c>
      <c r="FG103" s="139">
        <f t="shared" si="72"/>
        <v>0</v>
      </c>
      <c r="FH103" s="139">
        <f t="shared" si="73"/>
        <v>0</v>
      </c>
      <c r="FI103" s="139">
        <f t="shared" si="74"/>
        <v>0</v>
      </c>
      <c r="FJ103" s="139">
        <f t="shared" si="75"/>
        <v>0</v>
      </c>
      <c r="FK103" s="139">
        <f t="shared" si="76"/>
        <v>0</v>
      </c>
      <c r="FL103" s="139">
        <f t="shared" si="77"/>
        <v>0</v>
      </c>
      <c r="FM103" s="139">
        <f t="shared" si="78"/>
        <v>0</v>
      </c>
      <c r="FN103" s="139">
        <f t="shared" si="79"/>
        <v>0</v>
      </c>
      <c r="FO103" s="139">
        <f t="shared" si="80"/>
        <v>0</v>
      </c>
      <c r="FP103" s="139">
        <f t="shared" si="81"/>
        <v>0</v>
      </c>
      <c r="FQ103" s="139">
        <f t="shared" si="82"/>
        <v>0</v>
      </c>
      <c r="FR103" s="139">
        <f t="shared" si="83"/>
        <v>0</v>
      </c>
      <c r="FS103" s="139">
        <f t="shared" si="84"/>
        <v>0</v>
      </c>
      <c r="FT103" s="139">
        <f t="shared" si="85"/>
        <v>0</v>
      </c>
      <c r="FU103" s="148">
        <f t="shared" si="86"/>
        <v>231.7274034828842</v>
      </c>
      <c r="FV103" s="149"/>
      <c r="FY103" s="211">
        <v>98</v>
      </c>
      <c r="FZ103">
        <v>97.92836198819677</v>
      </c>
      <c r="GA103">
        <v>127.12104528225991</v>
      </c>
      <c r="GB103">
        <v>50.213104637871076</v>
      </c>
      <c r="GC103">
        <v>50.343412711405833</v>
      </c>
      <c r="GD103">
        <v>57.265172937877082</v>
      </c>
      <c r="GE103">
        <v>128.58013358109304</v>
      </c>
      <c r="GF103">
        <v>134.92440961149194</v>
      </c>
      <c r="GG103">
        <v>78.54353518267871</v>
      </c>
      <c r="GH103">
        <v>88.811871430379426</v>
      </c>
      <c r="GI103">
        <v>110.24949826280555</v>
      </c>
      <c r="GJ103"/>
      <c r="GK103"/>
      <c r="GL103"/>
      <c r="GM103"/>
    </row>
    <row r="104" spans="1:195" s="7" customFormat="1">
      <c r="A104" s="1"/>
      <c r="B104" s="76">
        <f ca="1">IF(C104="", "", RAND())</f>
        <v>0.62296104396707186</v>
      </c>
      <c r="C104">
        <v>9</v>
      </c>
      <c r="D104">
        <v>39673</v>
      </c>
      <c r="E104">
        <v>0</v>
      </c>
      <c r="F104">
        <v>0</v>
      </c>
      <c r="G104">
        <v>41.666666666666664</v>
      </c>
      <c r="H104">
        <v>0</v>
      </c>
      <c r="I104">
        <v>31.25</v>
      </c>
      <c r="J104">
        <v>41.666666666666664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254.77314760988725</v>
      </c>
      <c r="AO104">
        <v>147.05790659592347</v>
      </c>
      <c r="AP104">
        <v>583.87729988109254</v>
      </c>
      <c r="AQ104">
        <v>787.49559695570588</v>
      </c>
      <c r="AR104">
        <v>139.1587494891028</v>
      </c>
      <c r="AS104">
        <v>1464.9670786574441</v>
      </c>
      <c r="AT104">
        <v>71.93158451343109</v>
      </c>
      <c r="AU104">
        <v>66.1929454630572</v>
      </c>
      <c r="AV104"/>
      <c r="AW104"/>
      <c r="AX104" s="146"/>
      <c r="AY104" s="76">
        <f ca="1">IF(AZ104="", "", RAND())</f>
        <v>0.91130852524499173</v>
      </c>
      <c r="AZ104">
        <v>7</v>
      </c>
      <c r="BA104" s="129">
        <f t="shared" si="126"/>
        <v>39673</v>
      </c>
      <c r="BB104">
        <v>0</v>
      </c>
      <c r="BC104">
        <v>0</v>
      </c>
      <c r="BD104">
        <v>0</v>
      </c>
      <c r="BE104">
        <v>0</v>
      </c>
      <c r="BF104">
        <v>2</v>
      </c>
      <c r="BG104">
        <v>3</v>
      </c>
      <c r="BH104">
        <v>4</v>
      </c>
      <c r="BI104">
        <v>5</v>
      </c>
      <c r="BJ104">
        <v>1</v>
      </c>
      <c r="BK104">
        <v>1</v>
      </c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 s="147"/>
      <c r="CH104" s="176"/>
      <c r="CJ104" s="146"/>
      <c r="CK104" s="76">
        <f t="shared" ca="1" si="89"/>
        <v>0.81645528012127677</v>
      </c>
      <c r="CL104" s="179">
        <f t="shared" si="90"/>
        <v>7</v>
      </c>
      <c r="CM104" s="180">
        <f t="shared" si="91"/>
        <v>39673</v>
      </c>
      <c r="CN104"/>
      <c r="CO104"/>
      <c r="CP104"/>
      <c r="CQ104"/>
      <c r="CR104"/>
      <c r="CS104"/>
      <c r="CT104"/>
      <c r="CU104"/>
      <c r="CV104" s="160"/>
      <c r="CW104">
        <v>1</v>
      </c>
      <c r="CX104">
        <v>1</v>
      </c>
      <c r="CY104" s="164"/>
      <c r="CZ104" s="177">
        <f t="shared" si="92"/>
        <v>9.6000000000000002E-2</v>
      </c>
      <c r="DB104" s="146"/>
      <c r="DC104" s="76">
        <f t="shared" ca="1" si="50"/>
        <v>0.89712907178245427</v>
      </c>
      <c r="DD104">
        <f>IF(AZ104="", "", AZ104)</f>
        <v>7</v>
      </c>
      <c r="DE104" s="129">
        <f t="shared" si="125"/>
        <v>39673</v>
      </c>
      <c r="DF104" s="161">
        <f t="shared" si="94"/>
        <v>0</v>
      </c>
      <c r="DG104" s="161">
        <f t="shared" si="95"/>
        <v>0</v>
      </c>
      <c r="DH104" s="161">
        <f t="shared" si="96"/>
        <v>0</v>
      </c>
      <c r="DI104" s="161">
        <f t="shared" si="97"/>
        <v>0</v>
      </c>
      <c r="DJ104" s="161">
        <f t="shared" si="98"/>
        <v>20.833333333333332</v>
      </c>
      <c r="DK104" s="161">
        <f t="shared" si="99"/>
        <v>31.25</v>
      </c>
      <c r="DL104" s="161">
        <f t="shared" si="100"/>
        <v>41.666666666666664</v>
      </c>
      <c r="DM104" s="161">
        <f t="shared" si="101"/>
        <v>52.083333333333336</v>
      </c>
      <c r="DN104" s="161">
        <f t="shared" si="102"/>
        <v>10.416666666666666</v>
      </c>
      <c r="DO104" s="161">
        <f t="shared" si="103"/>
        <v>10.416666666666666</v>
      </c>
      <c r="DP104" s="161">
        <f t="shared" si="104"/>
        <v>0</v>
      </c>
      <c r="DQ104" s="161">
        <f t="shared" si="105"/>
        <v>0</v>
      </c>
      <c r="DR104" s="161">
        <f t="shared" si="106"/>
        <v>0</v>
      </c>
      <c r="DS104" s="161">
        <f t="shared" si="107"/>
        <v>0</v>
      </c>
      <c r="DT104" s="161">
        <f t="shared" si="108"/>
        <v>0</v>
      </c>
      <c r="DU104" s="161">
        <f t="shared" si="109"/>
        <v>0</v>
      </c>
      <c r="DV104" s="161">
        <f t="shared" si="110"/>
        <v>0</v>
      </c>
      <c r="DW104" s="161">
        <f t="shared" si="111"/>
        <v>0</v>
      </c>
      <c r="DX104" s="161">
        <f t="shared" si="112"/>
        <v>0</v>
      </c>
      <c r="DY104" s="161">
        <f t="shared" si="113"/>
        <v>0</v>
      </c>
      <c r="DZ104" s="161">
        <f t="shared" si="114"/>
        <v>0</v>
      </c>
      <c r="EA104" s="161">
        <f t="shared" si="115"/>
        <v>0</v>
      </c>
      <c r="EB104" s="161">
        <f t="shared" si="116"/>
        <v>0</v>
      </c>
      <c r="EC104" s="161">
        <f t="shared" si="117"/>
        <v>0</v>
      </c>
      <c r="ED104" s="161">
        <f t="shared" si="118"/>
        <v>0</v>
      </c>
      <c r="EE104" s="161">
        <f t="shared" si="119"/>
        <v>0</v>
      </c>
      <c r="EF104" s="161">
        <f t="shared" si="120"/>
        <v>0</v>
      </c>
      <c r="EG104" s="161">
        <f t="shared" si="121"/>
        <v>0</v>
      </c>
      <c r="EH104" s="161">
        <f t="shared" si="122"/>
        <v>0</v>
      </c>
      <c r="EI104" s="161">
        <f t="shared" si="123"/>
        <v>0</v>
      </c>
      <c r="EJ104" s="161">
        <f t="shared" si="124"/>
        <v>0</v>
      </c>
      <c r="EK104" s="147">
        <f t="shared" si="54"/>
        <v>166.66666666666666</v>
      </c>
      <c r="EL104" s="149"/>
      <c r="EN104" s="146"/>
      <c r="EO104" s="146"/>
      <c r="EP104" s="139">
        <f t="shared" si="55"/>
        <v>0</v>
      </c>
      <c r="EQ104" s="139">
        <f t="shared" si="56"/>
        <v>0</v>
      </c>
      <c r="ER104" s="139">
        <f t="shared" si="57"/>
        <v>0</v>
      </c>
      <c r="ES104" s="139">
        <f t="shared" si="58"/>
        <v>0</v>
      </c>
      <c r="ET104" s="139">
        <f t="shared" si="59"/>
        <v>9.6901618395739177</v>
      </c>
      <c r="EU104" s="139">
        <f t="shared" si="60"/>
        <v>26.356108952903678</v>
      </c>
      <c r="EV104" s="139">
        <f t="shared" si="61"/>
        <v>57.14739179736717</v>
      </c>
      <c r="EW104" s="139">
        <f t="shared" si="62"/>
        <v>107.75899068894516</v>
      </c>
      <c r="EX104" s="139">
        <f t="shared" si="63"/>
        <v>30.77145509025932</v>
      </c>
      <c r="EY104" s="139">
        <f t="shared" si="64"/>
        <v>42.128093979612366</v>
      </c>
      <c r="EZ104" s="139">
        <f t="shared" si="65"/>
        <v>0</v>
      </c>
      <c r="FA104" s="139">
        <f t="shared" si="66"/>
        <v>0</v>
      </c>
      <c r="FB104" s="139">
        <f t="shared" si="67"/>
        <v>0</v>
      </c>
      <c r="FC104" s="139">
        <f t="shared" si="68"/>
        <v>0</v>
      </c>
      <c r="FD104" s="139">
        <f t="shared" si="69"/>
        <v>0</v>
      </c>
      <c r="FE104" s="139">
        <f t="shared" si="70"/>
        <v>0</v>
      </c>
      <c r="FF104" s="139">
        <f t="shared" si="71"/>
        <v>0</v>
      </c>
      <c r="FG104" s="139">
        <f t="shared" si="72"/>
        <v>0</v>
      </c>
      <c r="FH104" s="139">
        <f t="shared" si="73"/>
        <v>0</v>
      </c>
      <c r="FI104" s="139">
        <f t="shared" si="74"/>
        <v>0</v>
      </c>
      <c r="FJ104" s="139">
        <f t="shared" si="75"/>
        <v>0</v>
      </c>
      <c r="FK104" s="139">
        <f t="shared" si="76"/>
        <v>0</v>
      </c>
      <c r="FL104" s="139">
        <f t="shared" si="77"/>
        <v>0</v>
      </c>
      <c r="FM104" s="139">
        <f t="shared" si="78"/>
        <v>0</v>
      </c>
      <c r="FN104" s="139">
        <f t="shared" si="79"/>
        <v>0</v>
      </c>
      <c r="FO104" s="139">
        <f t="shared" si="80"/>
        <v>0</v>
      </c>
      <c r="FP104" s="139">
        <f t="shared" si="81"/>
        <v>0</v>
      </c>
      <c r="FQ104" s="139">
        <f t="shared" si="82"/>
        <v>0</v>
      </c>
      <c r="FR104" s="139">
        <f t="shared" si="83"/>
        <v>0</v>
      </c>
      <c r="FS104" s="139">
        <f t="shared" si="84"/>
        <v>0</v>
      </c>
      <c r="FT104" s="139">
        <f t="shared" si="85"/>
        <v>0</v>
      </c>
      <c r="FU104" s="148">
        <f t="shared" si="86"/>
        <v>273.85220234866159</v>
      </c>
      <c r="FV104" s="149"/>
      <c r="FY104" s="211">
        <v>99</v>
      </c>
      <c r="FZ104">
        <v>110.52660839006873</v>
      </c>
      <c r="GA104">
        <v>159.76640160621491</v>
      </c>
      <c r="GB104">
        <v>63.831552869122653</v>
      </c>
      <c r="GC104">
        <v>42.337213949983941</v>
      </c>
      <c r="GD104">
        <v>40.397268170055995</v>
      </c>
      <c r="GE104">
        <v>86.237101456087032</v>
      </c>
      <c r="GF104">
        <v>101.71259188087103</v>
      </c>
      <c r="GG104">
        <v>26.333076009123424</v>
      </c>
      <c r="GH104">
        <v>24.19965493519349</v>
      </c>
      <c r="GI104">
        <v>85.7195724866787</v>
      </c>
      <c r="GJ104"/>
      <c r="GK104"/>
      <c r="GL104"/>
      <c r="GM104"/>
    </row>
    <row r="105" spans="1:195" s="7" customFormat="1">
      <c r="A105" s="1"/>
      <c r="B105" s="76">
        <f ca="1">IF(C105="", "", RAND())</f>
        <v>0.30227739831434519</v>
      </c>
      <c r="C105">
        <v>10</v>
      </c>
      <c r="D105">
        <v>39673</v>
      </c>
      <c r="E105">
        <v>0</v>
      </c>
      <c r="F105">
        <v>0</v>
      </c>
      <c r="G105">
        <v>0</v>
      </c>
      <c r="H105">
        <v>75</v>
      </c>
      <c r="I105">
        <v>148.80952380952382</v>
      </c>
      <c r="J105">
        <v>56.25</v>
      </c>
      <c r="K105">
        <v>18.75</v>
      </c>
      <c r="L105">
        <v>18.75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218.60245490669587</v>
      </c>
      <c r="AO105">
        <v>150.85985671830986</v>
      </c>
      <c r="AP105">
        <v>602.39056554765227</v>
      </c>
      <c r="AQ105">
        <v>867.81092291109712</v>
      </c>
      <c r="AR105">
        <v>143.75537499187232</v>
      </c>
      <c r="AS105">
        <v>1418.2944128281267</v>
      </c>
      <c r="AT105">
        <v>79.220300699150144</v>
      </c>
      <c r="AU105">
        <v>61.903624908699477</v>
      </c>
      <c r="AV105"/>
      <c r="AW105"/>
      <c r="AX105" s="146"/>
      <c r="AY105" s="76">
        <f ca="1">IF(AZ105="", "", RAND())</f>
        <v>0.45760022539391088</v>
      </c>
      <c r="AZ105">
        <v>8</v>
      </c>
      <c r="BA105" s="129">
        <f t="shared" si="126"/>
        <v>39673</v>
      </c>
      <c r="BB105">
        <v>0</v>
      </c>
      <c r="BC105">
        <v>0</v>
      </c>
      <c r="BD105">
        <v>0</v>
      </c>
      <c r="BE105">
        <v>1</v>
      </c>
      <c r="BF105">
        <v>5</v>
      </c>
      <c r="BG105">
        <v>5</v>
      </c>
      <c r="BH105">
        <v>2</v>
      </c>
      <c r="BI105">
        <v>2</v>
      </c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 s="147"/>
      <c r="CH105" s="176"/>
      <c r="CJ105" s="146"/>
      <c r="CK105" s="76">
        <f t="shared" ca="1" si="89"/>
        <v>0.17671790119356601</v>
      </c>
      <c r="CL105" s="179">
        <f t="shared" si="90"/>
        <v>8</v>
      </c>
      <c r="CM105" s="180">
        <f t="shared" si="91"/>
        <v>39673</v>
      </c>
      <c r="CN105">
        <v>0</v>
      </c>
      <c r="CO105">
        <v>0</v>
      </c>
      <c r="CP105">
        <v>4</v>
      </c>
      <c r="CQ105"/>
      <c r="CR105"/>
      <c r="CS105"/>
      <c r="CT105"/>
      <c r="CU105"/>
      <c r="CV105" s="160"/>
      <c r="CW105">
        <v>1</v>
      </c>
      <c r="CX105">
        <v>2</v>
      </c>
      <c r="CY105" s="164"/>
      <c r="CZ105" s="177">
        <f t="shared" si="92"/>
        <v>9.6000000000000002E-2</v>
      </c>
      <c r="DB105" s="146"/>
      <c r="DC105" s="76">
        <f t="shared" ca="1" si="50"/>
        <v>0.39363399588359815</v>
      </c>
      <c r="DD105">
        <f>IF(AZ105="", "", AZ105)</f>
        <v>8</v>
      </c>
      <c r="DE105" s="129">
        <f t="shared" si="125"/>
        <v>39673</v>
      </c>
      <c r="DF105" s="161">
        <f t="shared" si="94"/>
        <v>0</v>
      </c>
      <c r="DG105" s="161">
        <f t="shared" si="95"/>
        <v>0</v>
      </c>
      <c r="DH105" s="161">
        <f t="shared" si="96"/>
        <v>83.333333333333329</v>
      </c>
      <c r="DI105" s="161">
        <f t="shared" si="97"/>
        <v>10.416666666666666</v>
      </c>
      <c r="DJ105" s="161">
        <f t="shared" si="98"/>
        <v>52.083333333333336</v>
      </c>
      <c r="DK105" s="161">
        <f t="shared" si="99"/>
        <v>52.083333333333336</v>
      </c>
      <c r="DL105" s="161">
        <f t="shared" si="100"/>
        <v>20.833333333333332</v>
      </c>
      <c r="DM105" s="161">
        <f t="shared" si="101"/>
        <v>20.833333333333332</v>
      </c>
      <c r="DN105" s="161">
        <f t="shared" si="102"/>
        <v>0</v>
      </c>
      <c r="DO105" s="161">
        <f t="shared" si="103"/>
        <v>0</v>
      </c>
      <c r="DP105" s="161">
        <f t="shared" si="104"/>
        <v>0</v>
      </c>
      <c r="DQ105" s="161">
        <f t="shared" si="105"/>
        <v>0</v>
      </c>
      <c r="DR105" s="161">
        <f t="shared" si="106"/>
        <v>0</v>
      </c>
      <c r="DS105" s="161">
        <f t="shared" si="107"/>
        <v>0</v>
      </c>
      <c r="DT105" s="161">
        <f t="shared" si="108"/>
        <v>0</v>
      </c>
      <c r="DU105" s="161">
        <f t="shared" si="109"/>
        <v>0</v>
      </c>
      <c r="DV105" s="161">
        <f t="shared" si="110"/>
        <v>0</v>
      </c>
      <c r="DW105" s="161">
        <f t="shared" si="111"/>
        <v>0</v>
      </c>
      <c r="DX105" s="161">
        <f t="shared" si="112"/>
        <v>0</v>
      </c>
      <c r="DY105" s="161">
        <f t="shared" si="113"/>
        <v>0</v>
      </c>
      <c r="DZ105" s="161">
        <f t="shared" si="114"/>
        <v>0</v>
      </c>
      <c r="EA105" s="161">
        <f t="shared" si="115"/>
        <v>0</v>
      </c>
      <c r="EB105" s="161">
        <f t="shared" si="116"/>
        <v>0</v>
      </c>
      <c r="EC105" s="161">
        <f t="shared" si="117"/>
        <v>0</v>
      </c>
      <c r="ED105" s="161">
        <f t="shared" si="118"/>
        <v>0</v>
      </c>
      <c r="EE105" s="161">
        <f t="shared" si="119"/>
        <v>0</v>
      </c>
      <c r="EF105" s="161">
        <f t="shared" si="120"/>
        <v>0</v>
      </c>
      <c r="EG105" s="161">
        <f t="shared" si="121"/>
        <v>0</v>
      </c>
      <c r="EH105" s="161">
        <f t="shared" si="122"/>
        <v>0</v>
      </c>
      <c r="EI105" s="161">
        <f t="shared" si="123"/>
        <v>0</v>
      </c>
      <c r="EJ105" s="161">
        <f t="shared" si="124"/>
        <v>0</v>
      </c>
      <c r="EK105" s="147">
        <f t="shared" si="54"/>
        <v>239.58333333333337</v>
      </c>
      <c r="EL105" s="149"/>
      <c r="EN105" s="146"/>
      <c r="EO105" s="146"/>
      <c r="EP105" s="139">
        <f t="shared" si="55"/>
        <v>0</v>
      </c>
      <c r="EQ105" s="139">
        <f t="shared" si="56"/>
        <v>0</v>
      </c>
      <c r="ER105" s="139">
        <f t="shared" si="57"/>
        <v>6.103009181834774</v>
      </c>
      <c r="ES105" s="139">
        <f t="shared" si="58"/>
        <v>2.2495177494926182</v>
      </c>
      <c r="ET105" s="139">
        <f t="shared" si="59"/>
        <v>24.225404598934794</v>
      </c>
      <c r="EU105" s="139">
        <f t="shared" si="60"/>
        <v>43.92684825483947</v>
      </c>
      <c r="EV105" s="139">
        <f t="shared" si="61"/>
        <v>28.573695898683585</v>
      </c>
      <c r="EW105" s="139">
        <f t="shared" si="62"/>
        <v>43.103596275578063</v>
      </c>
      <c r="EX105" s="139">
        <f t="shared" si="63"/>
        <v>0</v>
      </c>
      <c r="EY105" s="139">
        <f t="shared" si="64"/>
        <v>0</v>
      </c>
      <c r="EZ105" s="139">
        <f t="shared" si="65"/>
        <v>0</v>
      </c>
      <c r="FA105" s="139">
        <f t="shared" si="66"/>
        <v>0</v>
      </c>
      <c r="FB105" s="139">
        <f t="shared" si="67"/>
        <v>0</v>
      </c>
      <c r="FC105" s="139">
        <f t="shared" si="68"/>
        <v>0</v>
      </c>
      <c r="FD105" s="139">
        <f t="shared" si="69"/>
        <v>0</v>
      </c>
      <c r="FE105" s="139">
        <f t="shared" si="70"/>
        <v>0</v>
      </c>
      <c r="FF105" s="139">
        <f t="shared" si="71"/>
        <v>0</v>
      </c>
      <c r="FG105" s="139">
        <f t="shared" si="72"/>
        <v>0</v>
      </c>
      <c r="FH105" s="139">
        <f t="shared" si="73"/>
        <v>0</v>
      </c>
      <c r="FI105" s="139">
        <f t="shared" si="74"/>
        <v>0</v>
      </c>
      <c r="FJ105" s="139">
        <f t="shared" si="75"/>
        <v>0</v>
      </c>
      <c r="FK105" s="139">
        <f t="shared" si="76"/>
        <v>0</v>
      </c>
      <c r="FL105" s="139">
        <f t="shared" si="77"/>
        <v>0</v>
      </c>
      <c r="FM105" s="139">
        <f t="shared" si="78"/>
        <v>0</v>
      </c>
      <c r="FN105" s="139">
        <f t="shared" si="79"/>
        <v>0</v>
      </c>
      <c r="FO105" s="139">
        <f t="shared" si="80"/>
        <v>0</v>
      </c>
      <c r="FP105" s="139">
        <f t="shared" si="81"/>
        <v>0</v>
      </c>
      <c r="FQ105" s="139">
        <f t="shared" si="82"/>
        <v>0</v>
      </c>
      <c r="FR105" s="139">
        <f t="shared" si="83"/>
        <v>0</v>
      </c>
      <c r="FS105" s="139">
        <f t="shared" si="84"/>
        <v>0</v>
      </c>
      <c r="FT105" s="139">
        <f t="shared" si="85"/>
        <v>0</v>
      </c>
      <c r="FU105" s="148">
        <f t="shared" si="86"/>
        <v>148.1820719593633</v>
      </c>
      <c r="FV105" s="149"/>
      <c r="FY105" s="211">
        <v>100</v>
      </c>
      <c r="FZ105">
        <v>133.45134220572888</v>
      </c>
      <c r="GA105">
        <v>150.30372823173846</v>
      </c>
      <c r="GB105">
        <v>35.537551430297164</v>
      </c>
      <c r="GC105">
        <v>34.191833284534837</v>
      </c>
      <c r="GD105">
        <v>27.829799927915662</v>
      </c>
      <c r="GE105">
        <v>56.686358696118091</v>
      </c>
      <c r="GF105">
        <v>106.58438132801372</v>
      </c>
      <c r="GG105">
        <v>97.98638109653136</v>
      </c>
      <c r="GH105">
        <v>111.46548586715755</v>
      </c>
      <c r="GI105">
        <v>90.511176433744311</v>
      </c>
      <c r="GJ105"/>
      <c r="GK105"/>
      <c r="GL105"/>
      <c r="GM105"/>
    </row>
    <row r="106" spans="1:195" s="7" customFormat="1">
      <c r="A106" s="1"/>
      <c r="B106" s="76">
        <f ca="1">IF(C106="", "", RAND())</f>
        <v>0.83622718604817514</v>
      </c>
      <c r="C106">
        <v>3</v>
      </c>
      <c r="D106">
        <v>39673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20.833333333333332</v>
      </c>
      <c r="M106">
        <v>20.833333333333332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290.59582244963497</v>
      </c>
      <c r="AO106">
        <v>133.90999042992888</v>
      </c>
      <c r="AP106">
        <v>395.4917865551285</v>
      </c>
      <c r="AQ106">
        <v>751.94027708052124</v>
      </c>
      <c r="AR106">
        <v>126.09452836955839</v>
      </c>
      <c r="AS106">
        <v>1414.8129897745835</v>
      </c>
      <c r="AT106">
        <v>64.673272238557999</v>
      </c>
      <c r="AU106">
        <v>23.741299902414035</v>
      </c>
      <c r="AV106"/>
      <c r="AW106"/>
      <c r="AX106" s="146"/>
      <c r="AY106" s="76">
        <f t="shared" ca="1" si="87"/>
        <v>0.91693825459992429</v>
      </c>
      <c r="AZ106">
        <v>9</v>
      </c>
      <c r="BA106" s="129">
        <f t="shared" si="126"/>
        <v>39673</v>
      </c>
      <c r="BB106">
        <v>0</v>
      </c>
      <c r="BC106">
        <v>0</v>
      </c>
      <c r="BD106">
        <v>1</v>
      </c>
      <c r="BE106">
        <v>0</v>
      </c>
      <c r="BF106">
        <v>3</v>
      </c>
      <c r="BG106">
        <v>2</v>
      </c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 s="147"/>
      <c r="CH106" s="176"/>
      <c r="CJ106" s="146"/>
      <c r="CK106" s="76">
        <f t="shared" ca="1" si="89"/>
        <v>0.61504544204686695</v>
      </c>
      <c r="CL106" s="179">
        <f t="shared" si="90"/>
        <v>9</v>
      </c>
      <c r="CM106" s="180">
        <f t="shared" si="91"/>
        <v>39673</v>
      </c>
      <c r="CN106">
        <v>0</v>
      </c>
      <c r="CO106">
        <v>0</v>
      </c>
      <c r="CP106">
        <v>3</v>
      </c>
      <c r="CQ106">
        <v>0</v>
      </c>
      <c r="CR106">
        <v>0</v>
      </c>
      <c r="CS106">
        <v>2</v>
      </c>
      <c r="CT106"/>
      <c r="CU106"/>
      <c r="CV106" s="160"/>
      <c r="CW106">
        <v>1</v>
      </c>
      <c r="CX106">
        <v>1</v>
      </c>
      <c r="CY106" s="164"/>
      <c r="CZ106" s="177">
        <f t="shared" si="92"/>
        <v>9.6000000000000002E-2</v>
      </c>
      <c r="DB106" s="146"/>
      <c r="DC106" s="76">
        <f t="shared" ca="1" si="50"/>
        <v>0.20651624550893555</v>
      </c>
      <c r="DD106">
        <f t="shared" si="93"/>
        <v>9</v>
      </c>
      <c r="DE106" s="129">
        <f t="shared" si="125"/>
        <v>39673</v>
      </c>
      <c r="DF106" s="161">
        <f t="shared" si="94"/>
        <v>0</v>
      </c>
      <c r="DG106" s="161">
        <f t="shared" si="95"/>
        <v>0</v>
      </c>
      <c r="DH106" s="161">
        <f t="shared" si="96"/>
        <v>41.666666666666664</v>
      </c>
      <c r="DI106" s="161">
        <f t="shared" si="97"/>
        <v>0</v>
      </c>
      <c r="DJ106" s="161">
        <f t="shared" si="98"/>
        <v>31.25</v>
      </c>
      <c r="DK106" s="161">
        <f t="shared" si="99"/>
        <v>41.666666666666664</v>
      </c>
      <c r="DL106" s="161">
        <f t="shared" si="100"/>
        <v>0</v>
      </c>
      <c r="DM106" s="161">
        <f t="shared" si="101"/>
        <v>0</v>
      </c>
      <c r="DN106" s="161">
        <f t="shared" si="102"/>
        <v>0</v>
      </c>
      <c r="DO106" s="161">
        <f t="shared" si="103"/>
        <v>0</v>
      </c>
      <c r="DP106" s="161">
        <f t="shared" si="104"/>
        <v>0</v>
      </c>
      <c r="DQ106" s="161">
        <f t="shared" si="105"/>
        <v>0</v>
      </c>
      <c r="DR106" s="161">
        <f t="shared" si="106"/>
        <v>0</v>
      </c>
      <c r="DS106" s="161">
        <f t="shared" si="107"/>
        <v>0</v>
      </c>
      <c r="DT106" s="161">
        <f t="shared" si="108"/>
        <v>0</v>
      </c>
      <c r="DU106" s="161">
        <f t="shared" si="109"/>
        <v>0</v>
      </c>
      <c r="DV106" s="161">
        <f t="shared" si="110"/>
        <v>0</v>
      </c>
      <c r="DW106" s="161">
        <f t="shared" si="111"/>
        <v>0</v>
      </c>
      <c r="DX106" s="161">
        <f t="shared" si="112"/>
        <v>0</v>
      </c>
      <c r="DY106" s="161">
        <f t="shared" si="113"/>
        <v>0</v>
      </c>
      <c r="DZ106" s="161">
        <f t="shared" si="114"/>
        <v>0</v>
      </c>
      <c r="EA106" s="161">
        <f t="shared" si="115"/>
        <v>0</v>
      </c>
      <c r="EB106" s="161">
        <f t="shared" si="116"/>
        <v>0</v>
      </c>
      <c r="EC106" s="161">
        <f t="shared" si="117"/>
        <v>0</v>
      </c>
      <c r="ED106" s="161">
        <f t="shared" si="118"/>
        <v>0</v>
      </c>
      <c r="EE106" s="161">
        <f t="shared" si="119"/>
        <v>0</v>
      </c>
      <c r="EF106" s="161">
        <f t="shared" si="120"/>
        <v>0</v>
      </c>
      <c r="EG106" s="161">
        <f t="shared" si="121"/>
        <v>0</v>
      </c>
      <c r="EH106" s="161">
        <f t="shared" si="122"/>
        <v>0</v>
      </c>
      <c r="EI106" s="161">
        <f t="shared" si="123"/>
        <v>0</v>
      </c>
      <c r="EJ106" s="161">
        <f t="shared" si="124"/>
        <v>0</v>
      </c>
      <c r="EK106" s="147">
        <f t="shared" si="54"/>
        <v>114.58333333333331</v>
      </c>
      <c r="EL106" s="149"/>
      <c r="EN106" s="146"/>
      <c r="EO106" s="146"/>
      <c r="EP106" s="139">
        <f t="shared" si="55"/>
        <v>0</v>
      </c>
      <c r="EQ106" s="139">
        <f t="shared" si="56"/>
        <v>0</v>
      </c>
      <c r="ER106" s="139">
        <f t="shared" si="57"/>
        <v>3.051504590917387</v>
      </c>
      <c r="ES106" s="139">
        <f t="shared" si="58"/>
        <v>0</v>
      </c>
      <c r="ET106" s="139">
        <f t="shared" si="59"/>
        <v>14.535242759360877</v>
      </c>
      <c r="EU106" s="139">
        <f t="shared" si="60"/>
        <v>35.141478603871569</v>
      </c>
      <c r="EV106" s="139">
        <f t="shared" si="61"/>
        <v>0</v>
      </c>
      <c r="EW106" s="139">
        <f t="shared" si="62"/>
        <v>0</v>
      </c>
      <c r="EX106" s="139">
        <f t="shared" si="63"/>
        <v>0</v>
      </c>
      <c r="EY106" s="139">
        <f t="shared" si="64"/>
        <v>0</v>
      </c>
      <c r="EZ106" s="139">
        <f t="shared" si="65"/>
        <v>0</v>
      </c>
      <c r="FA106" s="139">
        <f t="shared" si="66"/>
        <v>0</v>
      </c>
      <c r="FB106" s="139">
        <f t="shared" si="67"/>
        <v>0</v>
      </c>
      <c r="FC106" s="139">
        <f t="shared" si="68"/>
        <v>0</v>
      </c>
      <c r="FD106" s="139">
        <f t="shared" si="69"/>
        <v>0</v>
      </c>
      <c r="FE106" s="139">
        <f t="shared" si="70"/>
        <v>0</v>
      </c>
      <c r="FF106" s="139">
        <f t="shared" si="71"/>
        <v>0</v>
      </c>
      <c r="FG106" s="139">
        <f t="shared" si="72"/>
        <v>0</v>
      </c>
      <c r="FH106" s="139">
        <f t="shared" si="73"/>
        <v>0</v>
      </c>
      <c r="FI106" s="139">
        <f t="shared" si="74"/>
        <v>0</v>
      </c>
      <c r="FJ106" s="139">
        <f t="shared" si="75"/>
        <v>0</v>
      </c>
      <c r="FK106" s="139">
        <f t="shared" si="76"/>
        <v>0</v>
      </c>
      <c r="FL106" s="139">
        <f t="shared" si="77"/>
        <v>0</v>
      </c>
      <c r="FM106" s="139">
        <f t="shared" si="78"/>
        <v>0</v>
      </c>
      <c r="FN106" s="139">
        <f t="shared" si="79"/>
        <v>0</v>
      </c>
      <c r="FO106" s="139">
        <f t="shared" si="80"/>
        <v>0</v>
      </c>
      <c r="FP106" s="139">
        <f t="shared" si="81"/>
        <v>0</v>
      </c>
      <c r="FQ106" s="139">
        <f t="shared" si="82"/>
        <v>0</v>
      </c>
      <c r="FR106" s="139">
        <f t="shared" si="83"/>
        <v>0</v>
      </c>
      <c r="FS106" s="139">
        <f t="shared" si="84"/>
        <v>0</v>
      </c>
      <c r="FT106" s="139">
        <f t="shared" si="85"/>
        <v>0</v>
      </c>
      <c r="FU106" s="148">
        <f t="shared" si="86"/>
        <v>52.728225954149835</v>
      </c>
      <c r="FV106" s="149"/>
      <c r="FY106" s="211">
        <v>101</v>
      </c>
      <c r="FZ106">
        <v>100.03762523267213</v>
      </c>
      <c r="GA106">
        <v>128.3105822580894</v>
      </c>
      <c r="GB106">
        <v>65.028737802954723</v>
      </c>
      <c r="GC106">
        <v>44.967756546179494</v>
      </c>
      <c r="GD106">
        <v>41.962925220219027</v>
      </c>
      <c r="GE106">
        <v>66.224159209394912</v>
      </c>
      <c r="GF106">
        <v>82.879722271260462</v>
      </c>
      <c r="GG106">
        <v>75.552452201207601</v>
      </c>
      <c r="GH106">
        <v>50.347467750665288</v>
      </c>
      <c r="GI106">
        <v>86.062630810084841</v>
      </c>
      <c r="GJ106"/>
      <c r="GK106"/>
      <c r="GL106"/>
      <c r="GM106"/>
    </row>
    <row r="107" spans="1:195" s="7" customFormat="1">
      <c r="A107" s="1"/>
      <c r="B107" s="76">
        <f ca="1">IF(C107="", "", RAND())</f>
        <v>0.58829851796835797</v>
      </c>
      <c r="C107">
        <v>7</v>
      </c>
      <c r="D107">
        <v>39673</v>
      </c>
      <c r="E107">
        <v>0</v>
      </c>
      <c r="F107">
        <v>0</v>
      </c>
      <c r="G107">
        <v>0</v>
      </c>
      <c r="H107">
        <v>0</v>
      </c>
      <c r="I107">
        <v>20.833333333333332</v>
      </c>
      <c r="J107">
        <v>31.25</v>
      </c>
      <c r="K107">
        <v>41.666666666666664</v>
      </c>
      <c r="L107">
        <v>52.083333333333336</v>
      </c>
      <c r="M107">
        <v>10.416666666666666</v>
      </c>
      <c r="N107">
        <v>10.416666666666666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229.63707736131201</v>
      </c>
      <c r="AO107">
        <v>147.11197884768552</v>
      </c>
      <c r="AP107">
        <v>589.19451763616792</v>
      </c>
      <c r="AQ107">
        <v>874.68629334679724</v>
      </c>
      <c r="AR107">
        <v>138.65786044812859</v>
      </c>
      <c r="AS107">
        <v>1459.6377681643849</v>
      </c>
      <c r="AT107">
        <v>68.532755810811338</v>
      </c>
      <c r="AU107">
        <v>197.49808751447162</v>
      </c>
      <c r="AV107"/>
      <c r="AW107"/>
      <c r="AX107" s="146"/>
      <c r="AY107" s="76">
        <f t="shared" ca="1" si="87"/>
        <v>0.20687327413416101</v>
      </c>
      <c r="AZ107">
        <v>10</v>
      </c>
      <c r="BA107" s="129">
        <f t="shared" si="126"/>
        <v>39673</v>
      </c>
      <c r="BB107">
        <v>0</v>
      </c>
      <c r="BC107">
        <v>0</v>
      </c>
      <c r="BD107">
        <v>0</v>
      </c>
      <c r="BE107">
        <v>4</v>
      </c>
      <c r="BF107">
        <v>0</v>
      </c>
      <c r="BG107">
        <v>3</v>
      </c>
      <c r="BH107">
        <v>1</v>
      </c>
      <c r="BI107">
        <v>1</v>
      </c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 s="147"/>
      <c r="CH107" s="176"/>
      <c r="CJ107" s="146"/>
      <c r="CK107" s="76">
        <f t="shared" ca="1" si="89"/>
        <v>0.49565557236786506</v>
      </c>
      <c r="CL107" s="179">
        <f t="shared" si="90"/>
        <v>10</v>
      </c>
      <c r="CM107" s="180">
        <f t="shared" si="91"/>
        <v>39673</v>
      </c>
      <c r="CN107">
        <v>0</v>
      </c>
      <c r="CO107">
        <v>0</v>
      </c>
      <c r="CP107">
        <v>0</v>
      </c>
      <c r="CQ107">
        <v>0</v>
      </c>
      <c r="CR107">
        <v>1</v>
      </c>
      <c r="CS107"/>
      <c r="CT107"/>
      <c r="CU107"/>
      <c r="CV107" s="160"/>
      <c r="CW107">
        <f>18/10</f>
        <v>1.8</v>
      </c>
      <c r="CX107">
        <f>100/7</f>
        <v>14.285714285714286</v>
      </c>
      <c r="CY107" s="164"/>
      <c r="CZ107" s="177">
        <f t="shared" si="92"/>
        <v>9.6000000000000002E-2</v>
      </c>
      <c r="DB107" s="146"/>
      <c r="DC107" s="76">
        <f t="shared" ca="1" si="50"/>
        <v>3.4149885905170985E-2</v>
      </c>
      <c r="DD107">
        <f t="shared" si="93"/>
        <v>10</v>
      </c>
      <c r="DE107" s="129">
        <f t="shared" si="125"/>
        <v>39673</v>
      </c>
      <c r="DF107" s="161">
        <f t="shared" si="94"/>
        <v>0</v>
      </c>
      <c r="DG107" s="161">
        <f t="shared" si="95"/>
        <v>0</v>
      </c>
      <c r="DH107" s="161">
        <f t="shared" si="96"/>
        <v>0</v>
      </c>
      <c r="DI107" s="161">
        <f t="shared" si="97"/>
        <v>75</v>
      </c>
      <c r="DJ107" s="161">
        <f t="shared" si="98"/>
        <v>148.80952380952382</v>
      </c>
      <c r="DK107" s="161">
        <f t="shared" si="99"/>
        <v>56.25</v>
      </c>
      <c r="DL107" s="161">
        <f t="shared" si="100"/>
        <v>18.75</v>
      </c>
      <c r="DM107" s="161">
        <f t="shared" si="101"/>
        <v>18.75</v>
      </c>
      <c r="DN107" s="161">
        <f t="shared" si="102"/>
        <v>0</v>
      </c>
      <c r="DO107" s="161">
        <f t="shared" si="103"/>
        <v>0</v>
      </c>
      <c r="DP107" s="161">
        <f t="shared" si="104"/>
        <v>0</v>
      </c>
      <c r="DQ107" s="161">
        <f t="shared" si="105"/>
        <v>0</v>
      </c>
      <c r="DR107" s="161">
        <f t="shared" si="106"/>
        <v>0</v>
      </c>
      <c r="DS107" s="161">
        <f t="shared" si="107"/>
        <v>0</v>
      </c>
      <c r="DT107" s="161">
        <f t="shared" si="108"/>
        <v>0</v>
      </c>
      <c r="DU107" s="161">
        <f t="shared" si="109"/>
        <v>0</v>
      </c>
      <c r="DV107" s="161">
        <f t="shared" si="110"/>
        <v>0</v>
      </c>
      <c r="DW107" s="161">
        <f t="shared" si="111"/>
        <v>0</v>
      </c>
      <c r="DX107" s="161">
        <f t="shared" si="112"/>
        <v>0</v>
      </c>
      <c r="DY107" s="161">
        <f t="shared" si="113"/>
        <v>0</v>
      </c>
      <c r="DZ107" s="161">
        <f t="shared" si="114"/>
        <v>0</v>
      </c>
      <c r="EA107" s="161">
        <f t="shared" si="115"/>
        <v>0</v>
      </c>
      <c r="EB107" s="161">
        <f t="shared" si="116"/>
        <v>0</v>
      </c>
      <c r="EC107" s="161">
        <f t="shared" si="117"/>
        <v>0</v>
      </c>
      <c r="ED107" s="161">
        <f t="shared" si="118"/>
        <v>0</v>
      </c>
      <c r="EE107" s="161">
        <f t="shared" si="119"/>
        <v>0</v>
      </c>
      <c r="EF107" s="161">
        <f t="shared" si="120"/>
        <v>0</v>
      </c>
      <c r="EG107" s="161">
        <f t="shared" si="121"/>
        <v>0</v>
      </c>
      <c r="EH107" s="161">
        <f t="shared" si="122"/>
        <v>0</v>
      </c>
      <c r="EI107" s="161">
        <f t="shared" si="123"/>
        <v>0</v>
      </c>
      <c r="EJ107" s="161">
        <f t="shared" si="124"/>
        <v>0</v>
      </c>
      <c r="EK107" s="147">
        <f t="shared" si="54"/>
        <v>317.55952380952385</v>
      </c>
      <c r="EL107" s="149"/>
      <c r="EN107" s="146"/>
      <c r="EO107" s="146"/>
      <c r="EP107" s="139">
        <f t="shared" si="55"/>
        <v>0</v>
      </c>
      <c r="EQ107" s="139">
        <f t="shared" si="56"/>
        <v>0</v>
      </c>
      <c r="ER107" s="139">
        <f t="shared" si="57"/>
        <v>0</v>
      </c>
      <c r="ES107" s="139">
        <f t="shared" si="58"/>
        <v>16.196527796346849</v>
      </c>
      <c r="ET107" s="139">
        <f t="shared" si="59"/>
        <v>69.215441711242278</v>
      </c>
      <c r="EU107" s="139">
        <f t="shared" si="60"/>
        <v>47.440996115226625</v>
      </c>
      <c r="EV107" s="139">
        <f t="shared" si="61"/>
        <v>25.716326308815226</v>
      </c>
      <c r="EW107" s="139">
        <f t="shared" si="62"/>
        <v>38.793236648020255</v>
      </c>
      <c r="EX107" s="139">
        <f t="shared" si="63"/>
        <v>0</v>
      </c>
      <c r="EY107" s="139">
        <f t="shared" si="64"/>
        <v>0</v>
      </c>
      <c r="EZ107" s="139">
        <f t="shared" si="65"/>
        <v>0</v>
      </c>
      <c r="FA107" s="139">
        <f t="shared" si="66"/>
        <v>0</v>
      </c>
      <c r="FB107" s="139">
        <f t="shared" si="67"/>
        <v>0</v>
      </c>
      <c r="FC107" s="139">
        <f t="shared" si="68"/>
        <v>0</v>
      </c>
      <c r="FD107" s="139">
        <f t="shared" si="69"/>
        <v>0</v>
      </c>
      <c r="FE107" s="139">
        <f t="shared" si="70"/>
        <v>0</v>
      </c>
      <c r="FF107" s="139">
        <f t="shared" si="71"/>
        <v>0</v>
      </c>
      <c r="FG107" s="139">
        <f t="shared" si="72"/>
        <v>0</v>
      </c>
      <c r="FH107" s="139">
        <f t="shared" si="73"/>
        <v>0</v>
      </c>
      <c r="FI107" s="139">
        <f t="shared" si="74"/>
        <v>0</v>
      </c>
      <c r="FJ107" s="139">
        <f t="shared" si="75"/>
        <v>0</v>
      </c>
      <c r="FK107" s="139">
        <f t="shared" si="76"/>
        <v>0</v>
      </c>
      <c r="FL107" s="139">
        <f t="shared" si="77"/>
        <v>0</v>
      </c>
      <c r="FM107" s="139">
        <f t="shared" si="78"/>
        <v>0</v>
      </c>
      <c r="FN107" s="139">
        <f t="shared" si="79"/>
        <v>0</v>
      </c>
      <c r="FO107" s="139">
        <f t="shared" si="80"/>
        <v>0</v>
      </c>
      <c r="FP107" s="139">
        <f t="shared" si="81"/>
        <v>0</v>
      </c>
      <c r="FQ107" s="139">
        <f t="shared" si="82"/>
        <v>0</v>
      </c>
      <c r="FR107" s="139">
        <f t="shared" si="83"/>
        <v>0</v>
      </c>
      <c r="FS107" s="139">
        <f t="shared" si="84"/>
        <v>0</v>
      </c>
      <c r="FT107" s="139">
        <f t="shared" si="85"/>
        <v>0</v>
      </c>
      <c r="FU107" s="148">
        <f t="shared" si="86"/>
        <v>197.36252857965121</v>
      </c>
      <c r="FV107" s="149"/>
      <c r="FY107" s="211">
        <v>102</v>
      </c>
      <c r="FZ107">
        <v>87.482971451363312</v>
      </c>
      <c r="GA107">
        <v>125.11223353579574</v>
      </c>
      <c r="GB107">
        <v>63.33361798265873</v>
      </c>
      <c r="GC107">
        <v>46.124618338784764</v>
      </c>
      <c r="GD107">
        <v>34.801681099701241</v>
      </c>
      <c r="GE107">
        <v>65.543600161066635</v>
      </c>
      <c r="GF107">
        <v>109.35544103323231</v>
      </c>
      <c r="GG107">
        <v>86.60088777940102</v>
      </c>
      <c r="GH107">
        <v>80.643209274797613</v>
      </c>
      <c r="GI107">
        <v>90.266437771177934</v>
      </c>
      <c r="GJ107"/>
      <c r="GK107"/>
      <c r="GL107"/>
      <c r="GM107"/>
    </row>
    <row r="108" spans="1:195" s="7" customFormat="1">
      <c r="A108" s="128"/>
      <c r="B108" s="76">
        <f ca="1">IF(C108="", "", RAND())</f>
        <v>0.41536325407842889</v>
      </c>
      <c r="C108">
        <v>4</v>
      </c>
      <c r="D108">
        <v>39714</v>
      </c>
      <c r="E108">
        <v>0</v>
      </c>
      <c r="F108">
        <v>0</v>
      </c>
      <c r="G108">
        <v>0</v>
      </c>
      <c r="H108">
        <v>41.666666666666664</v>
      </c>
      <c r="I108">
        <v>41.666666666666664</v>
      </c>
      <c r="J108">
        <v>0</v>
      </c>
      <c r="K108">
        <v>0</v>
      </c>
      <c r="L108">
        <v>0</v>
      </c>
      <c r="M108">
        <v>20.833333333333332</v>
      </c>
      <c r="N108">
        <v>10.416666666666666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240.56006606468924</v>
      </c>
      <c r="AO108">
        <v>117.6937762119472</v>
      </c>
      <c r="AP108">
        <v>472.29159358569689</v>
      </c>
      <c r="AQ108">
        <v>702.62782302733342</v>
      </c>
      <c r="AR108">
        <v>113.12365965326276</v>
      </c>
      <c r="AS108">
        <v>1218.9268343642418</v>
      </c>
      <c r="AT108">
        <v>59.686500089828058</v>
      </c>
      <c r="AU108">
        <v>84.847625774822433</v>
      </c>
      <c r="AV108"/>
      <c r="AW108"/>
      <c r="AX108" s="128"/>
      <c r="AY108" s="76">
        <f t="shared" ca="1" si="87"/>
        <v>0.90332566421044902</v>
      </c>
      <c r="AZ108">
        <v>1</v>
      </c>
      <c r="BA108" s="129">
        <f>IF(AZ108="", "",$C$6)</f>
        <v>39714</v>
      </c>
      <c r="BB108">
        <v>0</v>
      </c>
      <c r="BC108">
        <v>0</v>
      </c>
      <c r="BD108">
        <v>0</v>
      </c>
      <c r="BE108">
        <v>4</v>
      </c>
      <c r="BF108">
        <v>2</v>
      </c>
      <c r="BG108">
        <v>0</v>
      </c>
      <c r="BH108">
        <v>0</v>
      </c>
      <c r="BI108">
        <v>1</v>
      </c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 s="147"/>
      <c r="CH108" s="176"/>
      <c r="CJ108" s="128"/>
      <c r="CK108" s="76">
        <f t="shared" ca="1" si="89"/>
        <v>0.71302307149899447</v>
      </c>
      <c r="CL108" s="179">
        <f t="shared" si="90"/>
        <v>1</v>
      </c>
      <c r="CM108" s="180">
        <f t="shared" si="91"/>
        <v>39714</v>
      </c>
      <c r="CN108">
        <v>0</v>
      </c>
      <c r="CO108">
        <v>1</v>
      </c>
      <c r="CP108"/>
      <c r="CQ108"/>
      <c r="CR108"/>
      <c r="CS108"/>
      <c r="CT108"/>
      <c r="CU108"/>
      <c r="CW108">
        <v>1</v>
      </c>
      <c r="CX108">
        <f>300/48</f>
        <v>6.25</v>
      </c>
      <c r="CY108" s="158"/>
      <c r="CZ108" s="177">
        <f t="shared" si="92"/>
        <v>9.6000000000000002E-2</v>
      </c>
      <c r="DB108" s="128"/>
      <c r="DC108" s="76">
        <f t="shared" ca="1" si="50"/>
        <v>0.23589983361239431</v>
      </c>
      <c r="DD108">
        <f t="shared" si="93"/>
        <v>1</v>
      </c>
      <c r="DE108" s="129">
        <f t="shared" ref="DE108:DE117" si="127">IF((DD108)="", "", $C$6)</f>
        <v>39714</v>
      </c>
      <c r="DF108" s="161">
        <f t="shared" si="94"/>
        <v>0</v>
      </c>
      <c r="DG108" s="161">
        <f t="shared" si="95"/>
        <v>65.104166666666671</v>
      </c>
      <c r="DH108" s="161">
        <f t="shared" si="96"/>
        <v>0</v>
      </c>
      <c r="DI108" s="161">
        <f t="shared" si="97"/>
        <v>41.666666666666664</v>
      </c>
      <c r="DJ108" s="161">
        <f t="shared" si="98"/>
        <v>20.833333333333332</v>
      </c>
      <c r="DK108" s="161">
        <f t="shared" si="99"/>
        <v>0</v>
      </c>
      <c r="DL108" s="161">
        <f t="shared" si="100"/>
        <v>0</v>
      </c>
      <c r="DM108" s="161">
        <f t="shared" si="101"/>
        <v>10.416666666666666</v>
      </c>
      <c r="DN108" s="161">
        <f t="shared" si="102"/>
        <v>0</v>
      </c>
      <c r="DO108" s="161">
        <f t="shared" si="103"/>
        <v>0</v>
      </c>
      <c r="DP108" s="161">
        <f t="shared" si="104"/>
        <v>0</v>
      </c>
      <c r="DQ108" s="161">
        <f t="shared" si="105"/>
        <v>0</v>
      </c>
      <c r="DR108" s="161">
        <f t="shared" si="106"/>
        <v>0</v>
      </c>
      <c r="DS108" s="161">
        <f t="shared" si="107"/>
        <v>0</v>
      </c>
      <c r="DT108" s="161">
        <f t="shared" si="108"/>
        <v>0</v>
      </c>
      <c r="DU108" s="161">
        <f t="shared" si="109"/>
        <v>0</v>
      </c>
      <c r="DV108" s="161">
        <f t="shared" si="110"/>
        <v>0</v>
      </c>
      <c r="DW108" s="161">
        <f t="shared" si="111"/>
        <v>0</v>
      </c>
      <c r="DX108" s="161">
        <f t="shared" si="112"/>
        <v>0</v>
      </c>
      <c r="DY108" s="161">
        <f t="shared" si="113"/>
        <v>0</v>
      </c>
      <c r="DZ108" s="161">
        <f t="shared" si="114"/>
        <v>0</v>
      </c>
      <c r="EA108" s="161">
        <f t="shared" si="115"/>
        <v>0</v>
      </c>
      <c r="EB108" s="161">
        <f t="shared" si="116"/>
        <v>0</v>
      </c>
      <c r="EC108" s="161">
        <f t="shared" si="117"/>
        <v>0</v>
      </c>
      <c r="ED108" s="161">
        <f t="shared" si="118"/>
        <v>0</v>
      </c>
      <c r="EE108" s="161">
        <f t="shared" si="119"/>
        <v>0</v>
      </c>
      <c r="EF108" s="161">
        <f t="shared" si="120"/>
        <v>0</v>
      </c>
      <c r="EG108" s="161">
        <f t="shared" si="121"/>
        <v>0</v>
      </c>
      <c r="EH108" s="161">
        <f t="shared" si="122"/>
        <v>0</v>
      </c>
      <c r="EI108" s="161">
        <f t="shared" si="123"/>
        <v>0</v>
      </c>
      <c r="EJ108" s="161">
        <f t="shared" si="124"/>
        <v>0</v>
      </c>
      <c r="EK108" s="147">
        <f t="shared" si="54"/>
        <v>138.02083333333334</v>
      </c>
      <c r="EL108" s="149"/>
      <c r="EN108" s="146"/>
      <c r="EO108" s="146"/>
      <c r="EP108" s="139">
        <f t="shared" si="55"/>
        <v>0</v>
      </c>
      <c r="EQ108" s="139">
        <f t="shared" si="56"/>
        <v>0.75073567708333333</v>
      </c>
      <c r="ER108" s="139">
        <f t="shared" si="57"/>
        <v>0</v>
      </c>
      <c r="ES108" s="139">
        <f t="shared" si="58"/>
        <v>8.9980709979704727</v>
      </c>
      <c r="ET108" s="139">
        <f t="shared" si="59"/>
        <v>9.6901618395739177</v>
      </c>
      <c r="EU108" s="139">
        <f t="shared" si="60"/>
        <v>0</v>
      </c>
      <c r="EV108" s="139">
        <f t="shared" si="61"/>
        <v>0</v>
      </c>
      <c r="EW108" s="139">
        <f t="shared" si="62"/>
        <v>21.551798137789032</v>
      </c>
      <c r="EX108" s="139">
        <f t="shared" si="63"/>
        <v>0</v>
      </c>
      <c r="EY108" s="139">
        <f t="shared" si="64"/>
        <v>0</v>
      </c>
      <c r="EZ108" s="139">
        <f t="shared" si="65"/>
        <v>0</v>
      </c>
      <c r="FA108" s="139">
        <f t="shared" si="66"/>
        <v>0</v>
      </c>
      <c r="FB108" s="139">
        <f t="shared" si="67"/>
        <v>0</v>
      </c>
      <c r="FC108" s="139">
        <f t="shared" si="68"/>
        <v>0</v>
      </c>
      <c r="FD108" s="139">
        <f t="shared" si="69"/>
        <v>0</v>
      </c>
      <c r="FE108" s="139">
        <f t="shared" si="70"/>
        <v>0</v>
      </c>
      <c r="FF108" s="139">
        <f t="shared" si="71"/>
        <v>0</v>
      </c>
      <c r="FG108" s="139">
        <f t="shared" si="72"/>
        <v>0</v>
      </c>
      <c r="FH108" s="139">
        <f t="shared" si="73"/>
        <v>0</v>
      </c>
      <c r="FI108" s="139">
        <f t="shared" si="74"/>
        <v>0</v>
      </c>
      <c r="FJ108" s="139">
        <f t="shared" si="75"/>
        <v>0</v>
      </c>
      <c r="FK108" s="139">
        <f t="shared" si="76"/>
        <v>0</v>
      </c>
      <c r="FL108" s="139">
        <f t="shared" si="77"/>
        <v>0</v>
      </c>
      <c r="FM108" s="139">
        <f t="shared" si="78"/>
        <v>0</v>
      </c>
      <c r="FN108" s="139">
        <f t="shared" si="79"/>
        <v>0</v>
      </c>
      <c r="FO108" s="139">
        <f t="shared" si="80"/>
        <v>0</v>
      </c>
      <c r="FP108" s="139">
        <f t="shared" si="81"/>
        <v>0</v>
      </c>
      <c r="FQ108" s="139">
        <f t="shared" si="82"/>
        <v>0</v>
      </c>
      <c r="FR108" s="139">
        <f t="shared" si="83"/>
        <v>0</v>
      </c>
      <c r="FS108" s="139">
        <f t="shared" si="84"/>
        <v>0</v>
      </c>
      <c r="FT108" s="139">
        <f t="shared" si="85"/>
        <v>0</v>
      </c>
      <c r="FU108" s="148">
        <f t="shared" si="86"/>
        <v>40.990766652416752</v>
      </c>
      <c r="FV108" s="149"/>
      <c r="FY108" s="211">
        <v>103</v>
      </c>
      <c r="FZ108">
        <v>131.05653037861012</v>
      </c>
      <c r="GA108">
        <v>208.66805210278011</v>
      </c>
      <c r="GB108">
        <v>68.454743333420794</v>
      </c>
      <c r="GC108">
        <v>41.731554222386613</v>
      </c>
      <c r="GD108">
        <v>30.448806281320898</v>
      </c>
      <c r="GE108">
        <v>57.231597018766109</v>
      </c>
      <c r="GF108">
        <v>123.13942222793611</v>
      </c>
      <c r="GG108">
        <v>90.090275468460277</v>
      </c>
      <c r="GH108">
        <v>62.424187450555053</v>
      </c>
      <c r="GI108">
        <v>95.23962563034658</v>
      </c>
      <c r="GJ108"/>
      <c r="GK108"/>
      <c r="GL108"/>
      <c r="GM108"/>
    </row>
    <row r="109" spans="1:195" s="7" customFormat="1">
      <c r="A109" s="1"/>
      <c r="B109" s="76">
        <f ca="1">IF(C109="", "", RAND())</f>
        <v>0.28241628593627599</v>
      </c>
      <c r="C109">
        <v>8</v>
      </c>
      <c r="D109">
        <v>39714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10.416666666666666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260.32563702170785</v>
      </c>
      <c r="AO109">
        <v>132.59773884414926</v>
      </c>
      <c r="AP109">
        <v>466.76519442876713</v>
      </c>
      <c r="AQ109">
        <v>774.77556992131633</v>
      </c>
      <c r="AR109">
        <v>125.14850908284112</v>
      </c>
      <c r="AS109">
        <v>1492.8079285842014</v>
      </c>
      <c r="AT109">
        <v>68.031090505655655</v>
      </c>
      <c r="AU109">
        <v>152.85033486007811</v>
      </c>
      <c r="AV109"/>
      <c r="AW109"/>
      <c r="AX109" s="146"/>
      <c r="AY109" s="76">
        <f t="shared" ca="1" si="87"/>
        <v>1.7330609851483381E-2</v>
      </c>
      <c r="AZ109">
        <v>2</v>
      </c>
      <c r="BA109" s="129">
        <f t="shared" ref="BA109:BA117" si="128">IF(AZ109="", "",$C$6)</f>
        <v>39714</v>
      </c>
      <c r="BB109">
        <v>0</v>
      </c>
      <c r="BC109">
        <v>0</v>
      </c>
      <c r="BD109">
        <v>0</v>
      </c>
      <c r="BE109">
        <v>9</v>
      </c>
      <c r="BF109">
        <v>2</v>
      </c>
      <c r="BG109">
        <v>0</v>
      </c>
      <c r="BH109">
        <v>0</v>
      </c>
      <c r="BI109">
        <v>1</v>
      </c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 s="147"/>
      <c r="CH109" s="176"/>
      <c r="CJ109" s="146"/>
      <c r="CK109" s="76">
        <f t="shared" ca="1" si="89"/>
        <v>0.96109377849137978</v>
      </c>
      <c r="CL109" s="179">
        <f t="shared" si="90"/>
        <v>2</v>
      </c>
      <c r="CM109" s="180">
        <f t="shared" si="91"/>
        <v>39714</v>
      </c>
      <c r="CN109"/>
      <c r="CO109"/>
      <c r="CP109"/>
      <c r="CQ109"/>
      <c r="CR109"/>
      <c r="CS109"/>
      <c r="CT109"/>
      <c r="CU109"/>
      <c r="CW109">
        <v>1</v>
      </c>
      <c r="CX109">
        <v>1</v>
      </c>
      <c r="CY109" s="158"/>
      <c r="CZ109" s="177">
        <f t="shared" si="92"/>
        <v>9.6000000000000002E-2</v>
      </c>
      <c r="DB109" s="146"/>
      <c r="DC109" s="76">
        <f t="shared" ca="1" si="50"/>
        <v>0.62773250785675927</v>
      </c>
      <c r="DD109">
        <f t="shared" si="93"/>
        <v>2</v>
      </c>
      <c r="DE109" s="129">
        <f t="shared" si="127"/>
        <v>39714</v>
      </c>
      <c r="DF109" s="161">
        <f t="shared" si="94"/>
        <v>0</v>
      </c>
      <c r="DG109" s="161">
        <f t="shared" si="95"/>
        <v>0</v>
      </c>
      <c r="DH109" s="161">
        <f t="shared" si="96"/>
        <v>0</v>
      </c>
      <c r="DI109" s="161">
        <f t="shared" si="97"/>
        <v>93.75</v>
      </c>
      <c r="DJ109" s="161">
        <f t="shared" si="98"/>
        <v>20.833333333333332</v>
      </c>
      <c r="DK109" s="161">
        <f t="shared" si="99"/>
        <v>0</v>
      </c>
      <c r="DL109" s="161">
        <f t="shared" si="100"/>
        <v>0</v>
      </c>
      <c r="DM109" s="161">
        <f t="shared" si="101"/>
        <v>10.416666666666666</v>
      </c>
      <c r="DN109" s="161">
        <f t="shared" si="102"/>
        <v>0</v>
      </c>
      <c r="DO109" s="161">
        <f t="shared" si="103"/>
        <v>0</v>
      </c>
      <c r="DP109" s="161">
        <f t="shared" si="104"/>
        <v>0</v>
      </c>
      <c r="DQ109" s="161">
        <f t="shared" si="105"/>
        <v>0</v>
      </c>
      <c r="DR109" s="161">
        <f t="shared" si="106"/>
        <v>0</v>
      </c>
      <c r="DS109" s="161">
        <f t="shared" si="107"/>
        <v>0</v>
      </c>
      <c r="DT109" s="161">
        <f t="shared" si="108"/>
        <v>0</v>
      </c>
      <c r="DU109" s="161">
        <f t="shared" si="109"/>
        <v>0</v>
      </c>
      <c r="DV109" s="161">
        <f t="shared" si="110"/>
        <v>0</v>
      </c>
      <c r="DW109" s="161">
        <f t="shared" si="111"/>
        <v>0</v>
      </c>
      <c r="DX109" s="161">
        <f t="shared" si="112"/>
        <v>0</v>
      </c>
      <c r="DY109" s="161">
        <f t="shared" si="113"/>
        <v>0</v>
      </c>
      <c r="DZ109" s="161">
        <f t="shared" si="114"/>
        <v>0</v>
      </c>
      <c r="EA109" s="161">
        <f t="shared" si="115"/>
        <v>0</v>
      </c>
      <c r="EB109" s="161">
        <f t="shared" si="116"/>
        <v>0</v>
      </c>
      <c r="EC109" s="161">
        <f t="shared" si="117"/>
        <v>0</v>
      </c>
      <c r="ED109" s="161">
        <f t="shared" si="118"/>
        <v>0</v>
      </c>
      <c r="EE109" s="161">
        <f t="shared" si="119"/>
        <v>0</v>
      </c>
      <c r="EF109" s="161">
        <f t="shared" si="120"/>
        <v>0</v>
      </c>
      <c r="EG109" s="161">
        <f t="shared" si="121"/>
        <v>0</v>
      </c>
      <c r="EH109" s="161">
        <f t="shared" si="122"/>
        <v>0</v>
      </c>
      <c r="EI109" s="161">
        <f t="shared" si="123"/>
        <v>0</v>
      </c>
      <c r="EJ109" s="161">
        <f t="shared" si="124"/>
        <v>0</v>
      </c>
      <c r="EK109" s="147">
        <f t="shared" si="54"/>
        <v>125</v>
      </c>
      <c r="EL109" s="149"/>
      <c r="EN109" s="146"/>
      <c r="EO109" s="146"/>
      <c r="EP109" s="139">
        <f t="shared" si="55"/>
        <v>0</v>
      </c>
      <c r="EQ109" s="139">
        <f t="shared" si="56"/>
        <v>0</v>
      </c>
      <c r="ER109" s="139">
        <f t="shared" si="57"/>
        <v>0</v>
      </c>
      <c r="ES109" s="139">
        <f t="shared" si="58"/>
        <v>20.245659745433564</v>
      </c>
      <c r="ET109" s="139">
        <f t="shared" si="59"/>
        <v>9.6901618395739177</v>
      </c>
      <c r="EU109" s="139">
        <f t="shared" si="60"/>
        <v>0</v>
      </c>
      <c r="EV109" s="139">
        <f t="shared" si="61"/>
        <v>0</v>
      </c>
      <c r="EW109" s="139">
        <f t="shared" si="62"/>
        <v>21.551798137789032</v>
      </c>
      <c r="EX109" s="139">
        <f t="shared" si="63"/>
        <v>0</v>
      </c>
      <c r="EY109" s="139">
        <f t="shared" si="64"/>
        <v>0</v>
      </c>
      <c r="EZ109" s="139">
        <f t="shared" si="65"/>
        <v>0</v>
      </c>
      <c r="FA109" s="139">
        <f t="shared" si="66"/>
        <v>0</v>
      </c>
      <c r="FB109" s="139">
        <f t="shared" si="67"/>
        <v>0</v>
      </c>
      <c r="FC109" s="139">
        <f t="shared" si="68"/>
        <v>0</v>
      </c>
      <c r="FD109" s="139">
        <f t="shared" si="69"/>
        <v>0</v>
      </c>
      <c r="FE109" s="139">
        <f t="shared" si="70"/>
        <v>0</v>
      </c>
      <c r="FF109" s="139">
        <f t="shared" si="71"/>
        <v>0</v>
      </c>
      <c r="FG109" s="139">
        <f t="shared" si="72"/>
        <v>0</v>
      </c>
      <c r="FH109" s="139">
        <f t="shared" si="73"/>
        <v>0</v>
      </c>
      <c r="FI109" s="139">
        <f t="shared" si="74"/>
        <v>0</v>
      </c>
      <c r="FJ109" s="139">
        <f t="shared" si="75"/>
        <v>0</v>
      </c>
      <c r="FK109" s="139">
        <f t="shared" si="76"/>
        <v>0</v>
      </c>
      <c r="FL109" s="139">
        <f t="shared" si="77"/>
        <v>0</v>
      </c>
      <c r="FM109" s="139">
        <f t="shared" si="78"/>
        <v>0</v>
      </c>
      <c r="FN109" s="139">
        <f t="shared" si="79"/>
        <v>0</v>
      </c>
      <c r="FO109" s="139">
        <f t="shared" si="80"/>
        <v>0</v>
      </c>
      <c r="FP109" s="139">
        <f t="shared" si="81"/>
        <v>0</v>
      </c>
      <c r="FQ109" s="139">
        <f t="shared" si="82"/>
        <v>0</v>
      </c>
      <c r="FR109" s="139">
        <f t="shared" si="83"/>
        <v>0</v>
      </c>
      <c r="FS109" s="139">
        <f t="shared" si="84"/>
        <v>0</v>
      </c>
      <c r="FT109" s="139">
        <f t="shared" si="85"/>
        <v>0</v>
      </c>
      <c r="FU109" s="148">
        <f t="shared" si="86"/>
        <v>51.487619722796509</v>
      </c>
      <c r="FV109" s="149"/>
      <c r="FY109" s="211">
        <v>104</v>
      </c>
      <c r="FZ109">
        <v>119.10660972815077</v>
      </c>
      <c r="GA109">
        <v>152.13285336786288</v>
      </c>
      <c r="GB109">
        <v>55.181376526626671</v>
      </c>
      <c r="GC109">
        <v>36.153667967145545</v>
      </c>
      <c r="GD109">
        <v>22.847652577705638</v>
      </c>
      <c r="GE109">
        <v>19.176101374148846</v>
      </c>
      <c r="GF109">
        <v>57.842798064967553</v>
      </c>
      <c r="GG109">
        <v>97.282778088473918</v>
      </c>
      <c r="GH109">
        <v>94.76218487116472</v>
      </c>
      <c r="GI109">
        <v>75.432455880174729</v>
      </c>
      <c r="GJ109"/>
      <c r="GK109"/>
      <c r="GL109"/>
      <c r="GM109"/>
    </row>
    <row r="110" spans="1:195" s="7" customFormat="1">
      <c r="A110" s="1"/>
      <c r="B110" s="76">
        <f ca="1">IF(C110="", "", RAND())</f>
        <v>0.16352348136360217</v>
      </c>
      <c r="C110">
        <v>9</v>
      </c>
      <c r="D110">
        <v>39714</v>
      </c>
      <c r="E110">
        <v>0</v>
      </c>
      <c r="F110">
        <v>0</v>
      </c>
      <c r="G110">
        <v>0</v>
      </c>
      <c r="H110">
        <v>142.47311827956989</v>
      </c>
      <c r="I110">
        <v>0</v>
      </c>
      <c r="J110">
        <v>0</v>
      </c>
      <c r="K110">
        <v>10.416666666666666</v>
      </c>
      <c r="L110">
        <v>0</v>
      </c>
      <c r="M110">
        <v>0</v>
      </c>
      <c r="N110">
        <v>0</v>
      </c>
      <c r="O110">
        <v>10.416666666666666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293.03207387211648</v>
      </c>
      <c r="AO110">
        <v>158.40730011510209</v>
      </c>
      <c r="AP110">
        <v>732.40564136730541</v>
      </c>
      <c r="AQ110">
        <v>869.47537472077852</v>
      </c>
      <c r="AR110">
        <v>150.74016438731968</v>
      </c>
      <c r="AS110">
        <v>1577.9012149216655</v>
      </c>
      <c r="AT110">
        <v>78.114783305798284</v>
      </c>
      <c r="AU110">
        <v>428.28316899442427</v>
      </c>
      <c r="AV110"/>
      <c r="AW110"/>
      <c r="AX110" s="146"/>
      <c r="AY110" s="76">
        <f t="shared" ca="1" si="87"/>
        <v>0.24954329273073639</v>
      </c>
      <c r="AZ110">
        <v>3</v>
      </c>
      <c r="BA110" s="129">
        <f t="shared" si="128"/>
        <v>39714</v>
      </c>
      <c r="BB110">
        <v>0</v>
      </c>
      <c r="BC110">
        <v>0</v>
      </c>
      <c r="BD110">
        <v>0</v>
      </c>
      <c r="BE110">
        <v>9</v>
      </c>
      <c r="BF110">
        <v>5</v>
      </c>
      <c r="BG110">
        <v>0</v>
      </c>
      <c r="BH110">
        <v>0</v>
      </c>
      <c r="BI110">
        <v>2</v>
      </c>
      <c r="BJ110">
        <v>0</v>
      </c>
      <c r="BK110">
        <v>1</v>
      </c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 s="147"/>
      <c r="CH110" s="176"/>
      <c r="CJ110" s="146"/>
      <c r="CK110" s="76">
        <f t="shared" ca="1" si="89"/>
        <v>0.57827655587064997</v>
      </c>
      <c r="CL110" s="179">
        <f t="shared" si="90"/>
        <v>3</v>
      </c>
      <c r="CM110" s="180">
        <f t="shared" si="91"/>
        <v>39714</v>
      </c>
      <c r="CN110">
        <v>1</v>
      </c>
      <c r="CO110">
        <v>3</v>
      </c>
      <c r="CP110">
        <v>4</v>
      </c>
      <c r="CQ110">
        <v>1</v>
      </c>
      <c r="CR110">
        <v>1</v>
      </c>
      <c r="CS110"/>
      <c r="CT110"/>
      <c r="CU110"/>
      <c r="CW110">
        <v>1</v>
      </c>
      <c r="CX110">
        <f>300/32</f>
        <v>9.375</v>
      </c>
      <c r="CY110" s="158"/>
      <c r="CZ110" s="177">
        <f t="shared" si="92"/>
        <v>9.6000000000000002E-2</v>
      </c>
      <c r="DB110" s="146"/>
      <c r="DC110" s="76">
        <f t="shared" ca="1" si="50"/>
        <v>0.50811979393649942</v>
      </c>
      <c r="DD110">
        <f t="shared" si="93"/>
        <v>3</v>
      </c>
      <c r="DE110" s="129">
        <f t="shared" si="127"/>
        <v>39714</v>
      </c>
      <c r="DF110" s="161">
        <f t="shared" si="94"/>
        <v>97.65625</v>
      </c>
      <c r="DG110" s="161">
        <f t="shared" si="95"/>
        <v>292.96875</v>
      </c>
      <c r="DH110" s="161">
        <f t="shared" si="96"/>
        <v>390.625</v>
      </c>
      <c r="DI110" s="161">
        <f t="shared" si="97"/>
        <v>191.40625</v>
      </c>
      <c r="DJ110" s="161">
        <f t="shared" si="98"/>
        <v>149.73958333333334</v>
      </c>
      <c r="DK110" s="161">
        <f t="shared" si="99"/>
        <v>0</v>
      </c>
      <c r="DL110" s="161">
        <f t="shared" si="100"/>
        <v>0</v>
      </c>
      <c r="DM110" s="161">
        <f t="shared" si="101"/>
        <v>20.833333333333332</v>
      </c>
      <c r="DN110" s="161">
        <f t="shared" si="102"/>
        <v>0</v>
      </c>
      <c r="DO110" s="161">
        <f t="shared" si="103"/>
        <v>10.416666666666666</v>
      </c>
      <c r="DP110" s="161">
        <f t="shared" si="104"/>
        <v>0</v>
      </c>
      <c r="DQ110" s="161">
        <f t="shared" si="105"/>
        <v>0</v>
      </c>
      <c r="DR110" s="161">
        <f t="shared" si="106"/>
        <v>0</v>
      </c>
      <c r="DS110" s="161">
        <f t="shared" si="107"/>
        <v>0</v>
      </c>
      <c r="DT110" s="161">
        <f t="shared" si="108"/>
        <v>0</v>
      </c>
      <c r="DU110" s="161">
        <f t="shared" si="109"/>
        <v>0</v>
      </c>
      <c r="DV110" s="161">
        <f t="shared" si="110"/>
        <v>0</v>
      </c>
      <c r="DW110" s="161">
        <f t="shared" si="111"/>
        <v>0</v>
      </c>
      <c r="DX110" s="161">
        <f t="shared" si="112"/>
        <v>0</v>
      </c>
      <c r="DY110" s="161">
        <f t="shared" si="113"/>
        <v>0</v>
      </c>
      <c r="DZ110" s="161">
        <f t="shared" si="114"/>
        <v>0</v>
      </c>
      <c r="EA110" s="161">
        <f t="shared" si="115"/>
        <v>0</v>
      </c>
      <c r="EB110" s="161">
        <f t="shared" si="116"/>
        <v>0</v>
      </c>
      <c r="EC110" s="161">
        <f t="shared" si="117"/>
        <v>0</v>
      </c>
      <c r="ED110" s="161">
        <f t="shared" si="118"/>
        <v>0</v>
      </c>
      <c r="EE110" s="161">
        <f t="shared" si="119"/>
        <v>0</v>
      </c>
      <c r="EF110" s="161">
        <f t="shared" si="120"/>
        <v>0</v>
      </c>
      <c r="EG110" s="161">
        <f t="shared" si="121"/>
        <v>0</v>
      </c>
      <c r="EH110" s="161">
        <f t="shared" si="122"/>
        <v>0</v>
      </c>
      <c r="EI110" s="161">
        <f t="shared" si="123"/>
        <v>0</v>
      </c>
      <c r="EJ110" s="161">
        <f t="shared" si="124"/>
        <v>0</v>
      </c>
      <c r="EK110" s="147">
        <f t="shared" si="54"/>
        <v>1153.6458333333333</v>
      </c>
      <c r="EL110" s="149"/>
      <c r="EN110" s="146"/>
      <c r="EO110" s="146"/>
      <c r="EP110" s="139">
        <f t="shared" si="55"/>
        <v>0.17730921860067686</v>
      </c>
      <c r="EQ110" s="139">
        <f t="shared" si="56"/>
        <v>3.3783105468749999</v>
      </c>
      <c r="ER110" s="139">
        <f t="shared" si="57"/>
        <v>28.607855539850508</v>
      </c>
      <c r="ES110" s="139">
        <f t="shared" si="58"/>
        <v>41.334888646926856</v>
      </c>
      <c r="ET110" s="139">
        <f t="shared" si="59"/>
        <v>69.64803822193754</v>
      </c>
      <c r="EU110" s="139">
        <f t="shared" si="60"/>
        <v>0</v>
      </c>
      <c r="EV110" s="139">
        <f t="shared" si="61"/>
        <v>0</v>
      </c>
      <c r="EW110" s="139">
        <f t="shared" si="62"/>
        <v>43.103596275578063</v>
      </c>
      <c r="EX110" s="139">
        <f t="shared" si="63"/>
        <v>0</v>
      </c>
      <c r="EY110" s="139">
        <f t="shared" si="64"/>
        <v>42.128093979612366</v>
      </c>
      <c r="EZ110" s="139">
        <f t="shared" si="65"/>
        <v>0</v>
      </c>
      <c r="FA110" s="139">
        <f t="shared" si="66"/>
        <v>0</v>
      </c>
      <c r="FB110" s="139">
        <f t="shared" si="67"/>
        <v>0</v>
      </c>
      <c r="FC110" s="139">
        <f t="shared" si="68"/>
        <v>0</v>
      </c>
      <c r="FD110" s="139">
        <f t="shared" si="69"/>
        <v>0</v>
      </c>
      <c r="FE110" s="139">
        <f t="shared" si="70"/>
        <v>0</v>
      </c>
      <c r="FF110" s="139">
        <f t="shared" si="71"/>
        <v>0</v>
      </c>
      <c r="FG110" s="139">
        <f t="shared" si="72"/>
        <v>0</v>
      </c>
      <c r="FH110" s="139">
        <f t="shared" si="73"/>
        <v>0</v>
      </c>
      <c r="FI110" s="139">
        <f t="shared" si="74"/>
        <v>0</v>
      </c>
      <c r="FJ110" s="139">
        <f t="shared" si="75"/>
        <v>0</v>
      </c>
      <c r="FK110" s="139">
        <f t="shared" si="76"/>
        <v>0</v>
      </c>
      <c r="FL110" s="139">
        <f t="shared" si="77"/>
        <v>0</v>
      </c>
      <c r="FM110" s="139">
        <f t="shared" si="78"/>
        <v>0</v>
      </c>
      <c r="FN110" s="139">
        <f t="shared" si="79"/>
        <v>0</v>
      </c>
      <c r="FO110" s="139">
        <f t="shared" si="80"/>
        <v>0</v>
      </c>
      <c r="FP110" s="139">
        <f t="shared" si="81"/>
        <v>0</v>
      </c>
      <c r="FQ110" s="139">
        <f t="shared" si="82"/>
        <v>0</v>
      </c>
      <c r="FR110" s="139">
        <f t="shared" si="83"/>
        <v>0</v>
      </c>
      <c r="FS110" s="139">
        <f t="shared" si="84"/>
        <v>0</v>
      </c>
      <c r="FT110" s="139">
        <f t="shared" si="85"/>
        <v>0</v>
      </c>
      <c r="FU110" s="148">
        <f t="shared" si="86"/>
        <v>228.37809242938104</v>
      </c>
      <c r="FV110" s="149"/>
      <c r="FY110" s="211">
        <v>105</v>
      </c>
      <c r="FZ110">
        <v>124.27725088245083</v>
      </c>
      <c r="GA110">
        <v>167.75134934303986</v>
      </c>
      <c r="GB110">
        <v>48.655678888928158</v>
      </c>
      <c r="GC110">
        <v>37.513740978034562</v>
      </c>
      <c r="GD110">
        <v>27.213015008644724</v>
      </c>
      <c r="GE110">
        <v>50.774507416504974</v>
      </c>
      <c r="GF110">
        <v>109.63941652216631</v>
      </c>
      <c r="GG110">
        <v>49.549468528813819</v>
      </c>
      <c r="GH110">
        <v>16.653846329140819</v>
      </c>
      <c r="GI110">
        <v>75.479485466419959</v>
      </c>
      <c r="GJ110"/>
      <c r="GK110"/>
      <c r="GL110"/>
      <c r="GM110"/>
    </row>
    <row r="111" spans="1:195" s="7" customFormat="1">
      <c r="A111" s="1"/>
      <c r="B111" s="76">
        <f ca="1">IF(C111="", "", RAND())</f>
        <v>0.90582265653780514</v>
      </c>
      <c r="C111">
        <v>10</v>
      </c>
      <c r="D111">
        <v>39714</v>
      </c>
      <c r="E111">
        <v>0</v>
      </c>
      <c r="F111">
        <v>357.14285714285711</v>
      </c>
      <c r="G111">
        <v>446.42857142857139</v>
      </c>
      <c r="H111">
        <v>104.16666666666667</v>
      </c>
      <c r="I111">
        <v>0</v>
      </c>
      <c r="J111">
        <v>0</v>
      </c>
      <c r="K111">
        <v>0</v>
      </c>
      <c r="L111">
        <v>41.666666666666664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254.64855061581147</v>
      </c>
      <c r="AO111">
        <v>129.23277565225038</v>
      </c>
      <c r="AP111">
        <v>488.14477386274791</v>
      </c>
      <c r="AQ111">
        <v>724.98981917464312</v>
      </c>
      <c r="AR111">
        <v>122.07732283447966</v>
      </c>
      <c r="AS111">
        <v>1306.1499154902451</v>
      </c>
      <c r="AT111">
        <v>63.116065875847518</v>
      </c>
      <c r="AU111">
        <v>79.645849340537623</v>
      </c>
      <c r="AV111"/>
      <c r="AW111"/>
      <c r="AX111" s="146"/>
      <c r="AY111" s="76">
        <f t="shared" ca="1" si="87"/>
        <v>0.24847432340913311</v>
      </c>
      <c r="AZ111">
        <v>4</v>
      </c>
      <c r="BA111" s="129">
        <f t="shared" si="128"/>
        <v>39714</v>
      </c>
      <c r="BB111">
        <v>0</v>
      </c>
      <c r="BC111">
        <v>0</v>
      </c>
      <c r="BD111">
        <v>0</v>
      </c>
      <c r="BE111">
        <v>4</v>
      </c>
      <c r="BF111">
        <v>4</v>
      </c>
      <c r="BG111">
        <v>0</v>
      </c>
      <c r="BH111">
        <v>0</v>
      </c>
      <c r="BI111">
        <v>0</v>
      </c>
      <c r="BJ111">
        <v>2</v>
      </c>
      <c r="BK111">
        <v>1</v>
      </c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 s="147"/>
      <c r="CH111" s="176"/>
      <c r="CJ111" s="146"/>
      <c r="CK111" s="76">
        <f t="shared" ca="1" si="89"/>
        <v>0.5868414335958354</v>
      </c>
      <c r="CL111" s="179">
        <f t="shared" si="90"/>
        <v>4</v>
      </c>
      <c r="CM111" s="180">
        <f t="shared" si="91"/>
        <v>39714</v>
      </c>
      <c r="CN111"/>
      <c r="CO111"/>
      <c r="CP111"/>
      <c r="CQ111"/>
      <c r="CR111"/>
      <c r="CS111"/>
      <c r="CT111"/>
      <c r="CU111"/>
      <c r="CW111">
        <v>1</v>
      </c>
      <c r="CX111">
        <v>1</v>
      </c>
      <c r="CY111" s="158"/>
      <c r="CZ111" s="177">
        <f t="shared" si="92"/>
        <v>9.6000000000000002E-2</v>
      </c>
      <c r="DB111" s="146"/>
      <c r="DC111" s="76">
        <f t="shared" ca="1" si="50"/>
        <v>0.36011172105990963</v>
      </c>
      <c r="DD111">
        <f t="shared" si="93"/>
        <v>4</v>
      </c>
      <c r="DE111" s="129">
        <f t="shared" si="127"/>
        <v>39714</v>
      </c>
      <c r="DF111" s="161">
        <f t="shared" si="94"/>
        <v>0</v>
      </c>
      <c r="DG111" s="161">
        <f t="shared" si="95"/>
        <v>0</v>
      </c>
      <c r="DH111" s="161">
        <f t="shared" si="96"/>
        <v>0</v>
      </c>
      <c r="DI111" s="161">
        <f t="shared" si="97"/>
        <v>41.666666666666664</v>
      </c>
      <c r="DJ111" s="161">
        <f t="shared" si="98"/>
        <v>41.666666666666664</v>
      </c>
      <c r="DK111" s="161">
        <f t="shared" si="99"/>
        <v>0</v>
      </c>
      <c r="DL111" s="161">
        <f t="shared" si="100"/>
        <v>0</v>
      </c>
      <c r="DM111" s="161">
        <f t="shared" si="101"/>
        <v>0</v>
      </c>
      <c r="DN111" s="161">
        <f t="shared" si="102"/>
        <v>20.833333333333332</v>
      </c>
      <c r="DO111" s="161">
        <f t="shared" si="103"/>
        <v>10.416666666666666</v>
      </c>
      <c r="DP111" s="161">
        <f t="shared" si="104"/>
        <v>0</v>
      </c>
      <c r="DQ111" s="161">
        <f t="shared" si="105"/>
        <v>0</v>
      </c>
      <c r="DR111" s="161">
        <f t="shared" si="106"/>
        <v>0</v>
      </c>
      <c r="DS111" s="161">
        <f t="shared" si="107"/>
        <v>0</v>
      </c>
      <c r="DT111" s="161">
        <f t="shared" si="108"/>
        <v>0</v>
      </c>
      <c r="DU111" s="161">
        <f t="shared" si="109"/>
        <v>0</v>
      </c>
      <c r="DV111" s="161">
        <f t="shared" si="110"/>
        <v>0</v>
      </c>
      <c r="DW111" s="161">
        <f t="shared" si="111"/>
        <v>0</v>
      </c>
      <c r="DX111" s="161">
        <f t="shared" si="112"/>
        <v>0</v>
      </c>
      <c r="DY111" s="161">
        <f t="shared" si="113"/>
        <v>0</v>
      </c>
      <c r="DZ111" s="161">
        <f t="shared" si="114"/>
        <v>0</v>
      </c>
      <c r="EA111" s="161">
        <f t="shared" si="115"/>
        <v>0</v>
      </c>
      <c r="EB111" s="161">
        <f t="shared" si="116"/>
        <v>0</v>
      </c>
      <c r="EC111" s="161">
        <f t="shared" si="117"/>
        <v>0</v>
      </c>
      <c r="ED111" s="161">
        <f t="shared" si="118"/>
        <v>0</v>
      </c>
      <c r="EE111" s="161">
        <f t="shared" si="119"/>
        <v>0</v>
      </c>
      <c r="EF111" s="161">
        <f t="shared" si="120"/>
        <v>0</v>
      </c>
      <c r="EG111" s="161">
        <f t="shared" si="121"/>
        <v>0</v>
      </c>
      <c r="EH111" s="161">
        <f t="shared" si="122"/>
        <v>0</v>
      </c>
      <c r="EI111" s="161">
        <f t="shared" si="123"/>
        <v>0</v>
      </c>
      <c r="EJ111" s="161">
        <f t="shared" si="124"/>
        <v>0</v>
      </c>
      <c r="EK111" s="147">
        <f t="shared" si="54"/>
        <v>114.58333333333333</v>
      </c>
      <c r="EL111" s="149"/>
      <c r="EN111" s="146"/>
      <c r="EO111" s="146"/>
      <c r="EP111" s="139">
        <f t="shared" si="55"/>
        <v>0</v>
      </c>
      <c r="EQ111" s="139">
        <f t="shared" si="56"/>
        <v>0</v>
      </c>
      <c r="ER111" s="139">
        <f t="shared" si="57"/>
        <v>0</v>
      </c>
      <c r="ES111" s="139">
        <f t="shared" si="58"/>
        <v>8.9980709979704727</v>
      </c>
      <c r="ET111" s="139">
        <f t="shared" si="59"/>
        <v>19.380323679147835</v>
      </c>
      <c r="EU111" s="139">
        <f t="shared" si="60"/>
        <v>0</v>
      </c>
      <c r="EV111" s="139">
        <f t="shared" si="61"/>
        <v>0</v>
      </c>
      <c r="EW111" s="139">
        <f t="shared" si="62"/>
        <v>0</v>
      </c>
      <c r="EX111" s="139">
        <f t="shared" si="63"/>
        <v>61.542910180518639</v>
      </c>
      <c r="EY111" s="139">
        <f t="shared" si="64"/>
        <v>42.128093979612366</v>
      </c>
      <c r="EZ111" s="139">
        <f t="shared" si="65"/>
        <v>0</v>
      </c>
      <c r="FA111" s="139">
        <f t="shared" si="66"/>
        <v>0</v>
      </c>
      <c r="FB111" s="139">
        <f t="shared" si="67"/>
        <v>0</v>
      </c>
      <c r="FC111" s="139">
        <f t="shared" si="68"/>
        <v>0</v>
      </c>
      <c r="FD111" s="139">
        <f t="shared" si="69"/>
        <v>0</v>
      </c>
      <c r="FE111" s="139">
        <f t="shared" si="70"/>
        <v>0</v>
      </c>
      <c r="FF111" s="139">
        <f t="shared" si="71"/>
        <v>0</v>
      </c>
      <c r="FG111" s="139">
        <f t="shared" si="72"/>
        <v>0</v>
      </c>
      <c r="FH111" s="139">
        <f t="shared" si="73"/>
        <v>0</v>
      </c>
      <c r="FI111" s="139">
        <f t="shared" si="74"/>
        <v>0</v>
      </c>
      <c r="FJ111" s="139">
        <f t="shared" si="75"/>
        <v>0</v>
      </c>
      <c r="FK111" s="139">
        <f t="shared" si="76"/>
        <v>0</v>
      </c>
      <c r="FL111" s="139">
        <f t="shared" si="77"/>
        <v>0</v>
      </c>
      <c r="FM111" s="139">
        <f t="shared" si="78"/>
        <v>0</v>
      </c>
      <c r="FN111" s="139">
        <f t="shared" si="79"/>
        <v>0</v>
      </c>
      <c r="FO111" s="139">
        <f t="shared" si="80"/>
        <v>0</v>
      </c>
      <c r="FP111" s="139">
        <f t="shared" si="81"/>
        <v>0</v>
      </c>
      <c r="FQ111" s="139">
        <f t="shared" si="82"/>
        <v>0</v>
      </c>
      <c r="FR111" s="139">
        <f t="shared" si="83"/>
        <v>0</v>
      </c>
      <c r="FS111" s="139">
        <f t="shared" si="84"/>
        <v>0</v>
      </c>
      <c r="FT111" s="139">
        <f t="shared" si="85"/>
        <v>0</v>
      </c>
      <c r="FU111" s="148">
        <f t="shared" si="86"/>
        <v>132.04939883724933</v>
      </c>
      <c r="FV111" s="149"/>
      <c r="FY111" s="211">
        <v>106</v>
      </c>
      <c r="FZ111">
        <v>114.64454996998975</v>
      </c>
      <c r="GA111">
        <v>139.20595815335321</v>
      </c>
      <c r="GB111">
        <v>37.188735370852484</v>
      </c>
      <c r="GC111">
        <v>32.330753724939797</v>
      </c>
      <c r="GD111">
        <v>34.312932434580915</v>
      </c>
      <c r="GE111">
        <v>87.346006059098087</v>
      </c>
      <c r="GF111">
        <v>94.498528921239782</v>
      </c>
      <c r="GG111">
        <v>10.608707014355952</v>
      </c>
      <c r="GH111">
        <v>24.526493753718029</v>
      </c>
      <c r="GI111">
        <v>74.702749093296049</v>
      </c>
      <c r="GJ111"/>
      <c r="GK111"/>
      <c r="GL111"/>
      <c r="GM111"/>
    </row>
    <row r="112" spans="1:195" s="7" customFormat="1">
      <c r="A112" s="1"/>
      <c r="B112" s="76">
        <f ca="1">IF(C112="", "", RAND())</f>
        <v>0.38821820217558778</v>
      </c>
      <c r="C112">
        <v>3</v>
      </c>
      <c r="D112">
        <v>39714</v>
      </c>
      <c r="E112">
        <v>97.65625</v>
      </c>
      <c r="F112">
        <v>292.96875</v>
      </c>
      <c r="G112">
        <v>390.625</v>
      </c>
      <c r="H112">
        <v>191.40625</v>
      </c>
      <c r="I112">
        <v>149.73958333333334</v>
      </c>
      <c r="J112">
        <v>0</v>
      </c>
      <c r="K112">
        <v>0</v>
      </c>
      <c r="L112">
        <v>20.833333333333332</v>
      </c>
      <c r="M112">
        <v>0</v>
      </c>
      <c r="N112">
        <v>10.416666666666666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227.16871889514351</v>
      </c>
      <c r="AO112">
        <v>123.72840817319586</v>
      </c>
      <c r="AP112">
        <v>596.45530822068736</v>
      </c>
      <c r="AQ112">
        <v>686.19109587616856</v>
      </c>
      <c r="AR112">
        <v>117.47956309604247</v>
      </c>
      <c r="AS112">
        <v>1237.507374395987</v>
      </c>
      <c r="AT112">
        <v>60.14290122634322</v>
      </c>
      <c r="AU112">
        <v>173.12735650269968</v>
      </c>
      <c r="AV112"/>
      <c r="AW112"/>
      <c r="AX112" s="146"/>
      <c r="AY112" s="76">
        <f t="shared" ca="1" si="87"/>
        <v>1.1326771564588611E-2</v>
      </c>
      <c r="AZ112">
        <v>5</v>
      </c>
      <c r="BA112" s="129">
        <f t="shared" si="128"/>
        <v>39714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2</v>
      </c>
      <c r="BI112">
        <v>0</v>
      </c>
      <c r="BJ112">
        <v>8</v>
      </c>
      <c r="BK112">
        <v>2</v>
      </c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 s="147"/>
      <c r="CH112" s="176"/>
      <c r="CJ112" s="146"/>
      <c r="CK112" s="76">
        <f t="shared" ca="1" si="89"/>
        <v>0.75412693160457067</v>
      </c>
      <c r="CL112" s="179">
        <f t="shared" si="90"/>
        <v>5</v>
      </c>
      <c r="CM112" s="180">
        <f t="shared" si="91"/>
        <v>39714</v>
      </c>
      <c r="CN112"/>
      <c r="CO112"/>
      <c r="CP112"/>
      <c r="CQ112"/>
      <c r="CR112"/>
      <c r="CS112"/>
      <c r="CT112"/>
      <c r="CU112"/>
      <c r="CW112">
        <v>1</v>
      </c>
      <c r="CX112">
        <v>1</v>
      </c>
      <c r="CY112" s="158"/>
      <c r="CZ112" s="177">
        <f t="shared" si="92"/>
        <v>9.6000000000000002E-2</v>
      </c>
      <c r="DB112" s="146"/>
      <c r="DC112" s="76">
        <f t="shared" ca="1" si="50"/>
        <v>0.59623304628605656</v>
      </c>
      <c r="DD112">
        <f t="shared" si="93"/>
        <v>5</v>
      </c>
      <c r="DE112" s="129">
        <f t="shared" si="127"/>
        <v>39714</v>
      </c>
      <c r="DF112" s="161">
        <f t="shared" si="94"/>
        <v>0</v>
      </c>
      <c r="DG112" s="161">
        <f t="shared" si="95"/>
        <v>0</v>
      </c>
      <c r="DH112" s="161">
        <f t="shared" si="96"/>
        <v>0</v>
      </c>
      <c r="DI112" s="161">
        <f t="shared" si="97"/>
        <v>0</v>
      </c>
      <c r="DJ112" s="161">
        <f t="shared" si="98"/>
        <v>0</v>
      </c>
      <c r="DK112" s="161">
        <f t="shared" si="99"/>
        <v>0</v>
      </c>
      <c r="DL112" s="161">
        <f t="shared" si="100"/>
        <v>20.833333333333332</v>
      </c>
      <c r="DM112" s="161">
        <f t="shared" si="101"/>
        <v>0</v>
      </c>
      <c r="DN112" s="161">
        <f t="shared" si="102"/>
        <v>83.333333333333329</v>
      </c>
      <c r="DO112" s="161">
        <f t="shared" si="103"/>
        <v>20.833333333333332</v>
      </c>
      <c r="DP112" s="161">
        <f t="shared" si="104"/>
        <v>0</v>
      </c>
      <c r="DQ112" s="161">
        <f t="shared" si="105"/>
        <v>0</v>
      </c>
      <c r="DR112" s="161">
        <f t="shared" si="106"/>
        <v>0</v>
      </c>
      <c r="DS112" s="161">
        <f t="shared" si="107"/>
        <v>0</v>
      </c>
      <c r="DT112" s="161">
        <f t="shared" si="108"/>
        <v>0</v>
      </c>
      <c r="DU112" s="161">
        <f t="shared" si="109"/>
        <v>0</v>
      </c>
      <c r="DV112" s="161">
        <f t="shared" si="110"/>
        <v>0</v>
      </c>
      <c r="DW112" s="161">
        <f t="shared" si="111"/>
        <v>0</v>
      </c>
      <c r="DX112" s="161">
        <f t="shared" si="112"/>
        <v>0</v>
      </c>
      <c r="DY112" s="161">
        <f t="shared" si="113"/>
        <v>0</v>
      </c>
      <c r="DZ112" s="161">
        <f t="shared" si="114"/>
        <v>0</v>
      </c>
      <c r="EA112" s="161">
        <f t="shared" si="115"/>
        <v>0</v>
      </c>
      <c r="EB112" s="161">
        <f t="shared" si="116"/>
        <v>0</v>
      </c>
      <c r="EC112" s="161">
        <f t="shared" si="117"/>
        <v>0</v>
      </c>
      <c r="ED112" s="161">
        <f t="shared" si="118"/>
        <v>0</v>
      </c>
      <c r="EE112" s="161">
        <f t="shared" si="119"/>
        <v>0</v>
      </c>
      <c r="EF112" s="161">
        <f t="shared" si="120"/>
        <v>0</v>
      </c>
      <c r="EG112" s="161">
        <f t="shared" si="121"/>
        <v>0</v>
      </c>
      <c r="EH112" s="161">
        <f t="shared" si="122"/>
        <v>0</v>
      </c>
      <c r="EI112" s="161">
        <f t="shared" si="123"/>
        <v>0</v>
      </c>
      <c r="EJ112" s="161">
        <f t="shared" si="124"/>
        <v>0</v>
      </c>
      <c r="EK112" s="147">
        <f t="shared" si="54"/>
        <v>124.99999999999999</v>
      </c>
      <c r="EL112" s="149"/>
      <c r="EN112" s="146"/>
      <c r="EO112" s="146"/>
      <c r="EP112" s="139">
        <f t="shared" si="55"/>
        <v>0</v>
      </c>
      <c r="EQ112" s="139">
        <f t="shared" si="56"/>
        <v>0</v>
      </c>
      <c r="ER112" s="139">
        <f t="shared" si="57"/>
        <v>0</v>
      </c>
      <c r="ES112" s="139">
        <f t="shared" si="58"/>
        <v>0</v>
      </c>
      <c r="ET112" s="139">
        <f t="shared" si="59"/>
        <v>0</v>
      </c>
      <c r="EU112" s="139">
        <f t="shared" si="60"/>
        <v>0</v>
      </c>
      <c r="EV112" s="139">
        <f t="shared" si="61"/>
        <v>28.573695898683585</v>
      </c>
      <c r="EW112" s="139">
        <f t="shared" si="62"/>
        <v>0</v>
      </c>
      <c r="EX112" s="139">
        <f t="shared" si="63"/>
        <v>246.17164072207456</v>
      </c>
      <c r="EY112" s="139">
        <f t="shared" si="64"/>
        <v>84.256187959224732</v>
      </c>
      <c r="EZ112" s="139">
        <f t="shared" si="65"/>
        <v>0</v>
      </c>
      <c r="FA112" s="139">
        <f t="shared" si="66"/>
        <v>0</v>
      </c>
      <c r="FB112" s="139">
        <f t="shared" si="67"/>
        <v>0</v>
      </c>
      <c r="FC112" s="139">
        <f t="shared" si="68"/>
        <v>0</v>
      </c>
      <c r="FD112" s="139">
        <f t="shared" si="69"/>
        <v>0</v>
      </c>
      <c r="FE112" s="139">
        <f t="shared" si="70"/>
        <v>0</v>
      </c>
      <c r="FF112" s="139">
        <f t="shared" si="71"/>
        <v>0</v>
      </c>
      <c r="FG112" s="139">
        <f t="shared" si="72"/>
        <v>0</v>
      </c>
      <c r="FH112" s="139">
        <f t="shared" si="73"/>
        <v>0</v>
      </c>
      <c r="FI112" s="139">
        <f t="shared" si="74"/>
        <v>0</v>
      </c>
      <c r="FJ112" s="139">
        <f t="shared" si="75"/>
        <v>0</v>
      </c>
      <c r="FK112" s="139">
        <f t="shared" si="76"/>
        <v>0</v>
      </c>
      <c r="FL112" s="139">
        <f t="shared" si="77"/>
        <v>0</v>
      </c>
      <c r="FM112" s="139">
        <f t="shared" si="78"/>
        <v>0</v>
      </c>
      <c r="FN112" s="139">
        <f t="shared" si="79"/>
        <v>0</v>
      </c>
      <c r="FO112" s="139">
        <f t="shared" si="80"/>
        <v>0</v>
      </c>
      <c r="FP112" s="139">
        <f t="shared" si="81"/>
        <v>0</v>
      </c>
      <c r="FQ112" s="139">
        <f t="shared" si="82"/>
        <v>0</v>
      </c>
      <c r="FR112" s="139">
        <f t="shared" si="83"/>
        <v>0</v>
      </c>
      <c r="FS112" s="139">
        <f t="shared" si="84"/>
        <v>0</v>
      </c>
      <c r="FT112" s="139">
        <f t="shared" si="85"/>
        <v>0</v>
      </c>
      <c r="FU112" s="148">
        <f t="shared" si="86"/>
        <v>359.00152457998291</v>
      </c>
      <c r="FV112" s="149"/>
      <c r="FY112" s="211">
        <v>107</v>
      </c>
      <c r="FZ112">
        <v>135.52857519039358</v>
      </c>
      <c r="GA112">
        <v>172.58352904843716</v>
      </c>
      <c r="GB112">
        <v>64.977423612994542</v>
      </c>
      <c r="GC112">
        <v>45.635572197264977</v>
      </c>
      <c r="GD112">
        <v>35.068706845648364</v>
      </c>
      <c r="GE112">
        <v>61.98439338497338</v>
      </c>
      <c r="GF112">
        <v>73.064722074353696</v>
      </c>
      <c r="GG112">
        <v>64.690031795986371</v>
      </c>
      <c r="GH112">
        <v>81.227694410380082</v>
      </c>
      <c r="GI112">
        <v>89.454113592134604</v>
      </c>
      <c r="GJ112"/>
      <c r="GK112"/>
      <c r="GL112"/>
      <c r="GM112"/>
    </row>
    <row r="113" spans="1:195" s="7" customFormat="1">
      <c r="A113" s="1"/>
      <c r="B113" s="76">
        <f ca="1">IF(C113="", "", RAND())</f>
        <v>0.78765156950366499</v>
      </c>
      <c r="C113">
        <v>6</v>
      </c>
      <c r="D113">
        <v>39714</v>
      </c>
      <c r="E113">
        <v>0</v>
      </c>
      <c r="F113">
        <v>0</v>
      </c>
      <c r="G113">
        <v>0</v>
      </c>
      <c r="H113">
        <v>72.916666666666671</v>
      </c>
      <c r="I113">
        <v>10.416666666666666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312.46470674313201</v>
      </c>
      <c r="AO113">
        <v>169.11157593899316</v>
      </c>
      <c r="AP113">
        <v>577.31130754838364</v>
      </c>
      <c r="AQ113">
        <v>950.00728204182087</v>
      </c>
      <c r="AR113">
        <v>160.36706751716332</v>
      </c>
      <c r="AS113">
        <v>1479.7018976223285</v>
      </c>
      <c r="AT113">
        <v>82.051881035252094</v>
      </c>
      <c r="AU113">
        <v>113.10572519208557</v>
      </c>
      <c r="AV113"/>
      <c r="AW113"/>
      <c r="AX113" s="146"/>
      <c r="AY113" s="76">
        <f t="shared" ca="1" si="87"/>
        <v>0.42868314989300327</v>
      </c>
      <c r="AZ113">
        <v>6</v>
      </c>
      <c r="BA113" s="129">
        <f t="shared" si="128"/>
        <v>39714</v>
      </c>
      <c r="BB113">
        <v>0</v>
      </c>
      <c r="BC113">
        <v>0</v>
      </c>
      <c r="BD113">
        <v>0</v>
      </c>
      <c r="BE113">
        <v>7</v>
      </c>
      <c r="BF113">
        <v>1</v>
      </c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 s="147"/>
      <c r="CH113" s="176"/>
      <c r="CJ113" s="146"/>
      <c r="CK113" s="76">
        <f t="shared" ca="1" si="89"/>
        <v>0.36722486476185345</v>
      </c>
      <c r="CL113" s="179">
        <f t="shared" si="90"/>
        <v>6</v>
      </c>
      <c r="CM113" s="180">
        <f t="shared" si="91"/>
        <v>39714</v>
      </c>
      <c r="CN113"/>
      <c r="CO113"/>
      <c r="CP113"/>
      <c r="CQ113"/>
      <c r="CR113"/>
      <c r="CS113"/>
      <c r="CT113"/>
      <c r="CU113"/>
      <c r="CV113" s="160"/>
      <c r="CW113">
        <v>1</v>
      </c>
      <c r="CX113">
        <v>1</v>
      </c>
      <c r="CY113" s="164"/>
      <c r="CZ113" s="177">
        <f t="shared" si="92"/>
        <v>9.6000000000000002E-2</v>
      </c>
      <c r="DB113" s="146"/>
      <c r="DC113" s="76">
        <f t="shared" ca="1" si="50"/>
        <v>0.36464109517165966</v>
      </c>
      <c r="DD113">
        <f t="shared" si="93"/>
        <v>6</v>
      </c>
      <c r="DE113" s="129">
        <f t="shared" si="127"/>
        <v>39714</v>
      </c>
      <c r="DF113" s="161">
        <f t="shared" si="94"/>
        <v>0</v>
      </c>
      <c r="DG113" s="161">
        <f t="shared" si="95"/>
        <v>0</v>
      </c>
      <c r="DH113" s="161">
        <f t="shared" si="96"/>
        <v>0</v>
      </c>
      <c r="DI113" s="161">
        <f t="shared" si="97"/>
        <v>72.916666666666671</v>
      </c>
      <c r="DJ113" s="161">
        <f t="shared" si="98"/>
        <v>10.416666666666666</v>
      </c>
      <c r="DK113" s="161">
        <f t="shared" si="99"/>
        <v>0</v>
      </c>
      <c r="DL113" s="161">
        <f t="shared" si="100"/>
        <v>0</v>
      </c>
      <c r="DM113" s="161">
        <f t="shared" si="101"/>
        <v>0</v>
      </c>
      <c r="DN113" s="161">
        <f t="shared" si="102"/>
        <v>0</v>
      </c>
      <c r="DO113" s="161">
        <f t="shared" si="103"/>
        <v>0</v>
      </c>
      <c r="DP113" s="161">
        <f t="shared" si="104"/>
        <v>0</v>
      </c>
      <c r="DQ113" s="161">
        <f t="shared" si="105"/>
        <v>0</v>
      </c>
      <c r="DR113" s="161">
        <f t="shared" si="106"/>
        <v>0</v>
      </c>
      <c r="DS113" s="161">
        <f t="shared" si="107"/>
        <v>0</v>
      </c>
      <c r="DT113" s="161">
        <f t="shared" si="108"/>
        <v>0</v>
      </c>
      <c r="DU113" s="161">
        <f t="shared" si="109"/>
        <v>0</v>
      </c>
      <c r="DV113" s="161">
        <f t="shared" si="110"/>
        <v>0</v>
      </c>
      <c r="DW113" s="161">
        <f t="shared" si="111"/>
        <v>0</v>
      </c>
      <c r="DX113" s="161">
        <f t="shared" si="112"/>
        <v>0</v>
      </c>
      <c r="DY113" s="161">
        <f t="shared" si="113"/>
        <v>0</v>
      </c>
      <c r="DZ113" s="161">
        <f t="shared" si="114"/>
        <v>0</v>
      </c>
      <c r="EA113" s="161">
        <f t="shared" si="115"/>
        <v>0</v>
      </c>
      <c r="EB113" s="161">
        <f t="shared" si="116"/>
        <v>0</v>
      </c>
      <c r="EC113" s="161">
        <f t="shared" si="117"/>
        <v>0</v>
      </c>
      <c r="ED113" s="161">
        <f t="shared" si="118"/>
        <v>0</v>
      </c>
      <c r="EE113" s="161">
        <f t="shared" si="119"/>
        <v>0</v>
      </c>
      <c r="EF113" s="161">
        <f t="shared" si="120"/>
        <v>0</v>
      </c>
      <c r="EG113" s="161">
        <f t="shared" si="121"/>
        <v>0</v>
      </c>
      <c r="EH113" s="161">
        <f t="shared" si="122"/>
        <v>0</v>
      </c>
      <c r="EI113" s="161">
        <f t="shared" si="123"/>
        <v>0</v>
      </c>
      <c r="EJ113" s="161">
        <f t="shared" si="124"/>
        <v>0</v>
      </c>
      <c r="EK113" s="147">
        <f t="shared" si="54"/>
        <v>83.333333333333343</v>
      </c>
      <c r="EL113" s="149"/>
      <c r="EN113" s="146"/>
      <c r="EO113" s="146"/>
      <c r="EP113" s="139">
        <f t="shared" si="55"/>
        <v>0</v>
      </c>
      <c r="EQ113" s="139">
        <f t="shared" si="56"/>
        <v>0</v>
      </c>
      <c r="ER113" s="139">
        <f t="shared" si="57"/>
        <v>0</v>
      </c>
      <c r="ES113" s="139">
        <f t="shared" si="58"/>
        <v>15.746624246448329</v>
      </c>
      <c r="ET113" s="139">
        <f t="shared" si="59"/>
        <v>4.8450809197869589</v>
      </c>
      <c r="EU113" s="139">
        <f t="shared" si="60"/>
        <v>0</v>
      </c>
      <c r="EV113" s="139">
        <f t="shared" si="61"/>
        <v>0</v>
      </c>
      <c r="EW113" s="139">
        <f t="shared" si="62"/>
        <v>0</v>
      </c>
      <c r="EX113" s="139">
        <f t="shared" si="63"/>
        <v>0</v>
      </c>
      <c r="EY113" s="139">
        <f t="shared" si="64"/>
        <v>0</v>
      </c>
      <c r="EZ113" s="139">
        <f t="shared" si="65"/>
        <v>0</v>
      </c>
      <c r="FA113" s="139">
        <f t="shared" si="66"/>
        <v>0</v>
      </c>
      <c r="FB113" s="139">
        <f t="shared" si="67"/>
        <v>0</v>
      </c>
      <c r="FC113" s="139">
        <f t="shared" si="68"/>
        <v>0</v>
      </c>
      <c r="FD113" s="139">
        <f t="shared" si="69"/>
        <v>0</v>
      </c>
      <c r="FE113" s="139">
        <f t="shared" si="70"/>
        <v>0</v>
      </c>
      <c r="FF113" s="139">
        <f t="shared" si="71"/>
        <v>0</v>
      </c>
      <c r="FG113" s="139">
        <f t="shared" si="72"/>
        <v>0</v>
      </c>
      <c r="FH113" s="139">
        <f t="shared" si="73"/>
        <v>0</v>
      </c>
      <c r="FI113" s="139">
        <f t="shared" si="74"/>
        <v>0</v>
      </c>
      <c r="FJ113" s="139">
        <f t="shared" si="75"/>
        <v>0</v>
      </c>
      <c r="FK113" s="139">
        <f t="shared" si="76"/>
        <v>0</v>
      </c>
      <c r="FL113" s="139">
        <f t="shared" si="77"/>
        <v>0</v>
      </c>
      <c r="FM113" s="139">
        <f t="shared" si="78"/>
        <v>0</v>
      </c>
      <c r="FN113" s="139">
        <f t="shared" si="79"/>
        <v>0</v>
      </c>
      <c r="FO113" s="139">
        <f t="shared" si="80"/>
        <v>0</v>
      </c>
      <c r="FP113" s="139">
        <f t="shared" si="81"/>
        <v>0</v>
      </c>
      <c r="FQ113" s="139">
        <f t="shared" si="82"/>
        <v>0</v>
      </c>
      <c r="FR113" s="139">
        <f t="shared" si="83"/>
        <v>0</v>
      </c>
      <c r="FS113" s="139">
        <f t="shared" si="84"/>
        <v>0</v>
      </c>
      <c r="FT113" s="139">
        <f t="shared" si="85"/>
        <v>0</v>
      </c>
      <c r="FU113" s="148">
        <f t="shared" si="86"/>
        <v>20.591705166235286</v>
      </c>
      <c r="FV113" s="149"/>
      <c r="FY113" s="211">
        <v>108</v>
      </c>
      <c r="FZ113">
        <v>85.056978391522648</v>
      </c>
      <c r="GA113">
        <v>90.433794531921606</v>
      </c>
      <c r="GB113">
        <v>43.26839626727152</v>
      </c>
      <c r="GC113">
        <v>45.284265899620976</v>
      </c>
      <c r="GD113">
        <v>30.735385738371015</v>
      </c>
      <c r="GE113">
        <v>80.72424259255439</v>
      </c>
      <c r="GF113">
        <v>148.21876547657101</v>
      </c>
      <c r="GG113">
        <v>50.978860849828799</v>
      </c>
      <c r="GH113">
        <v>33.387111418197208</v>
      </c>
      <c r="GI113">
        <v>83.241052254083513</v>
      </c>
      <c r="GJ113"/>
      <c r="GK113"/>
      <c r="GL113"/>
      <c r="GM113"/>
    </row>
    <row r="114" spans="1:195" s="7" customFormat="1">
      <c r="A114" s="1"/>
      <c r="B114" s="76">
        <f ca="1">IF(C114="", "", RAND())</f>
        <v>0.16551163319395457</v>
      </c>
      <c r="C114">
        <v>5</v>
      </c>
      <c r="D114">
        <v>39714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20.833333333333332</v>
      </c>
      <c r="L114">
        <v>0</v>
      </c>
      <c r="M114">
        <v>83.333333333333329</v>
      </c>
      <c r="N114">
        <v>20.833333333333332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312.93020535089397</v>
      </c>
      <c r="AO114">
        <v>180.04061962903324</v>
      </c>
      <c r="AP114">
        <v>774.73734697369332</v>
      </c>
      <c r="AQ114">
        <v>923.98054562605932</v>
      </c>
      <c r="AR114">
        <v>166.96358767005856</v>
      </c>
      <c r="AS114">
        <v>1564.9883191701683</v>
      </c>
      <c r="AT114">
        <v>82.148416572477785</v>
      </c>
      <c r="AU114">
        <v>104.61751974879485</v>
      </c>
      <c r="AV114"/>
      <c r="AW114"/>
      <c r="AX114" s="146"/>
      <c r="AY114" s="76">
        <f t="shared" ca="1" si="87"/>
        <v>0.9178090906846661</v>
      </c>
      <c r="AZ114">
        <v>7</v>
      </c>
      <c r="BA114" s="129">
        <f t="shared" si="128"/>
        <v>39714</v>
      </c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 s="147"/>
      <c r="CH114" s="176"/>
      <c r="CJ114" s="146"/>
      <c r="CK114" s="76">
        <f t="shared" ca="1" si="89"/>
        <v>0.89196136498684209</v>
      </c>
      <c r="CL114" s="179">
        <f t="shared" si="90"/>
        <v>7</v>
      </c>
      <c r="CM114" s="180">
        <f t="shared" si="91"/>
        <v>39714</v>
      </c>
      <c r="CN114"/>
      <c r="CO114"/>
      <c r="CP114"/>
      <c r="CQ114"/>
      <c r="CR114"/>
      <c r="CS114"/>
      <c r="CT114"/>
      <c r="CU114"/>
      <c r="CV114" s="160"/>
      <c r="CW114">
        <v>1</v>
      </c>
      <c r="CX114">
        <v>1</v>
      </c>
      <c r="CY114" s="164"/>
      <c r="CZ114" s="177">
        <f t="shared" si="92"/>
        <v>9.6000000000000002E-2</v>
      </c>
      <c r="DB114" s="146"/>
      <c r="DC114" s="76">
        <f t="shared" ca="1" si="50"/>
        <v>0.57858390412667582</v>
      </c>
      <c r="DD114">
        <f t="shared" si="93"/>
        <v>7</v>
      </c>
      <c r="DE114" s="129">
        <f t="shared" si="127"/>
        <v>39714</v>
      </c>
      <c r="DF114" s="161">
        <f t="shared" si="94"/>
        <v>0</v>
      </c>
      <c r="DG114" s="161">
        <f t="shared" si="95"/>
        <v>0</v>
      </c>
      <c r="DH114" s="161">
        <f t="shared" si="96"/>
        <v>0</v>
      </c>
      <c r="DI114" s="161">
        <f t="shared" si="97"/>
        <v>0</v>
      </c>
      <c r="DJ114" s="161">
        <f t="shared" si="98"/>
        <v>0</v>
      </c>
      <c r="DK114" s="161">
        <f t="shared" si="99"/>
        <v>0</v>
      </c>
      <c r="DL114" s="161">
        <f t="shared" si="100"/>
        <v>0</v>
      </c>
      <c r="DM114" s="161">
        <f t="shared" si="101"/>
        <v>0</v>
      </c>
      <c r="DN114" s="161">
        <f t="shared" si="102"/>
        <v>0</v>
      </c>
      <c r="DO114" s="161">
        <f t="shared" si="103"/>
        <v>0</v>
      </c>
      <c r="DP114" s="161">
        <f t="shared" si="104"/>
        <v>0</v>
      </c>
      <c r="DQ114" s="161">
        <f t="shared" si="105"/>
        <v>0</v>
      </c>
      <c r="DR114" s="161">
        <f t="shared" si="106"/>
        <v>0</v>
      </c>
      <c r="DS114" s="161">
        <f t="shared" si="107"/>
        <v>0</v>
      </c>
      <c r="DT114" s="161">
        <f t="shared" si="108"/>
        <v>0</v>
      </c>
      <c r="DU114" s="161">
        <f t="shared" si="109"/>
        <v>0</v>
      </c>
      <c r="DV114" s="161">
        <f t="shared" si="110"/>
        <v>0</v>
      </c>
      <c r="DW114" s="161">
        <f t="shared" si="111"/>
        <v>0</v>
      </c>
      <c r="DX114" s="161">
        <f t="shared" si="112"/>
        <v>0</v>
      </c>
      <c r="DY114" s="161">
        <f t="shared" si="113"/>
        <v>0</v>
      </c>
      <c r="DZ114" s="161">
        <f t="shared" si="114"/>
        <v>0</v>
      </c>
      <c r="EA114" s="161">
        <f t="shared" si="115"/>
        <v>0</v>
      </c>
      <c r="EB114" s="161">
        <f t="shared" si="116"/>
        <v>0</v>
      </c>
      <c r="EC114" s="161">
        <f t="shared" si="117"/>
        <v>0</v>
      </c>
      <c r="ED114" s="161">
        <f t="shared" si="118"/>
        <v>0</v>
      </c>
      <c r="EE114" s="161">
        <f t="shared" si="119"/>
        <v>0</v>
      </c>
      <c r="EF114" s="161">
        <f t="shared" si="120"/>
        <v>0</v>
      </c>
      <c r="EG114" s="161">
        <f t="shared" si="121"/>
        <v>0</v>
      </c>
      <c r="EH114" s="161">
        <f t="shared" si="122"/>
        <v>0</v>
      </c>
      <c r="EI114" s="161">
        <f t="shared" si="123"/>
        <v>0</v>
      </c>
      <c r="EJ114" s="161">
        <f t="shared" si="124"/>
        <v>0</v>
      </c>
      <c r="EK114" s="147">
        <f t="shared" si="54"/>
        <v>0</v>
      </c>
      <c r="EL114" s="149"/>
      <c r="EN114" s="146"/>
      <c r="EO114" s="146"/>
      <c r="EP114" s="139">
        <f t="shared" si="55"/>
        <v>0</v>
      </c>
      <c r="EQ114" s="139">
        <f t="shared" si="56"/>
        <v>0</v>
      </c>
      <c r="ER114" s="139">
        <f t="shared" si="57"/>
        <v>0</v>
      </c>
      <c r="ES114" s="139">
        <f t="shared" si="58"/>
        <v>0</v>
      </c>
      <c r="ET114" s="139">
        <f t="shared" si="59"/>
        <v>0</v>
      </c>
      <c r="EU114" s="139">
        <f t="shared" si="60"/>
        <v>0</v>
      </c>
      <c r="EV114" s="139">
        <f t="shared" si="61"/>
        <v>0</v>
      </c>
      <c r="EW114" s="139">
        <f t="shared" si="62"/>
        <v>0</v>
      </c>
      <c r="EX114" s="139">
        <f t="shared" si="63"/>
        <v>0</v>
      </c>
      <c r="EY114" s="139">
        <f t="shared" si="64"/>
        <v>0</v>
      </c>
      <c r="EZ114" s="139">
        <f t="shared" si="65"/>
        <v>0</v>
      </c>
      <c r="FA114" s="139">
        <f t="shared" si="66"/>
        <v>0</v>
      </c>
      <c r="FB114" s="139">
        <f t="shared" si="67"/>
        <v>0</v>
      </c>
      <c r="FC114" s="139">
        <f t="shared" si="68"/>
        <v>0</v>
      </c>
      <c r="FD114" s="139">
        <f t="shared" si="69"/>
        <v>0</v>
      </c>
      <c r="FE114" s="139">
        <f t="shared" si="70"/>
        <v>0</v>
      </c>
      <c r="FF114" s="139">
        <f t="shared" si="71"/>
        <v>0</v>
      </c>
      <c r="FG114" s="139">
        <f t="shared" si="72"/>
        <v>0</v>
      </c>
      <c r="FH114" s="139">
        <f t="shared" si="73"/>
        <v>0</v>
      </c>
      <c r="FI114" s="139">
        <f t="shared" si="74"/>
        <v>0</v>
      </c>
      <c r="FJ114" s="139">
        <f t="shared" si="75"/>
        <v>0</v>
      </c>
      <c r="FK114" s="139">
        <f t="shared" si="76"/>
        <v>0</v>
      </c>
      <c r="FL114" s="139">
        <f t="shared" si="77"/>
        <v>0</v>
      </c>
      <c r="FM114" s="139">
        <f t="shared" si="78"/>
        <v>0</v>
      </c>
      <c r="FN114" s="139">
        <f t="shared" si="79"/>
        <v>0</v>
      </c>
      <c r="FO114" s="139">
        <f t="shared" si="80"/>
        <v>0</v>
      </c>
      <c r="FP114" s="139">
        <f t="shared" si="81"/>
        <v>0</v>
      </c>
      <c r="FQ114" s="139">
        <f t="shared" si="82"/>
        <v>0</v>
      </c>
      <c r="FR114" s="139">
        <f t="shared" si="83"/>
        <v>0</v>
      </c>
      <c r="FS114" s="139">
        <f t="shared" si="84"/>
        <v>0</v>
      </c>
      <c r="FT114" s="139">
        <f t="shared" si="85"/>
        <v>0</v>
      </c>
      <c r="FU114" s="148">
        <f t="shared" si="86"/>
        <v>0</v>
      </c>
      <c r="FV114" s="149"/>
      <c r="FY114" s="211">
        <v>109</v>
      </c>
      <c r="FZ114">
        <v>120.23978420464763</v>
      </c>
      <c r="GA114">
        <v>139.32662569610704</v>
      </c>
      <c r="GB114">
        <v>44.23793619843795</v>
      </c>
      <c r="GC114">
        <v>39.452427570961305</v>
      </c>
      <c r="GD114">
        <v>33.715023405557723</v>
      </c>
      <c r="GE114">
        <v>81.843466352665672</v>
      </c>
      <c r="GF114">
        <v>131.3362746615326</v>
      </c>
      <c r="GG114">
        <v>52.649139041450546</v>
      </c>
      <c r="GH114">
        <v>31.034861193807942</v>
      </c>
      <c r="GI114">
        <v>85.968380730180527</v>
      </c>
      <c r="GJ114"/>
      <c r="GK114"/>
      <c r="GL114"/>
      <c r="GM114"/>
    </row>
    <row r="115" spans="1:195" s="7" customFormat="1">
      <c r="A115" s="1"/>
      <c r="B115" s="76">
        <f ca="1">IF(C115="", "", RAND())</f>
        <v>0.21595505846986063</v>
      </c>
      <c r="C115">
        <v>1</v>
      </c>
      <c r="D115">
        <v>39714</v>
      </c>
      <c r="E115">
        <v>0</v>
      </c>
      <c r="F115">
        <v>65.104166666666671</v>
      </c>
      <c r="G115">
        <v>0</v>
      </c>
      <c r="H115">
        <v>41.666666666666664</v>
      </c>
      <c r="I115">
        <v>20.833333333333332</v>
      </c>
      <c r="J115">
        <v>0</v>
      </c>
      <c r="K115">
        <v>0</v>
      </c>
      <c r="L115">
        <v>10.416666666666666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303.42972780930575</v>
      </c>
      <c r="AO115">
        <v>133.74204428538863</v>
      </c>
      <c r="AP115">
        <v>444.83198903036185</v>
      </c>
      <c r="AQ115">
        <v>741.06104175339988</v>
      </c>
      <c r="AR115">
        <v>127.49783120861049</v>
      </c>
      <c r="AS115">
        <v>1296.383423483669</v>
      </c>
      <c r="AT115">
        <v>57.128348348427096</v>
      </c>
      <c r="AU115">
        <v>83.272597330359446</v>
      </c>
      <c r="AV115"/>
      <c r="AW115"/>
      <c r="AX115" s="146"/>
      <c r="AY115" s="76">
        <f t="shared" ca="1" si="87"/>
        <v>0.9080066966019924</v>
      </c>
      <c r="AZ115">
        <v>8</v>
      </c>
      <c r="BA115" s="129">
        <f t="shared" si="128"/>
        <v>39714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1</v>
      </c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 s="147"/>
      <c r="CH115" s="176"/>
      <c r="CJ115" s="146"/>
      <c r="CK115" s="76">
        <f t="shared" ca="1" si="89"/>
        <v>9.682930643725296E-2</v>
      </c>
      <c r="CL115" s="179">
        <f t="shared" si="90"/>
        <v>8</v>
      </c>
      <c r="CM115" s="180">
        <f t="shared" si="91"/>
        <v>39714</v>
      </c>
      <c r="CN115"/>
      <c r="CO115"/>
      <c r="CP115"/>
      <c r="CQ115"/>
      <c r="CR115"/>
      <c r="CS115"/>
      <c r="CT115"/>
      <c r="CU115"/>
      <c r="CV115" s="160"/>
      <c r="CW115">
        <v>1</v>
      </c>
      <c r="CX115">
        <v>1</v>
      </c>
      <c r="CY115" s="164"/>
      <c r="CZ115" s="177">
        <f t="shared" si="92"/>
        <v>9.6000000000000002E-2</v>
      </c>
      <c r="DB115" s="146"/>
      <c r="DC115" s="76">
        <f t="shared" ca="1" si="50"/>
        <v>2.2767102561251917E-3</v>
      </c>
      <c r="DD115">
        <f t="shared" si="93"/>
        <v>8</v>
      </c>
      <c r="DE115" s="129">
        <f t="shared" si="127"/>
        <v>39714</v>
      </c>
      <c r="DF115" s="161">
        <f t="shared" si="94"/>
        <v>0</v>
      </c>
      <c r="DG115" s="161">
        <f t="shared" si="95"/>
        <v>0</v>
      </c>
      <c r="DH115" s="161">
        <f t="shared" si="96"/>
        <v>0</v>
      </c>
      <c r="DI115" s="161">
        <f t="shared" si="97"/>
        <v>0</v>
      </c>
      <c r="DJ115" s="161">
        <f t="shared" si="98"/>
        <v>0</v>
      </c>
      <c r="DK115" s="161">
        <f t="shared" si="99"/>
        <v>0</v>
      </c>
      <c r="DL115" s="161">
        <f t="shared" si="100"/>
        <v>0</v>
      </c>
      <c r="DM115" s="161">
        <f t="shared" si="101"/>
        <v>0</v>
      </c>
      <c r="DN115" s="161">
        <f t="shared" si="102"/>
        <v>0</v>
      </c>
      <c r="DO115" s="161">
        <f t="shared" si="103"/>
        <v>10.416666666666666</v>
      </c>
      <c r="DP115" s="161">
        <f t="shared" si="104"/>
        <v>0</v>
      </c>
      <c r="DQ115" s="161">
        <f t="shared" si="105"/>
        <v>0</v>
      </c>
      <c r="DR115" s="161">
        <f t="shared" si="106"/>
        <v>0</v>
      </c>
      <c r="DS115" s="161">
        <f t="shared" si="107"/>
        <v>0</v>
      </c>
      <c r="DT115" s="161">
        <f t="shared" si="108"/>
        <v>0</v>
      </c>
      <c r="DU115" s="161">
        <f t="shared" si="109"/>
        <v>0</v>
      </c>
      <c r="DV115" s="161">
        <f t="shared" si="110"/>
        <v>0</v>
      </c>
      <c r="DW115" s="161">
        <f t="shared" si="111"/>
        <v>0</v>
      </c>
      <c r="DX115" s="161">
        <f t="shared" si="112"/>
        <v>0</v>
      </c>
      <c r="DY115" s="161">
        <f t="shared" si="113"/>
        <v>0</v>
      </c>
      <c r="DZ115" s="161">
        <f t="shared" si="114"/>
        <v>0</v>
      </c>
      <c r="EA115" s="161">
        <f t="shared" si="115"/>
        <v>0</v>
      </c>
      <c r="EB115" s="161">
        <f t="shared" si="116"/>
        <v>0</v>
      </c>
      <c r="EC115" s="161">
        <f t="shared" si="117"/>
        <v>0</v>
      </c>
      <c r="ED115" s="161">
        <f t="shared" si="118"/>
        <v>0</v>
      </c>
      <c r="EE115" s="161">
        <f t="shared" si="119"/>
        <v>0</v>
      </c>
      <c r="EF115" s="161">
        <f t="shared" si="120"/>
        <v>0</v>
      </c>
      <c r="EG115" s="161">
        <f t="shared" si="121"/>
        <v>0</v>
      </c>
      <c r="EH115" s="161">
        <f t="shared" si="122"/>
        <v>0</v>
      </c>
      <c r="EI115" s="161">
        <f t="shared" si="123"/>
        <v>0</v>
      </c>
      <c r="EJ115" s="161">
        <f t="shared" si="124"/>
        <v>0</v>
      </c>
      <c r="EK115" s="147">
        <f t="shared" si="54"/>
        <v>10.416666666666666</v>
      </c>
      <c r="EL115" s="149"/>
      <c r="EN115" s="146"/>
      <c r="EO115" s="146"/>
      <c r="EP115" s="139">
        <f t="shared" si="55"/>
        <v>0</v>
      </c>
      <c r="EQ115" s="139">
        <f t="shared" si="56"/>
        <v>0</v>
      </c>
      <c r="ER115" s="139">
        <f t="shared" si="57"/>
        <v>0</v>
      </c>
      <c r="ES115" s="139">
        <f t="shared" si="58"/>
        <v>0</v>
      </c>
      <c r="ET115" s="139">
        <f t="shared" si="59"/>
        <v>0</v>
      </c>
      <c r="EU115" s="139">
        <f t="shared" si="60"/>
        <v>0</v>
      </c>
      <c r="EV115" s="139">
        <f t="shared" si="61"/>
        <v>0</v>
      </c>
      <c r="EW115" s="139">
        <f t="shared" si="62"/>
        <v>0</v>
      </c>
      <c r="EX115" s="139">
        <f t="shared" si="63"/>
        <v>0</v>
      </c>
      <c r="EY115" s="139">
        <f t="shared" si="64"/>
        <v>42.128093979612366</v>
      </c>
      <c r="EZ115" s="139">
        <f t="shared" si="65"/>
        <v>0</v>
      </c>
      <c r="FA115" s="139">
        <f t="shared" si="66"/>
        <v>0</v>
      </c>
      <c r="FB115" s="139">
        <f t="shared" si="67"/>
        <v>0</v>
      </c>
      <c r="FC115" s="139">
        <f t="shared" si="68"/>
        <v>0</v>
      </c>
      <c r="FD115" s="139">
        <f t="shared" si="69"/>
        <v>0</v>
      </c>
      <c r="FE115" s="139">
        <f t="shared" si="70"/>
        <v>0</v>
      </c>
      <c r="FF115" s="139">
        <f t="shared" si="71"/>
        <v>0</v>
      </c>
      <c r="FG115" s="139">
        <f t="shared" si="72"/>
        <v>0</v>
      </c>
      <c r="FH115" s="139">
        <f t="shared" si="73"/>
        <v>0</v>
      </c>
      <c r="FI115" s="139">
        <f t="shared" si="74"/>
        <v>0</v>
      </c>
      <c r="FJ115" s="139">
        <f t="shared" si="75"/>
        <v>0</v>
      </c>
      <c r="FK115" s="139">
        <f t="shared" si="76"/>
        <v>0</v>
      </c>
      <c r="FL115" s="139">
        <f t="shared" si="77"/>
        <v>0</v>
      </c>
      <c r="FM115" s="139">
        <f t="shared" si="78"/>
        <v>0</v>
      </c>
      <c r="FN115" s="139">
        <f t="shared" si="79"/>
        <v>0</v>
      </c>
      <c r="FO115" s="139">
        <f t="shared" si="80"/>
        <v>0</v>
      </c>
      <c r="FP115" s="139">
        <f t="shared" si="81"/>
        <v>0</v>
      </c>
      <c r="FQ115" s="139">
        <f t="shared" si="82"/>
        <v>0</v>
      </c>
      <c r="FR115" s="139">
        <f t="shared" si="83"/>
        <v>0</v>
      </c>
      <c r="FS115" s="139">
        <f t="shared" si="84"/>
        <v>0</v>
      </c>
      <c r="FT115" s="139">
        <f t="shared" si="85"/>
        <v>0</v>
      </c>
      <c r="FU115" s="148">
        <f t="shared" si="86"/>
        <v>42.128093979612366</v>
      </c>
      <c r="FV115" s="149"/>
      <c r="FY115" s="211">
        <v>110</v>
      </c>
      <c r="FZ115">
        <v>116.54879566951885</v>
      </c>
      <c r="GA115">
        <v>174.12362312998843</v>
      </c>
      <c r="GB115">
        <v>53.111267558515351</v>
      </c>
      <c r="GC115">
        <v>38.773996557574627</v>
      </c>
      <c r="GD115">
        <v>46.186191067058786</v>
      </c>
      <c r="GE115">
        <v>73.084602467359673</v>
      </c>
      <c r="GF115">
        <v>51.40992281286821</v>
      </c>
      <c r="GG115">
        <v>32.817970527242693</v>
      </c>
      <c r="GH115">
        <v>40.857392174234178</v>
      </c>
      <c r="GI115">
        <v>79.183219935715584</v>
      </c>
      <c r="GJ115"/>
      <c r="GK115"/>
      <c r="GL115"/>
      <c r="GM115"/>
    </row>
    <row r="116" spans="1:195" s="7" customFormat="1">
      <c r="A116" s="1"/>
      <c r="B116" s="76">
        <f ca="1">IF(C116="", "", RAND())</f>
        <v>0.29241647362649736</v>
      </c>
      <c r="C116">
        <v>2</v>
      </c>
      <c r="D116">
        <v>39714</v>
      </c>
      <c r="E116">
        <v>0</v>
      </c>
      <c r="F116">
        <v>0</v>
      </c>
      <c r="G116">
        <v>0</v>
      </c>
      <c r="H116">
        <v>93.75</v>
      </c>
      <c r="I116">
        <v>20.833333333333332</v>
      </c>
      <c r="J116">
        <v>0</v>
      </c>
      <c r="K116">
        <v>0</v>
      </c>
      <c r="L116">
        <v>10.416666666666666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193.56554334771545</v>
      </c>
      <c r="AO116">
        <v>146.95624654051829</v>
      </c>
      <c r="AP116">
        <v>754.24292342068179</v>
      </c>
      <c r="AQ116">
        <v>844.54803850177996</v>
      </c>
      <c r="AR116">
        <v>139.84231039292098</v>
      </c>
      <c r="AS116">
        <v>1189.9723977211268</v>
      </c>
      <c r="AT116">
        <v>79.132203658069429</v>
      </c>
      <c r="AU116">
        <v>150.44106978608227</v>
      </c>
      <c r="AV116"/>
      <c r="AW116"/>
      <c r="AX116" s="146"/>
      <c r="AY116" s="76">
        <f t="shared" ca="1" si="87"/>
        <v>0.1759019037167715</v>
      </c>
      <c r="AZ116">
        <v>9</v>
      </c>
      <c r="BA116" s="129">
        <f t="shared" si="128"/>
        <v>39714</v>
      </c>
      <c r="BB116">
        <v>0</v>
      </c>
      <c r="BC116">
        <v>0</v>
      </c>
      <c r="BD116">
        <v>0</v>
      </c>
      <c r="BE116">
        <v>4</v>
      </c>
      <c r="BF116">
        <v>0</v>
      </c>
      <c r="BG116">
        <v>0</v>
      </c>
      <c r="BH116">
        <v>1</v>
      </c>
      <c r="BI116">
        <v>0</v>
      </c>
      <c r="BJ116">
        <v>0</v>
      </c>
      <c r="BK116">
        <v>0</v>
      </c>
      <c r="BL116">
        <v>1</v>
      </c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 s="147"/>
      <c r="CH116" s="176"/>
      <c r="CJ116" s="146"/>
      <c r="CK116" s="76">
        <f t="shared" ca="1" si="89"/>
        <v>0.99755756694992681</v>
      </c>
      <c r="CL116" s="179">
        <f t="shared" si="90"/>
        <v>9</v>
      </c>
      <c r="CM116" s="180">
        <f t="shared" si="91"/>
        <v>39714</v>
      </c>
      <c r="CN116">
        <v>0</v>
      </c>
      <c r="CO116">
        <v>0</v>
      </c>
      <c r="CP116">
        <v>0</v>
      </c>
      <c r="CQ116">
        <v>1</v>
      </c>
      <c r="CR116"/>
      <c r="CS116"/>
      <c r="CT116"/>
      <c r="CU116"/>
      <c r="CV116" s="160"/>
      <c r="CW116">
        <v>1</v>
      </c>
      <c r="CX116">
        <f>300/31</f>
        <v>9.67741935483871</v>
      </c>
      <c r="CY116" s="164"/>
      <c r="CZ116" s="177">
        <f t="shared" si="92"/>
        <v>9.6000000000000002E-2</v>
      </c>
      <c r="DB116" s="146"/>
      <c r="DC116" s="76">
        <f t="shared" ca="1" si="50"/>
        <v>8.7149593488925703E-2</v>
      </c>
      <c r="DD116">
        <f t="shared" si="93"/>
        <v>9</v>
      </c>
      <c r="DE116" s="129">
        <f t="shared" si="127"/>
        <v>39714</v>
      </c>
      <c r="DF116" s="161">
        <f t="shared" si="94"/>
        <v>0</v>
      </c>
      <c r="DG116" s="161">
        <f t="shared" si="95"/>
        <v>0</v>
      </c>
      <c r="DH116" s="161">
        <f t="shared" si="96"/>
        <v>0</v>
      </c>
      <c r="DI116" s="161">
        <f t="shared" si="97"/>
        <v>142.47311827956989</v>
      </c>
      <c r="DJ116" s="161">
        <f t="shared" si="98"/>
        <v>0</v>
      </c>
      <c r="DK116" s="161">
        <f t="shared" si="99"/>
        <v>0</v>
      </c>
      <c r="DL116" s="161">
        <f t="shared" si="100"/>
        <v>10.416666666666666</v>
      </c>
      <c r="DM116" s="161">
        <f t="shared" si="101"/>
        <v>0</v>
      </c>
      <c r="DN116" s="161">
        <f t="shared" si="102"/>
        <v>0</v>
      </c>
      <c r="DO116" s="161">
        <f t="shared" si="103"/>
        <v>0</v>
      </c>
      <c r="DP116" s="161">
        <f t="shared" si="104"/>
        <v>10.416666666666666</v>
      </c>
      <c r="DQ116" s="161">
        <f t="shared" si="105"/>
        <v>0</v>
      </c>
      <c r="DR116" s="161">
        <f t="shared" si="106"/>
        <v>0</v>
      </c>
      <c r="DS116" s="161">
        <f t="shared" si="107"/>
        <v>0</v>
      </c>
      <c r="DT116" s="161">
        <f t="shared" si="108"/>
        <v>0</v>
      </c>
      <c r="DU116" s="161">
        <f t="shared" si="109"/>
        <v>0</v>
      </c>
      <c r="DV116" s="161">
        <f t="shared" si="110"/>
        <v>0</v>
      </c>
      <c r="DW116" s="161">
        <f t="shared" si="111"/>
        <v>0</v>
      </c>
      <c r="DX116" s="161">
        <f t="shared" si="112"/>
        <v>0</v>
      </c>
      <c r="DY116" s="161">
        <f t="shared" si="113"/>
        <v>0</v>
      </c>
      <c r="DZ116" s="161">
        <f t="shared" si="114"/>
        <v>0</v>
      </c>
      <c r="EA116" s="161">
        <f t="shared" si="115"/>
        <v>0</v>
      </c>
      <c r="EB116" s="161">
        <f t="shared" si="116"/>
        <v>0</v>
      </c>
      <c r="EC116" s="161">
        <f t="shared" si="117"/>
        <v>0</v>
      </c>
      <c r="ED116" s="161">
        <f t="shared" si="118"/>
        <v>0</v>
      </c>
      <c r="EE116" s="161">
        <f t="shared" si="119"/>
        <v>0</v>
      </c>
      <c r="EF116" s="161">
        <f t="shared" si="120"/>
        <v>0</v>
      </c>
      <c r="EG116" s="161">
        <f t="shared" si="121"/>
        <v>0</v>
      </c>
      <c r="EH116" s="161">
        <f t="shared" si="122"/>
        <v>0</v>
      </c>
      <c r="EI116" s="161">
        <f t="shared" si="123"/>
        <v>0</v>
      </c>
      <c r="EJ116" s="161">
        <f t="shared" si="124"/>
        <v>0</v>
      </c>
      <c r="EK116" s="147">
        <f t="shared" si="54"/>
        <v>163.3064516129032</v>
      </c>
      <c r="EL116" s="149"/>
      <c r="EN116" s="146"/>
      <c r="EO116" s="146"/>
      <c r="EP116" s="139">
        <f t="shared" si="55"/>
        <v>0</v>
      </c>
      <c r="EQ116" s="139">
        <f t="shared" si="56"/>
        <v>0</v>
      </c>
      <c r="ER116" s="139">
        <f t="shared" si="57"/>
        <v>0</v>
      </c>
      <c r="ES116" s="139">
        <f t="shared" si="58"/>
        <v>30.767597605963552</v>
      </c>
      <c r="ET116" s="139">
        <f t="shared" si="59"/>
        <v>0</v>
      </c>
      <c r="EU116" s="139">
        <f t="shared" si="60"/>
        <v>0</v>
      </c>
      <c r="EV116" s="139">
        <f t="shared" si="61"/>
        <v>14.286847949341793</v>
      </c>
      <c r="EW116" s="139">
        <f t="shared" si="62"/>
        <v>0</v>
      </c>
      <c r="EX116" s="139">
        <f t="shared" si="63"/>
        <v>0</v>
      </c>
      <c r="EY116" s="139">
        <f t="shared" si="64"/>
        <v>0</v>
      </c>
      <c r="EZ116" s="139">
        <f t="shared" si="65"/>
        <v>55.796510345584267</v>
      </c>
      <c r="FA116" s="139">
        <f t="shared" si="66"/>
        <v>0</v>
      </c>
      <c r="FB116" s="139">
        <f t="shared" si="67"/>
        <v>0</v>
      </c>
      <c r="FC116" s="139">
        <f t="shared" si="68"/>
        <v>0</v>
      </c>
      <c r="FD116" s="139">
        <f t="shared" si="69"/>
        <v>0</v>
      </c>
      <c r="FE116" s="139">
        <f t="shared" si="70"/>
        <v>0</v>
      </c>
      <c r="FF116" s="139">
        <f t="shared" si="71"/>
        <v>0</v>
      </c>
      <c r="FG116" s="139">
        <f t="shared" si="72"/>
        <v>0</v>
      </c>
      <c r="FH116" s="139">
        <f t="shared" si="73"/>
        <v>0</v>
      </c>
      <c r="FI116" s="139">
        <f t="shared" si="74"/>
        <v>0</v>
      </c>
      <c r="FJ116" s="139">
        <f t="shared" si="75"/>
        <v>0</v>
      </c>
      <c r="FK116" s="139">
        <f t="shared" si="76"/>
        <v>0</v>
      </c>
      <c r="FL116" s="139">
        <f t="shared" si="77"/>
        <v>0</v>
      </c>
      <c r="FM116" s="139">
        <f t="shared" si="78"/>
        <v>0</v>
      </c>
      <c r="FN116" s="139">
        <f t="shared" si="79"/>
        <v>0</v>
      </c>
      <c r="FO116" s="139">
        <f t="shared" si="80"/>
        <v>0</v>
      </c>
      <c r="FP116" s="139">
        <f t="shared" si="81"/>
        <v>0</v>
      </c>
      <c r="FQ116" s="139">
        <f t="shared" si="82"/>
        <v>0</v>
      </c>
      <c r="FR116" s="139">
        <f t="shared" si="83"/>
        <v>0</v>
      </c>
      <c r="FS116" s="139">
        <f t="shared" si="84"/>
        <v>0</v>
      </c>
      <c r="FT116" s="139">
        <f t="shared" si="85"/>
        <v>0</v>
      </c>
      <c r="FU116" s="148">
        <f t="shared" si="86"/>
        <v>100.8509559008896</v>
      </c>
      <c r="FV116" s="149"/>
      <c r="FY116" s="211">
        <v>111</v>
      </c>
      <c r="FZ116">
        <v>122.49549935428419</v>
      </c>
      <c r="GA116">
        <v>166.5911356435098</v>
      </c>
      <c r="GB116">
        <v>52.929347838868424</v>
      </c>
      <c r="GC116">
        <v>39.677489339143079</v>
      </c>
      <c r="GD116">
        <v>45.693433764903936</v>
      </c>
      <c r="GE116">
        <v>90.862905418891714</v>
      </c>
      <c r="GF116">
        <v>112.14762301041769</v>
      </c>
      <c r="GG116">
        <v>81.188716414924698</v>
      </c>
      <c r="GH116">
        <v>62.077069957336839</v>
      </c>
      <c r="GI116">
        <v>97.399630505441436</v>
      </c>
      <c r="GJ116"/>
      <c r="GK116"/>
      <c r="GL116"/>
      <c r="GM116"/>
    </row>
    <row r="117" spans="1:195" s="7" customFormat="1">
      <c r="A117" s="1"/>
      <c r="B117" s="76">
        <f ca="1">IF(C117="", "", RAND())</f>
        <v>4.4491352203666068E-3</v>
      </c>
      <c r="C117">
        <v>7</v>
      </c>
      <c r="D117">
        <v>39714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235.78809912837906</v>
      </c>
      <c r="AO117">
        <v>136.84286974806787</v>
      </c>
      <c r="AP117">
        <v>580.26220141153931</v>
      </c>
      <c r="AQ117">
        <v>741.3740593027278</v>
      </c>
      <c r="AR117">
        <v>129.44927905631897</v>
      </c>
      <c r="AS117">
        <v>1384.8825453663148</v>
      </c>
      <c r="AT117">
        <v>67.252220326394294</v>
      </c>
      <c r="AU117">
        <v>117.65455209448587</v>
      </c>
      <c r="AV117"/>
      <c r="AW117"/>
      <c r="AX117" s="146"/>
      <c r="AY117" s="76">
        <f t="shared" ca="1" si="87"/>
        <v>0.42034346091935326</v>
      </c>
      <c r="AZ117">
        <v>10</v>
      </c>
      <c r="BA117" s="129">
        <f t="shared" si="128"/>
        <v>39714</v>
      </c>
      <c r="BB117">
        <v>0</v>
      </c>
      <c r="BC117">
        <v>0</v>
      </c>
      <c r="BD117">
        <v>0</v>
      </c>
      <c r="BE117">
        <v>10</v>
      </c>
      <c r="BF117">
        <v>0</v>
      </c>
      <c r="BG117">
        <v>0</v>
      </c>
      <c r="BH117">
        <v>0</v>
      </c>
      <c r="BI117">
        <v>4</v>
      </c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 s="147"/>
      <c r="CH117" s="176"/>
      <c r="CJ117" s="146"/>
      <c r="CK117" s="76">
        <f t="shared" ca="1" si="89"/>
        <v>0.21317897220289961</v>
      </c>
      <c r="CL117" s="179">
        <f t="shared" si="90"/>
        <v>10</v>
      </c>
      <c r="CM117" s="180">
        <f t="shared" si="91"/>
        <v>39714</v>
      </c>
      <c r="CN117">
        <v>0</v>
      </c>
      <c r="CO117">
        <v>4</v>
      </c>
      <c r="CP117">
        <v>5</v>
      </c>
      <c r="CQ117"/>
      <c r="CR117"/>
      <c r="CS117"/>
      <c r="CT117"/>
      <c r="CU117"/>
      <c r="CV117" s="160"/>
      <c r="CW117">
        <v>1</v>
      </c>
      <c r="CX117">
        <f>300/35</f>
        <v>8.5714285714285712</v>
      </c>
      <c r="CY117" s="164"/>
      <c r="CZ117" s="177">
        <f t="shared" si="92"/>
        <v>9.6000000000000002E-2</v>
      </c>
      <c r="DB117" s="146"/>
      <c r="DC117" s="76">
        <f t="shared" ca="1" si="50"/>
        <v>0.29068996494678268</v>
      </c>
      <c r="DD117">
        <f t="shared" si="93"/>
        <v>10</v>
      </c>
      <c r="DE117" s="129">
        <f t="shared" si="127"/>
        <v>39714</v>
      </c>
      <c r="DF117" s="161">
        <f t="shared" si="94"/>
        <v>0</v>
      </c>
      <c r="DG117" s="161">
        <f t="shared" si="95"/>
        <v>357.14285714285711</v>
      </c>
      <c r="DH117" s="161">
        <f t="shared" si="96"/>
        <v>446.42857142857139</v>
      </c>
      <c r="DI117" s="161">
        <f t="shared" si="97"/>
        <v>104.16666666666667</v>
      </c>
      <c r="DJ117" s="161">
        <f t="shared" si="98"/>
        <v>0</v>
      </c>
      <c r="DK117" s="161">
        <f t="shared" si="99"/>
        <v>0</v>
      </c>
      <c r="DL117" s="161">
        <f t="shared" si="100"/>
        <v>0</v>
      </c>
      <c r="DM117" s="161">
        <f t="shared" si="101"/>
        <v>41.666666666666664</v>
      </c>
      <c r="DN117" s="161">
        <f t="shared" si="102"/>
        <v>0</v>
      </c>
      <c r="DO117" s="161">
        <f t="shared" si="103"/>
        <v>0</v>
      </c>
      <c r="DP117" s="161">
        <f t="shared" si="104"/>
        <v>0</v>
      </c>
      <c r="DQ117" s="161">
        <f t="shared" si="105"/>
        <v>0</v>
      </c>
      <c r="DR117" s="161">
        <f t="shared" si="106"/>
        <v>0</v>
      </c>
      <c r="DS117" s="161">
        <f t="shared" si="107"/>
        <v>0</v>
      </c>
      <c r="DT117" s="161">
        <f t="shared" si="108"/>
        <v>0</v>
      </c>
      <c r="DU117" s="161">
        <f t="shared" si="109"/>
        <v>0</v>
      </c>
      <c r="DV117" s="161">
        <f t="shared" si="110"/>
        <v>0</v>
      </c>
      <c r="DW117" s="161">
        <f t="shared" si="111"/>
        <v>0</v>
      </c>
      <c r="DX117" s="161">
        <f t="shared" si="112"/>
        <v>0</v>
      </c>
      <c r="DY117" s="161">
        <f t="shared" si="113"/>
        <v>0</v>
      </c>
      <c r="DZ117" s="161">
        <f t="shared" si="114"/>
        <v>0</v>
      </c>
      <c r="EA117" s="161">
        <f t="shared" si="115"/>
        <v>0</v>
      </c>
      <c r="EB117" s="161">
        <f t="shared" si="116"/>
        <v>0</v>
      </c>
      <c r="EC117" s="161">
        <f t="shared" si="117"/>
        <v>0</v>
      </c>
      <c r="ED117" s="161">
        <f t="shared" si="118"/>
        <v>0</v>
      </c>
      <c r="EE117" s="161">
        <f t="shared" si="119"/>
        <v>0</v>
      </c>
      <c r="EF117" s="161">
        <f t="shared" si="120"/>
        <v>0</v>
      </c>
      <c r="EG117" s="161">
        <f t="shared" si="121"/>
        <v>0</v>
      </c>
      <c r="EH117" s="161">
        <f t="shared" si="122"/>
        <v>0</v>
      </c>
      <c r="EI117" s="161">
        <f t="shared" si="123"/>
        <v>0</v>
      </c>
      <c r="EJ117" s="161">
        <f t="shared" si="124"/>
        <v>0</v>
      </c>
      <c r="EK117" s="147">
        <f t="shared" si="54"/>
        <v>949.4047619047617</v>
      </c>
      <c r="EL117" s="149"/>
      <c r="EN117" s="146"/>
      <c r="EO117" s="146"/>
      <c r="EP117" s="139">
        <f t="shared" si="55"/>
        <v>0</v>
      </c>
      <c r="EQ117" s="139">
        <f t="shared" si="56"/>
        <v>4.118321428571428</v>
      </c>
      <c r="ER117" s="139">
        <f t="shared" si="57"/>
        <v>32.694692045543434</v>
      </c>
      <c r="ES117" s="139">
        <f t="shared" si="58"/>
        <v>22.495177494926182</v>
      </c>
      <c r="ET117" s="139">
        <f t="shared" si="59"/>
        <v>0</v>
      </c>
      <c r="EU117" s="139">
        <f t="shared" si="60"/>
        <v>0</v>
      </c>
      <c r="EV117" s="139">
        <f t="shared" si="61"/>
        <v>0</v>
      </c>
      <c r="EW117" s="139">
        <f t="shared" si="62"/>
        <v>86.207192551156126</v>
      </c>
      <c r="EX117" s="139">
        <f t="shared" si="63"/>
        <v>0</v>
      </c>
      <c r="EY117" s="139">
        <f t="shared" si="64"/>
        <v>0</v>
      </c>
      <c r="EZ117" s="139">
        <f t="shared" si="65"/>
        <v>0</v>
      </c>
      <c r="FA117" s="139">
        <f t="shared" si="66"/>
        <v>0</v>
      </c>
      <c r="FB117" s="139">
        <f t="shared" si="67"/>
        <v>0</v>
      </c>
      <c r="FC117" s="139">
        <f t="shared" si="68"/>
        <v>0</v>
      </c>
      <c r="FD117" s="139">
        <f t="shared" si="69"/>
        <v>0</v>
      </c>
      <c r="FE117" s="139">
        <f t="shared" si="70"/>
        <v>0</v>
      </c>
      <c r="FF117" s="139">
        <f t="shared" si="71"/>
        <v>0</v>
      </c>
      <c r="FG117" s="139">
        <f t="shared" si="72"/>
        <v>0</v>
      </c>
      <c r="FH117" s="139">
        <f t="shared" si="73"/>
        <v>0</v>
      </c>
      <c r="FI117" s="139">
        <f t="shared" si="74"/>
        <v>0</v>
      </c>
      <c r="FJ117" s="139">
        <f t="shared" si="75"/>
        <v>0</v>
      </c>
      <c r="FK117" s="139">
        <f t="shared" si="76"/>
        <v>0</v>
      </c>
      <c r="FL117" s="139">
        <f t="shared" si="77"/>
        <v>0</v>
      </c>
      <c r="FM117" s="139">
        <f t="shared" si="78"/>
        <v>0</v>
      </c>
      <c r="FN117" s="139">
        <f t="shared" si="79"/>
        <v>0</v>
      </c>
      <c r="FO117" s="139">
        <f t="shared" si="80"/>
        <v>0</v>
      </c>
      <c r="FP117" s="139">
        <f t="shared" si="81"/>
        <v>0</v>
      </c>
      <c r="FQ117" s="139">
        <f t="shared" si="82"/>
        <v>0</v>
      </c>
      <c r="FR117" s="139">
        <f t="shared" si="83"/>
        <v>0</v>
      </c>
      <c r="FS117" s="139">
        <f t="shared" si="84"/>
        <v>0</v>
      </c>
      <c r="FT117" s="139">
        <f t="shared" si="85"/>
        <v>0</v>
      </c>
      <c r="FU117" s="148">
        <f t="shared" si="86"/>
        <v>145.51538352019716</v>
      </c>
      <c r="FV117" s="149"/>
      <c r="FY117" s="211">
        <v>112</v>
      </c>
      <c r="FZ117">
        <v>109.91219619595002</v>
      </c>
      <c r="GA117">
        <v>95.833201474065774</v>
      </c>
      <c r="GB117">
        <v>38.695218116436948</v>
      </c>
      <c r="GC117">
        <v>45.467284899288785</v>
      </c>
      <c r="GD117">
        <v>30.693931148155873</v>
      </c>
      <c r="GE117">
        <v>42.661281238033084</v>
      </c>
      <c r="GF117">
        <v>95.30202855368546</v>
      </c>
      <c r="GG117">
        <v>99.584130631181168</v>
      </c>
      <c r="GH117">
        <v>96.485674327088248</v>
      </c>
      <c r="GI117">
        <v>83.719039885175491</v>
      </c>
      <c r="GJ117"/>
      <c r="GK117"/>
      <c r="GL117"/>
      <c r="GM117"/>
    </row>
    <row r="118" spans="1:195" s="7" customFormat="1">
      <c r="A118" s="128"/>
      <c r="B118" s="76">
        <f ca="1">IF(C118="", "", RAND())</f>
        <v>0.35961006555595976</v>
      </c>
      <c r="C118">
        <v>1</v>
      </c>
      <c r="D118">
        <v>39747</v>
      </c>
      <c r="E118">
        <v>0</v>
      </c>
      <c r="F118">
        <v>0</v>
      </c>
      <c r="G118">
        <v>347.22222222222223</v>
      </c>
      <c r="H118">
        <v>0</v>
      </c>
      <c r="I118">
        <v>10.416666666666666</v>
      </c>
      <c r="J118">
        <v>20.833333333333332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227.44095026603446</v>
      </c>
      <c r="AO118">
        <v>145.48051632028913</v>
      </c>
      <c r="AP118">
        <v>528.93027298192533</v>
      </c>
      <c r="AQ118">
        <v>789.26469842797928</v>
      </c>
      <c r="AR118">
        <v>137.40704421556279</v>
      </c>
      <c r="AS118">
        <v>1267.3148304220811</v>
      </c>
      <c r="AT118">
        <v>72.448638734239822</v>
      </c>
      <c r="AU118">
        <v>241.1640175493784</v>
      </c>
      <c r="AV118"/>
      <c r="AW118"/>
      <c r="AX118" s="128"/>
      <c r="AY118" s="76">
        <f t="shared" ca="1" si="87"/>
        <v>0.62434926528888468</v>
      </c>
      <c r="AZ118">
        <v>1</v>
      </c>
      <c r="BA118" s="129">
        <f>IF(AZ118="", "",$C$7)</f>
        <v>39747</v>
      </c>
      <c r="BB118">
        <v>0</v>
      </c>
      <c r="BC118">
        <v>0</v>
      </c>
      <c r="BD118">
        <v>0</v>
      </c>
      <c r="BE118">
        <v>0</v>
      </c>
      <c r="BF118">
        <v>1</v>
      </c>
      <c r="BG118">
        <v>2</v>
      </c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 s="147"/>
      <c r="CH118" s="176"/>
      <c r="CJ118" s="128"/>
      <c r="CK118" s="76">
        <f t="shared" ca="1" si="89"/>
        <v>0.49616164026925169</v>
      </c>
      <c r="CL118" s="179">
        <f t="shared" si="90"/>
        <v>1</v>
      </c>
      <c r="CM118" s="180">
        <f t="shared" si="91"/>
        <v>39747</v>
      </c>
      <c r="CN118">
        <v>0</v>
      </c>
      <c r="CO118">
        <v>0</v>
      </c>
      <c r="CP118">
        <v>4</v>
      </c>
      <c r="CQ118"/>
      <c r="CR118"/>
      <c r="CS118"/>
      <c r="CT118"/>
      <c r="CU118"/>
      <c r="CV118" s="160"/>
      <c r="CW118">
        <v>1</v>
      </c>
      <c r="CX118">
        <f>350/42</f>
        <v>8.3333333333333339</v>
      </c>
      <c r="CY118" s="160"/>
      <c r="CZ118" s="177">
        <f t="shared" si="92"/>
        <v>9.6000000000000002E-2</v>
      </c>
      <c r="DB118" s="128"/>
      <c r="DC118" s="76">
        <f t="shared" ca="1" si="50"/>
        <v>0.37434030859148204</v>
      </c>
      <c r="DD118">
        <f t="shared" si="93"/>
        <v>1</v>
      </c>
      <c r="DE118" s="129">
        <f t="shared" ref="DE118:DE127" si="129">IF((DD118)="", "", $C$7)</f>
        <v>39747</v>
      </c>
      <c r="DF118" s="161">
        <f t="shared" si="94"/>
        <v>0</v>
      </c>
      <c r="DG118" s="161">
        <f t="shared" si="95"/>
        <v>0</v>
      </c>
      <c r="DH118" s="161">
        <f t="shared" si="96"/>
        <v>347.22222222222223</v>
      </c>
      <c r="DI118" s="161">
        <f t="shared" si="97"/>
        <v>0</v>
      </c>
      <c r="DJ118" s="161">
        <f t="shared" si="98"/>
        <v>10.416666666666666</v>
      </c>
      <c r="DK118" s="161">
        <f t="shared" si="99"/>
        <v>20.833333333333332</v>
      </c>
      <c r="DL118" s="161">
        <f t="shared" si="100"/>
        <v>0</v>
      </c>
      <c r="DM118" s="161">
        <f t="shared" si="101"/>
        <v>0</v>
      </c>
      <c r="DN118" s="161">
        <f t="shared" si="102"/>
        <v>0</v>
      </c>
      <c r="DO118" s="161">
        <f t="shared" si="103"/>
        <v>0</v>
      </c>
      <c r="DP118" s="161">
        <f t="shared" si="104"/>
        <v>0</v>
      </c>
      <c r="DQ118" s="161">
        <f t="shared" si="105"/>
        <v>0</v>
      </c>
      <c r="DR118" s="161">
        <f t="shared" si="106"/>
        <v>0</v>
      </c>
      <c r="DS118" s="161">
        <f t="shared" si="107"/>
        <v>0</v>
      </c>
      <c r="DT118" s="161">
        <f t="shared" si="108"/>
        <v>0</v>
      </c>
      <c r="DU118" s="161">
        <f t="shared" si="109"/>
        <v>0</v>
      </c>
      <c r="DV118" s="161">
        <f t="shared" si="110"/>
        <v>0</v>
      </c>
      <c r="DW118" s="161">
        <f t="shared" si="111"/>
        <v>0</v>
      </c>
      <c r="DX118" s="161">
        <f t="shared" si="112"/>
        <v>0</v>
      </c>
      <c r="DY118" s="161">
        <f t="shared" si="113"/>
        <v>0</v>
      </c>
      <c r="DZ118" s="161">
        <f t="shared" si="114"/>
        <v>0</v>
      </c>
      <c r="EA118" s="161">
        <f t="shared" si="115"/>
        <v>0</v>
      </c>
      <c r="EB118" s="161">
        <f t="shared" si="116"/>
        <v>0</v>
      </c>
      <c r="EC118" s="161">
        <f t="shared" si="117"/>
        <v>0</v>
      </c>
      <c r="ED118" s="161">
        <f t="shared" si="118"/>
        <v>0</v>
      </c>
      <c r="EE118" s="161">
        <f t="shared" si="119"/>
        <v>0</v>
      </c>
      <c r="EF118" s="161">
        <f t="shared" si="120"/>
        <v>0</v>
      </c>
      <c r="EG118" s="161">
        <f t="shared" si="121"/>
        <v>0</v>
      </c>
      <c r="EH118" s="161">
        <f t="shared" si="122"/>
        <v>0</v>
      </c>
      <c r="EI118" s="161">
        <f t="shared" si="123"/>
        <v>0</v>
      </c>
      <c r="EJ118" s="161">
        <f t="shared" si="124"/>
        <v>0</v>
      </c>
      <c r="EK118" s="147">
        <f t="shared" si="54"/>
        <v>378.47222222222223</v>
      </c>
      <c r="EL118" s="149"/>
      <c r="EN118" s="146"/>
      <c r="EO118" s="146"/>
      <c r="EP118" s="139">
        <f t="shared" si="55"/>
        <v>0</v>
      </c>
      <c r="EQ118" s="139">
        <f t="shared" si="56"/>
        <v>0</v>
      </c>
      <c r="ER118" s="139">
        <f t="shared" si="57"/>
        <v>25.429204924311563</v>
      </c>
      <c r="ES118" s="139">
        <f t="shared" si="58"/>
        <v>0</v>
      </c>
      <c r="ET118" s="139">
        <f t="shared" si="59"/>
        <v>4.8450809197869589</v>
      </c>
      <c r="EU118" s="139">
        <f t="shared" si="60"/>
        <v>17.570739301935784</v>
      </c>
      <c r="EV118" s="139">
        <f t="shared" si="61"/>
        <v>0</v>
      </c>
      <c r="EW118" s="139">
        <f t="shared" si="62"/>
        <v>0</v>
      </c>
      <c r="EX118" s="139">
        <f t="shared" si="63"/>
        <v>0</v>
      </c>
      <c r="EY118" s="139">
        <f t="shared" si="64"/>
        <v>0</v>
      </c>
      <c r="EZ118" s="139">
        <f t="shared" si="65"/>
        <v>0</v>
      </c>
      <c r="FA118" s="139">
        <f t="shared" si="66"/>
        <v>0</v>
      </c>
      <c r="FB118" s="139">
        <f t="shared" si="67"/>
        <v>0</v>
      </c>
      <c r="FC118" s="139">
        <f t="shared" si="68"/>
        <v>0</v>
      </c>
      <c r="FD118" s="139">
        <f t="shared" si="69"/>
        <v>0</v>
      </c>
      <c r="FE118" s="139">
        <f t="shared" si="70"/>
        <v>0</v>
      </c>
      <c r="FF118" s="139">
        <f t="shared" si="71"/>
        <v>0</v>
      </c>
      <c r="FG118" s="139">
        <f t="shared" si="72"/>
        <v>0</v>
      </c>
      <c r="FH118" s="139">
        <f t="shared" si="73"/>
        <v>0</v>
      </c>
      <c r="FI118" s="139">
        <f t="shared" si="74"/>
        <v>0</v>
      </c>
      <c r="FJ118" s="139">
        <f t="shared" si="75"/>
        <v>0</v>
      </c>
      <c r="FK118" s="139">
        <f t="shared" si="76"/>
        <v>0</v>
      </c>
      <c r="FL118" s="139">
        <f t="shared" si="77"/>
        <v>0</v>
      </c>
      <c r="FM118" s="139">
        <f t="shared" si="78"/>
        <v>0</v>
      </c>
      <c r="FN118" s="139">
        <f t="shared" si="79"/>
        <v>0</v>
      </c>
      <c r="FO118" s="139">
        <f t="shared" si="80"/>
        <v>0</v>
      </c>
      <c r="FP118" s="139">
        <f t="shared" si="81"/>
        <v>0</v>
      </c>
      <c r="FQ118" s="139">
        <f t="shared" si="82"/>
        <v>0</v>
      </c>
      <c r="FR118" s="139">
        <f t="shared" si="83"/>
        <v>0</v>
      </c>
      <c r="FS118" s="139">
        <f t="shared" si="84"/>
        <v>0</v>
      </c>
      <c r="FT118" s="139">
        <f t="shared" si="85"/>
        <v>0</v>
      </c>
      <c r="FU118" s="148">
        <f t="shared" si="86"/>
        <v>47.845025146034303</v>
      </c>
      <c r="FV118" s="149"/>
      <c r="FY118" s="211">
        <v>113</v>
      </c>
      <c r="FZ118">
        <v>129.77457388487741</v>
      </c>
      <c r="GA118">
        <v>175.78868405764084</v>
      </c>
      <c r="GB118">
        <v>68.753222865670921</v>
      </c>
      <c r="GC118">
        <v>56.910433081446769</v>
      </c>
      <c r="GD118">
        <v>41.740546473899315</v>
      </c>
      <c r="GE118">
        <v>59.922573207707259</v>
      </c>
      <c r="GF118">
        <v>126.70269824515718</v>
      </c>
      <c r="GG118">
        <v>114.82584761735603</v>
      </c>
      <c r="GH118">
        <v>91.048839789741209</v>
      </c>
      <c r="GI118">
        <v>107.97281707155101</v>
      </c>
      <c r="GJ118"/>
      <c r="GK118"/>
      <c r="GL118"/>
      <c r="GM118"/>
    </row>
    <row r="119" spans="1:195" s="7" customFormat="1">
      <c r="A119" s="1"/>
      <c r="B119" s="76">
        <f ca="1">IF(C119="", "", RAND())</f>
        <v>0.44873239767687068</v>
      </c>
      <c r="C119">
        <v>2</v>
      </c>
      <c r="D119">
        <v>39747</v>
      </c>
      <c r="E119">
        <v>0</v>
      </c>
      <c r="F119">
        <v>91.145833333333329</v>
      </c>
      <c r="G119">
        <v>182.29166666666666</v>
      </c>
      <c r="H119">
        <v>182.29166666666666</v>
      </c>
      <c r="I119">
        <v>91.145833333333329</v>
      </c>
      <c r="J119">
        <v>78.125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240.55121342859258</v>
      </c>
      <c r="AO119">
        <v>155.08970581321299</v>
      </c>
      <c r="AP119">
        <v>639.81772472388616</v>
      </c>
      <c r="AQ119">
        <v>908.48479411458266</v>
      </c>
      <c r="AR119">
        <v>145.52136281754011</v>
      </c>
      <c r="AS119">
        <v>1500.4232072365176</v>
      </c>
      <c r="AT119">
        <v>75.792879729697148</v>
      </c>
      <c r="AU119">
        <v>193.322655049692</v>
      </c>
      <c r="AV119"/>
      <c r="AW119"/>
      <c r="AX119" s="146"/>
      <c r="AY119" s="76">
        <f t="shared" ca="1" si="87"/>
        <v>0.8895650596102298</v>
      </c>
      <c r="AZ119">
        <v>2</v>
      </c>
      <c r="BA119" s="129">
        <f t="shared" ref="BA119:BA127" si="130">IF(AZ119="", "",$C$7)</f>
        <v>39747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3</v>
      </c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 s="147"/>
      <c r="CH119" s="176"/>
      <c r="CJ119" s="146"/>
      <c r="CK119" s="76">
        <f t="shared" ca="1" si="89"/>
        <v>0.5226973347121211</v>
      </c>
      <c r="CL119" s="179">
        <f t="shared" si="90"/>
        <v>2</v>
      </c>
      <c r="CM119" s="180">
        <f t="shared" si="91"/>
        <v>39747</v>
      </c>
      <c r="CN119">
        <v>0</v>
      </c>
      <c r="CO119">
        <v>1</v>
      </c>
      <c r="CP119">
        <v>2</v>
      </c>
      <c r="CQ119">
        <v>2</v>
      </c>
      <c r="CR119">
        <v>1</v>
      </c>
      <c r="CS119"/>
      <c r="CT119"/>
      <c r="CU119"/>
      <c r="CV119" s="160"/>
      <c r="CW119">
        <f>20/8</f>
        <v>2.5</v>
      </c>
      <c r="CX119">
        <f>350/40</f>
        <v>8.75</v>
      </c>
      <c r="CY119" s="160"/>
      <c r="CZ119" s="177">
        <f t="shared" si="92"/>
        <v>9.6000000000000002E-2</v>
      </c>
      <c r="DB119" s="146"/>
      <c r="DC119" s="76">
        <f t="shared" ca="1" si="50"/>
        <v>0.58981367497080406</v>
      </c>
      <c r="DD119">
        <f t="shared" si="93"/>
        <v>2</v>
      </c>
      <c r="DE119" s="129">
        <f t="shared" si="129"/>
        <v>39747</v>
      </c>
      <c r="DF119" s="161">
        <f t="shared" si="94"/>
        <v>0</v>
      </c>
      <c r="DG119" s="161">
        <f t="shared" si="95"/>
        <v>91.145833333333329</v>
      </c>
      <c r="DH119" s="161">
        <f t="shared" si="96"/>
        <v>182.29166666666666</v>
      </c>
      <c r="DI119" s="161">
        <f t="shared" si="97"/>
        <v>182.29166666666666</v>
      </c>
      <c r="DJ119" s="161">
        <f t="shared" si="98"/>
        <v>91.145833333333329</v>
      </c>
      <c r="DK119" s="161">
        <f t="shared" si="99"/>
        <v>78.125</v>
      </c>
      <c r="DL119" s="161">
        <f t="shared" si="100"/>
        <v>0</v>
      </c>
      <c r="DM119" s="161">
        <f t="shared" si="101"/>
        <v>0</v>
      </c>
      <c r="DN119" s="161">
        <f t="shared" si="102"/>
        <v>0</v>
      </c>
      <c r="DO119" s="161">
        <f t="shared" si="103"/>
        <v>0</v>
      </c>
      <c r="DP119" s="161">
        <f t="shared" si="104"/>
        <v>0</v>
      </c>
      <c r="DQ119" s="161">
        <f t="shared" si="105"/>
        <v>0</v>
      </c>
      <c r="DR119" s="161">
        <f t="shared" si="106"/>
        <v>0</v>
      </c>
      <c r="DS119" s="161">
        <f t="shared" si="107"/>
        <v>0</v>
      </c>
      <c r="DT119" s="161">
        <f t="shared" si="108"/>
        <v>0</v>
      </c>
      <c r="DU119" s="161">
        <f t="shared" si="109"/>
        <v>0</v>
      </c>
      <c r="DV119" s="161">
        <f t="shared" si="110"/>
        <v>0</v>
      </c>
      <c r="DW119" s="161">
        <f t="shared" si="111"/>
        <v>0</v>
      </c>
      <c r="DX119" s="161">
        <f t="shared" si="112"/>
        <v>0</v>
      </c>
      <c r="DY119" s="161">
        <f t="shared" si="113"/>
        <v>0</v>
      </c>
      <c r="DZ119" s="161">
        <f t="shared" si="114"/>
        <v>0</v>
      </c>
      <c r="EA119" s="161">
        <f t="shared" si="115"/>
        <v>0</v>
      </c>
      <c r="EB119" s="161">
        <f t="shared" si="116"/>
        <v>0</v>
      </c>
      <c r="EC119" s="161">
        <f t="shared" si="117"/>
        <v>0</v>
      </c>
      <c r="ED119" s="161">
        <f t="shared" si="118"/>
        <v>0</v>
      </c>
      <c r="EE119" s="161">
        <f t="shared" si="119"/>
        <v>0</v>
      </c>
      <c r="EF119" s="161">
        <f t="shared" si="120"/>
        <v>0</v>
      </c>
      <c r="EG119" s="161">
        <f t="shared" si="121"/>
        <v>0</v>
      </c>
      <c r="EH119" s="161">
        <f t="shared" si="122"/>
        <v>0</v>
      </c>
      <c r="EI119" s="161">
        <f t="shared" si="123"/>
        <v>0</v>
      </c>
      <c r="EJ119" s="161">
        <f t="shared" si="124"/>
        <v>0</v>
      </c>
      <c r="EK119" s="147">
        <f t="shared" si="54"/>
        <v>625</v>
      </c>
      <c r="EL119" s="149"/>
      <c r="EN119" s="146"/>
      <c r="EO119" s="146"/>
      <c r="EP119" s="139">
        <f t="shared" si="55"/>
        <v>0</v>
      </c>
      <c r="EQ119" s="139">
        <f t="shared" si="56"/>
        <v>1.0510299479166665</v>
      </c>
      <c r="ER119" s="139">
        <f t="shared" si="57"/>
        <v>13.350332585263569</v>
      </c>
      <c r="ES119" s="139">
        <f t="shared" si="58"/>
        <v>39.366560616120815</v>
      </c>
      <c r="ET119" s="139">
        <f t="shared" si="59"/>
        <v>42.394458048135888</v>
      </c>
      <c r="EU119" s="139">
        <f t="shared" si="60"/>
        <v>65.890272382259198</v>
      </c>
      <c r="EV119" s="139">
        <f t="shared" si="61"/>
        <v>0</v>
      </c>
      <c r="EW119" s="139">
        <f t="shared" si="62"/>
        <v>0</v>
      </c>
      <c r="EX119" s="139">
        <f t="shared" si="63"/>
        <v>0</v>
      </c>
      <c r="EY119" s="139">
        <f t="shared" si="64"/>
        <v>0</v>
      </c>
      <c r="EZ119" s="139">
        <f t="shared" si="65"/>
        <v>0</v>
      </c>
      <c r="FA119" s="139">
        <f t="shared" si="66"/>
        <v>0</v>
      </c>
      <c r="FB119" s="139">
        <f t="shared" si="67"/>
        <v>0</v>
      </c>
      <c r="FC119" s="139">
        <f t="shared" si="68"/>
        <v>0</v>
      </c>
      <c r="FD119" s="139">
        <f t="shared" si="69"/>
        <v>0</v>
      </c>
      <c r="FE119" s="139">
        <f t="shared" si="70"/>
        <v>0</v>
      </c>
      <c r="FF119" s="139">
        <f t="shared" si="71"/>
        <v>0</v>
      </c>
      <c r="FG119" s="139">
        <f t="shared" si="72"/>
        <v>0</v>
      </c>
      <c r="FH119" s="139">
        <f t="shared" si="73"/>
        <v>0</v>
      </c>
      <c r="FI119" s="139">
        <f t="shared" si="74"/>
        <v>0</v>
      </c>
      <c r="FJ119" s="139">
        <f t="shared" si="75"/>
        <v>0</v>
      </c>
      <c r="FK119" s="139">
        <f t="shared" si="76"/>
        <v>0</v>
      </c>
      <c r="FL119" s="139">
        <f t="shared" si="77"/>
        <v>0</v>
      </c>
      <c r="FM119" s="139">
        <f t="shared" si="78"/>
        <v>0</v>
      </c>
      <c r="FN119" s="139">
        <f t="shared" si="79"/>
        <v>0</v>
      </c>
      <c r="FO119" s="139">
        <f t="shared" si="80"/>
        <v>0</v>
      </c>
      <c r="FP119" s="139">
        <f t="shared" si="81"/>
        <v>0</v>
      </c>
      <c r="FQ119" s="139">
        <f t="shared" si="82"/>
        <v>0</v>
      </c>
      <c r="FR119" s="139">
        <f t="shared" si="83"/>
        <v>0</v>
      </c>
      <c r="FS119" s="139">
        <f t="shared" si="84"/>
        <v>0</v>
      </c>
      <c r="FT119" s="139">
        <f t="shared" si="85"/>
        <v>0</v>
      </c>
      <c r="FU119" s="148">
        <f t="shared" si="86"/>
        <v>162.05265357969614</v>
      </c>
      <c r="FV119" s="149"/>
      <c r="FY119" s="211">
        <v>114</v>
      </c>
      <c r="FZ119">
        <v>116.28724465345638</v>
      </c>
      <c r="GA119">
        <v>117.40190174251143</v>
      </c>
      <c r="GB119">
        <v>35.021561310386289</v>
      </c>
      <c r="GC119">
        <v>33.832610865162174</v>
      </c>
      <c r="GD119">
        <v>35.47730038933323</v>
      </c>
      <c r="GE119">
        <v>66.759946291566749</v>
      </c>
      <c r="GF119">
        <v>78.400666719171198</v>
      </c>
      <c r="GG119">
        <v>88.865376197870972</v>
      </c>
      <c r="GH119">
        <v>110.70437099641882</v>
      </c>
      <c r="GI119">
        <v>85.183248575181551</v>
      </c>
      <c r="GJ119"/>
      <c r="GK119"/>
      <c r="GL119"/>
      <c r="GM119"/>
    </row>
    <row r="120" spans="1:195" s="7" customFormat="1">
      <c r="A120" s="1"/>
      <c r="B120" s="76">
        <f ca="1">IF(C120="", "", RAND())</f>
        <v>0.82998825244344943</v>
      </c>
      <c r="C120">
        <v>9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204.17058953038921</v>
      </c>
      <c r="AO120">
        <v>120.63229505564868</v>
      </c>
      <c r="AP120">
        <v>437.26422465135204</v>
      </c>
      <c r="AQ120">
        <v>729.9184784464212</v>
      </c>
      <c r="AR120">
        <v>115.51896819974183</v>
      </c>
      <c r="AS120">
        <v>1069.3107996416015</v>
      </c>
      <c r="AT120">
        <v>61.618662795851897</v>
      </c>
      <c r="AU120">
        <v>203.2089971761032</v>
      </c>
      <c r="AV120"/>
      <c r="AW120"/>
      <c r="AX120" s="146"/>
      <c r="AY120" s="76">
        <f t="shared" ca="1" si="87"/>
        <v>0.40105658999443872</v>
      </c>
      <c r="AZ120">
        <v>3</v>
      </c>
      <c r="BA120" s="129">
        <f t="shared" si="130"/>
        <v>39747</v>
      </c>
      <c r="BB120">
        <v>0</v>
      </c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 s="147"/>
      <c r="CH120" s="176"/>
      <c r="CJ120" s="146"/>
      <c r="CK120" s="76">
        <f t="shared" ca="1" si="89"/>
        <v>0.85762934199643537</v>
      </c>
      <c r="CL120" s="179">
        <f t="shared" si="90"/>
        <v>3</v>
      </c>
      <c r="CM120" s="180">
        <f t="shared" si="91"/>
        <v>39747</v>
      </c>
      <c r="CN120"/>
      <c r="CO120"/>
      <c r="CP120"/>
      <c r="CQ120"/>
      <c r="CR120"/>
      <c r="CS120"/>
      <c r="CT120"/>
      <c r="CU120"/>
      <c r="CV120" s="160"/>
      <c r="CW120">
        <v>1</v>
      </c>
      <c r="CX120">
        <v>1</v>
      </c>
      <c r="CY120" s="160"/>
      <c r="CZ120" s="177">
        <f t="shared" si="92"/>
        <v>9.6000000000000002E-2</v>
      </c>
      <c r="DB120" s="146"/>
      <c r="DC120" s="76">
        <f t="shared" ca="1" si="50"/>
        <v>0.96819474827351693</v>
      </c>
      <c r="DD120">
        <f t="shared" si="93"/>
        <v>3</v>
      </c>
      <c r="DE120" s="129">
        <f t="shared" si="129"/>
        <v>39747</v>
      </c>
      <c r="DF120" s="161">
        <f t="shared" si="94"/>
        <v>0</v>
      </c>
      <c r="DG120" s="161">
        <f t="shared" si="95"/>
        <v>0</v>
      </c>
      <c r="DH120" s="161">
        <f t="shared" si="96"/>
        <v>0</v>
      </c>
      <c r="DI120" s="161">
        <f t="shared" si="97"/>
        <v>0</v>
      </c>
      <c r="DJ120" s="161">
        <f t="shared" si="98"/>
        <v>0</v>
      </c>
      <c r="DK120" s="161">
        <f t="shared" si="99"/>
        <v>0</v>
      </c>
      <c r="DL120" s="161">
        <f t="shared" si="100"/>
        <v>0</v>
      </c>
      <c r="DM120" s="161">
        <f t="shared" si="101"/>
        <v>0</v>
      </c>
      <c r="DN120" s="161">
        <f t="shared" si="102"/>
        <v>0</v>
      </c>
      <c r="DO120" s="161">
        <f t="shared" si="103"/>
        <v>0</v>
      </c>
      <c r="DP120" s="161">
        <f t="shared" si="104"/>
        <v>0</v>
      </c>
      <c r="DQ120" s="161">
        <f t="shared" si="105"/>
        <v>0</v>
      </c>
      <c r="DR120" s="161">
        <f t="shared" si="106"/>
        <v>0</v>
      </c>
      <c r="DS120" s="161">
        <f t="shared" si="107"/>
        <v>0</v>
      </c>
      <c r="DT120" s="161">
        <f t="shared" si="108"/>
        <v>0</v>
      </c>
      <c r="DU120" s="161">
        <f t="shared" si="109"/>
        <v>0</v>
      </c>
      <c r="DV120" s="161">
        <f t="shared" si="110"/>
        <v>0</v>
      </c>
      <c r="DW120" s="161">
        <f t="shared" si="111"/>
        <v>0</v>
      </c>
      <c r="DX120" s="161">
        <f t="shared" si="112"/>
        <v>0</v>
      </c>
      <c r="DY120" s="161">
        <f t="shared" si="113"/>
        <v>0</v>
      </c>
      <c r="DZ120" s="161">
        <f t="shared" si="114"/>
        <v>0</v>
      </c>
      <c r="EA120" s="161">
        <f t="shared" si="115"/>
        <v>0</v>
      </c>
      <c r="EB120" s="161">
        <f t="shared" si="116"/>
        <v>0</v>
      </c>
      <c r="EC120" s="161">
        <f t="shared" si="117"/>
        <v>0</v>
      </c>
      <c r="ED120" s="161">
        <f t="shared" si="118"/>
        <v>0</v>
      </c>
      <c r="EE120" s="161">
        <f t="shared" si="119"/>
        <v>0</v>
      </c>
      <c r="EF120" s="161">
        <f t="shared" si="120"/>
        <v>0</v>
      </c>
      <c r="EG120" s="161">
        <f t="shared" si="121"/>
        <v>0</v>
      </c>
      <c r="EH120" s="161">
        <f t="shared" si="122"/>
        <v>0</v>
      </c>
      <c r="EI120" s="161">
        <f t="shared" si="123"/>
        <v>0</v>
      </c>
      <c r="EJ120" s="161">
        <f t="shared" si="124"/>
        <v>0</v>
      </c>
      <c r="EK120" s="147">
        <f t="shared" ref="EK120:EK151" si="131">IF(DF120="", "", SUM(DF120:EJ120))</f>
        <v>0</v>
      </c>
      <c r="EL120" s="149"/>
      <c r="EN120" s="146"/>
      <c r="EO120" s="146"/>
      <c r="EP120" s="139">
        <f t="shared" ref="EP120:EP151" si="132">IF(DF120="", "", DF120*G$36)</f>
        <v>0</v>
      </c>
      <c r="EQ120" s="139">
        <f t="shared" ref="EQ120:EQ151" si="133">IF(DG120="", "", DG120*H$36)</f>
        <v>0</v>
      </c>
      <c r="ER120" s="139">
        <f t="shared" ref="ER120:ER151" si="134">IF(DH120="", "", DH120*I$36)</f>
        <v>0</v>
      </c>
      <c r="ES120" s="139">
        <f t="shared" ref="ES120:ES151" si="135">IF(DI120="", "", DI120*J$36)</f>
        <v>0</v>
      </c>
      <c r="ET120" s="139">
        <f t="shared" ref="ET120:ET151" si="136">IF(DJ120="", "", DJ120*K$36)</f>
        <v>0</v>
      </c>
      <c r="EU120" s="139">
        <f t="shared" ref="EU120:EU151" si="137">IF(DK120="", "", DK120*L$36)</f>
        <v>0</v>
      </c>
      <c r="EV120" s="139">
        <f t="shared" ref="EV120:EV151" si="138">IF(DL120="", "", DL120*M$36)</f>
        <v>0</v>
      </c>
      <c r="EW120" s="139">
        <f t="shared" ref="EW120:EW151" si="139">IF(DM120="", "", DM120*N$36)</f>
        <v>0</v>
      </c>
      <c r="EX120" s="139">
        <f t="shared" ref="EX120:EX151" si="140">IF(DN120="", "", DN120*O$36)</f>
        <v>0</v>
      </c>
      <c r="EY120" s="139">
        <f t="shared" ref="EY120:EY151" si="141">IF(DO120="", "", DO120*P$36)</f>
        <v>0</v>
      </c>
      <c r="EZ120" s="139">
        <f t="shared" ref="EZ120:EZ151" si="142">IF(DP120="", "", DP120*Q$36)</f>
        <v>0</v>
      </c>
      <c r="FA120" s="139">
        <f t="shared" ref="FA120:FA151" si="143">IF(DQ120="", "", DQ120*R$36)</f>
        <v>0</v>
      </c>
      <c r="FB120" s="139">
        <f t="shared" ref="FB120:FB151" si="144">IF(DR120="", "", DR120*S$36)</f>
        <v>0</v>
      </c>
      <c r="FC120" s="139">
        <f t="shared" ref="FC120:FC151" si="145">IF(DS120="", "", DS120*T$36)</f>
        <v>0</v>
      </c>
      <c r="FD120" s="139">
        <f t="shared" ref="FD120:FD151" si="146">IF(DT120="", "", DT120*U$36)</f>
        <v>0</v>
      </c>
      <c r="FE120" s="139">
        <f t="shared" ref="FE120:FE151" si="147">IF(DU120="", "", DU120*V$36)</f>
        <v>0</v>
      </c>
      <c r="FF120" s="139">
        <f t="shared" ref="FF120:FF151" si="148">IF(DV120="", "", DV120*W$36)</f>
        <v>0</v>
      </c>
      <c r="FG120" s="139">
        <f t="shared" ref="FG120:FG151" si="149">IF(DW120="", "", DW120*X$36)</f>
        <v>0</v>
      </c>
      <c r="FH120" s="139">
        <f t="shared" ref="FH120:FH151" si="150">IF(DX120="", "", DX120*Y$36)</f>
        <v>0</v>
      </c>
      <c r="FI120" s="139">
        <f t="shared" ref="FI120:FI151" si="151">IF(DY120="", "", DY120*Z$36)</f>
        <v>0</v>
      </c>
      <c r="FJ120" s="139">
        <f t="shared" ref="FJ120:FJ151" si="152">IF(DZ120="", "", DZ120*AA$36)</f>
        <v>0</v>
      </c>
      <c r="FK120" s="139">
        <f t="shared" ref="FK120:FK151" si="153">IF(EA120="", "", EA120*AB$36)</f>
        <v>0</v>
      </c>
      <c r="FL120" s="139">
        <f t="shared" ref="FL120:FL151" si="154">IF(EB120="", "", EB120*AC$36)</f>
        <v>0</v>
      </c>
      <c r="FM120" s="139">
        <f t="shared" ref="FM120:FM151" si="155">IF(EC120="", "", EC120*AD$36)</f>
        <v>0</v>
      </c>
      <c r="FN120" s="139">
        <f t="shared" ref="FN120:FN151" si="156">IF(ED120="", "", ED120*AE$36)</f>
        <v>0</v>
      </c>
      <c r="FO120" s="139">
        <f t="shared" ref="FO120:FO151" si="157">IF(EE120="", "", EE120*AF$36)</f>
        <v>0</v>
      </c>
      <c r="FP120" s="139">
        <f t="shared" ref="FP120:FP151" si="158">IF(EF120="", "", EF120*AG$36)</f>
        <v>0</v>
      </c>
      <c r="FQ120" s="139">
        <f t="shared" ref="FQ120:FQ151" si="159">IF(EG120="", "", EG120*AH$36)</f>
        <v>0</v>
      </c>
      <c r="FR120" s="139">
        <f t="shared" ref="FR120:FR151" si="160">IF(EH120="", "", EH120*AI$36)</f>
        <v>0</v>
      </c>
      <c r="FS120" s="139">
        <f t="shared" ref="FS120:FS151" si="161">IF(EI120="", "", EI120*AJ$36)</f>
        <v>0</v>
      </c>
      <c r="FT120" s="139">
        <f t="shared" ref="FT120:FT151" si="162">IF(EJ120="", "", EJ120*AK$36)</f>
        <v>0</v>
      </c>
      <c r="FU120" s="148">
        <f t="shared" ref="FU120:FU151" si="163">IF(EP120="","",SUM(EP120:FT120))</f>
        <v>0</v>
      </c>
      <c r="FV120" s="149"/>
      <c r="FY120" s="211">
        <v>115</v>
      </c>
      <c r="FZ120">
        <v>135.35620909117773</v>
      </c>
      <c r="GA120">
        <v>147.88504864603561</v>
      </c>
      <c r="GB120">
        <v>60.049662995812454</v>
      </c>
      <c r="GC120">
        <v>54.550912455543013</v>
      </c>
      <c r="GD120">
        <v>47.41983208621189</v>
      </c>
      <c r="GE120">
        <v>79.88519047896736</v>
      </c>
      <c r="GF120">
        <v>107.87812025410143</v>
      </c>
      <c r="GG120">
        <v>82.106837329044382</v>
      </c>
      <c r="GH120">
        <v>72.372302015464456</v>
      </c>
      <c r="GI120">
        <v>102.64398918656583</v>
      </c>
      <c r="GJ120"/>
      <c r="GK120"/>
      <c r="GL120"/>
      <c r="GM120"/>
    </row>
    <row r="121" spans="1:195" s="7" customFormat="1">
      <c r="A121" s="1"/>
      <c r="B121" s="76">
        <f ca="1">IF(C121="", "", RAND())</f>
        <v>0.94766106842638109</v>
      </c>
      <c r="C121">
        <v>8</v>
      </c>
      <c r="D121">
        <v>39747</v>
      </c>
      <c r="E121">
        <v>0</v>
      </c>
      <c r="F121">
        <v>0</v>
      </c>
      <c r="G121">
        <v>280.44871794871796</v>
      </c>
      <c r="H121">
        <v>0</v>
      </c>
      <c r="I121">
        <v>20.833333333333332</v>
      </c>
      <c r="J121">
        <v>93.75</v>
      </c>
      <c r="K121">
        <v>10.416666666666666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233.5871024181086</v>
      </c>
      <c r="AO121">
        <v>119.38933643974909</v>
      </c>
      <c r="AP121">
        <v>533.46222385884334</v>
      </c>
      <c r="AQ121">
        <v>707.50775936414402</v>
      </c>
      <c r="AR121">
        <v>112.66395049256407</v>
      </c>
      <c r="AS121">
        <v>1126.0959900049841</v>
      </c>
      <c r="AT121">
        <v>55.638380831838901</v>
      </c>
      <c r="AU121">
        <v>65.314063826728471</v>
      </c>
      <c r="AV121"/>
      <c r="AW121"/>
      <c r="AX121" s="146"/>
      <c r="AY121" s="76">
        <f t="shared" ca="1" si="87"/>
        <v>0.87932460536210177</v>
      </c>
      <c r="AZ121">
        <v>4</v>
      </c>
      <c r="BA121" s="129">
        <f t="shared" si="130"/>
        <v>39747</v>
      </c>
      <c r="BB121">
        <v>0</v>
      </c>
      <c r="BC121">
        <v>0</v>
      </c>
      <c r="BD121">
        <v>0</v>
      </c>
      <c r="BE121">
        <v>0</v>
      </c>
      <c r="BF121">
        <v>1</v>
      </c>
      <c r="BG121">
        <v>3</v>
      </c>
      <c r="BH121">
        <v>2</v>
      </c>
      <c r="BI121">
        <v>1</v>
      </c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 s="147"/>
      <c r="CH121" s="176"/>
      <c r="CJ121" s="146"/>
      <c r="CK121" s="76">
        <f t="shared" ca="1" si="89"/>
        <v>0.7686906634863484</v>
      </c>
      <c r="CL121" s="179">
        <f t="shared" si="90"/>
        <v>4</v>
      </c>
      <c r="CM121" s="180">
        <f t="shared" si="91"/>
        <v>39747</v>
      </c>
      <c r="CN121">
        <v>0</v>
      </c>
      <c r="CO121">
        <v>4</v>
      </c>
      <c r="CP121">
        <v>3</v>
      </c>
      <c r="CQ121"/>
      <c r="CR121"/>
      <c r="CS121"/>
      <c r="CT121"/>
      <c r="CU121"/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2"/>
        <v>9.6000000000000002E-2</v>
      </c>
      <c r="DB121" s="146"/>
      <c r="DC121" s="76">
        <f t="shared" ca="1" si="50"/>
        <v>0.96419693882429769</v>
      </c>
      <c r="DD121">
        <f t="shared" si="93"/>
        <v>4</v>
      </c>
      <c r="DE121" s="129">
        <f t="shared" si="129"/>
        <v>39747</v>
      </c>
      <c r="DF121" s="161">
        <f t="shared" si="94"/>
        <v>0</v>
      </c>
      <c r="DG121" s="161">
        <f t="shared" si="95"/>
        <v>251.43678160919538</v>
      </c>
      <c r="DH121" s="161">
        <f t="shared" si="96"/>
        <v>188.57758620689654</v>
      </c>
      <c r="DI121" s="161">
        <f t="shared" si="97"/>
        <v>0</v>
      </c>
      <c r="DJ121" s="161">
        <f t="shared" si="98"/>
        <v>28.409090909090907</v>
      </c>
      <c r="DK121" s="161">
        <f t="shared" si="99"/>
        <v>85.22727272727272</v>
      </c>
      <c r="DL121" s="161">
        <f t="shared" si="100"/>
        <v>56.818181818181813</v>
      </c>
      <c r="DM121" s="161">
        <f t="shared" si="101"/>
        <v>28.409090909090907</v>
      </c>
      <c r="DN121" s="161">
        <f t="shared" si="102"/>
        <v>0</v>
      </c>
      <c r="DO121" s="161">
        <f t="shared" si="103"/>
        <v>0</v>
      </c>
      <c r="DP121" s="161">
        <f t="shared" si="104"/>
        <v>0</v>
      </c>
      <c r="DQ121" s="161">
        <f t="shared" si="105"/>
        <v>0</v>
      </c>
      <c r="DR121" s="161">
        <f t="shared" si="106"/>
        <v>0</v>
      </c>
      <c r="DS121" s="161">
        <f t="shared" si="107"/>
        <v>0</v>
      </c>
      <c r="DT121" s="161">
        <f t="shared" si="108"/>
        <v>0</v>
      </c>
      <c r="DU121" s="161">
        <f t="shared" si="109"/>
        <v>0</v>
      </c>
      <c r="DV121" s="161">
        <f t="shared" si="110"/>
        <v>0</v>
      </c>
      <c r="DW121" s="161">
        <f t="shared" si="111"/>
        <v>0</v>
      </c>
      <c r="DX121" s="161">
        <f t="shared" si="112"/>
        <v>0</v>
      </c>
      <c r="DY121" s="161">
        <f t="shared" si="113"/>
        <v>0</v>
      </c>
      <c r="DZ121" s="161">
        <f t="shared" si="114"/>
        <v>0</v>
      </c>
      <c r="EA121" s="161">
        <f t="shared" si="115"/>
        <v>0</v>
      </c>
      <c r="EB121" s="161">
        <f t="shared" si="116"/>
        <v>0</v>
      </c>
      <c r="EC121" s="161">
        <f t="shared" si="117"/>
        <v>0</v>
      </c>
      <c r="ED121" s="161">
        <f t="shared" si="118"/>
        <v>0</v>
      </c>
      <c r="EE121" s="161">
        <f t="shared" si="119"/>
        <v>0</v>
      </c>
      <c r="EF121" s="161">
        <f t="shared" si="120"/>
        <v>0</v>
      </c>
      <c r="EG121" s="161">
        <f t="shared" si="121"/>
        <v>0</v>
      </c>
      <c r="EH121" s="161">
        <f t="shared" si="122"/>
        <v>0</v>
      </c>
      <c r="EI121" s="161">
        <f t="shared" si="123"/>
        <v>0</v>
      </c>
      <c r="EJ121" s="161">
        <f t="shared" si="124"/>
        <v>0</v>
      </c>
      <c r="EK121" s="147">
        <f t="shared" si="131"/>
        <v>638.87800417972824</v>
      </c>
      <c r="EL121" s="149"/>
      <c r="EN121" s="146"/>
      <c r="EO121" s="146"/>
      <c r="EP121" s="139">
        <f t="shared" si="132"/>
        <v>0</v>
      </c>
      <c r="EQ121" s="139">
        <f t="shared" si="133"/>
        <v>2.8993929597701147</v>
      </c>
      <c r="ER121" s="139">
        <f t="shared" si="134"/>
        <v>13.81068888130714</v>
      </c>
      <c r="ES121" s="139">
        <f t="shared" si="135"/>
        <v>0</v>
      </c>
      <c r="ET121" s="139">
        <f t="shared" si="136"/>
        <v>13.213857053964432</v>
      </c>
      <c r="EU121" s="139">
        <f t="shared" si="137"/>
        <v>71.88029714428275</v>
      </c>
      <c r="EV121" s="139">
        <f t="shared" si="138"/>
        <v>77.928261541864316</v>
      </c>
      <c r="EW121" s="139">
        <f t="shared" si="139"/>
        <v>58.77763128487917</v>
      </c>
      <c r="EX121" s="139">
        <f t="shared" si="140"/>
        <v>0</v>
      </c>
      <c r="EY121" s="139">
        <f t="shared" si="141"/>
        <v>0</v>
      </c>
      <c r="EZ121" s="139">
        <f t="shared" si="142"/>
        <v>0</v>
      </c>
      <c r="FA121" s="139">
        <f t="shared" si="143"/>
        <v>0</v>
      </c>
      <c r="FB121" s="139">
        <f t="shared" si="144"/>
        <v>0</v>
      </c>
      <c r="FC121" s="139">
        <f t="shared" si="145"/>
        <v>0</v>
      </c>
      <c r="FD121" s="139">
        <f t="shared" si="146"/>
        <v>0</v>
      </c>
      <c r="FE121" s="139">
        <f t="shared" si="147"/>
        <v>0</v>
      </c>
      <c r="FF121" s="139">
        <f t="shared" si="148"/>
        <v>0</v>
      </c>
      <c r="FG121" s="139">
        <f t="shared" si="149"/>
        <v>0</v>
      </c>
      <c r="FH121" s="139">
        <f t="shared" si="150"/>
        <v>0</v>
      </c>
      <c r="FI121" s="139">
        <f t="shared" si="151"/>
        <v>0</v>
      </c>
      <c r="FJ121" s="139">
        <f t="shared" si="152"/>
        <v>0</v>
      </c>
      <c r="FK121" s="139">
        <f t="shared" si="153"/>
        <v>0</v>
      </c>
      <c r="FL121" s="139">
        <f t="shared" si="154"/>
        <v>0</v>
      </c>
      <c r="FM121" s="139">
        <f t="shared" si="155"/>
        <v>0</v>
      </c>
      <c r="FN121" s="139">
        <f t="shared" si="156"/>
        <v>0</v>
      </c>
      <c r="FO121" s="139">
        <f t="shared" si="157"/>
        <v>0</v>
      </c>
      <c r="FP121" s="139">
        <f t="shared" si="158"/>
        <v>0</v>
      </c>
      <c r="FQ121" s="139">
        <f t="shared" si="159"/>
        <v>0</v>
      </c>
      <c r="FR121" s="139">
        <f t="shared" si="160"/>
        <v>0</v>
      </c>
      <c r="FS121" s="139">
        <f t="shared" si="161"/>
        <v>0</v>
      </c>
      <c r="FT121" s="139">
        <f t="shared" si="162"/>
        <v>0</v>
      </c>
      <c r="FU121" s="148">
        <f t="shared" si="163"/>
        <v>238.5101288660679</v>
      </c>
      <c r="FV121" s="149"/>
      <c r="FY121" s="211">
        <v>116</v>
      </c>
      <c r="FZ121">
        <v>108.04869502424117</v>
      </c>
      <c r="GA121">
        <v>150.92823607696093</v>
      </c>
      <c r="GB121">
        <v>53.07600943573506</v>
      </c>
      <c r="GC121">
        <v>29.677640864193432</v>
      </c>
      <c r="GD121">
        <v>37.915317391449065</v>
      </c>
      <c r="GE121">
        <v>95.466379266325703</v>
      </c>
      <c r="GF121">
        <v>120.92626294189638</v>
      </c>
      <c r="GG121">
        <v>107.89597625548066</v>
      </c>
      <c r="GH121">
        <v>105.6364755672336</v>
      </c>
      <c r="GI121">
        <v>98.798660111507829</v>
      </c>
      <c r="GJ121"/>
      <c r="GK121"/>
      <c r="GL121"/>
      <c r="GM121"/>
    </row>
    <row r="122" spans="1:195" s="7" customFormat="1">
      <c r="A122" s="1"/>
      <c r="B122" s="76">
        <f ca="1">IF(C122="", "", RAND())</f>
        <v>0.72661751568294175</v>
      </c>
      <c r="C122">
        <v>6</v>
      </c>
      <c r="D122">
        <v>39747</v>
      </c>
      <c r="E122">
        <v>0</v>
      </c>
      <c r="F122">
        <v>130.20833333333334</v>
      </c>
      <c r="G122">
        <v>0</v>
      </c>
      <c r="H122">
        <v>10.416666666666666</v>
      </c>
      <c r="I122">
        <v>0</v>
      </c>
      <c r="J122">
        <v>31.25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192.48842740320492</v>
      </c>
      <c r="AO122">
        <v>118.63095882800489</v>
      </c>
      <c r="AP122">
        <v>431.42867277303657</v>
      </c>
      <c r="AQ122">
        <v>649.36541449542403</v>
      </c>
      <c r="AR122">
        <v>112.43336796390531</v>
      </c>
      <c r="AS122">
        <v>1208.8552809641076</v>
      </c>
      <c r="AT122">
        <v>57.03347007622903</v>
      </c>
      <c r="AU122">
        <v>-27.941254069823628</v>
      </c>
      <c r="AV122"/>
      <c r="AW122"/>
      <c r="AX122" s="146"/>
      <c r="AY122" s="76">
        <f t="shared" ca="1" si="87"/>
        <v>0.45986185717806283</v>
      </c>
      <c r="AZ122">
        <v>5</v>
      </c>
      <c r="BA122" s="129">
        <f t="shared" si="130"/>
        <v>39747</v>
      </c>
      <c r="BB122">
        <v>0</v>
      </c>
      <c r="BC122">
        <v>0</v>
      </c>
      <c r="BD122">
        <v>0</v>
      </c>
      <c r="BE122">
        <v>0</v>
      </c>
      <c r="BF122">
        <v>1</v>
      </c>
      <c r="BG122">
        <v>1</v>
      </c>
      <c r="BH122">
        <v>1</v>
      </c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 s="147"/>
      <c r="CH122" s="176"/>
      <c r="CJ122" s="146"/>
      <c r="CK122" s="76">
        <f t="shared" ca="1" si="89"/>
        <v>0.21318746767955776</v>
      </c>
      <c r="CL122" s="179">
        <f t="shared" si="90"/>
        <v>5</v>
      </c>
      <c r="CM122" s="180">
        <f t="shared" si="91"/>
        <v>39747</v>
      </c>
      <c r="CN122">
        <v>0</v>
      </c>
      <c r="CO122">
        <v>2</v>
      </c>
      <c r="CP122">
        <v>3</v>
      </c>
      <c r="CQ122">
        <v>0</v>
      </c>
      <c r="CR122">
        <v>2</v>
      </c>
      <c r="CS122"/>
      <c r="CT122"/>
      <c r="CU122"/>
      <c r="CV122" s="160"/>
      <c r="CW122" s="178">
        <v>1</v>
      </c>
      <c r="CX122">
        <f>350/33</f>
        <v>10.606060606060606</v>
      </c>
      <c r="CY122" s="160"/>
      <c r="CZ122" s="177">
        <f t="shared" si="92"/>
        <v>9.6000000000000002E-2</v>
      </c>
      <c r="DB122" s="146"/>
      <c r="DC122" s="76">
        <f t="shared" ca="1" si="50"/>
        <v>0.8850743707456612</v>
      </c>
      <c r="DD122">
        <f t="shared" si="93"/>
        <v>5</v>
      </c>
      <c r="DE122" s="129">
        <f t="shared" si="129"/>
        <v>39747</v>
      </c>
      <c r="DF122" s="161">
        <f t="shared" si="94"/>
        <v>0</v>
      </c>
      <c r="DG122" s="161">
        <f t="shared" si="95"/>
        <v>220.95959595959593</v>
      </c>
      <c r="DH122" s="161">
        <f t="shared" si="96"/>
        <v>331.43939393939394</v>
      </c>
      <c r="DI122" s="161">
        <f t="shared" si="97"/>
        <v>0</v>
      </c>
      <c r="DJ122" s="161">
        <f t="shared" si="98"/>
        <v>231.37626262626262</v>
      </c>
      <c r="DK122" s="161">
        <f t="shared" si="99"/>
        <v>10.416666666666666</v>
      </c>
      <c r="DL122" s="161">
        <f t="shared" si="100"/>
        <v>10.416666666666666</v>
      </c>
      <c r="DM122" s="161">
        <f t="shared" si="101"/>
        <v>0</v>
      </c>
      <c r="DN122" s="161">
        <f t="shared" si="102"/>
        <v>0</v>
      </c>
      <c r="DO122" s="161">
        <f t="shared" si="103"/>
        <v>0</v>
      </c>
      <c r="DP122" s="161">
        <f t="shared" si="104"/>
        <v>0</v>
      </c>
      <c r="DQ122" s="161">
        <f t="shared" si="105"/>
        <v>0</v>
      </c>
      <c r="DR122" s="161">
        <f t="shared" si="106"/>
        <v>0</v>
      </c>
      <c r="DS122" s="161">
        <f t="shared" si="107"/>
        <v>0</v>
      </c>
      <c r="DT122" s="161">
        <f t="shared" si="108"/>
        <v>0</v>
      </c>
      <c r="DU122" s="161">
        <f t="shared" si="109"/>
        <v>0</v>
      </c>
      <c r="DV122" s="161">
        <f t="shared" si="110"/>
        <v>0</v>
      </c>
      <c r="DW122" s="161">
        <f t="shared" si="111"/>
        <v>0</v>
      </c>
      <c r="DX122" s="161">
        <f t="shared" si="112"/>
        <v>0</v>
      </c>
      <c r="DY122" s="161">
        <f t="shared" si="113"/>
        <v>0</v>
      </c>
      <c r="DZ122" s="161">
        <f t="shared" si="114"/>
        <v>0</v>
      </c>
      <c r="EA122" s="161">
        <f t="shared" si="115"/>
        <v>0</v>
      </c>
      <c r="EB122" s="161">
        <f t="shared" si="116"/>
        <v>0</v>
      </c>
      <c r="EC122" s="161">
        <f t="shared" si="117"/>
        <v>0</v>
      </c>
      <c r="ED122" s="161">
        <f t="shared" si="118"/>
        <v>0</v>
      </c>
      <c r="EE122" s="161">
        <f t="shared" si="119"/>
        <v>0</v>
      </c>
      <c r="EF122" s="161">
        <f t="shared" si="120"/>
        <v>0</v>
      </c>
      <c r="EG122" s="161">
        <f t="shared" si="121"/>
        <v>0</v>
      </c>
      <c r="EH122" s="161">
        <f t="shared" si="122"/>
        <v>0</v>
      </c>
      <c r="EI122" s="161">
        <f t="shared" si="123"/>
        <v>0</v>
      </c>
      <c r="EJ122" s="161">
        <f t="shared" si="124"/>
        <v>0</v>
      </c>
      <c r="EK122" s="147">
        <f t="shared" si="131"/>
        <v>804.60858585858568</v>
      </c>
      <c r="EL122" s="149"/>
      <c r="EN122" s="146"/>
      <c r="EO122" s="146"/>
      <c r="EP122" s="139">
        <f t="shared" si="132"/>
        <v>0</v>
      </c>
      <c r="EQ122" s="139">
        <f t="shared" si="133"/>
        <v>2.5479513888888885</v>
      </c>
      <c r="ER122" s="139">
        <f t="shared" si="134"/>
        <v>24.273331973206492</v>
      </c>
      <c r="ES122" s="139">
        <f t="shared" si="135"/>
        <v>0</v>
      </c>
      <c r="ET122" s="139">
        <f t="shared" si="136"/>
        <v>107.61952467284365</v>
      </c>
      <c r="EU122" s="139">
        <f t="shared" si="137"/>
        <v>8.7853696509678922</v>
      </c>
      <c r="EV122" s="139">
        <f t="shared" si="138"/>
        <v>14.286847949341793</v>
      </c>
      <c r="EW122" s="139">
        <f t="shared" si="139"/>
        <v>0</v>
      </c>
      <c r="EX122" s="139">
        <f t="shared" si="140"/>
        <v>0</v>
      </c>
      <c r="EY122" s="139">
        <f t="shared" si="141"/>
        <v>0</v>
      </c>
      <c r="EZ122" s="139">
        <f t="shared" si="142"/>
        <v>0</v>
      </c>
      <c r="FA122" s="139">
        <f t="shared" si="143"/>
        <v>0</v>
      </c>
      <c r="FB122" s="139">
        <f t="shared" si="144"/>
        <v>0</v>
      </c>
      <c r="FC122" s="139">
        <f t="shared" si="145"/>
        <v>0</v>
      </c>
      <c r="FD122" s="139">
        <f t="shared" si="146"/>
        <v>0</v>
      </c>
      <c r="FE122" s="139">
        <f t="shared" si="147"/>
        <v>0</v>
      </c>
      <c r="FF122" s="139">
        <f t="shared" si="148"/>
        <v>0</v>
      </c>
      <c r="FG122" s="139">
        <f t="shared" si="149"/>
        <v>0</v>
      </c>
      <c r="FH122" s="139">
        <f t="shared" si="150"/>
        <v>0</v>
      </c>
      <c r="FI122" s="139">
        <f t="shared" si="151"/>
        <v>0</v>
      </c>
      <c r="FJ122" s="139">
        <f t="shared" si="152"/>
        <v>0</v>
      </c>
      <c r="FK122" s="139">
        <f t="shared" si="153"/>
        <v>0</v>
      </c>
      <c r="FL122" s="139">
        <f t="shared" si="154"/>
        <v>0</v>
      </c>
      <c r="FM122" s="139">
        <f t="shared" si="155"/>
        <v>0</v>
      </c>
      <c r="FN122" s="139">
        <f t="shared" si="156"/>
        <v>0</v>
      </c>
      <c r="FO122" s="139">
        <f t="shared" si="157"/>
        <v>0</v>
      </c>
      <c r="FP122" s="139">
        <f t="shared" si="158"/>
        <v>0</v>
      </c>
      <c r="FQ122" s="139">
        <f t="shared" si="159"/>
        <v>0</v>
      </c>
      <c r="FR122" s="139">
        <f t="shared" si="160"/>
        <v>0</v>
      </c>
      <c r="FS122" s="139">
        <f t="shared" si="161"/>
        <v>0</v>
      </c>
      <c r="FT122" s="139">
        <f t="shared" si="162"/>
        <v>0</v>
      </c>
      <c r="FU122" s="148">
        <f t="shared" si="163"/>
        <v>157.51302563524871</v>
      </c>
      <c r="FV122" s="149"/>
      <c r="FY122" s="211">
        <v>117</v>
      </c>
      <c r="FZ122">
        <v>132.38971566265548</v>
      </c>
      <c r="GA122">
        <v>171.22910988338805</v>
      </c>
      <c r="GB122">
        <v>69.974534014376346</v>
      </c>
      <c r="GC122">
        <v>57.498899536483279</v>
      </c>
      <c r="GD122">
        <v>56.491482120429211</v>
      </c>
      <c r="GE122">
        <v>96.768911342531808</v>
      </c>
      <c r="GF122">
        <v>109.4972732141098</v>
      </c>
      <c r="GG122">
        <v>103.2226479459316</v>
      </c>
      <c r="GH122">
        <v>111.45180338501237</v>
      </c>
      <c r="GI122">
        <v>117.75738999515141</v>
      </c>
      <c r="GJ122"/>
      <c r="GK122"/>
      <c r="GL122"/>
      <c r="GM122"/>
    </row>
    <row r="123" spans="1:195" s="7" customFormat="1">
      <c r="A123" s="1"/>
      <c r="B123" s="76">
        <f ca="1">IF(C123="", "", RAND())</f>
        <v>0.5228562195925297</v>
      </c>
      <c r="C123">
        <v>4</v>
      </c>
      <c r="D123">
        <v>39747</v>
      </c>
      <c r="E123">
        <v>0</v>
      </c>
      <c r="F123">
        <v>251.43678160919538</v>
      </c>
      <c r="G123">
        <v>188.57758620689654</v>
      </c>
      <c r="H123">
        <v>0</v>
      </c>
      <c r="I123">
        <v>28.409090909090907</v>
      </c>
      <c r="J123">
        <v>85.22727272727272</v>
      </c>
      <c r="K123">
        <v>56.818181818181813</v>
      </c>
      <c r="L123">
        <v>28.409090909090907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270.34792571713911</v>
      </c>
      <c r="AO123">
        <v>142.6127513657421</v>
      </c>
      <c r="AP123">
        <v>507.70551312872078</v>
      </c>
      <c r="AQ123">
        <v>824.21476215256666</v>
      </c>
      <c r="AR123">
        <v>135.00398251753137</v>
      </c>
      <c r="AS123">
        <v>1305.1909050762968</v>
      </c>
      <c r="AT123">
        <v>69.252485624611481</v>
      </c>
      <c r="AU123">
        <v>78.172784681445179</v>
      </c>
      <c r="AV123"/>
      <c r="AW123"/>
      <c r="AX123" s="146"/>
      <c r="AY123" s="76">
        <f t="shared" ca="1" si="87"/>
        <v>0.25893124961366532</v>
      </c>
      <c r="AZ123">
        <v>6</v>
      </c>
      <c r="BA123" s="129">
        <f t="shared" si="130"/>
        <v>39747</v>
      </c>
      <c r="BB123">
        <v>0</v>
      </c>
      <c r="BC123">
        <v>0</v>
      </c>
      <c r="BD123">
        <v>0</v>
      </c>
      <c r="BE123">
        <v>1</v>
      </c>
      <c r="BF123">
        <v>0</v>
      </c>
      <c r="BG123">
        <v>3</v>
      </c>
      <c r="BH123">
        <v>0</v>
      </c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 s="147"/>
      <c r="CH123" s="176"/>
      <c r="CJ123" s="146"/>
      <c r="CK123" s="76">
        <f t="shared" ca="1" si="89"/>
        <v>0.77235579828842948</v>
      </c>
      <c r="CL123" s="179">
        <f t="shared" si="90"/>
        <v>6</v>
      </c>
      <c r="CM123" s="180">
        <f t="shared" si="91"/>
        <v>39747</v>
      </c>
      <c r="CN123">
        <v>0</v>
      </c>
      <c r="CO123">
        <v>2</v>
      </c>
      <c r="CP123"/>
      <c r="CQ123"/>
      <c r="CR123"/>
      <c r="CS123"/>
      <c r="CT123"/>
      <c r="CU123"/>
      <c r="CV123" s="160"/>
      <c r="CW123" s="178">
        <v>1</v>
      </c>
      <c r="CX123">
        <f>375/60</f>
        <v>6.25</v>
      </c>
      <c r="CY123" s="160"/>
      <c r="CZ123" s="177">
        <f t="shared" si="92"/>
        <v>9.6000000000000002E-2</v>
      </c>
      <c r="DB123" s="146"/>
      <c r="DC123" s="76">
        <f t="shared" ca="1" si="50"/>
        <v>0.95926069874527453</v>
      </c>
      <c r="DD123">
        <f t="shared" si="93"/>
        <v>6</v>
      </c>
      <c r="DE123" s="129">
        <f t="shared" si="129"/>
        <v>39747</v>
      </c>
      <c r="DF123" s="161">
        <f t="shared" si="94"/>
        <v>0</v>
      </c>
      <c r="DG123" s="161">
        <f t="shared" si="95"/>
        <v>130.20833333333334</v>
      </c>
      <c r="DH123" s="161">
        <f t="shared" si="96"/>
        <v>0</v>
      </c>
      <c r="DI123" s="161">
        <f t="shared" si="97"/>
        <v>10.416666666666666</v>
      </c>
      <c r="DJ123" s="161">
        <f t="shared" si="98"/>
        <v>0</v>
      </c>
      <c r="DK123" s="161">
        <f t="shared" si="99"/>
        <v>31.25</v>
      </c>
      <c r="DL123" s="161">
        <f t="shared" si="100"/>
        <v>0</v>
      </c>
      <c r="DM123" s="161">
        <f t="shared" si="101"/>
        <v>0</v>
      </c>
      <c r="DN123" s="161">
        <f t="shared" si="102"/>
        <v>0</v>
      </c>
      <c r="DO123" s="161">
        <f t="shared" si="103"/>
        <v>0</v>
      </c>
      <c r="DP123" s="161">
        <f t="shared" si="104"/>
        <v>0</v>
      </c>
      <c r="DQ123" s="161">
        <f t="shared" si="105"/>
        <v>0</v>
      </c>
      <c r="DR123" s="161">
        <f t="shared" si="106"/>
        <v>0</v>
      </c>
      <c r="DS123" s="161">
        <f t="shared" si="107"/>
        <v>0</v>
      </c>
      <c r="DT123" s="161">
        <f t="shared" si="108"/>
        <v>0</v>
      </c>
      <c r="DU123" s="161">
        <f t="shared" si="109"/>
        <v>0</v>
      </c>
      <c r="DV123" s="161">
        <f t="shared" si="110"/>
        <v>0</v>
      </c>
      <c r="DW123" s="161">
        <f t="shared" si="111"/>
        <v>0</v>
      </c>
      <c r="DX123" s="161">
        <f t="shared" si="112"/>
        <v>0</v>
      </c>
      <c r="DY123" s="161">
        <f t="shared" si="113"/>
        <v>0</v>
      </c>
      <c r="DZ123" s="161">
        <f t="shared" si="114"/>
        <v>0</v>
      </c>
      <c r="EA123" s="161">
        <f t="shared" si="115"/>
        <v>0</v>
      </c>
      <c r="EB123" s="161">
        <f t="shared" si="116"/>
        <v>0</v>
      </c>
      <c r="EC123" s="161">
        <f t="shared" si="117"/>
        <v>0</v>
      </c>
      <c r="ED123" s="161">
        <f t="shared" si="118"/>
        <v>0</v>
      </c>
      <c r="EE123" s="161">
        <f t="shared" si="119"/>
        <v>0</v>
      </c>
      <c r="EF123" s="161">
        <f t="shared" si="120"/>
        <v>0</v>
      </c>
      <c r="EG123" s="161">
        <f t="shared" si="121"/>
        <v>0</v>
      </c>
      <c r="EH123" s="161">
        <f t="shared" si="122"/>
        <v>0</v>
      </c>
      <c r="EI123" s="161">
        <f t="shared" si="123"/>
        <v>0</v>
      </c>
      <c r="EJ123" s="161">
        <f t="shared" si="124"/>
        <v>0</v>
      </c>
      <c r="EK123" s="147">
        <f t="shared" si="131"/>
        <v>171.875</v>
      </c>
      <c r="EL123" s="149"/>
      <c r="EN123" s="146"/>
      <c r="EO123" s="146"/>
      <c r="EP123" s="139">
        <f t="shared" si="132"/>
        <v>0</v>
      </c>
      <c r="EQ123" s="139">
        <f t="shared" si="133"/>
        <v>1.5014713541666667</v>
      </c>
      <c r="ER123" s="139">
        <f t="shared" si="134"/>
        <v>0</v>
      </c>
      <c r="ES123" s="139">
        <f t="shared" si="135"/>
        <v>2.2495177494926182</v>
      </c>
      <c r="ET123" s="139">
        <f t="shared" si="136"/>
        <v>0</v>
      </c>
      <c r="EU123" s="139">
        <f t="shared" si="137"/>
        <v>26.356108952903678</v>
      </c>
      <c r="EV123" s="139">
        <f t="shared" si="138"/>
        <v>0</v>
      </c>
      <c r="EW123" s="139">
        <f t="shared" si="139"/>
        <v>0</v>
      </c>
      <c r="EX123" s="139">
        <f t="shared" si="140"/>
        <v>0</v>
      </c>
      <c r="EY123" s="139">
        <f t="shared" si="141"/>
        <v>0</v>
      </c>
      <c r="EZ123" s="139">
        <f t="shared" si="142"/>
        <v>0</v>
      </c>
      <c r="FA123" s="139">
        <f t="shared" si="143"/>
        <v>0</v>
      </c>
      <c r="FB123" s="139">
        <f t="shared" si="144"/>
        <v>0</v>
      </c>
      <c r="FC123" s="139">
        <f t="shared" si="145"/>
        <v>0</v>
      </c>
      <c r="FD123" s="139">
        <f t="shared" si="146"/>
        <v>0</v>
      </c>
      <c r="FE123" s="139">
        <f t="shared" si="147"/>
        <v>0</v>
      </c>
      <c r="FF123" s="139">
        <f t="shared" si="148"/>
        <v>0</v>
      </c>
      <c r="FG123" s="139">
        <f t="shared" si="149"/>
        <v>0</v>
      </c>
      <c r="FH123" s="139">
        <f t="shared" si="150"/>
        <v>0</v>
      </c>
      <c r="FI123" s="139">
        <f t="shared" si="151"/>
        <v>0</v>
      </c>
      <c r="FJ123" s="139">
        <f t="shared" si="152"/>
        <v>0</v>
      </c>
      <c r="FK123" s="139">
        <f t="shared" si="153"/>
        <v>0</v>
      </c>
      <c r="FL123" s="139">
        <f t="shared" si="154"/>
        <v>0</v>
      </c>
      <c r="FM123" s="139">
        <f t="shared" si="155"/>
        <v>0</v>
      </c>
      <c r="FN123" s="139">
        <f t="shared" si="156"/>
        <v>0</v>
      </c>
      <c r="FO123" s="139">
        <f t="shared" si="157"/>
        <v>0</v>
      </c>
      <c r="FP123" s="139">
        <f t="shared" si="158"/>
        <v>0</v>
      </c>
      <c r="FQ123" s="139">
        <f t="shared" si="159"/>
        <v>0</v>
      </c>
      <c r="FR123" s="139">
        <f t="shared" si="160"/>
        <v>0</v>
      </c>
      <c r="FS123" s="139">
        <f t="shared" si="161"/>
        <v>0</v>
      </c>
      <c r="FT123" s="139">
        <f t="shared" si="162"/>
        <v>0</v>
      </c>
      <c r="FU123" s="148">
        <f t="shared" si="163"/>
        <v>30.107098056562965</v>
      </c>
      <c r="FV123" s="149"/>
      <c r="FY123" s="211">
        <v>118</v>
      </c>
      <c r="FZ123">
        <v>124.17064264061264</v>
      </c>
      <c r="GA123">
        <v>138.70085819192303</v>
      </c>
      <c r="GB123">
        <v>41.251221630303377</v>
      </c>
      <c r="GC123">
        <v>35.83190347328452</v>
      </c>
      <c r="GD123">
        <v>35.383980568562102</v>
      </c>
      <c r="GE123">
        <v>53.158028803657061</v>
      </c>
      <c r="GF123">
        <v>35.686065532413622</v>
      </c>
      <c r="GG123">
        <v>60.140160240178503</v>
      </c>
      <c r="GH123">
        <v>85.371576533964472</v>
      </c>
      <c r="GI123">
        <v>73.904020356081332</v>
      </c>
      <c r="GJ123"/>
      <c r="GK123"/>
      <c r="GL123"/>
      <c r="GM123"/>
    </row>
    <row r="124" spans="1:195" s="7" customFormat="1">
      <c r="A124" s="1"/>
      <c r="B124" s="76">
        <f ca="1">IF(C124="", "", RAND())</f>
        <v>0.98548673078124427</v>
      </c>
      <c r="C124">
        <v>5</v>
      </c>
      <c r="D124">
        <v>39747</v>
      </c>
      <c r="E124">
        <v>0</v>
      </c>
      <c r="F124">
        <v>220.95959595959593</v>
      </c>
      <c r="G124">
        <v>331.43939393939394</v>
      </c>
      <c r="H124">
        <v>0</v>
      </c>
      <c r="I124">
        <v>231.37626262626262</v>
      </c>
      <c r="J124">
        <v>10.416666666666666</v>
      </c>
      <c r="K124">
        <v>10.416666666666666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250.06515347868049</v>
      </c>
      <c r="AO124">
        <v>133.06290833042192</v>
      </c>
      <c r="AP124">
        <v>650.54042197749334</v>
      </c>
      <c r="AQ124">
        <v>691.32885341994279</v>
      </c>
      <c r="AR124">
        <v>125.5011568492742</v>
      </c>
      <c r="AS124">
        <v>1263.7237300694023</v>
      </c>
      <c r="AT124">
        <v>60.530916862026118</v>
      </c>
      <c r="AU124">
        <v>181.85769955081264</v>
      </c>
      <c r="AV124"/>
      <c r="AW124"/>
      <c r="AX124" s="146"/>
      <c r="AY124" s="76">
        <f t="shared" ca="1" si="87"/>
        <v>0.37897246672507667</v>
      </c>
      <c r="AZ124">
        <v>7</v>
      </c>
      <c r="BA124" s="129">
        <f t="shared" si="130"/>
        <v>39747</v>
      </c>
      <c r="BB124">
        <v>0</v>
      </c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 s="147"/>
      <c r="CH124" s="176"/>
      <c r="CJ124" s="146"/>
      <c r="CK124" s="76">
        <f t="shared" ca="1" si="89"/>
        <v>0.71232297521916998</v>
      </c>
      <c r="CL124" s="179">
        <f t="shared" si="90"/>
        <v>7</v>
      </c>
      <c r="CM124" s="180">
        <f t="shared" si="91"/>
        <v>39747</v>
      </c>
      <c r="CN124">
        <v>0</v>
      </c>
      <c r="CO124">
        <v>2</v>
      </c>
      <c r="CP124">
        <v>2</v>
      </c>
      <c r="CQ124">
        <v>2</v>
      </c>
      <c r="CR124"/>
      <c r="CS124"/>
      <c r="CT124"/>
      <c r="CU124"/>
      <c r="CV124" s="160"/>
      <c r="CW124" s="178">
        <v>1</v>
      </c>
      <c r="CX124">
        <f>350/49</f>
        <v>7.1428571428571432</v>
      </c>
      <c r="CY124" s="164"/>
      <c r="CZ124" s="177">
        <f t="shared" si="92"/>
        <v>9.6000000000000002E-2</v>
      </c>
      <c r="DB124" s="146"/>
      <c r="DC124" s="76">
        <f t="shared" ca="1" si="50"/>
        <v>0.83445935210375399</v>
      </c>
      <c r="DD124">
        <f t="shared" si="93"/>
        <v>7</v>
      </c>
      <c r="DE124" s="129">
        <f t="shared" si="129"/>
        <v>39747</v>
      </c>
      <c r="DF124" s="161">
        <f t="shared" si="94"/>
        <v>0</v>
      </c>
      <c r="DG124" s="161">
        <f t="shared" si="95"/>
        <v>148.80952380952382</v>
      </c>
      <c r="DH124" s="161">
        <f t="shared" si="96"/>
        <v>148.80952380952382</v>
      </c>
      <c r="DI124" s="161">
        <f t="shared" si="97"/>
        <v>148.80952380952382</v>
      </c>
      <c r="DJ124" s="161">
        <f t="shared" si="98"/>
        <v>0</v>
      </c>
      <c r="DK124" s="161">
        <f t="shared" si="99"/>
        <v>0</v>
      </c>
      <c r="DL124" s="161">
        <f t="shared" si="100"/>
        <v>0</v>
      </c>
      <c r="DM124" s="161">
        <f t="shared" si="101"/>
        <v>0</v>
      </c>
      <c r="DN124" s="161">
        <f t="shared" si="102"/>
        <v>0</v>
      </c>
      <c r="DO124" s="161">
        <f t="shared" si="103"/>
        <v>0</v>
      </c>
      <c r="DP124" s="161">
        <f t="shared" si="104"/>
        <v>0</v>
      </c>
      <c r="DQ124" s="161">
        <f t="shared" si="105"/>
        <v>0</v>
      </c>
      <c r="DR124" s="161">
        <f t="shared" si="106"/>
        <v>0</v>
      </c>
      <c r="DS124" s="161">
        <f t="shared" si="107"/>
        <v>0</v>
      </c>
      <c r="DT124" s="161">
        <f t="shared" si="108"/>
        <v>0</v>
      </c>
      <c r="DU124" s="161">
        <f t="shared" si="109"/>
        <v>0</v>
      </c>
      <c r="DV124" s="161">
        <f t="shared" si="110"/>
        <v>0</v>
      </c>
      <c r="DW124" s="161">
        <f t="shared" si="111"/>
        <v>0</v>
      </c>
      <c r="DX124" s="161">
        <f t="shared" si="112"/>
        <v>0</v>
      </c>
      <c r="DY124" s="161">
        <f t="shared" si="113"/>
        <v>0</v>
      </c>
      <c r="DZ124" s="161">
        <f t="shared" si="114"/>
        <v>0</v>
      </c>
      <c r="EA124" s="161">
        <f t="shared" si="115"/>
        <v>0</v>
      </c>
      <c r="EB124" s="161">
        <f t="shared" si="116"/>
        <v>0</v>
      </c>
      <c r="EC124" s="161">
        <f t="shared" si="117"/>
        <v>0</v>
      </c>
      <c r="ED124" s="161">
        <f t="shared" si="118"/>
        <v>0</v>
      </c>
      <c r="EE124" s="161">
        <f t="shared" si="119"/>
        <v>0</v>
      </c>
      <c r="EF124" s="161">
        <f t="shared" si="120"/>
        <v>0</v>
      </c>
      <c r="EG124" s="161">
        <f t="shared" si="121"/>
        <v>0</v>
      </c>
      <c r="EH124" s="161">
        <f t="shared" si="122"/>
        <v>0</v>
      </c>
      <c r="EI124" s="161">
        <f t="shared" si="123"/>
        <v>0</v>
      </c>
      <c r="EJ124" s="161">
        <f t="shared" si="124"/>
        <v>0</v>
      </c>
      <c r="EK124" s="147">
        <f t="shared" si="131"/>
        <v>446.42857142857144</v>
      </c>
      <c r="EL124" s="149"/>
      <c r="EN124" s="146"/>
      <c r="EO124" s="146"/>
      <c r="EP124" s="139">
        <f t="shared" si="132"/>
        <v>0</v>
      </c>
      <c r="EQ124" s="139">
        <f t="shared" si="133"/>
        <v>1.7159672619047619</v>
      </c>
      <c r="ER124" s="139">
        <f t="shared" si="134"/>
        <v>10.898230681847814</v>
      </c>
      <c r="ES124" s="139">
        <f t="shared" si="135"/>
        <v>32.135967849894548</v>
      </c>
      <c r="ET124" s="139">
        <f t="shared" si="136"/>
        <v>0</v>
      </c>
      <c r="EU124" s="139">
        <f t="shared" si="137"/>
        <v>0</v>
      </c>
      <c r="EV124" s="139">
        <f t="shared" si="138"/>
        <v>0</v>
      </c>
      <c r="EW124" s="139">
        <f t="shared" si="139"/>
        <v>0</v>
      </c>
      <c r="EX124" s="139">
        <f t="shared" si="140"/>
        <v>0</v>
      </c>
      <c r="EY124" s="139">
        <f t="shared" si="141"/>
        <v>0</v>
      </c>
      <c r="EZ124" s="139">
        <f t="shared" si="142"/>
        <v>0</v>
      </c>
      <c r="FA124" s="139">
        <f t="shared" si="143"/>
        <v>0</v>
      </c>
      <c r="FB124" s="139">
        <f t="shared" si="144"/>
        <v>0</v>
      </c>
      <c r="FC124" s="139">
        <f t="shared" si="145"/>
        <v>0</v>
      </c>
      <c r="FD124" s="139">
        <f t="shared" si="146"/>
        <v>0</v>
      </c>
      <c r="FE124" s="139">
        <f t="shared" si="147"/>
        <v>0</v>
      </c>
      <c r="FF124" s="139">
        <f t="shared" si="148"/>
        <v>0</v>
      </c>
      <c r="FG124" s="139">
        <f t="shared" si="149"/>
        <v>0</v>
      </c>
      <c r="FH124" s="139">
        <f t="shared" si="150"/>
        <v>0</v>
      </c>
      <c r="FI124" s="139">
        <f t="shared" si="151"/>
        <v>0</v>
      </c>
      <c r="FJ124" s="139">
        <f t="shared" si="152"/>
        <v>0</v>
      </c>
      <c r="FK124" s="139">
        <f t="shared" si="153"/>
        <v>0</v>
      </c>
      <c r="FL124" s="139">
        <f t="shared" si="154"/>
        <v>0</v>
      </c>
      <c r="FM124" s="139">
        <f t="shared" si="155"/>
        <v>0</v>
      </c>
      <c r="FN124" s="139">
        <f t="shared" si="156"/>
        <v>0</v>
      </c>
      <c r="FO124" s="139">
        <f t="shared" si="157"/>
        <v>0</v>
      </c>
      <c r="FP124" s="139">
        <f t="shared" si="158"/>
        <v>0</v>
      </c>
      <c r="FQ124" s="139">
        <f t="shared" si="159"/>
        <v>0</v>
      </c>
      <c r="FR124" s="139">
        <f t="shared" si="160"/>
        <v>0</v>
      </c>
      <c r="FS124" s="139">
        <f t="shared" si="161"/>
        <v>0</v>
      </c>
      <c r="FT124" s="139">
        <f t="shared" si="162"/>
        <v>0</v>
      </c>
      <c r="FU124" s="148">
        <f t="shared" si="163"/>
        <v>44.750165793647128</v>
      </c>
      <c r="FV124" s="149"/>
      <c r="FY124" s="211">
        <v>119</v>
      </c>
      <c r="FZ124">
        <v>107.88624966446027</v>
      </c>
      <c r="GA124">
        <v>108.46055528587381</v>
      </c>
      <c r="GB124">
        <v>42.668358210606257</v>
      </c>
      <c r="GC124">
        <v>41.373227020504338</v>
      </c>
      <c r="GD124">
        <v>38.63525331418051</v>
      </c>
      <c r="GE124">
        <v>60.787565258511705</v>
      </c>
      <c r="GF124">
        <v>84.397080626196114</v>
      </c>
      <c r="GG124">
        <v>98.684545153141016</v>
      </c>
      <c r="GH124">
        <v>99.601424443017166</v>
      </c>
      <c r="GI124">
        <v>86.9096230212606</v>
      </c>
      <c r="GJ124"/>
      <c r="GK124"/>
      <c r="GL124"/>
      <c r="GM124"/>
    </row>
    <row r="125" spans="1:195" s="7" customFormat="1">
      <c r="A125" s="1"/>
      <c r="B125" s="76">
        <f ca="1">IF(C125="", "", RAND())</f>
        <v>0.91467975744775831</v>
      </c>
      <c r="C125">
        <v>10</v>
      </c>
      <c r="D125">
        <v>39747</v>
      </c>
      <c r="E125">
        <v>0</v>
      </c>
      <c r="F125">
        <v>130.20833333333334</v>
      </c>
      <c r="G125">
        <v>65.104166666666671</v>
      </c>
      <c r="H125">
        <v>0</v>
      </c>
      <c r="I125">
        <v>75.520833333333329</v>
      </c>
      <c r="J125">
        <v>52.083333333333336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254.24903819983237</v>
      </c>
      <c r="AO125">
        <v>137.02900655275269</v>
      </c>
      <c r="AP125">
        <v>629.20294737699771</v>
      </c>
      <c r="AQ125">
        <v>759.80391905534896</v>
      </c>
      <c r="AR125">
        <v>129.23139568620189</v>
      </c>
      <c r="AS125">
        <v>1337.0075498578269</v>
      </c>
      <c r="AT125">
        <v>66.279887917733859</v>
      </c>
      <c r="AU125">
        <v>294.3738186839044</v>
      </c>
      <c r="AV125"/>
      <c r="AW125"/>
      <c r="AX125" s="146"/>
      <c r="AY125" s="76">
        <f t="shared" ca="1" si="87"/>
        <v>0.7924422148410315</v>
      </c>
      <c r="AZ125">
        <v>8</v>
      </c>
      <c r="BA125" s="129">
        <f t="shared" si="130"/>
        <v>39747</v>
      </c>
      <c r="BB125">
        <v>0</v>
      </c>
      <c r="BC125">
        <v>0</v>
      </c>
      <c r="BD125">
        <v>0</v>
      </c>
      <c r="BE125">
        <v>0</v>
      </c>
      <c r="BF125">
        <v>2</v>
      </c>
      <c r="BG125">
        <v>9</v>
      </c>
      <c r="BH125">
        <v>1</v>
      </c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 s="147"/>
      <c r="CH125" s="176"/>
      <c r="CJ125" s="146"/>
      <c r="CK125" s="76">
        <f t="shared" ca="1" si="89"/>
        <v>5.1169069176826287E-2</v>
      </c>
      <c r="CL125" s="179">
        <f t="shared" si="90"/>
        <v>8</v>
      </c>
      <c r="CM125" s="180">
        <f t="shared" si="91"/>
        <v>39747</v>
      </c>
      <c r="CN125">
        <v>0</v>
      </c>
      <c r="CO125">
        <v>0</v>
      </c>
      <c r="CP125">
        <v>4</v>
      </c>
      <c r="CQ125"/>
      <c r="CR125"/>
      <c r="CS125"/>
      <c r="CT125"/>
      <c r="CU125"/>
      <c r="CV125" s="160"/>
      <c r="CW125" s="178">
        <v>1</v>
      </c>
      <c r="CX125">
        <f>350/52</f>
        <v>6.7307692307692308</v>
      </c>
      <c r="CY125" s="164"/>
      <c r="CZ125" s="177">
        <f t="shared" si="92"/>
        <v>9.6000000000000002E-2</v>
      </c>
      <c r="DB125" s="146"/>
      <c r="DC125" s="76">
        <f t="shared" ca="1" si="50"/>
        <v>0.12665187700643998</v>
      </c>
      <c r="DD125">
        <f t="shared" si="93"/>
        <v>8</v>
      </c>
      <c r="DE125" s="129">
        <f t="shared" si="129"/>
        <v>39747</v>
      </c>
      <c r="DF125" s="161">
        <f t="shared" si="94"/>
        <v>0</v>
      </c>
      <c r="DG125" s="161">
        <f t="shared" si="95"/>
        <v>0</v>
      </c>
      <c r="DH125" s="161">
        <f t="shared" si="96"/>
        <v>280.44871794871796</v>
      </c>
      <c r="DI125" s="161">
        <f t="shared" si="97"/>
        <v>0</v>
      </c>
      <c r="DJ125" s="161">
        <f t="shared" si="98"/>
        <v>20.833333333333332</v>
      </c>
      <c r="DK125" s="161">
        <f t="shared" si="99"/>
        <v>93.75</v>
      </c>
      <c r="DL125" s="161">
        <f t="shared" si="100"/>
        <v>10.416666666666666</v>
      </c>
      <c r="DM125" s="161">
        <f t="shared" si="101"/>
        <v>0</v>
      </c>
      <c r="DN125" s="161">
        <f t="shared" si="102"/>
        <v>0</v>
      </c>
      <c r="DO125" s="161">
        <f t="shared" si="103"/>
        <v>0</v>
      </c>
      <c r="DP125" s="161">
        <f t="shared" si="104"/>
        <v>0</v>
      </c>
      <c r="DQ125" s="161">
        <f t="shared" si="105"/>
        <v>0</v>
      </c>
      <c r="DR125" s="161">
        <f t="shared" si="106"/>
        <v>0</v>
      </c>
      <c r="DS125" s="161">
        <f t="shared" si="107"/>
        <v>0</v>
      </c>
      <c r="DT125" s="161">
        <f t="shared" si="108"/>
        <v>0</v>
      </c>
      <c r="DU125" s="161">
        <f t="shared" si="109"/>
        <v>0</v>
      </c>
      <c r="DV125" s="161">
        <f t="shared" si="110"/>
        <v>0</v>
      </c>
      <c r="DW125" s="161">
        <f t="shared" si="111"/>
        <v>0</v>
      </c>
      <c r="DX125" s="161">
        <f t="shared" si="112"/>
        <v>0</v>
      </c>
      <c r="DY125" s="161">
        <f t="shared" si="113"/>
        <v>0</v>
      </c>
      <c r="DZ125" s="161">
        <f t="shared" si="114"/>
        <v>0</v>
      </c>
      <c r="EA125" s="161">
        <f t="shared" si="115"/>
        <v>0</v>
      </c>
      <c r="EB125" s="161">
        <f t="shared" si="116"/>
        <v>0</v>
      </c>
      <c r="EC125" s="161">
        <f t="shared" si="117"/>
        <v>0</v>
      </c>
      <c r="ED125" s="161">
        <f t="shared" si="118"/>
        <v>0</v>
      </c>
      <c r="EE125" s="161">
        <f t="shared" si="119"/>
        <v>0</v>
      </c>
      <c r="EF125" s="161">
        <f t="shared" si="120"/>
        <v>0</v>
      </c>
      <c r="EG125" s="161">
        <f t="shared" si="121"/>
        <v>0</v>
      </c>
      <c r="EH125" s="161">
        <f t="shared" si="122"/>
        <v>0</v>
      </c>
      <c r="EI125" s="161">
        <f t="shared" si="123"/>
        <v>0</v>
      </c>
      <c r="EJ125" s="161">
        <f t="shared" si="124"/>
        <v>0</v>
      </c>
      <c r="EK125" s="147">
        <f t="shared" si="131"/>
        <v>405.44871794871796</v>
      </c>
      <c r="EL125" s="149"/>
      <c r="EN125" s="146"/>
      <c r="EO125" s="146"/>
      <c r="EP125" s="139">
        <f t="shared" si="132"/>
        <v>0</v>
      </c>
      <c r="EQ125" s="139">
        <f t="shared" si="133"/>
        <v>0</v>
      </c>
      <c r="ER125" s="139">
        <f t="shared" si="134"/>
        <v>20.538973208097801</v>
      </c>
      <c r="ES125" s="139">
        <f t="shared" si="135"/>
        <v>0</v>
      </c>
      <c r="ET125" s="139">
        <f t="shared" si="136"/>
        <v>9.6901618395739177</v>
      </c>
      <c r="EU125" s="139">
        <f t="shared" si="137"/>
        <v>79.068326858711032</v>
      </c>
      <c r="EV125" s="139">
        <f t="shared" si="138"/>
        <v>14.286847949341793</v>
      </c>
      <c r="EW125" s="139">
        <f t="shared" si="139"/>
        <v>0</v>
      </c>
      <c r="EX125" s="139">
        <f t="shared" si="140"/>
        <v>0</v>
      </c>
      <c r="EY125" s="139">
        <f t="shared" si="141"/>
        <v>0</v>
      </c>
      <c r="EZ125" s="139">
        <f t="shared" si="142"/>
        <v>0</v>
      </c>
      <c r="FA125" s="139">
        <f t="shared" si="143"/>
        <v>0</v>
      </c>
      <c r="FB125" s="139">
        <f t="shared" si="144"/>
        <v>0</v>
      </c>
      <c r="FC125" s="139">
        <f t="shared" si="145"/>
        <v>0</v>
      </c>
      <c r="FD125" s="139">
        <f t="shared" si="146"/>
        <v>0</v>
      </c>
      <c r="FE125" s="139">
        <f t="shared" si="147"/>
        <v>0</v>
      </c>
      <c r="FF125" s="139">
        <f t="shared" si="148"/>
        <v>0</v>
      </c>
      <c r="FG125" s="139">
        <f t="shared" si="149"/>
        <v>0</v>
      </c>
      <c r="FH125" s="139">
        <f t="shared" si="150"/>
        <v>0</v>
      </c>
      <c r="FI125" s="139">
        <f t="shared" si="151"/>
        <v>0</v>
      </c>
      <c r="FJ125" s="139">
        <f t="shared" si="152"/>
        <v>0</v>
      </c>
      <c r="FK125" s="139">
        <f t="shared" si="153"/>
        <v>0</v>
      </c>
      <c r="FL125" s="139">
        <f t="shared" si="154"/>
        <v>0</v>
      </c>
      <c r="FM125" s="139">
        <f t="shared" si="155"/>
        <v>0</v>
      </c>
      <c r="FN125" s="139">
        <f t="shared" si="156"/>
        <v>0</v>
      </c>
      <c r="FO125" s="139">
        <f t="shared" si="157"/>
        <v>0</v>
      </c>
      <c r="FP125" s="139">
        <f t="shared" si="158"/>
        <v>0</v>
      </c>
      <c r="FQ125" s="139">
        <f t="shared" si="159"/>
        <v>0</v>
      </c>
      <c r="FR125" s="139">
        <f t="shared" si="160"/>
        <v>0</v>
      </c>
      <c r="FS125" s="139">
        <f t="shared" si="161"/>
        <v>0</v>
      </c>
      <c r="FT125" s="139">
        <f t="shared" si="162"/>
        <v>0</v>
      </c>
      <c r="FU125" s="148">
        <f t="shared" si="163"/>
        <v>123.58430985572454</v>
      </c>
      <c r="FV125" s="149"/>
      <c r="FY125" s="211">
        <v>120</v>
      </c>
      <c r="FZ125">
        <v>165.24526246378332</v>
      </c>
      <c r="GA125">
        <v>178.76592835206554</v>
      </c>
      <c r="GB125">
        <v>38.731289038890274</v>
      </c>
      <c r="GC125">
        <v>43.246212627710975</v>
      </c>
      <c r="GD125">
        <v>36.011137963768988</v>
      </c>
      <c r="GE125">
        <v>29.468601731636731</v>
      </c>
      <c r="GF125">
        <v>61.194076441169756</v>
      </c>
      <c r="GG125">
        <v>105.00731333579877</v>
      </c>
      <c r="GH125">
        <v>98.035249002739931</v>
      </c>
      <c r="GI125">
        <v>87.80114839864703</v>
      </c>
      <c r="GJ125"/>
      <c r="GK125"/>
      <c r="GL125"/>
      <c r="GM125"/>
    </row>
    <row r="126" spans="1:195" s="7" customFormat="1">
      <c r="A126" s="1"/>
      <c r="B126" s="76">
        <f ca="1">IF(C126="", "", RAND())</f>
        <v>0.63622177084958409</v>
      </c>
      <c r="C126">
        <v>7</v>
      </c>
      <c r="D126">
        <v>39747</v>
      </c>
      <c r="E126">
        <v>0</v>
      </c>
      <c r="F126">
        <v>148.80952380952382</v>
      </c>
      <c r="G126">
        <v>148.80952380952382</v>
      </c>
      <c r="H126">
        <v>148.80952380952382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251.26391595951472</v>
      </c>
      <c r="AO126">
        <v>124.58592570133624</v>
      </c>
      <c r="AP126">
        <v>491.54081773503071</v>
      </c>
      <c r="AQ126">
        <v>706.09698190007634</v>
      </c>
      <c r="AR126">
        <v>117.48830018101317</v>
      </c>
      <c r="AS126">
        <v>1412.6877123143258</v>
      </c>
      <c r="AT126">
        <v>58.708298544572649</v>
      </c>
      <c r="AU126">
        <v>-26.792401609257425</v>
      </c>
      <c r="AV126"/>
      <c r="AW126"/>
      <c r="AX126" s="146"/>
      <c r="AY126" s="76">
        <f t="shared" ca="1" si="87"/>
        <v>0.55632443668993514</v>
      </c>
      <c r="AZ126">
        <v>9</v>
      </c>
      <c r="BA126" s="129">
        <f t="shared" si="130"/>
        <v>39747</v>
      </c>
      <c r="BB126">
        <v>0</v>
      </c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 s="147"/>
      <c r="CH126" s="176"/>
      <c r="CJ126" s="146"/>
      <c r="CK126" s="76">
        <f t="shared" ca="1" si="89"/>
        <v>0.17606288946631277</v>
      </c>
      <c r="CL126" s="179">
        <f t="shared" si="90"/>
        <v>9</v>
      </c>
      <c r="CM126" s="180">
        <f t="shared" si="91"/>
        <v>39747</v>
      </c>
      <c r="CN126">
        <v>0</v>
      </c>
      <c r="CO126"/>
      <c r="CP126"/>
      <c r="CQ126"/>
      <c r="CR126"/>
      <c r="CS126"/>
      <c r="CT126"/>
      <c r="CU126"/>
      <c r="CV126" s="160"/>
      <c r="CW126" s="178">
        <v>1</v>
      </c>
      <c r="CX126">
        <f>350/41</f>
        <v>8.536585365853659</v>
      </c>
      <c r="CY126" s="164"/>
      <c r="CZ126" s="177">
        <f t="shared" si="92"/>
        <v>9.6000000000000002E-2</v>
      </c>
      <c r="DB126" s="146"/>
      <c r="DC126" s="76">
        <f t="shared" ca="1" si="50"/>
        <v>0.10582112194208459</v>
      </c>
      <c r="DD126">
        <f t="shared" si="93"/>
        <v>9</v>
      </c>
      <c r="DE126" s="129">
        <f t="shared" si="129"/>
        <v>39747</v>
      </c>
      <c r="DF126" s="161">
        <f t="shared" si="94"/>
        <v>0</v>
      </c>
      <c r="DG126" s="161">
        <f t="shared" si="95"/>
        <v>0</v>
      </c>
      <c r="DH126" s="161">
        <f t="shared" si="96"/>
        <v>0</v>
      </c>
      <c r="DI126" s="161">
        <f t="shared" si="97"/>
        <v>0</v>
      </c>
      <c r="DJ126" s="161">
        <f t="shared" si="98"/>
        <v>0</v>
      </c>
      <c r="DK126" s="161">
        <f t="shared" si="99"/>
        <v>0</v>
      </c>
      <c r="DL126" s="161">
        <f t="shared" si="100"/>
        <v>0</v>
      </c>
      <c r="DM126" s="161">
        <f t="shared" si="101"/>
        <v>0</v>
      </c>
      <c r="DN126" s="161">
        <f t="shared" si="102"/>
        <v>0</v>
      </c>
      <c r="DO126" s="161">
        <f t="shared" si="103"/>
        <v>0</v>
      </c>
      <c r="DP126" s="161">
        <f t="shared" si="104"/>
        <v>0</v>
      </c>
      <c r="DQ126" s="161">
        <f t="shared" si="105"/>
        <v>0</v>
      </c>
      <c r="DR126" s="161">
        <f t="shared" si="106"/>
        <v>0</v>
      </c>
      <c r="DS126" s="161">
        <f t="shared" si="107"/>
        <v>0</v>
      </c>
      <c r="DT126" s="161">
        <f t="shared" si="108"/>
        <v>0</v>
      </c>
      <c r="DU126" s="161">
        <f t="shared" si="109"/>
        <v>0</v>
      </c>
      <c r="DV126" s="161">
        <f t="shared" si="110"/>
        <v>0</v>
      </c>
      <c r="DW126" s="161">
        <f t="shared" si="111"/>
        <v>0</v>
      </c>
      <c r="DX126" s="161">
        <f t="shared" si="112"/>
        <v>0</v>
      </c>
      <c r="DY126" s="161">
        <f t="shared" si="113"/>
        <v>0</v>
      </c>
      <c r="DZ126" s="161">
        <f t="shared" si="114"/>
        <v>0</v>
      </c>
      <c r="EA126" s="161">
        <f t="shared" si="115"/>
        <v>0</v>
      </c>
      <c r="EB126" s="161">
        <f t="shared" si="116"/>
        <v>0</v>
      </c>
      <c r="EC126" s="161">
        <f t="shared" si="117"/>
        <v>0</v>
      </c>
      <c r="ED126" s="161">
        <f t="shared" si="118"/>
        <v>0</v>
      </c>
      <c r="EE126" s="161">
        <f t="shared" si="119"/>
        <v>0</v>
      </c>
      <c r="EF126" s="161">
        <f t="shared" si="120"/>
        <v>0</v>
      </c>
      <c r="EG126" s="161">
        <f t="shared" si="121"/>
        <v>0</v>
      </c>
      <c r="EH126" s="161">
        <f t="shared" si="122"/>
        <v>0</v>
      </c>
      <c r="EI126" s="161">
        <f t="shared" si="123"/>
        <v>0</v>
      </c>
      <c r="EJ126" s="161">
        <f t="shared" si="124"/>
        <v>0</v>
      </c>
      <c r="EK126" s="147">
        <f t="shared" si="131"/>
        <v>0</v>
      </c>
      <c r="EL126" s="149"/>
      <c r="EN126" s="146"/>
      <c r="EO126" s="146"/>
      <c r="EP126" s="139">
        <f t="shared" si="132"/>
        <v>0</v>
      </c>
      <c r="EQ126" s="139">
        <f t="shared" si="133"/>
        <v>0</v>
      </c>
      <c r="ER126" s="139">
        <f t="shared" si="134"/>
        <v>0</v>
      </c>
      <c r="ES126" s="139">
        <f t="shared" si="135"/>
        <v>0</v>
      </c>
      <c r="ET126" s="139">
        <f t="shared" si="136"/>
        <v>0</v>
      </c>
      <c r="EU126" s="139">
        <f t="shared" si="137"/>
        <v>0</v>
      </c>
      <c r="EV126" s="139">
        <f t="shared" si="138"/>
        <v>0</v>
      </c>
      <c r="EW126" s="139">
        <f t="shared" si="139"/>
        <v>0</v>
      </c>
      <c r="EX126" s="139">
        <f t="shared" si="140"/>
        <v>0</v>
      </c>
      <c r="EY126" s="139">
        <f t="shared" si="141"/>
        <v>0</v>
      </c>
      <c r="EZ126" s="139">
        <f t="shared" si="142"/>
        <v>0</v>
      </c>
      <c r="FA126" s="139">
        <f t="shared" si="143"/>
        <v>0</v>
      </c>
      <c r="FB126" s="139">
        <f t="shared" si="144"/>
        <v>0</v>
      </c>
      <c r="FC126" s="139">
        <f t="shared" si="145"/>
        <v>0</v>
      </c>
      <c r="FD126" s="139">
        <f t="shared" si="146"/>
        <v>0</v>
      </c>
      <c r="FE126" s="139">
        <f t="shared" si="147"/>
        <v>0</v>
      </c>
      <c r="FF126" s="139">
        <f t="shared" si="148"/>
        <v>0</v>
      </c>
      <c r="FG126" s="139">
        <f t="shared" si="149"/>
        <v>0</v>
      </c>
      <c r="FH126" s="139">
        <f t="shared" si="150"/>
        <v>0</v>
      </c>
      <c r="FI126" s="139">
        <f t="shared" si="151"/>
        <v>0</v>
      </c>
      <c r="FJ126" s="139">
        <f t="shared" si="152"/>
        <v>0</v>
      </c>
      <c r="FK126" s="139">
        <f t="shared" si="153"/>
        <v>0</v>
      </c>
      <c r="FL126" s="139">
        <f t="shared" si="154"/>
        <v>0</v>
      </c>
      <c r="FM126" s="139">
        <f t="shared" si="155"/>
        <v>0</v>
      </c>
      <c r="FN126" s="139">
        <f t="shared" si="156"/>
        <v>0</v>
      </c>
      <c r="FO126" s="139">
        <f t="shared" si="157"/>
        <v>0</v>
      </c>
      <c r="FP126" s="139">
        <f t="shared" si="158"/>
        <v>0</v>
      </c>
      <c r="FQ126" s="139">
        <f t="shared" si="159"/>
        <v>0</v>
      </c>
      <c r="FR126" s="139">
        <f t="shared" si="160"/>
        <v>0</v>
      </c>
      <c r="FS126" s="139">
        <f t="shared" si="161"/>
        <v>0</v>
      </c>
      <c r="FT126" s="139">
        <f t="shared" si="162"/>
        <v>0</v>
      </c>
      <c r="FU126" s="148">
        <f t="shared" si="163"/>
        <v>0</v>
      </c>
      <c r="FV126" s="149"/>
      <c r="FY126" s="211">
        <v>121</v>
      </c>
      <c r="FZ126">
        <v>132.84262158328971</v>
      </c>
      <c r="GA126">
        <v>139.2167509834606</v>
      </c>
      <c r="GB126">
        <v>46.982164210645649</v>
      </c>
      <c r="GC126">
        <v>41.011300597872349</v>
      </c>
      <c r="GD126">
        <v>31.537962171085248</v>
      </c>
      <c r="GE126">
        <v>33.422369945007922</v>
      </c>
      <c r="GF126">
        <v>78.77963694392318</v>
      </c>
      <c r="GG126">
        <v>76.461557002229284</v>
      </c>
      <c r="GH126">
        <v>50.716033801651633</v>
      </c>
      <c r="GI126">
        <v>77.5947859359365</v>
      </c>
      <c r="GJ126"/>
      <c r="GK126"/>
      <c r="GL126"/>
      <c r="GM126"/>
    </row>
    <row r="127" spans="1:195" s="7" customFormat="1">
      <c r="A127" s="1"/>
      <c r="B127" s="76">
        <f ca="1">IF(C127="", "", RAND())</f>
        <v>0.16698904196143682</v>
      </c>
      <c r="C127">
        <v>3</v>
      </c>
      <c r="D127">
        <v>39747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272.04533396619991</v>
      </c>
      <c r="AO127">
        <v>157.25261713183914</v>
      </c>
      <c r="AP127">
        <v>697.60263061048283</v>
      </c>
      <c r="AQ127">
        <v>871.06285124772171</v>
      </c>
      <c r="AR127">
        <v>147.03385505648694</v>
      </c>
      <c r="AS127">
        <v>1661.0284174295577</v>
      </c>
      <c r="AT127">
        <v>70.564547856740788</v>
      </c>
      <c r="AU127">
        <v>181.82025489072709</v>
      </c>
      <c r="AV127"/>
      <c r="AW127"/>
      <c r="AX127" s="146"/>
      <c r="AY127" s="76">
        <f t="shared" ca="1" si="87"/>
        <v>0.46336830859265454</v>
      </c>
      <c r="AZ127">
        <v>10</v>
      </c>
      <c r="BA127" s="129">
        <f t="shared" si="130"/>
        <v>39747</v>
      </c>
      <c r="BB127">
        <v>0</v>
      </c>
      <c r="BC127">
        <v>0</v>
      </c>
      <c r="BD127">
        <v>0</v>
      </c>
      <c r="BE127">
        <v>0</v>
      </c>
      <c r="BF127">
        <v>1</v>
      </c>
      <c r="BG127">
        <v>5</v>
      </c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 s="147"/>
      <c r="CH127" s="176"/>
      <c r="CJ127" s="146"/>
      <c r="CK127" s="76">
        <f t="shared" ca="1" si="89"/>
        <v>0.56382695952187545</v>
      </c>
      <c r="CL127" s="179">
        <f t="shared" si="90"/>
        <v>10</v>
      </c>
      <c r="CM127" s="180">
        <f t="shared" si="91"/>
        <v>39747</v>
      </c>
      <c r="CN127">
        <v>0</v>
      </c>
      <c r="CO127">
        <v>2</v>
      </c>
      <c r="CP127">
        <v>1</v>
      </c>
      <c r="CQ127">
        <v>0</v>
      </c>
      <c r="CR127">
        <v>1</v>
      </c>
      <c r="CS127"/>
      <c r="CT127"/>
      <c r="CU127"/>
      <c r="CV127" s="160"/>
      <c r="CW127" s="178">
        <v>1</v>
      </c>
      <c r="CX127">
        <f>350/56</f>
        <v>6.25</v>
      </c>
      <c r="CY127" s="164"/>
      <c r="CZ127" s="177">
        <f t="shared" si="92"/>
        <v>9.6000000000000002E-2</v>
      </c>
      <c r="DB127" s="146"/>
      <c r="DC127" s="76">
        <f t="shared" ca="1" si="50"/>
        <v>0.57177293327922185</v>
      </c>
      <c r="DD127">
        <f t="shared" si="93"/>
        <v>10</v>
      </c>
      <c r="DE127" s="129">
        <f t="shared" si="129"/>
        <v>39747</v>
      </c>
      <c r="DF127" s="161">
        <f t="shared" si="94"/>
        <v>0</v>
      </c>
      <c r="DG127" s="161">
        <f t="shared" si="95"/>
        <v>130.20833333333334</v>
      </c>
      <c r="DH127" s="161">
        <f t="shared" si="96"/>
        <v>65.104166666666671</v>
      </c>
      <c r="DI127" s="161">
        <f t="shared" si="97"/>
        <v>0</v>
      </c>
      <c r="DJ127" s="161">
        <f t="shared" si="98"/>
        <v>75.520833333333329</v>
      </c>
      <c r="DK127" s="161">
        <f t="shared" si="99"/>
        <v>52.083333333333336</v>
      </c>
      <c r="DL127" s="161">
        <f t="shared" si="100"/>
        <v>0</v>
      </c>
      <c r="DM127" s="161">
        <f t="shared" si="101"/>
        <v>0</v>
      </c>
      <c r="DN127" s="161">
        <f t="shared" si="102"/>
        <v>0</v>
      </c>
      <c r="DO127" s="161">
        <f t="shared" si="103"/>
        <v>0</v>
      </c>
      <c r="DP127" s="161">
        <f t="shared" si="104"/>
        <v>0</v>
      </c>
      <c r="DQ127" s="161">
        <f t="shared" si="105"/>
        <v>0</v>
      </c>
      <c r="DR127" s="161">
        <f t="shared" si="106"/>
        <v>0</v>
      </c>
      <c r="DS127" s="161">
        <f t="shared" si="107"/>
        <v>0</v>
      </c>
      <c r="DT127" s="161">
        <f t="shared" si="108"/>
        <v>0</v>
      </c>
      <c r="DU127" s="161">
        <f t="shared" si="109"/>
        <v>0</v>
      </c>
      <c r="DV127" s="161">
        <f t="shared" si="110"/>
        <v>0</v>
      </c>
      <c r="DW127" s="161">
        <f t="shared" si="111"/>
        <v>0</v>
      </c>
      <c r="DX127" s="161">
        <f t="shared" si="112"/>
        <v>0</v>
      </c>
      <c r="DY127" s="161">
        <f t="shared" si="113"/>
        <v>0</v>
      </c>
      <c r="DZ127" s="161">
        <f t="shared" si="114"/>
        <v>0</v>
      </c>
      <c r="EA127" s="161">
        <f t="shared" si="115"/>
        <v>0</v>
      </c>
      <c r="EB127" s="161">
        <f t="shared" si="116"/>
        <v>0</v>
      </c>
      <c r="EC127" s="161">
        <f t="shared" si="117"/>
        <v>0</v>
      </c>
      <c r="ED127" s="161">
        <f t="shared" si="118"/>
        <v>0</v>
      </c>
      <c r="EE127" s="161">
        <f t="shared" si="119"/>
        <v>0</v>
      </c>
      <c r="EF127" s="161">
        <f t="shared" si="120"/>
        <v>0</v>
      </c>
      <c r="EG127" s="161">
        <f t="shared" si="121"/>
        <v>0</v>
      </c>
      <c r="EH127" s="161">
        <f t="shared" si="122"/>
        <v>0</v>
      </c>
      <c r="EI127" s="161">
        <f t="shared" si="123"/>
        <v>0</v>
      </c>
      <c r="EJ127" s="161">
        <f t="shared" si="124"/>
        <v>0</v>
      </c>
      <c r="EK127" s="147">
        <f t="shared" si="131"/>
        <v>322.91666666666663</v>
      </c>
      <c r="EL127" s="149"/>
      <c r="EN127" s="146"/>
      <c r="EO127" s="146"/>
      <c r="EP127" s="139">
        <f t="shared" si="132"/>
        <v>0</v>
      </c>
      <c r="EQ127" s="139">
        <f t="shared" si="133"/>
        <v>1.5014713541666667</v>
      </c>
      <c r="ER127" s="139">
        <f t="shared" si="134"/>
        <v>4.767975923308418</v>
      </c>
      <c r="ES127" s="139">
        <f t="shared" si="135"/>
        <v>0</v>
      </c>
      <c r="ET127" s="139">
        <f t="shared" si="136"/>
        <v>35.126836668455446</v>
      </c>
      <c r="EU127" s="139">
        <f t="shared" si="137"/>
        <v>43.92684825483947</v>
      </c>
      <c r="EV127" s="139">
        <f t="shared" si="138"/>
        <v>0</v>
      </c>
      <c r="EW127" s="139">
        <f t="shared" si="139"/>
        <v>0</v>
      </c>
      <c r="EX127" s="139">
        <f t="shared" si="140"/>
        <v>0</v>
      </c>
      <c r="EY127" s="139">
        <f t="shared" si="141"/>
        <v>0</v>
      </c>
      <c r="EZ127" s="139">
        <f t="shared" si="142"/>
        <v>0</v>
      </c>
      <c r="FA127" s="139">
        <f t="shared" si="143"/>
        <v>0</v>
      </c>
      <c r="FB127" s="139">
        <f t="shared" si="144"/>
        <v>0</v>
      </c>
      <c r="FC127" s="139">
        <f t="shared" si="145"/>
        <v>0</v>
      </c>
      <c r="FD127" s="139">
        <f t="shared" si="146"/>
        <v>0</v>
      </c>
      <c r="FE127" s="139">
        <f t="shared" si="147"/>
        <v>0</v>
      </c>
      <c r="FF127" s="139">
        <f t="shared" si="148"/>
        <v>0</v>
      </c>
      <c r="FG127" s="139">
        <f t="shared" si="149"/>
        <v>0</v>
      </c>
      <c r="FH127" s="139">
        <f t="shared" si="150"/>
        <v>0</v>
      </c>
      <c r="FI127" s="139">
        <f t="shared" si="151"/>
        <v>0</v>
      </c>
      <c r="FJ127" s="139">
        <f t="shared" si="152"/>
        <v>0</v>
      </c>
      <c r="FK127" s="139">
        <f t="shared" si="153"/>
        <v>0</v>
      </c>
      <c r="FL127" s="139">
        <f t="shared" si="154"/>
        <v>0</v>
      </c>
      <c r="FM127" s="139">
        <f t="shared" si="155"/>
        <v>0</v>
      </c>
      <c r="FN127" s="139">
        <f t="shared" si="156"/>
        <v>0</v>
      </c>
      <c r="FO127" s="139">
        <f t="shared" si="157"/>
        <v>0</v>
      </c>
      <c r="FP127" s="139">
        <f t="shared" si="158"/>
        <v>0</v>
      </c>
      <c r="FQ127" s="139">
        <f t="shared" si="159"/>
        <v>0</v>
      </c>
      <c r="FR127" s="139">
        <f t="shared" si="160"/>
        <v>0</v>
      </c>
      <c r="FS127" s="139">
        <f t="shared" si="161"/>
        <v>0</v>
      </c>
      <c r="FT127" s="139">
        <f t="shared" si="162"/>
        <v>0</v>
      </c>
      <c r="FU127" s="148">
        <f t="shared" si="163"/>
        <v>85.323132200770004</v>
      </c>
      <c r="FV127" s="149"/>
      <c r="FY127" s="211">
        <v>122</v>
      </c>
      <c r="FZ127">
        <v>131.36204426475794</v>
      </c>
      <c r="GA127">
        <v>177.67134034056875</v>
      </c>
      <c r="GB127">
        <v>51.95939930993795</v>
      </c>
      <c r="GC127">
        <v>35.390008019601424</v>
      </c>
      <c r="GD127">
        <v>43.82018956746942</v>
      </c>
      <c r="GE127">
        <v>74.951915442046698</v>
      </c>
      <c r="GF127">
        <v>88.344666255691976</v>
      </c>
      <c r="GG127">
        <v>100.18639677724107</v>
      </c>
      <c r="GH127">
        <v>92.551554506899549</v>
      </c>
      <c r="GI127">
        <v>96.068806986349486</v>
      </c>
      <c r="GJ127"/>
      <c r="GK127"/>
      <c r="GL127"/>
      <c r="GM127"/>
    </row>
    <row r="128" spans="1:195" s="7" customFormat="1">
      <c r="A128" s="128"/>
      <c r="B128" s="76">
        <f ca="1">IF(C128="", "", RAND())</f>
        <v>0.92864234080503349</v>
      </c>
      <c r="C128">
        <v>9</v>
      </c>
      <c r="D128">
        <v>39775</v>
      </c>
      <c r="E128">
        <v>0</v>
      </c>
      <c r="F128">
        <v>0</v>
      </c>
      <c r="G128">
        <v>52.083333333333336</v>
      </c>
      <c r="H128">
        <v>0</v>
      </c>
      <c r="I128">
        <v>20.833333333333332</v>
      </c>
      <c r="J128">
        <v>72.916666666666671</v>
      </c>
      <c r="K128">
        <v>62.5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238.62646820374272</v>
      </c>
      <c r="AO128">
        <v>132.22205903970433</v>
      </c>
      <c r="AP128">
        <v>478.18803706812753</v>
      </c>
      <c r="AQ128">
        <v>738.35398646906094</v>
      </c>
      <c r="AR128">
        <v>127.03704886547538</v>
      </c>
      <c r="AS128">
        <v>1310.3332203510504</v>
      </c>
      <c r="AT128">
        <v>68.052781845173584</v>
      </c>
      <c r="AU128">
        <v>186.57267039463625</v>
      </c>
      <c r="AV128"/>
      <c r="AW128"/>
      <c r="AX128" s="128"/>
      <c r="AY128" s="76">
        <f t="shared" ca="1" si="87"/>
        <v>0.69902615370982191</v>
      </c>
      <c r="AZ128">
        <v>1</v>
      </c>
      <c r="BA128" s="129">
        <f>IF(AZ128="", "",$C$8)</f>
        <v>39775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3</v>
      </c>
      <c r="BH128">
        <v>2</v>
      </c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 s="147"/>
      <c r="CH128" s="176"/>
      <c r="CJ128" s="128"/>
      <c r="CK128" s="76">
        <f t="shared" ca="1" si="89"/>
        <v>0.6877284183293364</v>
      </c>
      <c r="CL128" s="179">
        <f t="shared" si="90"/>
        <v>1</v>
      </c>
      <c r="CM128" s="180">
        <f t="shared" si="91"/>
        <v>39775</v>
      </c>
      <c r="CN128">
        <v>0</v>
      </c>
      <c r="CO128">
        <v>0</v>
      </c>
      <c r="CP128">
        <v>2</v>
      </c>
      <c r="CQ128"/>
      <c r="CR128"/>
      <c r="CS128"/>
      <c r="CT128"/>
      <c r="CU128"/>
      <c r="CV128" s="160"/>
      <c r="CW128">
        <f>40/13</f>
        <v>3.0769230769230771</v>
      </c>
      <c r="CX128">
        <f>21/10</f>
        <v>2.1</v>
      </c>
      <c r="CY128" s="160"/>
      <c r="CZ128" s="177">
        <f t="shared" si="92"/>
        <v>9.6000000000000002E-2</v>
      </c>
      <c r="DB128" s="128"/>
      <c r="DC128" s="76">
        <f t="shared" ca="1" si="50"/>
        <v>5.2969764948280096E-2</v>
      </c>
      <c r="DD128">
        <f t="shared" si="93"/>
        <v>1</v>
      </c>
      <c r="DE128" s="129">
        <f t="shared" ref="DE128:DE137" si="164">IF((DD128)="", "", $C$8)</f>
        <v>39775</v>
      </c>
      <c r="DF128" s="161">
        <f t="shared" si="94"/>
        <v>0</v>
      </c>
      <c r="DG128" s="161">
        <f t="shared" si="95"/>
        <v>0</v>
      </c>
      <c r="DH128" s="161">
        <f t="shared" si="96"/>
        <v>43.75</v>
      </c>
      <c r="DI128" s="161">
        <f t="shared" si="97"/>
        <v>0</v>
      </c>
      <c r="DJ128" s="161">
        <f t="shared" si="98"/>
        <v>0</v>
      </c>
      <c r="DK128" s="161">
        <f t="shared" si="99"/>
        <v>96.15384615384616</v>
      </c>
      <c r="DL128" s="161">
        <f t="shared" si="100"/>
        <v>64.102564102564102</v>
      </c>
      <c r="DM128" s="161">
        <f t="shared" si="101"/>
        <v>0</v>
      </c>
      <c r="DN128" s="161">
        <f t="shared" si="102"/>
        <v>0</v>
      </c>
      <c r="DO128" s="161">
        <f t="shared" si="103"/>
        <v>0</v>
      </c>
      <c r="DP128" s="161">
        <f t="shared" si="104"/>
        <v>0</v>
      </c>
      <c r="DQ128" s="161">
        <f t="shared" si="105"/>
        <v>0</v>
      </c>
      <c r="DR128" s="161">
        <f t="shared" si="106"/>
        <v>0</v>
      </c>
      <c r="DS128" s="161">
        <f t="shared" si="107"/>
        <v>0</v>
      </c>
      <c r="DT128" s="161">
        <f t="shared" si="108"/>
        <v>0</v>
      </c>
      <c r="DU128" s="161">
        <f t="shared" si="109"/>
        <v>0</v>
      </c>
      <c r="DV128" s="161">
        <f t="shared" si="110"/>
        <v>0</v>
      </c>
      <c r="DW128" s="161">
        <f t="shared" si="111"/>
        <v>0</v>
      </c>
      <c r="DX128" s="161">
        <f t="shared" si="112"/>
        <v>0</v>
      </c>
      <c r="DY128" s="161">
        <f t="shared" si="113"/>
        <v>0</v>
      </c>
      <c r="DZ128" s="161">
        <f t="shared" si="114"/>
        <v>0</v>
      </c>
      <c r="EA128" s="161">
        <f t="shared" si="115"/>
        <v>0</v>
      </c>
      <c r="EB128" s="161">
        <f t="shared" si="116"/>
        <v>0</v>
      </c>
      <c r="EC128" s="161">
        <f t="shared" si="117"/>
        <v>0</v>
      </c>
      <c r="ED128" s="161">
        <f t="shared" si="118"/>
        <v>0</v>
      </c>
      <c r="EE128" s="161">
        <f t="shared" si="119"/>
        <v>0</v>
      </c>
      <c r="EF128" s="161">
        <f t="shared" si="120"/>
        <v>0</v>
      </c>
      <c r="EG128" s="161">
        <f t="shared" si="121"/>
        <v>0</v>
      </c>
      <c r="EH128" s="161">
        <f t="shared" si="122"/>
        <v>0</v>
      </c>
      <c r="EI128" s="161">
        <f t="shared" si="123"/>
        <v>0</v>
      </c>
      <c r="EJ128" s="161">
        <f t="shared" si="124"/>
        <v>0</v>
      </c>
      <c r="EK128" s="147">
        <f t="shared" si="131"/>
        <v>204.00641025641028</v>
      </c>
      <c r="EL128" s="149"/>
      <c r="EN128" s="146"/>
      <c r="EO128" s="146"/>
      <c r="EP128" s="139">
        <f t="shared" si="132"/>
        <v>0</v>
      </c>
      <c r="EQ128" s="139">
        <f t="shared" si="133"/>
        <v>0</v>
      </c>
      <c r="ER128" s="139">
        <f t="shared" si="134"/>
        <v>3.2040798204632566</v>
      </c>
      <c r="ES128" s="139">
        <f t="shared" si="135"/>
        <v>0</v>
      </c>
      <c r="ET128" s="139">
        <f t="shared" si="136"/>
        <v>0</v>
      </c>
      <c r="EU128" s="139">
        <f t="shared" si="137"/>
        <v>81.095719855088248</v>
      </c>
      <c r="EV128" s="139">
        <f t="shared" si="138"/>
        <v>87.919064303641804</v>
      </c>
      <c r="EW128" s="139">
        <f t="shared" si="139"/>
        <v>0</v>
      </c>
      <c r="EX128" s="139">
        <f t="shared" si="140"/>
        <v>0</v>
      </c>
      <c r="EY128" s="139">
        <f t="shared" si="141"/>
        <v>0</v>
      </c>
      <c r="EZ128" s="139">
        <f t="shared" si="142"/>
        <v>0</v>
      </c>
      <c r="FA128" s="139">
        <f t="shared" si="143"/>
        <v>0</v>
      </c>
      <c r="FB128" s="139">
        <f t="shared" si="144"/>
        <v>0</v>
      </c>
      <c r="FC128" s="139">
        <f t="shared" si="145"/>
        <v>0</v>
      </c>
      <c r="FD128" s="139">
        <f t="shared" si="146"/>
        <v>0</v>
      </c>
      <c r="FE128" s="139">
        <f t="shared" si="147"/>
        <v>0</v>
      </c>
      <c r="FF128" s="139">
        <f t="shared" si="148"/>
        <v>0</v>
      </c>
      <c r="FG128" s="139">
        <f t="shared" si="149"/>
        <v>0</v>
      </c>
      <c r="FH128" s="139">
        <f t="shared" si="150"/>
        <v>0</v>
      </c>
      <c r="FI128" s="139">
        <f t="shared" si="151"/>
        <v>0</v>
      </c>
      <c r="FJ128" s="139">
        <f t="shared" si="152"/>
        <v>0</v>
      </c>
      <c r="FK128" s="139">
        <f t="shared" si="153"/>
        <v>0</v>
      </c>
      <c r="FL128" s="139">
        <f t="shared" si="154"/>
        <v>0</v>
      </c>
      <c r="FM128" s="139">
        <f t="shared" si="155"/>
        <v>0</v>
      </c>
      <c r="FN128" s="139">
        <f t="shared" si="156"/>
        <v>0</v>
      </c>
      <c r="FO128" s="139">
        <f t="shared" si="157"/>
        <v>0</v>
      </c>
      <c r="FP128" s="139">
        <f t="shared" si="158"/>
        <v>0</v>
      </c>
      <c r="FQ128" s="139">
        <f t="shared" si="159"/>
        <v>0</v>
      </c>
      <c r="FR128" s="139">
        <f t="shared" si="160"/>
        <v>0</v>
      </c>
      <c r="FS128" s="139">
        <f t="shared" si="161"/>
        <v>0</v>
      </c>
      <c r="FT128" s="139">
        <f t="shared" si="162"/>
        <v>0</v>
      </c>
      <c r="FU128" s="148">
        <f t="shared" si="163"/>
        <v>172.21886397919332</v>
      </c>
      <c r="FV128" s="149"/>
      <c r="FY128" s="211">
        <v>123</v>
      </c>
      <c r="FZ128">
        <v>103.16282692273681</v>
      </c>
      <c r="GA128">
        <v>142.70534463592529</v>
      </c>
      <c r="GB128">
        <v>59.640855258342768</v>
      </c>
      <c r="GC128">
        <v>39.060117822614821</v>
      </c>
      <c r="GD128">
        <v>43.426202422184517</v>
      </c>
      <c r="GE128">
        <v>85.60787954450862</v>
      </c>
      <c r="GF128">
        <v>95.483549134263598</v>
      </c>
      <c r="GG128">
        <v>59.318981118599787</v>
      </c>
      <c r="GH128">
        <v>41.418280199999359</v>
      </c>
      <c r="GI128">
        <v>87.289784464469321</v>
      </c>
      <c r="GJ128"/>
      <c r="GK128"/>
      <c r="GL128"/>
      <c r="GM128"/>
    </row>
    <row r="129" spans="1:195" s="7" customFormat="1">
      <c r="A129" s="1"/>
      <c r="B129" s="76">
        <f ca="1">IF(C129="", "", RAND())</f>
        <v>0.29018512625052217</v>
      </c>
      <c r="C129">
        <v>4</v>
      </c>
      <c r="D129">
        <v>39775</v>
      </c>
      <c r="E129">
        <v>0</v>
      </c>
      <c r="F129">
        <v>10.416666666666666</v>
      </c>
      <c r="G129">
        <v>20.833333333333332</v>
      </c>
      <c r="H129">
        <v>0</v>
      </c>
      <c r="I129">
        <v>0</v>
      </c>
      <c r="J129">
        <v>10.416666666666666</v>
      </c>
      <c r="K129">
        <v>20.833333333333332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306.6818528002064</v>
      </c>
      <c r="AO129">
        <v>174.12817240158606</v>
      </c>
      <c r="AP129">
        <v>756.86634278455995</v>
      </c>
      <c r="AQ129">
        <v>973.44023629504795</v>
      </c>
      <c r="AR129">
        <v>164.23160220503686</v>
      </c>
      <c r="AS129">
        <v>1595.734985736319</v>
      </c>
      <c r="AT129">
        <v>82.085154387823778</v>
      </c>
      <c r="AU129">
        <v>134.16532343278496</v>
      </c>
      <c r="AV129"/>
      <c r="AW129"/>
      <c r="AX129" s="146"/>
      <c r="AY129" s="76">
        <f t="shared" ca="1" si="87"/>
        <v>0.22240172874935293</v>
      </c>
      <c r="AZ129">
        <v>2</v>
      </c>
      <c r="BA129" s="129">
        <f t="shared" ref="BA129:BA137" si="165">IF(AZ129="", "",$C$8)</f>
        <v>39775</v>
      </c>
      <c r="BB129">
        <v>0</v>
      </c>
      <c r="BC129">
        <v>0</v>
      </c>
      <c r="BD129">
        <v>0</v>
      </c>
      <c r="BE129">
        <v>0</v>
      </c>
      <c r="BF129">
        <v>2</v>
      </c>
      <c r="BG129">
        <v>17</v>
      </c>
      <c r="BH129">
        <v>8</v>
      </c>
      <c r="BI129">
        <v>1</v>
      </c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 s="147"/>
      <c r="CH129" s="176"/>
      <c r="CJ129" s="146"/>
      <c r="CK129" s="76">
        <f t="shared" ca="1" si="89"/>
        <v>0.65678879658851308</v>
      </c>
      <c r="CL129" s="179">
        <f t="shared" si="90"/>
        <v>2</v>
      </c>
      <c r="CM129" s="180">
        <f t="shared" si="91"/>
        <v>39775</v>
      </c>
      <c r="CN129">
        <v>0</v>
      </c>
      <c r="CO129"/>
      <c r="CP129"/>
      <c r="CQ129"/>
      <c r="CR129"/>
      <c r="CS129"/>
      <c r="CT129"/>
      <c r="CU129"/>
      <c r="CV129" s="160"/>
      <c r="CW129">
        <v>1</v>
      </c>
      <c r="CX129">
        <f>20/11</f>
        <v>1.8181818181818181</v>
      </c>
      <c r="CY129" s="160"/>
      <c r="CZ129" s="177">
        <f t="shared" si="92"/>
        <v>9.6000000000000002E-2</v>
      </c>
      <c r="DB129" s="146"/>
      <c r="DC129" s="76">
        <f t="shared" ca="1" si="50"/>
        <v>0.58396705118755965</v>
      </c>
      <c r="DD129">
        <f t="shared" si="93"/>
        <v>2</v>
      </c>
      <c r="DE129" s="129">
        <f t="shared" si="164"/>
        <v>39775</v>
      </c>
      <c r="DF129" s="161">
        <f t="shared" si="94"/>
        <v>0</v>
      </c>
      <c r="DG129" s="161">
        <f t="shared" si="95"/>
        <v>0</v>
      </c>
      <c r="DH129" s="161">
        <f t="shared" si="96"/>
        <v>0</v>
      </c>
      <c r="DI129" s="161">
        <f t="shared" si="97"/>
        <v>0</v>
      </c>
      <c r="DJ129" s="161">
        <f t="shared" si="98"/>
        <v>20.833333333333332</v>
      </c>
      <c r="DK129" s="161">
        <f t="shared" si="99"/>
        <v>177.08333333333334</v>
      </c>
      <c r="DL129" s="161">
        <f t="shared" si="100"/>
        <v>83.333333333333329</v>
      </c>
      <c r="DM129" s="161">
        <f t="shared" si="101"/>
        <v>10.416666666666666</v>
      </c>
      <c r="DN129" s="161">
        <f t="shared" si="102"/>
        <v>0</v>
      </c>
      <c r="DO129" s="161">
        <f t="shared" si="103"/>
        <v>0</v>
      </c>
      <c r="DP129" s="161">
        <f t="shared" si="104"/>
        <v>0</v>
      </c>
      <c r="DQ129" s="161">
        <f t="shared" si="105"/>
        <v>0</v>
      </c>
      <c r="DR129" s="161">
        <f t="shared" si="106"/>
        <v>0</v>
      </c>
      <c r="DS129" s="161">
        <f t="shared" si="107"/>
        <v>0</v>
      </c>
      <c r="DT129" s="161">
        <f t="shared" si="108"/>
        <v>0</v>
      </c>
      <c r="DU129" s="161">
        <f t="shared" si="109"/>
        <v>0</v>
      </c>
      <c r="DV129" s="161">
        <f t="shared" si="110"/>
        <v>0</v>
      </c>
      <c r="DW129" s="161">
        <f t="shared" si="111"/>
        <v>0</v>
      </c>
      <c r="DX129" s="161">
        <f t="shared" si="112"/>
        <v>0</v>
      </c>
      <c r="DY129" s="161">
        <f t="shared" si="113"/>
        <v>0</v>
      </c>
      <c r="DZ129" s="161">
        <f t="shared" si="114"/>
        <v>0</v>
      </c>
      <c r="EA129" s="161">
        <f t="shared" si="115"/>
        <v>0</v>
      </c>
      <c r="EB129" s="161">
        <f t="shared" si="116"/>
        <v>0</v>
      </c>
      <c r="EC129" s="161">
        <f t="shared" si="117"/>
        <v>0</v>
      </c>
      <c r="ED129" s="161">
        <f t="shared" si="118"/>
        <v>0</v>
      </c>
      <c r="EE129" s="161">
        <f t="shared" si="119"/>
        <v>0</v>
      </c>
      <c r="EF129" s="161">
        <f t="shared" si="120"/>
        <v>0</v>
      </c>
      <c r="EG129" s="161">
        <f t="shared" si="121"/>
        <v>0</v>
      </c>
      <c r="EH129" s="161">
        <f t="shared" si="122"/>
        <v>0</v>
      </c>
      <c r="EI129" s="161">
        <f t="shared" si="123"/>
        <v>0</v>
      </c>
      <c r="EJ129" s="161">
        <f t="shared" si="124"/>
        <v>0</v>
      </c>
      <c r="EK129" s="147">
        <f t="shared" si="131"/>
        <v>291.66666666666669</v>
      </c>
      <c r="EL129" s="149"/>
      <c r="EN129" s="146"/>
      <c r="EO129" s="146"/>
      <c r="EP129" s="139">
        <f t="shared" si="132"/>
        <v>0</v>
      </c>
      <c r="EQ129" s="139">
        <f t="shared" si="133"/>
        <v>0</v>
      </c>
      <c r="ER129" s="139">
        <f t="shared" si="134"/>
        <v>0</v>
      </c>
      <c r="ES129" s="139">
        <f t="shared" si="135"/>
        <v>0</v>
      </c>
      <c r="ET129" s="139">
        <f t="shared" si="136"/>
        <v>9.6901618395739177</v>
      </c>
      <c r="EU129" s="139">
        <f t="shared" si="137"/>
        <v>149.35128406645418</v>
      </c>
      <c r="EV129" s="139">
        <f t="shared" si="138"/>
        <v>114.29478359473434</v>
      </c>
      <c r="EW129" s="139">
        <f t="shared" si="139"/>
        <v>21.551798137789032</v>
      </c>
      <c r="EX129" s="139">
        <f t="shared" si="140"/>
        <v>0</v>
      </c>
      <c r="EY129" s="139">
        <f t="shared" si="141"/>
        <v>0</v>
      </c>
      <c r="EZ129" s="139">
        <f t="shared" si="142"/>
        <v>0</v>
      </c>
      <c r="FA129" s="139">
        <f t="shared" si="143"/>
        <v>0</v>
      </c>
      <c r="FB129" s="139">
        <f t="shared" si="144"/>
        <v>0</v>
      </c>
      <c r="FC129" s="139">
        <f t="shared" si="145"/>
        <v>0</v>
      </c>
      <c r="FD129" s="139">
        <f t="shared" si="146"/>
        <v>0</v>
      </c>
      <c r="FE129" s="139">
        <f t="shared" si="147"/>
        <v>0</v>
      </c>
      <c r="FF129" s="139">
        <f t="shared" si="148"/>
        <v>0</v>
      </c>
      <c r="FG129" s="139">
        <f t="shared" si="149"/>
        <v>0</v>
      </c>
      <c r="FH129" s="139">
        <f t="shared" si="150"/>
        <v>0</v>
      </c>
      <c r="FI129" s="139">
        <f t="shared" si="151"/>
        <v>0</v>
      </c>
      <c r="FJ129" s="139">
        <f t="shared" si="152"/>
        <v>0</v>
      </c>
      <c r="FK129" s="139">
        <f t="shared" si="153"/>
        <v>0</v>
      </c>
      <c r="FL129" s="139">
        <f t="shared" si="154"/>
        <v>0</v>
      </c>
      <c r="FM129" s="139">
        <f t="shared" si="155"/>
        <v>0</v>
      </c>
      <c r="FN129" s="139">
        <f t="shared" si="156"/>
        <v>0</v>
      </c>
      <c r="FO129" s="139">
        <f t="shared" si="157"/>
        <v>0</v>
      </c>
      <c r="FP129" s="139">
        <f t="shared" si="158"/>
        <v>0</v>
      </c>
      <c r="FQ129" s="139">
        <f t="shared" si="159"/>
        <v>0</v>
      </c>
      <c r="FR129" s="139">
        <f t="shared" si="160"/>
        <v>0</v>
      </c>
      <c r="FS129" s="139">
        <f t="shared" si="161"/>
        <v>0</v>
      </c>
      <c r="FT129" s="139">
        <f t="shared" si="162"/>
        <v>0</v>
      </c>
      <c r="FU129" s="148">
        <f t="shared" si="163"/>
        <v>294.88802763855148</v>
      </c>
      <c r="FV129" s="149"/>
      <c r="FY129" s="211">
        <v>124</v>
      </c>
      <c r="FZ129">
        <v>88.362427125738861</v>
      </c>
      <c r="GA129">
        <v>113.34243050972974</v>
      </c>
      <c r="GB129">
        <v>39.39507369489975</v>
      </c>
      <c r="GC129">
        <v>34.416386723212611</v>
      </c>
      <c r="GD129">
        <v>35.666157401125758</v>
      </c>
      <c r="GE129">
        <v>71.56267702309286</v>
      </c>
      <c r="GF129">
        <v>80.138028515411861</v>
      </c>
      <c r="GG129">
        <v>49.89809278566306</v>
      </c>
      <c r="GH129">
        <v>54.295613745558754</v>
      </c>
      <c r="GI129">
        <v>73.256093870723205</v>
      </c>
      <c r="GJ129"/>
      <c r="GK129"/>
      <c r="GL129"/>
      <c r="GM129"/>
    </row>
    <row r="130" spans="1:195" s="7" customFormat="1">
      <c r="A130" s="1"/>
      <c r="B130" s="76">
        <f ca="1">IF(C130="", "", RAND())</f>
        <v>0.76412183494720054</v>
      </c>
      <c r="C130">
        <v>6</v>
      </c>
      <c r="D130">
        <v>39775</v>
      </c>
      <c r="E130">
        <v>0</v>
      </c>
      <c r="F130">
        <v>10.416666666666666</v>
      </c>
      <c r="G130">
        <v>0</v>
      </c>
      <c r="H130">
        <v>31.25</v>
      </c>
      <c r="I130">
        <v>10.416666666666666</v>
      </c>
      <c r="J130">
        <v>93.75</v>
      </c>
      <c r="K130">
        <v>41.666666666666664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241.56376008303414</v>
      </c>
      <c r="AO130">
        <v>135.13494590309671</v>
      </c>
      <c r="AP130">
        <v>627.09440252496404</v>
      </c>
      <c r="AQ130">
        <v>767.93422774105875</v>
      </c>
      <c r="AR130">
        <v>128.71222413209676</v>
      </c>
      <c r="AS130">
        <v>1211.1123358166212</v>
      </c>
      <c r="AT130">
        <v>71.910042665018594</v>
      </c>
      <c r="AU130">
        <v>255.43947891574334</v>
      </c>
      <c r="AV130"/>
      <c r="AW130"/>
      <c r="AX130" s="146"/>
      <c r="AY130" s="76">
        <f t="shared" ca="1" si="87"/>
        <v>0.38034249688992716</v>
      </c>
      <c r="AZ130">
        <v>3</v>
      </c>
      <c r="BA130" s="129">
        <f t="shared" si="165"/>
        <v>39775</v>
      </c>
      <c r="BB130">
        <v>0</v>
      </c>
      <c r="BC130">
        <v>0</v>
      </c>
      <c r="BD130">
        <v>0</v>
      </c>
      <c r="BE130">
        <v>0</v>
      </c>
      <c r="BF130">
        <v>6</v>
      </c>
      <c r="BG130">
        <v>5</v>
      </c>
      <c r="BH130">
        <v>6</v>
      </c>
      <c r="BI130">
        <v>1</v>
      </c>
      <c r="BJ130">
        <v>1</v>
      </c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 s="147"/>
      <c r="CH130" s="176"/>
      <c r="CJ130" s="146"/>
      <c r="CK130" s="76">
        <f t="shared" ca="1" si="89"/>
        <v>0.26117064799381651</v>
      </c>
      <c r="CL130" s="179">
        <f t="shared" si="90"/>
        <v>3</v>
      </c>
      <c r="CM130" s="180">
        <f t="shared" si="91"/>
        <v>39775</v>
      </c>
      <c r="CN130">
        <v>0</v>
      </c>
      <c r="CO130">
        <v>4</v>
      </c>
      <c r="CP130">
        <v>14</v>
      </c>
      <c r="CQ130"/>
      <c r="CR130"/>
      <c r="CS130"/>
      <c r="CT130"/>
      <c r="CU130"/>
      <c r="CV130" s="160"/>
      <c r="CW130">
        <v>1</v>
      </c>
      <c r="CX130">
        <f>50/10</f>
        <v>5</v>
      </c>
      <c r="CY130" s="160"/>
      <c r="CZ130" s="177">
        <f t="shared" si="92"/>
        <v>9.6000000000000002E-2</v>
      </c>
      <c r="DB130" s="146"/>
      <c r="DC130" s="76">
        <f t="shared" ca="1" si="50"/>
        <v>0.7648797672078359</v>
      </c>
      <c r="DD130">
        <f t="shared" si="93"/>
        <v>3</v>
      </c>
      <c r="DE130" s="129">
        <f t="shared" si="164"/>
        <v>39775</v>
      </c>
      <c r="DF130" s="161">
        <f t="shared" si="94"/>
        <v>0</v>
      </c>
      <c r="DG130" s="161">
        <f t="shared" si="95"/>
        <v>208.33333333333334</v>
      </c>
      <c r="DH130" s="161">
        <f t="shared" si="96"/>
        <v>729.16666666666663</v>
      </c>
      <c r="DI130" s="161">
        <f t="shared" si="97"/>
        <v>0</v>
      </c>
      <c r="DJ130" s="161">
        <f t="shared" si="98"/>
        <v>62.5</v>
      </c>
      <c r="DK130" s="161">
        <f t="shared" si="99"/>
        <v>52.083333333333336</v>
      </c>
      <c r="DL130" s="161">
        <f t="shared" si="100"/>
        <v>62.5</v>
      </c>
      <c r="DM130" s="161">
        <f t="shared" si="101"/>
        <v>10.416666666666666</v>
      </c>
      <c r="DN130" s="161">
        <f t="shared" si="102"/>
        <v>10.416666666666666</v>
      </c>
      <c r="DO130" s="161">
        <f t="shared" si="103"/>
        <v>0</v>
      </c>
      <c r="DP130" s="161">
        <f t="shared" si="104"/>
        <v>0</v>
      </c>
      <c r="DQ130" s="161">
        <f t="shared" si="105"/>
        <v>0</v>
      </c>
      <c r="DR130" s="161">
        <f t="shared" si="106"/>
        <v>0</v>
      </c>
      <c r="DS130" s="161">
        <f t="shared" si="107"/>
        <v>0</v>
      </c>
      <c r="DT130" s="161">
        <f t="shared" si="108"/>
        <v>0</v>
      </c>
      <c r="DU130" s="161">
        <f t="shared" si="109"/>
        <v>0</v>
      </c>
      <c r="DV130" s="161">
        <f t="shared" si="110"/>
        <v>0</v>
      </c>
      <c r="DW130" s="161">
        <f t="shared" si="111"/>
        <v>0</v>
      </c>
      <c r="DX130" s="161">
        <f t="shared" si="112"/>
        <v>0</v>
      </c>
      <c r="DY130" s="161">
        <f t="shared" si="113"/>
        <v>0</v>
      </c>
      <c r="DZ130" s="161">
        <f t="shared" si="114"/>
        <v>0</v>
      </c>
      <c r="EA130" s="161">
        <f t="shared" si="115"/>
        <v>0</v>
      </c>
      <c r="EB130" s="161">
        <f t="shared" si="116"/>
        <v>0</v>
      </c>
      <c r="EC130" s="161">
        <f t="shared" si="117"/>
        <v>0</v>
      </c>
      <c r="ED130" s="161">
        <f t="shared" si="118"/>
        <v>0</v>
      </c>
      <c r="EE130" s="161">
        <f t="shared" si="119"/>
        <v>0</v>
      </c>
      <c r="EF130" s="161">
        <f t="shared" si="120"/>
        <v>0</v>
      </c>
      <c r="EG130" s="161">
        <f t="shared" si="121"/>
        <v>0</v>
      </c>
      <c r="EH130" s="161">
        <f t="shared" si="122"/>
        <v>0</v>
      </c>
      <c r="EI130" s="161">
        <f t="shared" si="123"/>
        <v>0</v>
      </c>
      <c r="EJ130" s="161">
        <f t="shared" si="124"/>
        <v>0</v>
      </c>
      <c r="EK130" s="147">
        <f t="shared" si="131"/>
        <v>1135.4166666666667</v>
      </c>
      <c r="EL130" s="149"/>
      <c r="EN130" s="146"/>
      <c r="EO130" s="146"/>
      <c r="EP130" s="139">
        <f t="shared" si="132"/>
        <v>0</v>
      </c>
      <c r="EQ130" s="139">
        <f t="shared" si="133"/>
        <v>2.4023541666666666</v>
      </c>
      <c r="ER130" s="139">
        <f t="shared" si="134"/>
        <v>53.401330341054276</v>
      </c>
      <c r="ES130" s="139">
        <f t="shared" si="135"/>
        <v>0</v>
      </c>
      <c r="ET130" s="139">
        <f t="shared" si="136"/>
        <v>29.070485518721753</v>
      </c>
      <c r="EU130" s="139">
        <f t="shared" si="137"/>
        <v>43.92684825483947</v>
      </c>
      <c r="EV130" s="139">
        <f t="shared" si="138"/>
        <v>85.721087696050759</v>
      </c>
      <c r="EW130" s="139">
        <f t="shared" si="139"/>
        <v>21.551798137789032</v>
      </c>
      <c r="EX130" s="139">
        <f t="shared" si="140"/>
        <v>30.77145509025932</v>
      </c>
      <c r="EY130" s="139">
        <f t="shared" si="141"/>
        <v>0</v>
      </c>
      <c r="EZ130" s="139">
        <f t="shared" si="142"/>
        <v>0</v>
      </c>
      <c r="FA130" s="139">
        <f t="shared" si="143"/>
        <v>0</v>
      </c>
      <c r="FB130" s="139">
        <f t="shared" si="144"/>
        <v>0</v>
      </c>
      <c r="FC130" s="139">
        <f t="shared" si="145"/>
        <v>0</v>
      </c>
      <c r="FD130" s="139">
        <f t="shared" si="146"/>
        <v>0</v>
      </c>
      <c r="FE130" s="139">
        <f t="shared" si="147"/>
        <v>0</v>
      </c>
      <c r="FF130" s="139">
        <f t="shared" si="148"/>
        <v>0</v>
      </c>
      <c r="FG130" s="139">
        <f t="shared" si="149"/>
        <v>0</v>
      </c>
      <c r="FH130" s="139">
        <f t="shared" si="150"/>
        <v>0</v>
      </c>
      <c r="FI130" s="139">
        <f t="shared" si="151"/>
        <v>0</v>
      </c>
      <c r="FJ130" s="139">
        <f t="shared" si="152"/>
        <v>0</v>
      </c>
      <c r="FK130" s="139">
        <f t="shared" si="153"/>
        <v>0</v>
      </c>
      <c r="FL130" s="139">
        <f t="shared" si="154"/>
        <v>0</v>
      </c>
      <c r="FM130" s="139">
        <f t="shared" si="155"/>
        <v>0</v>
      </c>
      <c r="FN130" s="139">
        <f t="shared" si="156"/>
        <v>0</v>
      </c>
      <c r="FO130" s="139">
        <f t="shared" si="157"/>
        <v>0</v>
      </c>
      <c r="FP130" s="139">
        <f t="shared" si="158"/>
        <v>0</v>
      </c>
      <c r="FQ130" s="139">
        <f t="shared" si="159"/>
        <v>0</v>
      </c>
      <c r="FR130" s="139">
        <f t="shared" si="160"/>
        <v>0</v>
      </c>
      <c r="FS130" s="139">
        <f t="shared" si="161"/>
        <v>0</v>
      </c>
      <c r="FT130" s="139">
        <f t="shared" si="162"/>
        <v>0</v>
      </c>
      <c r="FU130" s="148">
        <f t="shared" si="163"/>
        <v>266.84535920538127</v>
      </c>
      <c r="FV130" s="149"/>
      <c r="FY130" s="211">
        <v>125</v>
      </c>
      <c r="FZ130">
        <v>157.53327180925015</v>
      </c>
      <c r="GA130">
        <v>202.31922935605644</v>
      </c>
      <c r="GB130">
        <v>51.666107527969153</v>
      </c>
      <c r="GC130">
        <v>39.438062471987294</v>
      </c>
      <c r="GD130">
        <v>29.180466466070214</v>
      </c>
      <c r="GE130">
        <v>60.45383073825608</v>
      </c>
      <c r="GF130">
        <v>106.39554866600587</v>
      </c>
      <c r="GG130">
        <v>117.10308238847081</v>
      </c>
      <c r="GH130">
        <v>141.73679110115239</v>
      </c>
      <c r="GI130">
        <v>102.93628156753265</v>
      </c>
      <c r="GJ130"/>
      <c r="GK130"/>
      <c r="GL130"/>
      <c r="GM130"/>
    </row>
    <row r="131" spans="1:195" s="7" customFormat="1">
      <c r="A131" s="1"/>
      <c r="B131" s="76">
        <f ca="1">IF(C131="", "", RAND())</f>
        <v>0.21658748522182814</v>
      </c>
      <c r="C131">
        <v>8</v>
      </c>
      <c r="D131">
        <v>39775</v>
      </c>
      <c r="E131">
        <v>0</v>
      </c>
      <c r="F131">
        <v>0</v>
      </c>
      <c r="G131">
        <v>260.41666666666669</v>
      </c>
      <c r="H131">
        <v>0</v>
      </c>
      <c r="I131">
        <v>69.444444444444443</v>
      </c>
      <c r="J131">
        <v>69.444444444444443</v>
      </c>
      <c r="K131">
        <v>138.88888888888889</v>
      </c>
      <c r="L131">
        <v>34.722222222222221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301.20406659703497</v>
      </c>
      <c r="AO131">
        <v>162.77910730676146</v>
      </c>
      <c r="AP131">
        <v>620.83914657143998</v>
      </c>
      <c r="AQ131">
        <v>890.14810453892426</v>
      </c>
      <c r="AR131">
        <v>154.72850643899281</v>
      </c>
      <c r="AS131">
        <v>1569.8861070534015</v>
      </c>
      <c r="AT131">
        <v>73.41312258258796</v>
      </c>
      <c r="AU131">
        <v>144.95654336463616</v>
      </c>
      <c r="AV131"/>
      <c r="AW131"/>
      <c r="AX131" s="146"/>
      <c r="AY131" s="76">
        <f t="shared" ca="1" si="87"/>
        <v>0.49464771281511632</v>
      </c>
      <c r="AZ131">
        <v>4</v>
      </c>
      <c r="BA131" s="129">
        <f t="shared" si="165"/>
        <v>39775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1</v>
      </c>
      <c r="BH131">
        <v>2</v>
      </c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 s="147"/>
      <c r="CH131" s="176"/>
      <c r="CJ131" s="146"/>
      <c r="CK131" s="76">
        <f t="shared" ca="1" si="89"/>
        <v>0.82752463910714025</v>
      </c>
      <c r="CL131" s="179">
        <f t="shared" si="90"/>
        <v>4</v>
      </c>
      <c r="CM131" s="180">
        <f t="shared" si="91"/>
        <v>39775</v>
      </c>
      <c r="CN131">
        <v>0</v>
      </c>
      <c r="CO131">
        <v>1</v>
      </c>
      <c r="CP131">
        <v>2</v>
      </c>
      <c r="CQ131"/>
      <c r="CR131"/>
      <c r="CS131"/>
      <c r="CT131"/>
      <c r="CU131"/>
      <c r="CV131" s="160"/>
      <c r="CW131">
        <v>1</v>
      </c>
      <c r="CX131">
        <v>1</v>
      </c>
      <c r="CY131" s="160"/>
      <c r="CZ131" s="177">
        <f t="shared" si="92"/>
        <v>9.6000000000000002E-2</v>
      </c>
      <c r="DB131" s="146"/>
      <c r="DC131" s="76">
        <f t="shared" ca="1" si="50"/>
        <v>0.94002952485096181</v>
      </c>
      <c r="DD131">
        <f t="shared" si="93"/>
        <v>4</v>
      </c>
      <c r="DE131" s="129">
        <f t="shared" si="164"/>
        <v>39775</v>
      </c>
      <c r="DF131" s="161">
        <f t="shared" si="94"/>
        <v>0</v>
      </c>
      <c r="DG131" s="161">
        <f t="shared" si="95"/>
        <v>10.416666666666666</v>
      </c>
      <c r="DH131" s="161">
        <f t="shared" si="96"/>
        <v>20.833333333333332</v>
      </c>
      <c r="DI131" s="161">
        <f t="shared" si="97"/>
        <v>0</v>
      </c>
      <c r="DJ131" s="161">
        <f t="shared" si="98"/>
        <v>0</v>
      </c>
      <c r="DK131" s="161">
        <f t="shared" si="99"/>
        <v>10.416666666666666</v>
      </c>
      <c r="DL131" s="161">
        <f t="shared" si="100"/>
        <v>20.833333333333332</v>
      </c>
      <c r="DM131" s="161">
        <f t="shared" si="101"/>
        <v>0</v>
      </c>
      <c r="DN131" s="161">
        <f t="shared" si="102"/>
        <v>0</v>
      </c>
      <c r="DO131" s="161">
        <f t="shared" si="103"/>
        <v>0</v>
      </c>
      <c r="DP131" s="161">
        <f t="shared" si="104"/>
        <v>0</v>
      </c>
      <c r="DQ131" s="161">
        <f t="shared" si="105"/>
        <v>0</v>
      </c>
      <c r="DR131" s="161">
        <f t="shared" si="106"/>
        <v>0</v>
      </c>
      <c r="DS131" s="161">
        <f t="shared" si="107"/>
        <v>0</v>
      </c>
      <c r="DT131" s="161">
        <f t="shared" si="108"/>
        <v>0</v>
      </c>
      <c r="DU131" s="161">
        <f t="shared" si="109"/>
        <v>0</v>
      </c>
      <c r="DV131" s="161">
        <f t="shared" si="110"/>
        <v>0</v>
      </c>
      <c r="DW131" s="161">
        <f t="shared" si="111"/>
        <v>0</v>
      </c>
      <c r="DX131" s="161">
        <f t="shared" si="112"/>
        <v>0</v>
      </c>
      <c r="DY131" s="161">
        <f t="shared" si="113"/>
        <v>0</v>
      </c>
      <c r="DZ131" s="161">
        <f t="shared" si="114"/>
        <v>0</v>
      </c>
      <c r="EA131" s="161">
        <f t="shared" si="115"/>
        <v>0</v>
      </c>
      <c r="EB131" s="161">
        <f t="shared" si="116"/>
        <v>0</v>
      </c>
      <c r="EC131" s="161">
        <f t="shared" si="117"/>
        <v>0</v>
      </c>
      <c r="ED131" s="161">
        <f t="shared" si="118"/>
        <v>0</v>
      </c>
      <c r="EE131" s="161">
        <f t="shared" si="119"/>
        <v>0</v>
      </c>
      <c r="EF131" s="161">
        <f t="shared" si="120"/>
        <v>0</v>
      </c>
      <c r="EG131" s="161">
        <f t="shared" si="121"/>
        <v>0</v>
      </c>
      <c r="EH131" s="161">
        <f t="shared" si="122"/>
        <v>0</v>
      </c>
      <c r="EI131" s="161">
        <f t="shared" si="123"/>
        <v>0</v>
      </c>
      <c r="EJ131" s="161">
        <f t="shared" si="124"/>
        <v>0</v>
      </c>
      <c r="EK131" s="147">
        <f t="shared" si="131"/>
        <v>62.5</v>
      </c>
      <c r="EL131" s="149"/>
      <c r="EN131" s="146"/>
      <c r="EO131" s="146"/>
      <c r="EP131" s="139">
        <f t="shared" si="132"/>
        <v>0</v>
      </c>
      <c r="EQ131" s="139">
        <f t="shared" si="133"/>
        <v>0.12011770833333332</v>
      </c>
      <c r="ER131" s="139">
        <f t="shared" si="134"/>
        <v>1.5257522954586935</v>
      </c>
      <c r="ES131" s="139">
        <f t="shared" si="135"/>
        <v>0</v>
      </c>
      <c r="ET131" s="139">
        <f t="shared" si="136"/>
        <v>0</v>
      </c>
      <c r="EU131" s="139">
        <f t="shared" si="137"/>
        <v>8.7853696509678922</v>
      </c>
      <c r="EV131" s="139">
        <f t="shared" si="138"/>
        <v>28.573695898683585</v>
      </c>
      <c r="EW131" s="139">
        <f t="shared" si="139"/>
        <v>0</v>
      </c>
      <c r="EX131" s="139">
        <f t="shared" si="140"/>
        <v>0</v>
      </c>
      <c r="EY131" s="139">
        <f t="shared" si="141"/>
        <v>0</v>
      </c>
      <c r="EZ131" s="139">
        <f t="shared" si="142"/>
        <v>0</v>
      </c>
      <c r="FA131" s="139">
        <f t="shared" si="143"/>
        <v>0</v>
      </c>
      <c r="FB131" s="139">
        <f t="shared" si="144"/>
        <v>0</v>
      </c>
      <c r="FC131" s="139">
        <f t="shared" si="145"/>
        <v>0</v>
      </c>
      <c r="FD131" s="139">
        <f t="shared" si="146"/>
        <v>0</v>
      </c>
      <c r="FE131" s="139">
        <f t="shared" si="147"/>
        <v>0</v>
      </c>
      <c r="FF131" s="139">
        <f t="shared" si="148"/>
        <v>0</v>
      </c>
      <c r="FG131" s="139">
        <f t="shared" si="149"/>
        <v>0</v>
      </c>
      <c r="FH131" s="139">
        <f t="shared" si="150"/>
        <v>0</v>
      </c>
      <c r="FI131" s="139">
        <f t="shared" si="151"/>
        <v>0</v>
      </c>
      <c r="FJ131" s="139">
        <f t="shared" si="152"/>
        <v>0</v>
      </c>
      <c r="FK131" s="139">
        <f t="shared" si="153"/>
        <v>0</v>
      </c>
      <c r="FL131" s="139">
        <f t="shared" si="154"/>
        <v>0</v>
      </c>
      <c r="FM131" s="139">
        <f t="shared" si="155"/>
        <v>0</v>
      </c>
      <c r="FN131" s="139">
        <f t="shared" si="156"/>
        <v>0</v>
      </c>
      <c r="FO131" s="139">
        <f t="shared" si="157"/>
        <v>0</v>
      </c>
      <c r="FP131" s="139">
        <f t="shared" si="158"/>
        <v>0</v>
      </c>
      <c r="FQ131" s="139">
        <f t="shared" si="159"/>
        <v>0</v>
      </c>
      <c r="FR131" s="139">
        <f t="shared" si="160"/>
        <v>0</v>
      </c>
      <c r="FS131" s="139">
        <f t="shared" si="161"/>
        <v>0</v>
      </c>
      <c r="FT131" s="139">
        <f t="shared" si="162"/>
        <v>0</v>
      </c>
      <c r="FU131" s="148">
        <f t="shared" si="163"/>
        <v>39.004935553443502</v>
      </c>
      <c r="FV131" s="149"/>
      <c r="FY131" s="211">
        <v>126</v>
      </c>
      <c r="FZ131">
        <v>115.57878742752598</v>
      </c>
      <c r="GA131">
        <v>133.73443903926261</v>
      </c>
      <c r="GB131">
        <v>46.269079369646974</v>
      </c>
      <c r="GC131">
        <v>50.113025188537293</v>
      </c>
      <c r="GD131">
        <v>47.846606072696929</v>
      </c>
      <c r="GE131">
        <v>75.958201758383765</v>
      </c>
      <c r="GF131">
        <v>90.676378448291004</v>
      </c>
      <c r="GG131">
        <v>49.413120936815218</v>
      </c>
      <c r="GH131">
        <v>41.327251694587162</v>
      </c>
      <c r="GI131">
        <v>87.748331014186419</v>
      </c>
      <c r="GJ131"/>
      <c r="GK131"/>
      <c r="GL131"/>
      <c r="GM131"/>
    </row>
    <row r="132" spans="1:195" s="7" customFormat="1">
      <c r="A132" s="1"/>
      <c r="B132" s="76">
        <f ca="1">IF(C132="", "", RAND())</f>
        <v>0.9142280533164151</v>
      </c>
      <c r="C132">
        <v>5</v>
      </c>
      <c r="D132">
        <v>39775</v>
      </c>
      <c r="E132">
        <v>0</v>
      </c>
      <c r="F132">
        <v>59.523809523809526</v>
      </c>
      <c r="G132">
        <v>208.33333333333334</v>
      </c>
      <c r="H132">
        <v>0</v>
      </c>
      <c r="I132">
        <v>20.833333333333332</v>
      </c>
      <c r="J132">
        <v>31.25</v>
      </c>
      <c r="K132">
        <v>20.833333333333332</v>
      </c>
      <c r="L132">
        <v>10.416666666666666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290.65187685237504</v>
      </c>
      <c r="AO132">
        <v>160.52563259576795</v>
      </c>
      <c r="AP132">
        <v>678.52480083681428</v>
      </c>
      <c r="AQ132">
        <v>908.36965293502396</v>
      </c>
      <c r="AR132">
        <v>150.22405430383799</v>
      </c>
      <c r="AS132">
        <v>1600.4187473911579</v>
      </c>
      <c r="AT132">
        <v>77.828370831252499</v>
      </c>
      <c r="AU132">
        <v>239.50059767110582</v>
      </c>
      <c r="AV132"/>
      <c r="AW132"/>
      <c r="AX132" s="146"/>
      <c r="AY132" s="76">
        <f t="shared" ca="1" si="87"/>
        <v>0.16711039177190123</v>
      </c>
      <c r="AZ132">
        <v>5</v>
      </c>
      <c r="BA132" s="129">
        <f t="shared" si="165"/>
        <v>39775</v>
      </c>
      <c r="BB132">
        <v>0</v>
      </c>
      <c r="BC132">
        <v>0</v>
      </c>
      <c r="BD132">
        <v>0</v>
      </c>
      <c r="BE132">
        <v>0</v>
      </c>
      <c r="BF132">
        <v>2</v>
      </c>
      <c r="BG132">
        <v>3</v>
      </c>
      <c r="BH132">
        <v>2</v>
      </c>
      <c r="BI132">
        <v>1</v>
      </c>
      <c r="BJ132">
        <v>0</v>
      </c>
      <c r="BK132">
        <v>0</v>
      </c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 s="147"/>
      <c r="CH132" s="176"/>
      <c r="CJ132" s="146"/>
      <c r="CK132" s="76">
        <f t="shared" ca="1" si="89"/>
        <v>0.17935099159929702</v>
      </c>
      <c r="CL132" s="179">
        <f t="shared" si="90"/>
        <v>5</v>
      </c>
      <c r="CM132" s="180">
        <f t="shared" si="91"/>
        <v>39775</v>
      </c>
      <c r="CN132">
        <v>0</v>
      </c>
      <c r="CO132">
        <v>2</v>
      </c>
      <c r="CP132">
        <v>7</v>
      </c>
      <c r="CQ132"/>
      <c r="CR132"/>
      <c r="CS132"/>
      <c r="CT132"/>
      <c r="CU132"/>
      <c r="CV132" s="160"/>
      <c r="CW132">
        <v>1</v>
      </c>
      <c r="CX132">
        <f>20/7</f>
        <v>2.8571428571428572</v>
      </c>
      <c r="CY132" s="160"/>
      <c r="CZ132" s="177">
        <f t="shared" si="92"/>
        <v>9.6000000000000002E-2</v>
      </c>
      <c r="DB132" s="146"/>
      <c r="DC132" s="76">
        <f t="shared" ca="1" si="50"/>
        <v>0.86642185674334549</v>
      </c>
      <c r="DD132">
        <f t="shared" si="93"/>
        <v>5</v>
      </c>
      <c r="DE132" s="129">
        <f t="shared" si="164"/>
        <v>39775</v>
      </c>
      <c r="DF132" s="161">
        <f t="shared" si="94"/>
        <v>0</v>
      </c>
      <c r="DG132" s="161">
        <f t="shared" si="95"/>
        <v>59.523809523809526</v>
      </c>
      <c r="DH132" s="161">
        <f t="shared" si="96"/>
        <v>208.33333333333334</v>
      </c>
      <c r="DI132" s="161">
        <f t="shared" si="97"/>
        <v>0</v>
      </c>
      <c r="DJ132" s="161">
        <f t="shared" si="98"/>
        <v>20.833333333333332</v>
      </c>
      <c r="DK132" s="161">
        <f t="shared" si="99"/>
        <v>31.25</v>
      </c>
      <c r="DL132" s="161">
        <f t="shared" si="100"/>
        <v>20.833333333333332</v>
      </c>
      <c r="DM132" s="161">
        <f t="shared" si="101"/>
        <v>10.416666666666666</v>
      </c>
      <c r="DN132" s="161">
        <f t="shared" si="102"/>
        <v>0</v>
      </c>
      <c r="DO132" s="161">
        <f t="shared" si="103"/>
        <v>0</v>
      </c>
      <c r="DP132" s="161">
        <f t="shared" si="104"/>
        <v>0</v>
      </c>
      <c r="DQ132" s="161">
        <f t="shared" si="105"/>
        <v>0</v>
      </c>
      <c r="DR132" s="161">
        <f t="shared" si="106"/>
        <v>0</v>
      </c>
      <c r="DS132" s="161">
        <f t="shared" si="107"/>
        <v>0</v>
      </c>
      <c r="DT132" s="161">
        <f t="shared" si="108"/>
        <v>0</v>
      </c>
      <c r="DU132" s="161">
        <f t="shared" si="109"/>
        <v>0</v>
      </c>
      <c r="DV132" s="161">
        <f t="shared" si="110"/>
        <v>0</v>
      </c>
      <c r="DW132" s="161">
        <f t="shared" si="111"/>
        <v>0</v>
      </c>
      <c r="DX132" s="161">
        <f t="shared" si="112"/>
        <v>0</v>
      </c>
      <c r="DY132" s="161">
        <f t="shared" si="113"/>
        <v>0</v>
      </c>
      <c r="DZ132" s="161">
        <f t="shared" si="114"/>
        <v>0</v>
      </c>
      <c r="EA132" s="161">
        <f t="shared" si="115"/>
        <v>0</v>
      </c>
      <c r="EB132" s="161">
        <f t="shared" si="116"/>
        <v>0</v>
      </c>
      <c r="EC132" s="161">
        <f t="shared" si="117"/>
        <v>0</v>
      </c>
      <c r="ED132" s="161">
        <f t="shared" si="118"/>
        <v>0</v>
      </c>
      <c r="EE132" s="161">
        <f t="shared" si="119"/>
        <v>0</v>
      </c>
      <c r="EF132" s="161">
        <f t="shared" si="120"/>
        <v>0</v>
      </c>
      <c r="EG132" s="161">
        <f t="shared" si="121"/>
        <v>0</v>
      </c>
      <c r="EH132" s="161">
        <f t="shared" si="122"/>
        <v>0</v>
      </c>
      <c r="EI132" s="161">
        <f t="shared" si="123"/>
        <v>0</v>
      </c>
      <c r="EJ132" s="161">
        <f t="shared" si="124"/>
        <v>0</v>
      </c>
      <c r="EK132" s="147">
        <f t="shared" si="131"/>
        <v>351.1904761904762</v>
      </c>
      <c r="EL132" s="149"/>
      <c r="EN132" s="146"/>
      <c r="EO132" s="146"/>
      <c r="EP132" s="139">
        <f t="shared" si="132"/>
        <v>0</v>
      </c>
      <c r="EQ132" s="139">
        <f t="shared" si="133"/>
        <v>0.68638690476190478</v>
      </c>
      <c r="ER132" s="139">
        <f t="shared" si="134"/>
        <v>15.257522954586937</v>
      </c>
      <c r="ES132" s="139">
        <f t="shared" si="135"/>
        <v>0</v>
      </c>
      <c r="ET132" s="139">
        <f t="shared" si="136"/>
        <v>9.6901618395739177</v>
      </c>
      <c r="EU132" s="139">
        <f t="shared" si="137"/>
        <v>26.356108952903678</v>
      </c>
      <c r="EV132" s="139">
        <f t="shared" si="138"/>
        <v>28.573695898683585</v>
      </c>
      <c r="EW132" s="139">
        <f t="shared" si="139"/>
        <v>21.551798137789032</v>
      </c>
      <c r="EX132" s="139">
        <f t="shared" si="140"/>
        <v>0</v>
      </c>
      <c r="EY132" s="139">
        <f t="shared" si="141"/>
        <v>0</v>
      </c>
      <c r="EZ132" s="139">
        <f t="shared" si="142"/>
        <v>0</v>
      </c>
      <c r="FA132" s="139">
        <f t="shared" si="143"/>
        <v>0</v>
      </c>
      <c r="FB132" s="139">
        <f t="shared" si="144"/>
        <v>0</v>
      </c>
      <c r="FC132" s="139">
        <f t="shared" si="145"/>
        <v>0</v>
      </c>
      <c r="FD132" s="139">
        <f t="shared" si="146"/>
        <v>0</v>
      </c>
      <c r="FE132" s="139">
        <f t="shared" si="147"/>
        <v>0</v>
      </c>
      <c r="FF132" s="139">
        <f t="shared" si="148"/>
        <v>0</v>
      </c>
      <c r="FG132" s="139">
        <f t="shared" si="149"/>
        <v>0</v>
      </c>
      <c r="FH132" s="139">
        <f t="shared" si="150"/>
        <v>0</v>
      </c>
      <c r="FI132" s="139">
        <f t="shared" si="151"/>
        <v>0</v>
      </c>
      <c r="FJ132" s="139">
        <f t="shared" si="152"/>
        <v>0</v>
      </c>
      <c r="FK132" s="139">
        <f t="shared" si="153"/>
        <v>0</v>
      </c>
      <c r="FL132" s="139">
        <f t="shared" si="154"/>
        <v>0</v>
      </c>
      <c r="FM132" s="139">
        <f t="shared" si="155"/>
        <v>0</v>
      </c>
      <c r="FN132" s="139">
        <f t="shared" si="156"/>
        <v>0</v>
      </c>
      <c r="FO132" s="139">
        <f t="shared" si="157"/>
        <v>0</v>
      </c>
      <c r="FP132" s="139">
        <f t="shared" si="158"/>
        <v>0</v>
      </c>
      <c r="FQ132" s="139">
        <f t="shared" si="159"/>
        <v>0</v>
      </c>
      <c r="FR132" s="139">
        <f t="shared" si="160"/>
        <v>0</v>
      </c>
      <c r="FS132" s="139">
        <f t="shared" si="161"/>
        <v>0</v>
      </c>
      <c r="FT132" s="139">
        <f t="shared" si="162"/>
        <v>0</v>
      </c>
      <c r="FU132" s="148">
        <f t="shared" si="163"/>
        <v>102.11567468829905</v>
      </c>
      <c r="FV132" s="149"/>
      <c r="FY132" s="211">
        <v>127</v>
      </c>
      <c r="FZ132">
        <v>134.06078311214327</v>
      </c>
      <c r="GA132">
        <v>162.68689863596043</v>
      </c>
      <c r="GB132">
        <v>45.361485446109938</v>
      </c>
      <c r="GC132">
        <v>36.089274153282219</v>
      </c>
      <c r="GD132">
        <v>47.808214527407749</v>
      </c>
      <c r="GE132">
        <v>76.592180633679575</v>
      </c>
      <c r="GF132">
        <v>57.287376350750179</v>
      </c>
      <c r="GG132">
        <v>31.475299498802116</v>
      </c>
      <c r="GH132">
        <v>17.45645141505759</v>
      </c>
      <c r="GI132">
        <v>77.710322427762932</v>
      </c>
      <c r="GJ132"/>
      <c r="GK132"/>
      <c r="GL132"/>
      <c r="GM132"/>
    </row>
    <row r="133" spans="1:195" s="7" customFormat="1">
      <c r="A133" s="1"/>
      <c r="B133" s="76">
        <f ca="1">IF(C133="", "", RAND())</f>
        <v>0.56689473593267525</v>
      </c>
      <c r="C133">
        <v>10</v>
      </c>
      <c r="D133">
        <v>39775</v>
      </c>
      <c r="E133">
        <v>0</v>
      </c>
      <c r="F133">
        <v>31.25</v>
      </c>
      <c r="G133">
        <v>281.25</v>
      </c>
      <c r="H133">
        <v>0</v>
      </c>
      <c r="I133">
        <v>72.916666666666671</v>
      </c>
      <c r="J133">
        <v>31.25</v>
      </c>
      <c r="K133">
        <v>20.833333333333332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353.53640239728395</v>
      </c>
      <c r="AO133">
        <v>187.9585692037746</v>
      </c>
      <c r="AP133">
        <v>829.24244659896885</v>
      </c>
      <c r="AQ133">
        <v>1026.2817671000694</v>
      </c>
      <c r="AR133">
        <v>177.20732925012067</v>
      </c>
      <c r="AS133">
        <v>1901.587022421593</v>
      </c>
      <c r="AT133">
        <v>92.170796088051318</v>
      </c>
      <c r="AU133">
        <v>172.1413158994684</v>
      </c>
      <c r="AV133"/>
      <c r="AW133"/>
      <c r="AX133" s="146"/>
      <c r="AY133" s="76">
        <f t="shared" ca="1" si="87"/>
        <v>0.91097513055714585</v>
      </c>
      <c r="AZ133">
        <v>6</v>
      </c>
      <c r="BA133" s="129">
        <f t="shared" si="165"/>
        <v>39775</v>
      </c>
      <c r="BB133">
        <v>0</v>
      </c>
      <c r="BC133">
        <v>0</v>
      </c>
      <c r="BD133">
        <v>0</v>
      </c>
      <c r="BE133">
        <v>0</v>
      </c>
      <c r="BF133">
        <v>1</v>
      </c>
      <c r="BG133">
        <v>9</v>
      </c>
      <c r="BH133">
        <v>4</v>
      </c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 s="147"/>
      <c r="CH133" s="176"/>
      <c r="CJ133" s="146"/>
      <c r="CK133" s="76">
        <f t="shared" ca="1" si="89"/>
        <v>0.10195154830815056</v>
      </c>
      <c r="CL133" s="179">
        <f t="shared" si="90"/>
        <v>6</v>
      </c>
      <c r="CM133" s="180">
        <f t="shared" si="91"/>
        <v>39775</v>
      </c>
      <c r="CN133">
        <v>0</v>
      </c>
      <c r="CO133">
        <v>1</v>
      </c>
      <c r="CP133">
        <v>0</v>
      </c>
      <c r="CQ133">
        <v>3</v>
      </c>
      <c r="CR133"/>
      <c r="CS133"/>
      <c r="CT133"/>
      <c r="CU133"/>
      <c r="CV133" s="160"/>
      <c r="CW133">
        <v>1</v>
      </c>
      <c r="CX133">
        <v>1</v>
      </c>
      <c r="CY133" s="164"/>
      <c r="CZ133" s="177">
        <f t="shared" si="92"/>
        <v>9.6000000000000002E-2</v>
      </c>
      <c r="DB133" s="146"/>
      <c r="DC133" s="76">
        <f t="shared" ca="1" si="50"/>
        <v>0.33906180186222601</v>
      </c>
      <c r="DD133">
        <f t="shared" si="93"/>
        <v>6</v>
      </c>
      <c r="DE133" s="129">
        <f t="shared" si="164"/>
        <v>39775</v>
      </c>
      <c r="DF133" s="161">
        <f t="shared" si="94"/>
        <v>0</v>
      </c>
      <c r="DG133" s="161">
        <f t="shared" si="95"/>
        <v>10.416666666666666</v>
      </c>
      <c r="DH133" s="161">
        <f t="shared" si="96"/>
        <v>0</v>
      </c>
      <c r="DI133" s="161">
        <f t="shared" si="97"/>
        <v>31.25</v>
      </c>
      <c r="DJ133" s="161">
        <f t="shared" si="98"/>
        <v>10.416666666666666</v>
      </c>
      <c r="DK133" s="161">
        <f t="shared" si="99"/>
        <v>93.75</v>
      </c>
      <c r="DL133" s="161">
        <f t="shared" si="100"/>
        <v>41.666666666666664</v>
      </c>
      <c r="DM133" s="161">
        <f t="shared" si="101"/>
        <v>0</v>
      </c>
      <c r="DN133" s="161">
        <f t="shared" si="102"/>
        <v>0</v>
      </c>
      <c r="DO133" s="161">
        <f t="shared" si="103"/>
        <v>0</v>
      </c>
      <c r="DP133" s="161">
        <f t="shared" si="104"/>
        <v>0</v>
      </c>
      <c r="DQ133" s="161">
        <f t="shared" si="105"/>
        <v>0</v>
      </c>
      <c r="DR133" s="161">
        <f t="shared" si="106"/>
        <v>0</v>
      </c>
      <c r="DS133" s="161">
        <f t="shared" si="107"/>
        <v>0</v>
      </c>
      <c r="DT133" s="161">
        <f t="shared" si="108"/>
        <v>0</v>
      </c>
      <c r="DU133" s="161">
        <f t="shared" si="109"/>
        <v>0</v>
      </c>
      <c r="DV133" s="161">
        <f t="shared" si="110"/>
        <v>0</v>
      </c>
      <c r="DW133" s="161">
        <f t="shared" si="111"/>
        <v>0</v>
      </c>
      <c r="DX133" s="161">
        <f t="shared" si="112"/>
        <v>0</v>
      </c>
      <c r="DY133" s="161">
        <f t="shared" si="113"/>
        <v>0</v>
      </c>
      <c r="DZ133" s="161">
        <f t="shared" si="114"/>
        <v>0</v>
      </c>
      <c r="EA133" s="161">
        <f t="shared" si="115"/>
        <v>0</v>
      </c>
      <c r="EB133" s="161">
        <f t="shared" si="116"/>
        <v>0</v>
      </c>
      <c r="EC133" s="161">
        <f t="shared" si="117"/>
        <v>0</v>
      </c>
      <c r="ED133" s="161">
        <f t="shared" si="118"/>
        <v>0</v>
      </c>
      <c r="EE133" s="161">
        <f t="shared" si="119"/>
        <v>0</v>
      </c>
      <c r="EF133" s="161">
        <f t="shared" si="120"/>
        <v>0</v>
      </c>
      <c r="EG133" s="161">
        <f t="shared" si="121"/>
        <v>0</v>
      </c>
      <c r="EH133" s="161">
        <f t="shared" si="122"/>
        <v>0</v>
      </c>
      <c r="EI133" s="161">
        <f t="shared" si="123"/>
        <v>0</v>
      </c>
      <c r="EJ133" s="161">
        <f t="shared" si="124"/>
        <v>0</v>
      </c>
      <c r="EK133" s="147">
        <f t="shared" si="131"/>
        <v>187.49999999999997</v>
      </c>
      <c r="EL133" s="149"/>
      <c r="EN133" s="146"/>
      <c r="EO133" s="146"/>
      <c r="EP133" s="139">
        <f t="shared" si="132"/>
        <v>0</v>
      </c>
      <c r="EQ133" s="139">
        <f t="shared" si="133"/>
        <v>0.12011770833333332</v>
      </c>
      <c r="ER133" s="139">
        <f t="shared" si="134"/>
        <v>0</v>
      </c>
      <c r="ES133" s="139">
        <f t="shared" si="135"/>
        <v>6.7485532484778545</v>
      </c>
      <c r="ET133" s="139">
        <f t="shared" si="136"/>
        <v>4.8450809197869589</v>
      </c>
      <c r="EU133" s="139">
        <f t="shared" si="137"/>
        <v>79.068326858711032</v>
      </c>
      <c r="EV133" s="139">
        <f t="shared" si="138"/>
        <v>57.14739179736717</v>
      </c>
      <c r="EW133" s="139">
        <f t="shared" si="139"/>
        <v>0</v>
      </c>
      <c r="EX133" s="139">
        <f t="shared" si="140"/>
        <v>0</v>
      </c>
      <c r="EY133" s="139">
        <f t="shared" si="141"/>
        <v>0</v>
      </c>
      <c r="EZ133" s="139">
        <f t="shared" si="142"/>
        <v>0</v>
      </c>
      <c r="FA133" s="139">
        <f t="shared" si="143"/>
        <v>0</v>
      </c>
      <c r="FB133" s="139">
        <f t="shared" si="144"/>
        <v>0</v>
      </c>
      <c r="FC133" s="139">
        <f t="shared" si="145"/>
        <v>0</v>
      </c>
      <c r="FD133" s="139">
        <f t="shared" si="146"/>
        <v>0</v>
      </c>
      <c r="FE133" s="139">
        <f t="shared" si="147"/>
        <v>0</v>
      </c>
      <c r="FF133" s="139">
        <f t="shared" si="148"/>
        <v>0</v>
      </c>
      <c r="FG133" s="139">
        <f t="shared" si="149"/>
        <v>0</v>
      </c>
      <c r="FH133" s="139">
        <f t="shared" si="150"/>
        <v>0</v>
      </c>
      <c r="FI133" s="139">
        <f t="shared" si="151"/>
        <v>0</v>
      </c>
      <c r="FJ133" s="139">
        <f t="shared" si="152"/>
        <v>0</v>
      </c>
      <c r="FK133" s="139">
        <f t="shared" si="153"/>
        <v>0</v>
      </c>
      <c r="FL133" s="139">
        <f t="shared" si="154"/>
        <v>0</v>
      </c>
      <c r="FM133" s="139">
        <f t="shared" si="155"/>
        <v>0</v>
      </c>
      <c r="FN133" s="139">
        <f t="shared" si="156"/>
        <v>0</v>
      </c>
      <c r="FO133" s="139">
        <f t="shared" si="157"/>
        <v>0</v>
      </c>
      <c r="FP133" s="139">
        <f t="shared" si="158"/>
        <v>0</v>
      </c>
      <c r="FQ133" s="139">
        <f t="shared" si="159"/>
        <v>0</v>
      </c>
      <c r="FR133" s="139">
        <f t="shared" si="160"/>
        <v>0</v>
      </c>
      <c r="FS133" s="139">
        <f t="shared" si="161"/>
        <v>0</v>
      </c>
      <c r="FT133" s="139">
        <f t="shared" si="162"/>
        <v>0</v>
      </c>
      <c r="FU133" s="148">
        <f t="shared" si="163"/>
        <v>147.92947053267633</v>
      </c>
      <c r="FV133" s="149"/>
      <c r="FY133" s="211">
        <v>128</v>
      </c>
      <c r="FZ133">
        <v>115.92178632875633</v>
      </c>
      <c r="GA133">
        <v>152.51809599489422</v>
      </c>
      <c r="GB133">
        <v>42.462593702255518</v>
      </c>
      <c r="GC133">
        <v>38.787062083066076</v>
      </c>
      <c r="GD133">
        <v>36.186832856975116</v>
      </c>
      <c r="GE133">
        <v>53.807081439767394</v>
      </c>
      <c r="GF133">
        <v>48.240299133381207</v>
      </c>
      <c r="GG133">
        <v>69.744519375481971</v>
      </c>
      <c r="GH133">
        <v>110.24708216271509</v>
      </c>
      <c r="GI133">
        <v>80.466494726439365</v>
      </c>
      <c r="GJ133"/>
      <c r="GK133"/>
      <c r="GL133"/>
      <c r="GM133"/>
    </row>
    <row r="134" spans="1:195" s="7" customFormat="1">
      <c r="A134" s="1"/>
      <c r="B134" s="76">
        <f ca="1">IF(C134="", "", RAND())</f>
        <v>0.44792152344083735</v>
      </c>
      <c r="C134">
        <v>2</v>
      </c>
      <c r="D134">
        <v>39775</v>
      </c>
      <c r="E134">
        <v>0</v>
      </c>
      <c r="F134">
        <v>0</v>
      </c>
      <c r="G134">
        <v>0</v>
      </c>
      <c r="H134">
        <v>0</v>
      </c>
      <c r="I134">
        <v>20.833333333333332</v>
      </c>
      <c r="J134">
        <v>177.08333333333334</v>
      </c>
      <c r="K134">
        <v>83.333333333333329</v>
      </c>
      <c r="L134">
        <v>10.416666666666666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230.6097536617699</v>
      </c>
      <c r="AO134">
        <v>116.55977790005095</v>
      </c>
      <c r="AP134">
        <v>389.11320443744614</v>
      </c>
      <c r="AQ134">
        <v>683.59845797098069</v>
      </c>
      <c r="AR134">
        <v>110.68021864013183</v>
      </c>
      <c r="AS134">
        <v>1077.3861621286944</v>
      </c>
      <c r="AT134">
        <v>57.665506147777897</v>
      </c>
      <c r="AU134">
        <v>123.20051364462417</v>
      </c>
      <c r="AV134"/>
      <c r="AW134"/>
      <c r="AX134" s="146"/>
      <c r="AY134" s="76">
        <f t="shared" ca="1" si="87"/>
        <v>0.3969777602454494</v>
      </c>
      <c r="AZ134">
        <v>7</v>
      </c>
      <c r="BA134" s="129">
        <f t="shared" si="165"/>
        <v>39775</v>
      </c>
      <c r="BB134">
        <v>0</v>
      </c>
      <c r="BC134">
        <v>0</v>
      </c>
      <c r="BD134">
        <v>0</v>
      </c>
      <c r="BE134">
        <v>0</v>
      </c>
      <c r="BF134">
        <v>5</v>
      </c>
      <c r="BG134">
        <v>10</v>
      </c>
      <c r="BH134">
        <v>8</v>
      </c>
      <c r="BI134">
        <v>3</v>
      </c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 s="147"/>
      <c r="CH134" s="176"/>
      <c r="CJ134" s="146"/>
      <c r="CK134" s="76">
        <f t="shared" ca="1" si="89"/>
        <v>0.31417581122997817</v>
      </c>
      <c r="CL134" s="179">
        <f t="shared" si="90"/>
        <v>7</v>
      </c>
      <c r="CM134" s="180">
        <f t="shared" si="91"/>
        <v>39775</v>
      </c>
      <c r="CN134">
        <v>0</v>
      </c>
      <c r="CO134">
        <v>0</v>
      </c>
      <c r="CP134">
        <v>1</v>
      </c>
      <c r="CQ134"/>
      <c r="CR134"/>
      <c r="CS134"/>
      <c r="CT134"/>
      <c r="CU134"/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2"/>
        <v>9.6000000000000002E-2</v>
      </c>
      <c r="DB134" s="146"/>
      <c r="DC134" s="76">
        <f t="shared" ca="1" si="50"/>
        <v>0.94657224532893647</v>
      </c>
      <c r="DD134">
        <f t="shared" si="93"/>
        <v>7</v>
      </c>
      <c r="DE134" s="129">
        <f t="shared" si="164"/>
        <v>39775</v>
      </c>
      <c r="DF134" s="161">
        <f t="shared" si="94"/>
        <v>0</v>
      </c>
      <c r="DG134" s="161">
        <f t="shared" si="95"/>
        <v>0</v>
      </c>
      <c r="DH134" s="161">
        <f t="shared" si="96"/>
        <v>23.148148148148149</v>
      </c>
      <c r="DI134" s="161">
        <f t="shared" si="97"/>
        <v>0</v>
      </c>
      <c r="DJ134" s="161">
        <f t="shared" si="98"/>
        <v>71.022727272727266</v>
      </c>
      <c r="DK134" s="161">
        <f t="shared" si="99"/>
        <v>142.04545454545453</v>
      </c>
      <c r="DL134" s="161">
        <f t="shared" si="100"/>
        <v>113.63636363636363</v>
      </c>
      <c r="DM134" s="161">
        <f t="shared" si="101"/>
        <v>42.61363636363636</v>
      </c>
      <c r="DN134" s="161">
        <f t="shared" si="102"/>
        <v>0</v>
      </c>
      <c r="DO134" s="161">
        <f t="shared" si="103"/>
        <v>0</v>
      </c>
      <c r="DP134" s="161">
        <f t="shared" si="104"/>
        <v>0</v>
      </c>
      <c r="DQ134" s="161">
        <f t="shared" si="105"/>
        <v>0</v>
      </c>
      <c r="DR134" s="161">
        <f t="shared" si="106"/>
        <v>0</v>
      </c>
      <c r="DS134" s="161">
        <f t="shared" si="107"/>
        <v>0</v>
      </c>
      <c r="DT134" s="161">
        <f t="shared" si="108"/>
        <v>0</v>
      </c>
      <c r="DU134" s="161">
        <f t="shared" si="109"/>
        <v>0</v>
      </c>
      <c r="DV134" s="161">
        <f t="shared" si="110"/>
        <v>0</v>
      </c>
      <c r="DW134" s="161">
        <f t="shared" si="111"/>
        <v>0</v>
      </c>
      <c r="DX134" s="161">
        <f t="shared" si="112"/>
        <v>0</v>
      </c>
      <c r="DY134" s="161">
        <f t="shared" si="113"/>
        <v>0</v>
      </c>
      <c r="DZ134" s="161">
        <f t="shared" si="114"/>
        <v>0</v>
      </c>
      <c r="EA134" s="161">
        <f t="shared" si="115"/>
        <v>0</v>
      </c>
      <c r="EB134" s="161">
        <f t="shared" si="116"/>
        <v>0</v>
      </c>
      <c r="EC134" s="161">
        <f t="shared" si="117"/>
        <v>0</v>
      </c>
      <c r="ED134" s="161">
        <f t="shared" si="118"/>
        <v>0</v>
      </c>
      <c r="EE134" s="161">
        <f t="shared" si="119"/>
        <v>0</v>
      </c>
      <c r="EF134" s="161">
        <f t="shared" si="120"/>
        <v>0</v>
      </c>
      <c r="EG134" s="161">
        <f t="shared" si="121"/>
        <v>0</v>
      </c>
      <c r="EH134" s="161">
        <f t="shared" si="122"/>
        <v>0</v>
      </c>
      <c r="EI134" s="161">
        <f t="shared" si="123"/>
        <v>0</v>
      </c>
      <c r="EJ134" s="161">
        <f t="shared" si="124"/>
        <v>0</v>
      </c>
      <c r="EK134" s="147">
        <f t="shared" si="131"/>
        <v>392.46632996632997</v>
      </c>
      <c r="EL134" s="149"/>
      <c r="EN134" s="146"/>
      <c r="EO134" s="146"/>
      <c r="EP134" s="139">
        <f t="shared" si="132"/>
        <v>0</v>
      </c>
      <c r="EQ134" s="139">
        <f t="shared" si="133"/>
        <v>0</v>
      </c>
      <c r="ER134" s="139">
        <f t="shared" si="134"/>
        <v>1.6952803282874376</v>
      </c>
      <c r="ES134" s="139">
        <f t="shared" si="135"/>
        <v>0</v>
      </c>
      <c r="ET134" s="139">
        <f t="shared" si="136"/>
        <v>33.03464263491108</v>
      </c>
      <c r="EU134" s="139">
        <f t="shared" si="137"/>
        <v>119.80049524047126</v>
      </c>
      <c r="EV134" s="139">
        <f t="shared" si="138"/>
        <v>155.85652308372863</v>
      </c>
      <c r="EW134" s="139">
        <f t="shared" si="139"/>
        <v>88.166446927318759</v>
      </c>
      <c r="EX134" s="139">
        <f t="shared" si="140"/>
        <v>0</v>
      </c>
      <c r="EY134" s="139">
        <f t="shared" si="141"/>
        <v>0</v>
      </c>
      <c r="EZ134" s="139">
        <f t="shared" si="142"/>
        <v>0</v>
      </c>
      <c r="FA134" s="139">
        <f t="shared" si="143"/>
        <v>0</v>
      </c>
      <c r="FB134" s="139">
        <f t="shared" si="144"/>
        <v>0</v>
      </c>
      <c r="FC134" s="139">
        <f t="shared" si="145"/>
        <v>0</v>
      </c>
      <c r="FD134" s="139">
        <f t="shared" si="146"/>
        <v>0</v>
      </c>
      <c r="FE134" s="139">
        <f t="shared" si="147"/>
        <v>0</v>
      </c>
      <c r="FF134" s="139">
        <f t="shared" si="148"/>
        <v>0</v>
      </c>
      <c r="FG134" s="139">
        <f t="shared" si="149"/>
        <v>0</v>
      </c>
      <c r="FH134" s="139">
        <f t="shared" si="150"/>
        <v>0</v>
      </c>
      <c r="FI134" s="139">
        <f t="shared" si="151"/>
        <v>0</v>
      </c>
      <c r="FJ134" s="139">
        <f t="shared" si="152"/>
        <v>0</v>
      </c>
      <c r="FK134" s="139">
        <f t="shared" si="153"/>
        <v>0</v>
      </c>
      <c r="FL134" s="139">
        <f t="shared" si="154"/>
        <v>0</v>
      </c>
      <c r="FM134" s="139">
        <f t="shared" si="155"/>
        <v>0</v>
      </c>
      <c r="FN134" s="139">
        <f t="shared" si="156"/>
        <v>0</v>
      </c>
      <c r="FO134" s="139">
        <f t="shared" si="157"/>
        <v>0</v>
      </c>
      <c r="FP134" s="139">
        <f t="shared" si="158"/>
        <v>0</v>
      </c>
      <c r="FQ134" s="139">
        <f t="shared" si="159"/>
        <v>0</v>
      </c>
      <c r="FR134" s="139">
        <f t="shared" si="160"/>
        <v>0</v>
      </c>
      <c r="FS134" s="139">
        <f t="shared" si="161"/>
        <v>0</v>
      </c>
      <c r="FT134" s="139">
        <f t="shared" si="162"/>
        <v>0</v>
      </c>
      <c r="FU134" s="148">
        <f t="shared" si="163"/>
        <v>398.55338821471719</v>
      </c>
      <c r="FV134" s="149"/>
      <c r="FY134" s="211">
        <v>129</v>
      </c>
      <c r="FZ134">
        <v>121.34516617120917</v>
      </c>
      <c r="GA134">
        <v>173.46708479338309</v>
      </c>
      <c r="GB134">
        <v>58.683111600100759</v>
      </c>
      <c r="GC134">
        <v>39.228872176152407</v>
      </c>
      <c r="GD134">
        <v>33.776457775534261</v>
      </c>
      <c r="GE134">
        <v>81.049017777036397</v>
      </c>
      <c r="GF134">
        <v>140.30485063879013</v>
      </c>
      <c r="GG134">
        <v>85.56873604012037</v>
      </c>
      <c r="GH134">
        <v>65.53822709805651</v>
      </c>
      <c r="GI134">
        <v>97.85853238726655</v>
      </c>
      <c r="GJ134"/>
      <c r="GK134"/>
      <c r="GL134"/>
      <c r="GM134"/>
    </row>
    <row r="135" spans="1:195" s="7" customFormat="1">
      <c r="A135" s="1"/>
      <c r="B135" s="76">
        <f ca="1">IF(C135="", "", RAND())</f>
        <v>8.5263764452786939E-2</v>
      </c>
      <c r="C135">
        <v>3</v>
      </c>
      <c r="D135">
        <v>39775</v>
      </c>
      <c r="E135">
        <v>0</v>
      </c>
      <c r="F135">
        <v>208.33333333333334</v>
      </c>
      <c r="G135">
        <v>729.16666666666663</v>
      </c>
      <c r="H135">
        <v>0</v>
      </c>
      <c r="I135">
        <v>62.5</v>
      </c>
      <c r="J135">
        <v>52.083333333333336</v>
      </c>
      <c r="K135">
        <v>62.5</v>
      </c>
      <c r="L135">
        <v>10.416666666666666</v>
      </c>
      <c r="M135">
        <v>10.416666666666666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265.24053999738624</v>
      </c>
      <c r="AO135">
        <v>136.02492044288695</v>
      </c>
      <c r="AP135">
        <v>507.48053666927348</v>
      </c>
      <c r="AQ135">
        <v>769.40388199775168</v>
      </c>
      <c r="AR135">
        <v>129.86291173058385</v>
      </c>
      <c r="AS135">
        <v>1337.744570227755</v>
      </c>
      <c r="AT135">
        <v>65.928147169955921</v>
      </c>
      <c r="AU135">
        <v>94.456785469722121</v>
      </c>
      <c r="AV135"/>
      <c r="AW135"/>
      <c r="AX135" s="146"/>
      <c r="AY135" s="76">
        <f t="shared" ca="1" si="87"/>
        <v>0.30636787508195873</v>
      </c>
      <c r="AZ135">
        <v>8</v>
      </c>
      <c r="BA135" s="129">
        <f t="shared" si="165"/>
        <v>39775</v>
      </c>
      <c r="BB135">
        <v>0</v>
      </c>
      <c r="BC135">
        <v>0</v>
      </c>
      <c r="BD135">
        <v>0</v>
      </c>
      <c r="BE135">
        <v>0</v>
      </c>
      <c r="BF135">
        <v>2</v>
      </c>
      <c r="BG135">
        <v>2</v>
      </c>
      <c r="BH135">
        <v>4</v>
      </c>
      <c r="BI135">
        <v>1</v>
      </c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 s="147"/>
      <c r="CH135" s="176"/>
      <c r="CJ135" s="146"/>
      <c r="CK135" s="76">
        <f t="shared" ca="1" si="89"/>
        <v>0.74373809028679827</v>
      </c>
      <c r="CL135" s="179">
        <f t="shared" si="90"/>
        <v>8</v>
      </c>
      <c r="CM135" s="180">
        <f t="shared" si="91"/>
        <v>39775</v>
      </c>
      <c r="CN135">
        <v>0</v>
      </c>
      <c r="CO135">
        <v>0</v>
      </c>
      <c r="CP135">
        <v>5</v>
      </c>
      <c r="CQ135"/>
      <c r="CR135"/>
      <c r="CS135"/>
      <c r="CT135"/>
      <c r="CU135"/>
      <c r="CV135" s="160"/>
      <c r="CW135">
        <f>30/9</f>
        <v>3.3333333333333335</v>
      </c>
      <c r="CX135">
        <f>40/8</f>
        <v>5</v>
      </c>
      <c r="CY135" s="164"/>
      <c r="CZ135" s="177">
        <f t="shared" si="92"/>
        <v>9.6000000000000002E-2</v>
      </c>
      <c r="DB135" s="146"/>
      <c r="DC135" s="76">
        <f t="shared" ca="1" si="50"/>
        <v>0.31292623379107987</v>
      </c>
      <c r="DD135">
        <f t="shared" si="93"/>
        <v>8</v>
      </c>
      <c r="DE135" s="129">
        <f t="shared" si="164"/>
        <v>39775</v>
      </c>
      <c r="DF135" s="161">
        <f t="shared" si="94"/>
        <v>0</v>
      </c>
      <c r="DG135" s="161">
        <f t="shared" si="95"/>
        <v>0</v>
      </c>
      <c r="DH135" s="161">
        <f t="shared" si="96"/>
        <v>260.41666666666669</v>
      </c>
      <c r="DI135" s="161">
        <f t="shared" si="97"/>
        <v>0</v>
      </c>
      <c r="DJ135" s="161">
        <f t="shared" si="98"/>
        <v>69.444444444444443</v>
      </c>
      <c r="DK135" s="161">
        <f t="shared" si="99"/>
        <v>69.444444444444443</v>
      </c>
      <c r="DL135" s="161">
        <f t="shared" si="100"/>
        <v>138.88888888888889</v>
      </c>
      <c r="DM135" s="161">
        <f t="shared" si="101"/>
        <v>34.722222222222221</v>
      </c>
      <c r="DN135" s="161">
        <f t="shared" si="102"/>
        <v>0</v>
      </c>
      <c r="DO135" s="161">
        <f t="shared" si="103"/>
        <v>0</v>
      </c>
      <c r="DP135" s="161">
        <f t="shared" si="104"/>
        <v>0</v>
      </c>
      <c r="DQ135" s="161">
        <f t="shared" si="105"/>
        <v>0</v>
      </c>
      <c r="DR135" s="161">
        <f t="shared" si="106"/>
        <v>0</v>
      </c>
      <c r="DS135" s="161">
        <f t="shared" si="107"/>
        <v>0</v>
      </c>
      <c r="DT135" s="161">
        <f t="shared" si="108"/>
        <v>0</v>
      </c>
      <c r="DU135" s="161">
        <f t="shared" si="109"/>
        <v>0</v>
      </c>
      <c r="DV135" s="161">
        <f t="shared" si="110"/>
        <v>0</v>
      </c>
      <c r="DW135" s="161">
        <f t="shared" si="111"/>
        <v>0</v>
      </c>
      <c r="DX135" s="161">
        <f t="shared" si="112"/>
        <v>0</v>
      </c>
      <c r="DY135" s="161">
        <f t="shared" si="113"/>
        <v>0</v>
      </c>
      <c r="DZ135" s="161">
        <f t="shared" si="114"/>
        <v>0</v>
      </c>
      <c r="EA135" s="161">
        <f t="shared" si="115"/>
        <v>0</v>
      </c>
      <c r="EB135" s="161">
        <f t="shared" si="116"/>
        <v>0</v>
      </c>
      <c r="EC135" s="161">
        <f t="shared" si="117"/>
        <v>0</v>
      </c>
      <c r="ED135" s="161">
        <f t="shared" si="118"/>
        <v>0</v>
      </c>
      <c r="EE135" s="161">
        <f t="shared" si="119"/>
        <v>0</v>
      </c>
      <c r="EF135" s="161">
        <f t="shared" si="120"/>
        <v>0</v>
      </c>
      <c r="EG135" s="161">
        <f t="shared" si="121"/>
        <v>0</v>
      </c>
      <c r="EH135" s="161">
        <f t="shared" si="122"/>
        <v>0</v>
      </c>
      <c r="EI135" s="161">
        <f t="shared" si="123"/>
        <v>0</v>
      </c>
      <c r="EJ135" s="161">
        <f t="shared" si="124"/>
        <v>0</v>
      </c>
      <c r="EK135" s="147">
        <f t="shared" si="131"/>
        <v>572.91666666666663</v>
      </c>
      <c r="EL135" s="149"/>
      <c r="EN135" s="146"/>
      <c r="EO135" s="146"/>
      <c r="EP135" s="139">
        <f t="shared" si="132"/>
        <v>0</v>
      </c>
      <c r="EQ135" s="139">
        <f t="shared" si="133"/>
        <v>0</v>
      </c>
      <c r="ER135" s="139">
        <f t="shared" si="134"/>
        <v>19.071903693233672</v>
      </c>
      <c r="ES135" s="139">
        <f t="shared" si="135"/>
        <v>0</v>
      </c>
      <c r="ET135" s="139">
        <f t="shared" si="136"/>
        <v>32.300539465246395</v>
      </c>
      <c r="EU135" s="139">
        <f t="shared" si="137"/>
        <v>58.569131006452622</v>
      </c>
      <c r="EV135" s="139">
        <f t="shared" si="138"/>
        <v>190.4913059912239</v>
      </c>
      <c r="EW135" s="139">
        <f t="shared" si="139"/>
        <v>71.839327125963436</v>
      </c>
      <c r="EX135" s="139">
        <f t="shared" si="140"/>
        <v>0</v>
      </c>
      <c r="EY135" s="139">
        <f t="shared" si="141"/>
        <v>0</v>
      </c>
      <c r="EZ135" s="139">
        <f t="shared" si="142"/>
        <v>0</v>
      </c>
      <c r="FA135" s="139">
        <f t="shared" si="143"/>
        <v>0</v>
      </c>
      <c r="FB135" s="139">
        <f t="shared" si="144"/>
        <v>0</v>
      </c>
      <c r="FC135" s="139">
        <f t="shared" si="145"/>
        <v>0</v>
      </c>
      <c r="FD135" s="139">
        <f t="shared" si="146"/>
        <v>0</v>
      </c>
      <c r="FE135" s="139">
        <f t="shared" si="147"/>
        <v>0</v>
      </c>
      <c r="FF135" s="139">
        <f t="shared" si="148"/>
        <v>0</v>
      </c>
      <c r="FG135" s="139">
        <f t="shared" si="149"/>
        <v>0</v>
      </c>
      <c r="FH135" s="139">
        <f t="shared" si="150"/>
        <v>0</v>
      </c>
      <c r="FI135" s="139">
        <f t="shared" si="151"/>
        <v>0</v>
      </c>
      <c r="FJ135" s="139">
        <f t="shared" si="152"/>
        <v>0</v>
      </c>
      <c r="FK135" s="139">
        <f t="shared" si="153"/>
        <v>0</v>
      </c>
      <c r="FL135" s="139">
        <f t="shared" si="154"/>
        <v>0</v>
      </c>
      <c r="FM135" s="139">
        <f t="shared" si="155"/>
        <v>0</v>
      </c>
      <c r="FN135" s="139">
        <f t="shared" si="156"/>
        <v>0</v>
      </c>
      <c r="FO135" s="139">
        <f t="shared" si="157"/>
        <v>0</v>
      </c>
      <c r="FP135" s="139">
        <f t="shared" si="158"/>
        <v>0</v>
      </c>
      <c r="FQ135" s="139">
        <f t="shared" si="159"/>
        <v>0</v>
      </c>
      <c r="FR135" s="139">
        <f t="shared" si="160"/>
        <v>0</v>
      </c>
      <c r="FS135" s="139">
        <f t="shared" si="161"/>
        <v>0</v>
      </c>
      <c r="FT135" s="139">
        <f t="shared" si="162"/>
        <v>0</v>
      </c>
      <c r="FU135" s="148">
        <f t="shared" si="163"/>
        <v>372.27220728212001</v>
      </c>
      <c r="FV135" s="149"/>
      <c r="FY135" s="211">
        <v>130</v>
      </c>
      <c r="FZ135">
        <v>106.12899261540684</v>
      </c>
      <c r="GA135">
        <v>156.61544461307483</v>
      </c>
      <c r="GB135">
        <v>47.788927073068855</v>
      </c>
      <c r="GC135">
        <v>47.684277657546332</v>
      </c>
      <c r="GD135">
        <v>45.712065655205876</v>
      </c>
      <c r="GE135">
        <v>43.80943665926722</v>
      </c>
      <c r="GF135">
        <v>53.779932822837779</v>
      </c>
      <c r="GG135">
        <v>62.884157219743535</v>
      </c>
      <c r="GH135">
        <v>42.534692558569581</v>
      </c>
      <c r="GI135">
        <v>77.540895679241288</v>
      </c>
      <c r="GJ135"/>
      <c r="GK135"/>
      <c r="GL135"/>
      <c r="GM135"/>
    </row>
    <row r="136" spans="1:195" s="7" customFormat="1">
      <c r="A136" s="1"/>
      <c r="B136" s="76">
        <f ca="1">IF(C136="", "", RAND())</f>
        <v>2.0100570977123811E-2</v>
      </c>
      <c r="C136">
        <v>1</v>
      </c>
      <c r="D136">
        <v>39775</v>
      </c>
      <c r="E136">
        <v>0</v>
      </c>
      <c r="F136">
        <v>0</v>
      </c>
      <c r="G136">
        <v>43.75</v>
      </c>
      <c r="H136">
        <v>0</v>
      </c>
      <c r="I136">
        <v>0</v>
      </c>
      <c r="J136">
        <v>96.15384615384616</v>
      </c>
      <c r="K136">
        <v>64.102564102564102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236.50453459682967</v>
      </c>
      <c r="AO136">
        <v>140.79568824859172</v>
      </c>
      <c r="AP136">
        <v>609.05575233762784</v>
      </c>
      <c r="AQ136">
        <v>843.50621935621143</v>
      </c>
      <c r="AR136">
        <v>133.86535355343304</v>
      </c>
      <c r="AS136">
        <v>1367.6024562248888</v>
      </c>
      <c r="AT136">
        <v>73.166461355471313</v>
      </c>
      <c r="AU136">
        <v>190.05004146632933</v>
      </c>
      <c r="AV136"/>
      <c r="AW136"/>
      <c r="AX136" s="146"/>
      <c r="AY136" s="76">
        <f t="shared" ca="1" si="87"/>
        <v>0.70283305257082151</v>
      </c>
      <c r="AZ136">
        <v>9</v>
      </c>
      <c r="BA136" s="129">
        <f t="shared" si="165"/>
        <v>39775</v>
      </c>
      <c r="BB136">
        <v>0</v>
      </c>
      <c r="BC136">
        <v>0</v>
      </c>
      <c r="BD136">
        <v>0</v>
      </c>
      <c r="BE136">
        <v>0</v>
      </c>
      <c r="BF136">
        <v>2</v>
      </c>
      <c r="BG136">
        <v>7</v>
      </c>
      <c r="BH136">
        <v>6</v>
      </c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 s="147"/>
      <c r="CH136" s="176"/>
      <c r="CJ136" s="146"/>
      <c r="CK136" s="76">
        <f t="shared" ca="1" si="89"/>
        <v>0.84263496742430899</v>
      </c>
      <c r="CL136" s="179">
        <f t="shared" si="90"/>
        <v>9</v>
      </c>
      <c r="CM136" s="180">
        <f t="shared" si="91"/>
        <v>39775</v>
      </c>
      <c r="CN136">
        <v>0</v>
      </c>
      <c r="CO136">
        <v>0</v>
      </c>
      <c r="CP136">
        <v>5</v>
      </c>
      <c r="CQ136"/>
      <c r="CR136"/>
      <c r="CS136"/>
      <c r="CT136"/>
      <c r="CU136"/>
      <c r="CV136" s="160"/>
      <c r="CW136">
        <v>1</v>
      </c>
      <c r="CX136">
        <v>1</v>
      </c>
      <c r="CY136" s="164"/>
      <c r="CZ136" s="177">
        <f t="shared" si="92"/>
        <v>9.6000000000000002E-2</v>
      </c>
      <c r="DB136" s="146"/>
      <c r="DC136" s="76">
        <f t="shared" ca="1" si="50"/>
        <v>0.91830296213625373</v>
      </c>
      <c r="DD136">
        <f t="shared" si="93"/>
        <v>9</v>
      </c>
      <c r="DE136" s="129">
        <f t="shared" si="164"/>
        <v>39775</v>
      </c>
      <c r="DF136" s="161">
        <f t="shared" si="94"/>
        <v>0</v>
      </c>
      <c r="DG136" s="161">
        <f t="shared" si="95"/>
        <v>0</v>
      </c>
      <c r="DH136" s="161">
        <f t="shared" si="96"/>
        <v>52.083333333333336</v>
      </c>
      <c r="DI136" s="161">
        <f t="shared" si="97"/>
        <v>0</v>
      </c>
      <c r="DJ136" s="161">
        <f t="shared" si="98"/>
        <v>20.833333333333332</v>
      </c>
      <c r="DK136" s="161">
        <f t="shared" si="99"/>
        <v>72.916666666666671</v>
      </c>
      <c r="DL136" s="161">
        <f t="shared" si="100"/>
        <v>62.5</v>
      </c>
      <c r="DM136" s="161">
        <f t="shared" si="101"/>
        <v>0</v>
      </c>
      <c r="DN136" s="161">
        <f t="shared" si="102"/>
        <v>0</v>
      </c>
      <c r="DO136" s="161">
        <f t="shared" si="103"/>
        <v>0</v>
      </c>
      <c r="DP136" s="161">
        <f t="shared" si="104"/>
        <v>0</v>
      </c>
      <c r="DQ136" s="161">
        <f t="shared" si="105"/>
        <v>0</v>
      </c>
      <c r="DR136" s="161">
        <f t="shared" si="106"/>
        <v>0</v>
      </c>
      <c r="DS136" s="161">
        <f t="shared" si="107"/>
        <v>0</v>
      </c>
      <c r="DT136" s="161">
        <f t="shared" si="108"/>
        <v>0</v>
      </c>
      <c r="DU136" s="161">
        <f t="shared" si="109"/>
        <v>0</v>
      </c>
      <c r="DV136" s="161">
        <f t="shared" si="110"/>
        <v>0</v>
      </c>
      <c r="DW136" s="161">
        <f t="shared" si="111"/>
        <v>0</v>
      </c>
      <c r="DX136" s="161">
        <f t="shared" si="112"/>
        <v>0</v>
      </c>
      <c r="DY136" s="161">
        <f t="shared" si="113"/>
        <v>0</v>
      </c>
      <c r="DZ136" s="161">
        <f t="shared" si="114"/>
        <v>0</v>
      </c>
      <c r="EA136" s="161">
        <f t="shared" si="115"/>
        <v>0</v>
      </c>
      <c r="EB136" s="161">
        <f t="shared" si="116"/>
        <v>0</v>
      </c>
      <c r="EC136" s="161">
        <f t="shared" si="117"/>
        <v>0</v>
      </c>
      <c r="ED136" s="161">
        <f t="shared" si="118"/>
        <v>0</v>
      </c>
      <c r="EE136" s="161">
        <f t="shared" si="119"/>
        <v>0</v>
      </c>
      <c r="EF136" s="161">
        <f t="shared" si="120"/>
        <v>0</v>
      </c>
      <c r="EG136" s="161">
        <f t="shared" si="121"/>
        <v>0</v>
      </c>
      <c r="EH136" s="161">
        <f t="shared" si="122"/>
        <v>0</v>
      </c>
      <c r="EI136" s="161">
        <f t="shared" si="123"/>
        <v>0</v>
      </c>
      <c r="EJ136" s="161">
        <f t="shared" si="124"/>
        <v>0</v>
      </c>
      <c r="EK136" s="147">
        <f t="shared" si="131"/>
        <v>208.33333333333334</v>
      </c>
      <c r="EL136" s="149"/>
      <c r="EN136" s="146"/>
      <c r="EO136" s="146"/>
      <c r="EP136" s="139">
        <f t="shared" si="132"/>
        <v>0</v>
      </c>
      <c r="EQ136" s="139">
        <f t="shared" si="133"/>
        <v>0</v>
      </c>
      <c r="ER136" s="139">
        <f t="shared" si="134"/>
        <v>3.8143807386467343</v>
      </c>
      <c r="ES136" s="139">
        <f t="shared" si="135"/>
        <v>0</v>
      </c>
      <c r="ET136" s="139">
        <f t="shared" si="136"/>
        <v>9.6901618395739177</v>
      </c>
      <c r="EU136" s="139">
        <f t="shared" si="137"/>
        <v>61.497587556775258</v>
      </c>
      <c r="EV136" s="139">
        <f t="shared" si="138"/>
        <v>85.721087696050759</v>
      </c>
      <c r="EW136" s="139">
        <f t="shared" si="139"/>
        <v>0</v>
      </c>
      <c r="EX136" s="139">
        <f t="shared" si="140"/>
        <v>0</v>
      </c>
      <c r="EY136" s="139">
        <f t="shared" si="141"/>
        <v>0</v>
      </c>
      <c r="EZ136" s="139">
        <f t="shared" si="142"/>
        <v>0</v>
      </c>
      <c r="FA136" s="139">
        <f t="shared" si="143"/>
        <v>0</v>
      </c>
      <c r="FB136" s="139">
        <f t="shared" si="144"/>
        <v>0</v>
      </c>
      <c r="FC136" s="139">
        <f t="shared" si="145"/>
        <v>0</v>
      </c>
      <c r="FD136" s="139">
        <f t="shared" si="146"/>
        <v>0</v>
      </c>
      <c r="FE136" s="139">
        <f t="shared" si="147"/>
        <v>0</v>
      </c>
      <c r="FF136" s="139">
        <f t="shared" si="148"/>
        <v>0</v>
      </c>
      <c r="FG136" s="139">
        <f t="shared" si="149"/>
        <v>0</v>
      </c>
      <c r="FH136" s="139">
        <f t="shared" si="150"/>
        <v>0</v>
      </c>
      <c r="FI136" s="139">
        <f t="shared" si="151"/>
        <v>0</v>
      </c>
      <c r="FJ136" s="139">
        <f t="shared" si="152"/>
        <v>0</v>
      </c>
      <c r="FK136" s="139">
        <f t="shared" si="153"/>
        <v>0</v>
      </c>
      <c r="FL136" s="139">
        <f t="shared" si="154"/>
        <v>0</v>
      </c>
      <c r="FM136" s="139">
        <f t="shared" si="155"/>
        <v>0</v>
      </c>
      <c r="FN136" s="139">
        <f t="shared" si="156"/>
        <v>0</v>
      </c>
      <c r="FO136" s="139">
        <f t="shared" si="157"/>
        <v>0</v>
      </c>
      <c r="FP136" s="139">
        <f t="shared" si="158"/>
        <v>0</v>
      </c>
      <c r="FQ136" s="139">
        <f t="shared" si="159"/>
        <v>0</v>
      </c>
      <c r="FR136" s="139">
        <f t="shared" si="160"/>
        <v>0</v>
      </c>
      <c r="FS136" s="139">
        <f t="shared" si="161"/>
        <v>0</v>
      </c>
      <c r="FT136" s="139">
        <f t="shared" si="162"/>
        <v>0</v>
      </c>
      <c r="FU136" s="148">
        <f t="shared" si="163"/>
        <v>160.72321783104667</v>
      </c>
      <c r="FV136" s="149"/>
      <c r="FY136" s="211">
        <v>131</v>
      </c>
      <c r="FZ136">
        <v>113.74071214434807</v>
      </c>
      <c r="GA136">
        <v>151.43730950075968</v>
      </c>
      <c r="GB136">
        <v>46.558723051647135</v>
      </c>
      <c r="GC136">
        <v>37.681313218107654</v>
      </c>
      <c r="GD136">
        <v>21.981666462135411</v>
      </c>
      <c r="GE136">
        <v>56.657672634145214</v>
      </c>
      <c r="GF136">
        <v>88.466002826399432</v>
      </c>
      <c r="GG136">
        <v>34.708589746948846</v>
      </c>
      <c r="GH136">
        <v>63.455681622948454</v>
      </c>
      <c r="GI136">
        <v>73.870554183775525</v>
      </c>
      <c r="GJ136"/>
      <c r="GK136"/>
      <c r="GL136"/>
      <c r="GM136"/>
    </row>
    <row r="137" spans="1:195" s="7" customFormat="1">
      <c r="A137" s="1"/>
      <c r="B137" s="76">
        <f ca="1">IF(C137="", "", RAND())</f>
        <v>0.30852646915219761</v>
      </c>
      <c r="C137">
        <v>7</v>
      </c>
      <c r="D137">
        <v>39775</v>
      </c>
      <c r="E137">
        <v>0</v>
      </c>
      <c r="F137">
        <v>0</v>
      </c>
      <c r="G137">
        <v>23.148148148148149</v>
      </c>
      <c r="H137">
        <v>0</v>
      </c>
      <c r="I137">
        <v>71.022727272727266</v>
      </c>
      <c r="J137">
        <v>142.04545454545453</v>
      </c>
      <c r="K137">
        <v>113.63636363636363</v>
      </c>
      <c r="L137">
        <v>42.61363636363636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236.24723136196772</v>
      </c>
      <c r="AO137">
        <v>119.32687931243463</v>
      </c>
      <c r="AP137">
        <v>449.16370275783692</v>
      </c>
      <c r="AQ137">
        <v>708.56518317510199</v>
      </c>
      <c r="AR137">
        <v>115.93737773465965</v>
      </c>
      <c r="AS137">
        <v>1205.101076901519</v>
      </c>
      <c r="AT137">
        <v>60.469958437649353</v>
      </c>
      <c r="AU137">
        <v>167.24037698515875</v>
      </c>
      <c r="AV137"/>
      <c r="AW137"/>
      <c r="AX137" s="146"/>
      <c r="AY137" s="76">
        <f t="shared" ca="1" si="87"/>
        <v>0.71080096528088532</v>
      </c>
      <c r="AZ137">
        <v>10</v>
      </c>
      <c r="BA137" s="129">
        <f t="shared" si="165"/>
        <v>39775</v>
      </c>
      <c r="BB137">
        <v>0</v>
      </c>
      <c r="BC137">
        <v>0</v>
      </c>
      <c r="BD137">
        <v>0</v>
      </c>
      <c r="BE137">
        <v>0</v>
      </c>
      <c r="BF137">
        <v>7</v>
      </c>
      <c r="BG137">
        <v>3</v>
      </c>
      <c r="BH137">
        <v>2</v>
      </c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 s="147"/>
      <c r="CH137" s="176"/>
      <c r="CJ137" s="146"/>
      <c r="CK137" s="76">
        <f t="shared" ca="1" si="89"/>
        <v>0.26884506436270894</v>
      </c>
      <c r="CL137" s="179">
        <f t="shared" si="90"/>
        <v>10</v>
      </c>
      <c r="CM137" s="180">
        <f t="shared" si="91"/>
        <v>39775</v>
      </c>
      <c r="CN137">
        <v>0</v>
      </c>
      <c r="CO137">
        <v>3</v>
      </c>
      <c r="CP137">
        <v>27</v>
      </c>
      <c r="CQ137"/>
      <c r="CR137"/>
      <c r="CS137"/>
      <c r="CT137"/>
      <c r="CU137"/>
      <c r="CV137" s="160"/>
      <c r="CW137">
        <v>1</v>
      </c>
      <c r="CX137">
        <v>1</v>
      </c>
      <c r="CY137" s="164"/>
      <c r="CZ137" s="177">
        <f t="shared" si="92"/>
        <v>9.6000000000000002E-2</v>
      </c>
      <c r="DB137" s="146"/>
      <c r="DC137" s="76">
        <f t="shared" ca="1" si="50"/>
        <v>0.83147192955467353</v>
      </c>
      <c r="DD137">
        <f t="shared" si="93"/>
        <v>10</v>
      </c>
      <c r="DE137" s="129">
        <f t="shared" si="164"/>
        <v>39775</v>
      </c>
      <c r="DF137" s="161">
        <f t="shared" si="94"/>
        <v>0</v>
      </c>
      <c r="DG137" s="161">
        <f t="shared" si="95"/>
        <v>31.25</v>
      </c>
      <c r="DH137" s="161">
        <f t="shared" si="96"/>
        <v>281.25</v>
      </c>
      <c r="DI137" s="161">
        <f t="shared" si="97"/>
        <v>0</v>
      </c>
      <c r="DJ137" s="161">
        <f t="shared" si="98"/>
        <v>72.916666666666671</v>
      </c>
      <c r="DK137" s="161">
        <f t="shared" si="99"/>
        <v>31.25</v>
      </c>
      <c r="DL137" s="161">
        <f t="shared" si="100"/>
        <v>20.833333333333332</v>
      </c>
      <c r="DM137" s="161">
        <f t="shared" si="101"/>
        <v>0</v>
      </c>
      <c r="DN137" s="161">
        <f t="shared" si="102"/>
        <v>0</v>
      </c>
      <c r="DO137" s="161">
        <f t="shared" si="103"/>
        <v>0</v>
      </c>
      <c r="DP137" s="161">
        <f t="shared" si="104"/>
        <v>0</v>
      </c>
      <c r="DQ137" s="161">
        <f t="shared" si="105"/>
        <v>0</v>
      </c>
      <c r="DR137" s="161">
        <f t="shared" si="106"/>
        <v>0</v>
      </c>
      <c r="DS137" s="161">
        <f t="shared" si="107"/>
        <v>0</v>
      </c>
      <c r="DT137" s="161">
        <f t="shared" si="108"/>
        <v>0</v>
      </c>
      <c r="DU137" s="161">
        <f t="shared" si="109"/>
        <v>0</v>
      </c>
      <c r="DV137" s="161">
        <f t="shared" si="110"/>
        <v>0</v>
      </c>
      <c r="DW137" s="161">
        <f t="shared" si="111"/>
        <v>0</v>
      </c>
      <c r="DX137" s="161">
        <f t="shared" si="112"/>
        <v>0</v>
      </c>
      <c r="DY137" s="161">
        <f t="shared" si="113"/>
        <v>0</v>
      </c>
      <c r="DZ137" s="161">
        <f t="shared" si="114"/>
        <v>0</v>
      </c>
      <c r="EA137" s="161">
        <f t="shared" si="115"/>
        <v>0</v>
      </c>
      <c r="EB137" s="161">
        <f t="shared" si="116"/>
        <v>0</v>
      </c>
      <c r="EC137" s="161">
        <f t="shared" si="117"/>
        <v>0</v>
      </c>
      <c r="ED137" s="161">
        <f t="shared" si="118"/>
        <v>0</v>
      </c>
      <c r="EE137" s="161">
        <f t="shared" si="119"/>
        <v>0</v>
      </c>
      <c r="EF137" s="161">
        <f t="shared" si="120"/>
        <v>0</v>
      </c>
      <c r="EG137" s="161">
        <f t="shared" si="121"/>
        <v>0</v>
      </c>
      <c r="EH137" s="161">
        <f t="shared" si="122"/>
        <v>0</v>
      </c>
      <c r="EI137" s="161">
        <f t="shared" si="123"/>
        <v>0</v>
      </c>
      <c r="EJ137" s="161">
        <f t="shared" si="124"/>
        <v>0</v>
      </c>
      <c r="EK137" s="147">
        <f t="shared" si="131"/>
        <v>437.5</v>
      </c>
      <c r="EL137" s="149"/>
      <c r="EN137" s="146"/>
      <c r="EO137" s="146"/>
      <c r="EP137" s="139">
        <f t="shared" si="132"/>
        <v>0</v>
      </c>
      <c r="EQ137" s="139">
        <f t="shared" si="133"/>
        <v>0.360353125</v>
      </c>
      <c r="ER137" s="139">
        <f t="shared" si="134"/>
        <v>20.597655988692363</v>
      </c>
      <c r="ES137" s="139">
        <f t="shared" si="135"/>
        <v>0</v>
      </c>
      <c r="ET137" s="139">
        <f t="shared" si="136"/>
        <v>33.915566438508712</v>
      </c>
      <c r="EU137" s="139">
        <f t="shared" si="137"/>
        <v>26.356108952903678</v>
      </c>
      <c r="EV137" s="139">
        <f t="shared" si="138"/>
        <v>28.573695898683585</v>
      </c>
      <c r="EW137" s="139">
        <f t="shared" si="139"/>
        <v>0</v>
      </c>
      <c r="EX137" s="139">
        <f t="shared" si="140"/>
        <v>0</v>
      </c>
      <c r="EY137" s="139">
        <f t="shared" si="141"/>
        <v>0</v>
      </c>
      <c r="EZ137" s="139">
        <f t="shared" si="142"/>
        <v>0</v>
      </c>
      <c r="FA137" s="139">
        <f t="shared" si="143"/>
        <v>0</v>
      </c>
      <c r="FB137" s="139">
        <f t="shared" si="144"/>
        <v>0</v>
      </c>
      <c r="FC137" s="139">
        <f t="shared" si="145"/>
        <v>0</v>
      </c>
      <c r="FD137" s="139">
        <f t="shared" si="146"/>
        <v>0</v>
      </c>
      <c r="FE137" s="139">
        <f t="shared" si="147"/>
        <v>0</v>
      </c>
      <c r="FF137" s="139">
        <f t="shared" si="148"/>
        <v>0</v>
      </c>
      <c r="FG137" s="139">
        <f t="shared" si="149"/>
        <v>0</v>
      </c>
      <c r="FH137" s="139">
        <f t="shared" si="150"/>
        <v>0</v>
      </c>
      <c r="FI137" s="139">
        <f t="shared" si="151"/>
        <v>0</v>
      </c>
      <c r="FJ137" s="139">
        <f t="shared" si="152"/>
        <v>0</v>
      </c>
      <c r="FK137" s="139">
        <f t="shared" si="153"/>
        <v>0</v>
      </c>
      <c r="FL137" s="139">
        <f t="shared" si="154"/>
        <v>0</v>
      </c>
      <c r="FM137" s="139">
        <f t="shared" si="155"/>
        <v>0</v>
      </c>
      <c r="FN137" s="139">
        <f t="shared" si="156"/>
        <v>0</v>
      </c>
      <c r="FO137" s="139">
        <f t="shared" si="157"/>
        <v>0</v>
      </c>
      <c r="FP137" s="139">
        <f t="shared" si="158"/>
        <v>0</v>
      </c>
      <c r="FQ137" s="139">
        <f t="shared" si="159"/>
        <v>0</v>
      </c>
      <c r="FR137" s="139">
        <f t="shared" si="160"/>
        <v>0</v>
      </c>
      <c r="FS137" s="139">
        <f t="shared" si="161"/>
        <v>0</v>
      </c>
      <c r="FT137" s="139">
        <f t="shared" si="162"/>
        <v>0</v>
      </c>
      <c r="FU137" s="148">
        <f t="shared" si="163"/>
        <v>109.80338040378834</v>
      </c>
      <c r="FV137" s="149"/>
      <c r="FY137" s="211">
        <v>132</v>
      </c>
      <c r="FZ137">
        <v>114.3594073238293</v>
      </c>
      <c r="GA137">
        <v>160.12887921435194</v>
      </c>
      <c r="GB137">
        <v>58.969423913023682</v>
      </c>
      <c r="GC137">
        <v>50.938500106344257</v>
      </c>
      <c r="GD137">
        <v>44.73340385716638</v>
      </c>
      <c r="GE137">
        <v>71.736432148159835</v>
      </c>
      <c r="GF137">
        <v>78.780901829399781</v>
      </c>
      <c r="GG137">
        <v>95.058297241738799</v>
      </c>
      <c r="GH137">
        <v>120.86435492441203</v>
      </c>
      <c r="GI137">
        <v>98.831132614250876</v>
      </c>
      <c r="GJ137"/>
      <c r="GK137"/>
      <c r="GL137"/>
      <c r="GM137"/>
    </row>
    <row r="138" spans="1:195" s="7" customFormat="1">
      <c r="A138" s="128"/>
      <c r="B138" s="76">
        <f ca="1">IF(C138="", "", RAND())</f>
        <v>0.85105966845311887</v>
      </c>
      <c r="C138">
        <v>4</v>
      </c>
      <c r="D138">
        <v>39799</v>
      </c>
      <c r="E138">
        <v>0</v>
      </c>
      <c r="F138">
        <v>1169.7860962566845</v>
      </c>
      <c r="G138">
        <v>877.33957219251329</v>
      </c>
      <c r="H138">
        <v>0</v>
      </c>
      <c r="I138">
        <v>0</v>
      </c>
      <c r="J138">
        <v>330.32531194295899</v>
      </c>
      <c r="K138">
        <v>303.030303030303</v>
      </c>
      <c r="L138">
        <v>37.878787878787875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283.28006695541313</v>
      </c>
      <c r="AO138">
        <v>154.02894473315999</v>
      </c>
      <c r="AP138">
        <v>665.3896058949814</v>
      </c>
      <c r="AQ138">
        <v>892.3063214705644</v>
      </c>
      <c r="AR138">
        <v>145.12295003419504</v>
      </c>
      <c r="AS138">
        <v>1563.2070468486195</v>
      </c>
      <c r="AT138">
        <v>78.783574776218785</v>
      </c>
      <c r="AU138">
        <v>362.06635382472058</v>
      </c>
      <c r="AV138"/>
      <c r="AW138"/>
      <c r="AX138" s="128"/>
      <c r="AY138" s="76">
        <f t="shared" ca="1" si="87"/>
        <v>0.19764218504803033</v>
      </c>
      <c r="AZ138">
        <v>1</v>
      </c>
      <c r="BA138" s="129">
        <f>IF(AZ138="", "",$C$9)</f>
        <v>39799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2</v>
      </c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 s="147"/>
      <c r="CH138" s="176"/>
      <c r="CJ138" s="128"/>
      <c r="CK138" s="76">
        <f t="shared" ca="1" si="89"/>
        <v>0.83334883106734026</v>
      </c>
      <c r="CL138" s="179">
        <f t="shared" si="90"/>
        <v>1</v>
      </c>
      <c r="CM138" s="180">
        <f t="shared" si="91"/>
        <v>39799</v>
      </c>
      <c r="CN138">
        <v>0</v>
      </c>
      <c r="CO138">
        <v>1</v>
      </c>
      <c r="CP138"/>
      <c r="CQ138"/>
      <c r="CR138"/>
      <c r="CS138"/>
      <c r="CT138"/>
      <c r="CU138"/>
      <c r="CV138" s="160"/>
      <c r="CW138">
        <v>1</v>
      </c>
      <c r="CX138">
        <v>8</v>
      </c>
      <c r="CY138" s="160"/>
      <c r="CZ138" s="177">
        <f t="shared" si="92"/>
        <v>9.6000000000000002E-2</v>
      </c>
      <c r="DB138" s="128"/>
      <c r="DC138" s="76">
        <f t="shared" ca="1" si="50"/>
        <v>0.67335188109091959</v>
      </c>
      <c r="DD138">
        <f t="shared" si="93"/>
        <v>1</v>
      </c>
      <c r="DE138" s="129">
        <f t="shared" ref="DE138:DE147" si="166">IF((DD138)="","",$C$9)</f>
        <v>39799</v>
      </c>
      <c r="DF138" s="161">
        <f t="shared" si="94"/>
        <v>0</v>
      </c>
      <c r="DG138" s="161">
        <f t="shared" si="95"/>
        <v>83.333333333333329</v>
      </c>
      <c r="DH138" s="161">
        <f t="shared" si="96"/>
        <v>0</v>
      </c>
      <c r="DI138" s="161">
        <f t="shared" si="97"/>
        <v>0</v>
      </c>
      <c r="DJ138" s="161">
        <f t="shared" si="98"/>
        <v>0</v>
      </c>
      <c r="DK138" s="161">
        <f t="shared" si="99"/>
        <v>0</v>
      </c>
      <c r="DL138" s="161">
        <f t="shared" si="100"/>
        <v>20.833333333333332</v>
      </c>
      <c r="DM138" s="161">
        <f t="shared" si="101"/>
        <v>0</v>
      </c>
      <c r="DN138" s="161">
        <f t="shared" si="102"/>
        <v>0</v>
      </c>
      <c r="DO138" s="161">
        <f t="shared" si="103"/>
        <v>0</v>
      </c>
      <c r="DP138" s="161">
        <f t="shared" si="104"/>
        <v>0</v>
      </c>
      <c r="DQ138" s="161">
        <f t="shared" si="105"/>
        <v>0</v>
      </c>
      <c r="DR138" s="161">
        <f t="shared" si="106"/>
        <v>0</v>
      </c>
      <c r="DS138" s="161">
        <f t="shared" si="107"/>
        <v>0</v>
      </c>
      <c r="DT138" s="161">
        <f t="shared" si="108"/>
        <v>0</v>
      </c>
      <c r="DU138" s="161">
        <f t="shared" si="109"/>
        <v>0</v>
      </c>
      <c r="DV138" s="161">
        <f t="shared" si="110"/>
        <v>0</v>
      </c>
      <c r="DW138" s="161">
        <f t="shared" si="111"/>
        <v>0</v>
      </c>
      <c r="DX138" s="161">
        <f t="shared" si="112"/>
        <v>0</v>
      </c>
      <c r="DY138" s="161">
        <f t="shared" si="113"/>
        <v>0</v>
      </c>
      <c r="DZ138" s="161">
        <f t="shared" si="114"/>
        <v>0</v>
      </c>
      <c r="EA138" s="161">
        <f t="shared" si="115"/>
        <v>0</v>
      </c>
      <c r="EB138" s="161">
        <f t="shared" si="116"/>
        <v>0</v>
      </c>
      <c r="EC138" s="161">
        <f t="shared" si="117"/>
        <v>0</v>
      </c>
      <c r="ED138" s="161">
        <f t="shared" si="118"/>
        <v>0</v>
      </c>
      <c r="EE138" s="161">
        <f t="shared" si="119"/>
        <v>0</v>
      </c>
      <c r="EF138" s="161">
        <f t="shared" si="120"/>
        <v>0</v>
      </c>
      <c r="EG138" s="161">
        <f t="shared" si="121"/>
        <v>0</v>
      </c>
      <c r="EH138" s="161">
        <f t="shared" si="122"/>
        <v>0</v>
      </c>
      <c r="EI138" s="161">
        <f t="shared" si="123"/>
        <v>0</v>
      </c>
      <c r="EJ138" s="161">
        <f t="shared" si="124"/>
        <v>0</v>
      </c>
      <c r="EK138" s="147">
        <f t="shared" si="131"/>
        <v>104.16666666666666</v>
      </c>
      <c r="EL138" s="149"/>
      <c r="EN138" s="146"/>
      <c r="EO138" s="146"/>
      <c r="EP138" s="139">
        <f t="shared" si="132"/>
        <v>0</v>
      </c>
      <c r="EQ138" s="139">
        <f t="shared" si="133"/>
        <v>0.96094166666666658</v>
      </c>
      <c r="ER138" s="139">
        <f t="shared" si="134"/>
        <v>0</v>
      </c>
      <c r="ES138" s="139">
        <f t="shared" si="135"/>
        <v>0</v>
      </c>
      <c r="ET138" s="139">
        <f t="shared" si="136"/>
        <v>0</v>
      </c>
      <c r="EU138" s="139">
        <f t="shared" si="137"/>
        <v>0</v>
      </c>
      <c r="EV138" s="139">
        <f t="shared" si="138"/>
        <v>28.573695898683585</v>
      </c>
      <c r="EW138" s="139">
        <f t="shared" si="139"/>
        <v>0</v>
      </c>
      <c r="EX138" s="139">
        <f t="shared" si="140"/>
        <v>0</v>
      </c>
      <c r="EY138" s="139">
        <f t="shared" si="141"/>
        <v>0</v>
      </c>
      <c r="EZ138" s="139">
        <f t="shared" si="142"/>
        <v>0</v>
      </c>
      <c r="FA138" s="139">
        <f t="shared" si="143"/>
        <v>0</v>
      </c>
      <c r="FB138" s="139">
        <f t="shared" si="144"/>
        <v>0</v>
      </c>
      <c r="FC138" s="139">
        <f t="shared" si="145"/>
        <v>0</v>
      </c>
      <c r="FD138" s="139">
        <f t="shared" si="146"/>
        <v>0</v>
      </c>
      <c r="FE138" s="139">
        <f t="shared" si="147"/>
        <v>0</v>
      </c>
      <c r="FF138" s="139">
        <f t="shared" si="148"/>
        <v>0</v>
      </c>
      <c r="FG138" s="139">
        <f t="shared" si="149"/>
        <v>0</v>
      </c>
      <c r="FH138" s="139">
        <f t="shared" si="150"/>
        <v>0</v>
      </c>
      <c r="FI138" s="139">
        <f t="shared" si="151"/>
        <v>0</v>
      </c>
      <c r="FJ138" s="139">
        <f t="shared" si="152"/>
        <v>0</v>
      </c>
      <c r="FK138" s="139">
        <f t="shared" si="153"/>
        <v>0</v>
      </c>
      <c r="FL138" s="139">
        <f t="shared" si="154"/>
        <v>0</v>
      </c>
      <c r="FM138" s="139">
        <f t="shared" si="155"/>
        <v>0</v>
      </c>
      <c r="FN138" s="139">
        <f t="shared" si="156"/>
        <v>0</v>
      </c>
      <c r="FO138" s="139">
        <f t="shared" si="157"/>
        <v>0</v>
      </c>
      <c r="FP138" s="139">
        <f t="shared" si="158"/>
        <v>0</v>
      </c>
      <c r="FQ138" s="139">
        <f t="shared" si="159"/>
        <v>0</v>
      </c>
      <c r="FR138" s="139">
        <f t="shared" si="160"/>
        <v>0</v>
      </c>
      <c r="FS138" s="139">
        <f t="shared" si="161"/>
        <v>0</v>
      </c>
      <c r="FT138" s="139">
        <f t="shared" si="162"/>
        <v>0</v>
      </c>
      <c r="FU138" s="148">
        <f t="shared" si="163"/>
        <v>29.534637565350252</v>
      </c>
      <c r="FV138" s="149"/>
      <c r="FY138" s="211">
        <v>133</v>
      </c>
      <c r="FZ138">
        <v>112.04919049414936</v>
      </c>
      <c r="GA138">
        <v>148.32349994226007</v>
      </c>
      <c r="GB138">
        <v>53.565653759384929</v>
      </c>
      <c r="GC138">
        <v>42.379564687860473</v>
      </c>
      <c r="GD138">
        <v>28.447277133938751</v>
      </c>
      <c r="GE138">
        <v>47.919483439805269</v>
      </c>
      <c r="GF138">
        <v>76.741165892526141</v>
      </c>
      <c r="GG138">
        <v>76.166703666036895</v>
      </c>
      <c r="GH138">
        <v>99.299636052182905</v>
      </c>
      <c r="GI138">
        <v>82.140033709347406</v>
      </c>
      <c r="GJ138"/>
      <c r="GK138"/>
      <c r="GL138"/>
      <c r="GM138"/>
    </row>
    <row r="139" spans="1:195" s="7" customFormat="1">
      <c r="A139" s="1"/>
      <c r="B139" s="76">
        <f ca="1">IF(C139="", "", RAND())</f>
        <v>0.95531142513183753</v>
      </c>
      <c r="C139">
        <v>10</v>
      </c>
      <c r="D139">
        <v>39799</v>
      </c>
      <c r="E139">
        <v>0</v>
      </c>
      <c r="F139">
        <v>0</v>
      </c>
      <c r="G139">
        <v>52.083333333333336</v>
      </c>
      <c r="H139">
        <v>0</v>
      </c>
      <c r="I139">
        <v>0</v>
      </c>
      <c r="J139">
        <v>52.083333333333336</v>
      </c>
      <c r="K139">
        <v>31.25</v>
      </c>
      <c r="L139">
        <v>31.25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279.57391804096477</v>
      </c>
      <c r="AO139">
        <v>139.24566174798127</v>
      </c>
      <c r="AP139">
        <v>579.34423069500485</v>
      </c>
      <c r="AQ139">
        <v>757.1138215236449</v>
      </c>
      <c r="AR139">
        <v>130.85210853805174</v>
      </c>
      <c r="AS139">
        <v>1384.1854499909464</v>
      </c>
      <c r="AT139">
        <v>67.024145948357372</v>
      </c>
      <c r="AU139">
        <v>385.48174068057784</v>
      </c>
      <c r="AV139"/>
      <c r="AW139"/>
      <c r="AX139" s="146"/>
      <c r="AY139" s="76">
        <f t="shared" ca="1" si="87"/>
        <v>0.38062369937747587</v>
      </c>
      <c r="AZ139">
        <v>2</v>
      </c>
      <c r="BA139" s="129">
        <f t="shared" ref="BA139:BA147" si="167">IF(AZ139="", "",$C$9)</f>
        <v>39799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1</v>
      </c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 s="147"/>
      <c r="CH139" s="176"/>
      <c r="CJ139" s="146"/>
      <c r="CK139" s="76">
        <f t="shared" ca="1" si="89"/>
        <v>0.39977193257168531</v>
      </c>
      <c r="CL139" s="179">
        <f t="shared" si="90"/>
        <v>2</v>
      </c>
      <c r="CM139" s="180">
        <f t="shared" si="91"/>
        <v>39799</v>
      </c>
      <c r="CN139">
        <v>1</v>
      </c>
      <c r="CO139">
        <v>6</v>
      </c>
      <c r="CP139">
        <v>8</v>
      </c>
      <c r="CQ139">
        <v>3</v>
      </c>
      <c r="CR139"/>
      <c r="CS139"/>
      <c r="CT139"/>
      <c r="CU139"/>
      <c r="CV139" s="160"/>
      <c r="CW139">
        <v>1</v>
      </c>
      <c r="CX139">
        <v>1</v>
      </c>
      <c r="CY139" s="160"/>
      <c r="CZ139" s="177">
        <f t="shared" si="92"/>
        <v>9.6000000000000002E-2</v>
      </c>
      <c r="DB139" s="146"/>
      <c r="DC139" s="76">
        <f t="shared" ca="1" si="50"/>
        <v>0.22236135531888568</v>
      </c>
      <c r="DD139">
        <f t="shared" si="93"/>
        <v>2</v>
      </c>
      <c r="DE139" s="129">
        <f t="shared" si="166"/>
        <v>39799</v>
      </c>
      <c r="DF139" s="161">
        <f t="shared" si="94"/>
        <v>10.416666666666666</v>
      </c>
      <c r="DG139" s="161">
        <f t="shared" si="95"/>
        <v>62.5</v>
      </c>
      <c r="DH139" s="161">
        <f t="shared" si="96"/>
        <v>83.333333333333329</v>
      </c>
      <c r="DI139" s="161">
        <f t="shared" si="97"/>
        <v>31.25</v>
      </c>
      <c r="DJ139" s="161">
        <f t="shared" si="98"/>
        <v>0</v>
      </c>
      <c r="DK139" s="161">
        <f t="shared" si="99"/>
        <v>0</v>
      </c>
      <c r="DL139" s="161">
        <f t="shared" si="100"/>
        <v>10.416666666666666</v>
      </c>
      <c r="DM139" s="161">
        <f t="shared" si="101"/>
        <v>0</v>
      </c>
      <c r="DN139" s="161">
        <f t="shared" si="102"/>
        <v>0</v>
      </c>
      <c r="DO139" s="161">
        <f t="shared" si="103"/>
        <v>0</v>
      </c>
      <c r="DP139" s="161">
        <f t="shared" si="104"/>
        <v>0</v>
      </c>
      <c r="DQ139" s="161">
        <f t="shared" si="105"/>
        <v>0</v>
      </c>
      <c r="DR139" s="161">
        <f t="shared" si="106"/>
        <v>0</v>
      </c>
      <c r="DS139" s="161">
        <f t="shared" si="107"/>
        <v>0</v>
      </c>
      <c r="DT139" s="161">
        <f t="shared" si="108"/>
        <v>0</v>
      </c>
      <c r="DU139" s="161">
        <f t="shared" si="109"/>
        <v>0</v>
      </c>
      <c r="DV139" s="161">
        <f t="shared" si="110"/>
        <v>0</v>
      </c>
      <c r="DW139" s="161">
        <f t="shared" si="111"/>
        <v>0</v>
      </c>
      <c r="DX139" s="161">
        <f t="shared" si="112"/>
        <v>0</v>
      </c>
      <c r="DY139" s="161">
        <f t="shared" si="113"/>
        <v>0</v>
      </c>
      <c r="DZ139" s="161">
        <f t="shared" si="114"/>
        <v>0</v>
      </c>
      <c r="EA139" s="161">
        <f t="shared" si="115"/>
        <v>0</v>
      </c>
      <c r="EB139" s="161">
        <f t="shared" si="116"/>
        <v>0</v>
      </c>
      <c r="EC139" s="161">
        <f t="shared" si="117"/>
        <v>0</v>
      </c>
      <c r="ED139" s="161">
        <f t="shared" si="118"/>
        <v>0</v>
      </c>
      <c r="EE139" s="161">
        <f t="shared" si="119"/>
        <v>0</v>
      </c>
      <c r="EF139" s="161">
        <f t="shared" si="120"/>
        <v>0</v>
      </c>
      <c r="EG139" s="161">
        <f t="shared" si="121"/>
        <v>0</v>
      </c>
      <c r="EH139" s="161">
        <f t="shared" si="122"/>
        <v>0</v>
      </c>
      <c r="EI139" s="161">
        <f t="shared" si="123"/>
        <v>0</v>
      </c>
      <c r="EJ139" s="161">
        <f t="shared" si="124"/>
        <v>0</v>
      </c>
      <c r="EK139" s="147">
        <f t="shared" si="131"/>
        <v>197.91666666666666</v>
      </c>
      <c r="EL139" s="149"/>
      <c r="EN139" s="146"/>
      <c r="EO139" s="146"/>
      <c r="EP139" s="139">
        <f t="shared" si="132"/>
        <v>1.891298331740553E-2</v>
      </c>
      <c r="EQ139" s="139">
        <f t="shared" si="133"/>
        <v>0.72070624999999999</v>
      </c>
      <c r="ER139" s="139">
        <f t="shared" si="134"/>
        <v>6.103009181834774</v>
      </c>
      <c r="ES139" s="139">
        <f t="shared" si="135"/>
        <v>6.7485532484778545</v>
      </c>
      <c r="ET139" s="139">
        <f t="shared" si="136"/>
        <v>0</v>
      </c>
      <c r="EU139" s="139">
        <f t="shared" si="137"/>
        <v>0</v>
      </c>
      <c r="EV139" s="139">
        <f t="shared" si="138"/>
        <v>14.286847949341793</v>
      </c>
      <c r="EW139" s="139">
        <f t="shared" si="139"/>
        <v>0</v>
      </c>
      <c r="EX139" s="139">
        <f t="shared" si="140"/>
        <v>0</v>
      </c>
      <c r="EY139" s="139">
        <f t="shared" si="141"/>
        <v>0</v>
      </c>
      <c r="EZ139" s="139">
        <f t="shared" si="142"/>
        <v>0</v>
      </c>
      <c r="FA139" s="139">
        <f t="shared" si="143"/>
        <v>0</v>
      </c>
      <c r="FB139" s="139">
        <f t="shared" si="144"/>
        <v>0</v>
      </c>
      <c r="FC139" s="139">
        <f t="shared" si="145"/>
        <v>0</v>
      </c>
      <c r="FD139" s="139">
        <f t="shared" si="146"/>
        <v>0</v>
      </c>
      <c r="FE139" s="139">
        <f t="shared" si="147"/>
        <v>0</v>
      </c>
      <c r="FF139" s="139">
        <f t="shared" si="148"/>
        <v>0</v>
      </c>
      <c r="FG139" s="139">
        <f t="shared" si="149"/>
        <v>0</v>
      </c>
      <c r="FH139" s="139">
        <f t="shared" si="150"/>
        <v>0</v>
      </c>
      <c r="FI139" s="139">
        <f t="shared" si="151"/>
        <v>0</v>
      </c>
      <c r="FJ139" s="139">
        <f t="shared" si="152"/>
        <v>0</v>
      </c>
      <c r="FK139" s="139">
        <f t="shared" si="153"/>
        <v>0</v>
      </c>
      <c r="FL139" s="139">
        <f t="shared" si="154"/>
        <v>0</v>
      </c>
      <c r="FM139" s="139">
        <f t="shared" si="155"/>
        <v>0</v>
      </c>
      <c r="FN139" s="139">
        <f t="shared" si="156"/>
        <v>0</v>
      </c>
      <c r="FO139" s="139">
        <f t="shared" si="157"/>
        <v>0</v>
      </c>
      <c r="FP139" s="139">
        <f t="shared" si="158"/>
        <v>0</v>
      </c>
      <c r="FQ139" s="139">
        <f t="shared" si="159"/>
        <v>0</v>
      </c>
      <c r="FR139" s="139">
        <f t="shared" si="160"/>
        <v>0</v>
      </c>
      <c r="FS139" s="139">
        <f t="shared" si="161"/>
        <v>0</v>
      </c>
      <c r="FT139" s="139">
        <f t="shared" si="162"/>
        <v>0</v>
      </c>
      <c r="FU139" s="148">
        <f t="shared" si="163"/>
        <v>27.878029612971829</v>
      </c>
      <c r="FV139" s="149"/>
      <c r="FY139" s="211">
        <v>134</v>
      </c>
      <c r="FZ139">
        <v>88.944691489286868</v>
      </c>
      <c r="GA139">
        <v>117.65941948767897</v>
      </c>
      <c r="GB139">
        <v>46.124899256417869</v>
      </c>
      <c r="GC139">
        <v>43.528646457519343</v>
      </c>
      <c r="GD139">
        <v>45.112440364478907</v>
      </c>
      <c r="GE139">
        <v>91.738878953617572</v>
      </c>
      <c r="GF139">
        <v>137.34486082738528</v>
      </c>
      <c r="GG139">
        <v>108.52281179466985</v>
      </c>
      <c r="GH139">
        <v>81.316979819968537</v>
      </c>
      <c r="GI139">
        <v>98.573921662535767</v>
      </c>
      <c r="GJ139"/>
      <c r="GK139"/>
      <c r="GL139"/>
      <c r="GM139"/>
    </row>
    <row r="140" spans="1:195" s="7" customFormat="1">
      <c r="A140" s="1"/>
      <c r="B140" s="76">
        <f ca="1">IF(C140="", "", RAND())</f>
        <v>0.60936357767369742</v>
      </c>
      <c r="C140">
        <v>8</v>
      </c>
      <c r="D140">
        <v>39799</v>
      </c>
      <c r="E140">
        <v>0</v>
      </c>
      <c r="F140">
        <v>446.42857142857144</v>
      </c>
      <c r="G140">
        <v>0</v>
      </c>
      <c r="H140">
        <v>0</v>
      </c>
      <c r="I140">
        <v>0</v>
      </c>
      <c r="J140">
        <v>20.833333333333332</v>
      </c>
      <c r="K140">
        <v>20.833333333333332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209.58217669623113</v>
      </c>
      <c r="AO140">
        <v>117.62264133002918</v>
      </c>
      <c r="AP140">
        <v>545.47284475949232</v>
      </c>
      <c r="AQ140">
        <v>640.33298139515648</v>
      </c>
      <c r="AR140">
        <v>110.21116345089553</v>
      </c>
      <c r="AS140">
        <v>1150.0397171649013</v>
      </c>
      <c r="AT140">
        <v>58.488837031374601</v>
      </c>
      <c r="AU140">
        <v>63.902087795140524</v>
      </c>
      <c r="AV140"/>
      <c r="AW140"/>
      <c r="AX140" s="146"/>
      <c r="AY140" s="76">
        <f t="shared" ca="1" si="87"/>
        <v>0.15262033745847159</v>
      </c>
      <c r="AZ140">
        <v>3</v>
      </c>
      <c r="BA140" s="129">
        <f t="shared" si="167"/>
        <v>39799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4</v>
      </c>
      <c r="BH140">
        <v>5</v>
      </c>
      <c r="BI140">
        <v>2</v>
      </c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 s="147"/>
      <c r="CH140" s="176"/>
      <c r="CJ140" s="146"/>
      <c r="CK140" s="76">
        <f t="shared" ca="1" si="89"/>
        <v>0.3413410457640742</v>
      </c>
      <c r="CL140" s="179">
        <f t="shared" si="90"/>
        <v>3</v>
      </c>
      <c r="CM140" s="180">
        <f t="shared" si="91"/>
        <v>39799</v>
      </c>
      <c r="CN140">
        <v>0</v>
      </c>
      <c r="CO140">
        <v>0</v>
      </c>
      <c r="CP140">
        <v>6</v>
      </c>
      <c r="CQ140">
        <v>0</v>
      </c>
      <c r="CR140">
        <v>1</v>
      </c>
      <c r="CS140"/>
      <c r="CT140"/>
      <c r="CU140"/>
      <c r="CV140" s="160"/>
      <c r="CW140" s="178">
        <f>30/13</f>
        <v>2.3076923076923075</v>
      </c>
      <c r="CX140">
        <f>8</f>
        <v>8</v>
      </c>
      <c r="CY140" s="160"/>
      <c r="CZ140" s="177">
        <f t="shared" si="92"/>
        <v>9.6000000000000002E-2</v>
      </c>
      <c r="DB140" s="146"/>
      <c r="DC140" s="76">
        <f t="shared" ca="1" si="50"/>
        <v>0.80152034699512242</v>
      </c>
      <c r="DD140">
        <f t="shared" si="93"/>
        <v>3</v>
      </c>
      <c r="DE140" s="129">
        <f t="shared" si="166"/>
        <v>39799</v>
      </c>
      <c r="DF140" s="161">
        <f t="shared" si="94"/>
        <v>0</v>
      </c>
      <c r="DG140" s="161">
        <f t="shared" si="95"/>
        <v>0</v>
      </c>
      <c r="DH140" s="161">
        <f t="shared" si="96"/>
        <v>500</v>
      </c>
      <c r="DI140" s="161">
        <f t="shared" si="97"/>
        <v>0</v>
      </c>
      <c r="DJ140" s="161">
        <f t="shared" si="98"/>
        <v>83.333333333333329</v>
      </c>
      <c r="DK140" s="161">
        <f t="shared" si="99"/>
        <v>96.153846153846146</v>
      </c>
      <c r="DL140" s="161">
        <f t="shared" si="100"/>
        <v>120.19230769230766</v>
      </c>
      <c r="DM140" s="161">
        <f t="shared" si="101"/>
        <v>48.076923076923073</v>
      </c>
      <c r="DN140" s="161">
        <f t="shared" si="102"/>
        <v>0</v>
      </c>
      <c r="DO140" s="161">
        <f t="shared" si="103"/>
        <v>0</v>
      </c>
      <c r="DP140" s="161">
        <f t="shared" si="104"/>
        <v>0</v>
      </c>
      <c r="DQ140" s="161">
        <f t="shared" si="105"/>
        <v>0</v>
      </c>
      <c r="DR140" s="161">
        <f t="shared" si="106"/>
        <v>0</v>
      </c>
      <c r="DS140" s="161">
        <f t="shared" si="107"/>
        <v>0</v>
      </c>
      <c r="DT140" s="161">
        <f t="shared" si="108"/>
        <v>0</v>
      </c>
      <c r="DU140" s="161">
        <f t="shared" si="109"/>
        <v>0</v>
      </c>
      <c r="DV140" s="161">
        <f t="shared" si="110"/>
        <v>0</v>
      </c>
      <c r="DW140" s="161">
        <f t="shared" si="111"/>
        <v>0</v>
      </c>
      <c r="DX140" s="161">
        <f t="shared" si="112"/>
        <v>0</v>
      </c>
      <c r="DY140" s="161">
        <f t="shared" si="113"/>
        <v>0</v>
      </c>
      <c r="DZ140" s="161">
        <f t="shared" si="114"/>
        <v>0</v>
      </c>
      <c r="EA140" s="161">
        <f t="shared" si="115"/>
        <v>0</v>
      </c>
      <c r="EB140" s="161">
        <f t="shared" si="116"/>
        <v>0</v>
      </c>
      <c r="EC140" s="161">
        <f t="shared" si="117"/>
        <v>0</v>
      </c>
      <c r="ED140" s="161">
        <f t="shared" si="118"/>
        <v>0</v>
      </c>
      <c r="EE140" s="161">
        <f t="shared" si="119"/>
        <v>0</v>
      </c>
      <c r="EF140" s="161">
        <f t="shared" si="120"/>
        <v>0</v>
      </c>
      <c r="EG140" s="161">
        <f t="shared" si="121"/>
        <v>0</v>
      </c>
      <c r="EH140" s="161">
        <f t="shared" si="122"/>
        <v>0</v>
      </c>
      <c r="EI140" s="161">
        <f t="shared" si="123"/>
        <v>0</v>
      </c>
      <c r="EJ140" s="161">
        <f t="shared" si="124"/>
        <v>0</v>
      </c>
      <c r="EK140" s="147">
        <f t="shared" si="131"/>
        <v>847.75641025641028</v>
      </c>
      <c r="EL140" s="149"/>
      <c r="EN140" s="146"/>
      <c r="EO140" s="146"/>
      <c r="EP140" s="139">
        <f t="shared" si="132"/>
        <v>0</v>
      </c>
      <c r="EQ140" s="139">
        <f t="shared" si="133"/>
        <v>0</v>
      </c>
      <c r="ER140" s="139">
        <f t="shared" si="134"/>
        <v>36.61805509100865</v>
      </c>
      <c r="ES140" s="139">
        <f t="shared" si="135"/>
        <v>0</v>
      </c>
      <c r="ET140" s="139">
        <f t="shared" si="136"/>
        <v>38.760647358295671</v>
      </c>
      <c r="EU140" s="139">
        <f t="shared" si="137"/>
        <v>81.095719855088234</v>
      </c>
      <c r="EV140" s="139">
        <f t="shared" si="138"/>
        <v>164.84824556932836</v>
      </c>
      <c r="EW140" s="139">
        <f t="shared" si="139"/>
        <v>99.469837559026288</v>
      </c>
      <c r="EX140" s="139">
        <f t="shared" si="140"/>
        <v>0</v>
      </c>
      <c r="EY140" s="139">
        <f t="shared" si="141"/>
        <v>0</v>
      </c>
      <c r="EZ140" s="139">
        <f t="shared" si="142"/>
        <v>0</v>
      </c>
      <c r="FA140" s="139">
        <f t="shared" si="143"/>
        <v>0</v>
      </c>
      <c r="FB140" s="139">
        <f t="shared" si="144"/>
        <v>0</v>
      </c>
      <c r="FC140" s="139">
        <f t="shared" si="145"/>
        <v>0</v>
      </c>
      <c r="FD140" s="139">
        <f t="shared" si="146"/>
        <v>0</v>
      </c>
      <c r="FE140" s="139">
        <f t="shared" si="147"/>
        <v>0</v>
      </c>
      <c r="FF140" s="139">
        <f t="shared" si="148"/>
        <v>0</v>
      </c>
      <c r="FG140" s="139">
        <f t="shared" si="149"/>
        <v>0</v>
      </c>
      <c r="FH140" s="139">
        <f t="shared" si="150"/>
        <v>0</v>
      </c>
      <c r="FI140" s="139">
        <f t="shared" si="151"/>
        <v>0</v>
      </c>
      <c r="FJ140" s="139">
        <f t="shared" si="152"/>
        <v>0</v>
      </c>
      <c r="FK140" s="139">
        <f t="shared" si="153"/>
        <v>0</v>
      </c>
      <c r="FL140" s="139">
        <f t="shared" si="154"/>
        <v>0</v>
      </c>
      <c r="FM140" s="139">
        <f t="shared" si="155"/>
        <v>0</v>
      </c>
      <c r="FN140" s="139">
        <f t="shared" si="156"/>
        <v>0</v>
      </c>
      <c r="FO140" s="139">
        <f t="shared" si="157"/>
        <v>0</v>
      </c>
      <c r="FP140" s="139">
        <f t="shared" si="158"/>
        <v>0</v>
      </c>
      <c r="FQ140" s="139">
        <f t="shared" si="159"/>
        <v>0</v>
      </c>
      <c r="FR140" s="139">
        <f t="shared" si="160"/>
        <v>0</v>
      </c>
      <c r="FS140" s="139">
        <f t="shared" si="161"/>
        <v>0</v>
      </c>
      <c r="FT140" s="139">
        <f t="shared" si="162"/>
        <v>0</v>
      </c>
      <c r="FU140" s="148">
        <f t="shared" si="163"/>
        <v>420.79250543274719</v>
      </c>
      <c r="FV140" s="149"/>
      <c r="FY140" s="211">
        <v>135</v>
      </c>
      <c r="FZ140">
        <v>126.45138992422302</v>
      </c>
      <c r="GA140">
        <v>180.93429608128963</v>
      </c>
      <c r="GB140">
        <v>67.048307429236175</v>
      </c>
      <c r="GC140">
        <v>35.849115551015963</v>
      </c>
      <c r="GD140">
        <v>26.424248829401716</v>
      </c>
      <c r="GE140">
        <v>51.290170085302393</v>
      </c>
      <c r="GF140">
        <v>88.938174454050483</v>
      </c>
      <c r="GG140">
        <v>53.122661772684843</v>
      </c>
      <c r="GH140">
        <v>40.90026843588835</v>
      </c>
      <c r="GI140">
        <v>79.406225781853465</v>
      </c>
      <c r="GJ140"/>
      <c r="GK140"/>
      <c r="GL140"/>
      <c r="GM140"/>
    </row>
    <row r="141" spans="1:195" s="7" customFormat="1">
      <c r="A141" s="1"/>
      <c r="B141" s="76">
        <f ca="1">IF(C141="", "", RAND())</f>
        <v>0.82072259715463503</v>
      </c>
      <c r="C141">
        <v>6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227.78929139677354</v>
      </c>
      <c r="AO141">
        <v>167.84474331872974</v>
      </c>
      <c r="AP141">
        <v>694.5886685444749</v>
      </c>
      <c r="AQ141">
        <v>1008.762672092751</v>
      </c>
      <c r="AR141">
        <v>158.07565472327923</v>
      </c>
      <c r="AS141">
        <v>1420.752583854453</v>
      </c>
      <c r="AT141">
        <v>88.173618488931254</v>
      </c>
      <c r="AU141">
        <v>61.731318521587077</v>
      </c>
      <c r="AV141"/>
      <c r="AW141"/>
      <c r="AX141" s="146"/>
      <c r="AY141" s="76">
        <f t="shared" ca="1" si="87"/>
        <v>0.35766153760772568</v>
      </c>
      <c r="AZ141">
        <v>4</v>
      </c>
      <c r="BA141" s="129">
        <f t="shared" si="167"/>
        <v>39799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1</v>
      </c>
      <c r="BH141">
        <v>8</v>
      </c>
      <c r="BI141">
        <v>1</v>
      </c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 s="147"/>
      <c r="CH141" s="176"/>
      <c r="CJ141" s="146"/>
      <c r="CK141" s="76">
        <f t="shared" ca="1" si="89"/>
        <v>0.8930265947269842</v>
      </c>
      <c r="CL141" s="179">
        <f t="shared" si="90"/>
        <v>4</v>
      </c>
      <c r="CM141" s="180">
        <f t="shared" si="91"/>
        <v>39799</v>
      </c>
      <c r="CN141">
        <v>0</v>
      </c>
      <c r="CO141">
        <v>4</v>
      </c>
      <c r="CP141">
        <v>3</v>
      </c>
      <c r="CQ141">
        <v>0</v>
      </c>
      <c r="CR141">
        <v>0</v>
      </c>
      <c r="CS141">
        <v>1</v>
      </c>
      <c r="CT141"/>
      <c r="CU141"/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2"/>
        <v>9.6000000000000002E-2</v>
      </c>
      <c r="DB141" s="146"/>
      <c r="DC141" s="76">
        <f t="shared" ca="1" si="50"/>
        <v>1.4334892449765491E-2</v>
      </c>
      <c r="DD141">
        <f t="shared" si="93"/>
        <v>4</v>
      </c>
      <c r="DE141" s="129">
        <f t="shared" si="166"/>
        <v>39799</v>
      </c>
      <c r="DF141" s="161">
        <f t="shared" si="94"/>
        <v>0</v>
      </c>
      <c r="DG141" s="161">
        <f t="shared" si="95"/>
        <v>1169.7860962566845</v>
      </c>
      <c r="DH141" s="161">
        <f t="shared" si="96"/>
        <v>877.33957219251329</v>
      </c>
      <c r="DI141" s="161">
        <f t="shared" si="97"/>
        <v>0</v>
      </c>
      <c r="DJ141" s="161">
        <f t="shared" si="98"/>
        <v>0</v>
      </c>
      <c r="DK141" s="161">
        <f t="shared" si="99"/>
        <v>330.32531194295899</v>
      </c>
      <c r="DL141" s="161">
        <f t="shared" si="100"/>
        <v>303.030303030303</v>
      </c>
      <c r="DM141" s="161">
        <f t="shared" si="101"/>
        <v>37.878787878787875</v>
      </c>
      <c r="DN141" s="161">
        <f t="shared" si="102"/>
        <v>0</v>
      </c>
      <c r="DO141" s="161">
        <f t="shared" si="103"/>
        <v>0</v>
      </c>
      <c r="DP141" s="161">
        <f t="shared" si="104"/>
        <v>0</v>
      </c>
      <c r="DQ141" s="161">
        <f t="shared" si="105"/>
        <v>0</v>
      </c>
      <c r="DR141" s="161">
        <f t="shared" si="106"/>
        <v>0</v>
      </c>
      <c r="DS141" s="161">
        <f t="shared" si="107"/>
        <v>0</v>
      </c>
      <c r="DT141" s="161">
        <f t="shared" si="108"/>
        <v>0</v>
      </c>
      <c r="DU141" s="161">
        <f t="shared" si="109"/>
        <v>0</v>
      </c>
      <c r="DV141" s="161">
        <f t="shared" si="110"/>
        <v>0</v>
      </c>
      <c r="DW141" s="161">
        <f t="shared" si="111"/>
        <v>0</v>
      </c>
      <c r="DX141" s="161">
        <f t="shared" si="112"/>
        <v>0</v>
      </c>
      <c r="DY141" s="161">
        <f t="shared" si="113"/>
        <v>0</v>
      </c>
      <c r="DZ141" s="161">
        <f t="shared" si="114"/>
        <v>0</v>
      </c>
      <c r="EA141" s="161">
        <f t="shared" si="115"/>
        <v>0</v>
      </c>
      <c r="EB141" s="161">
        <f t="shared" si="116"/>
        <v>0</v>
      </c>
      <c r="EC141" s="161">
        <f t="shared" si="117"/>
        <v>0</v>
      </c>
      <c r="ED141" s="161">
        <f t="shared" si="118"/>
        <v>0</v>
      </c>
      <c r="EE141" s="161">
        <f t="shared" si="119"/>
        <v>0</v>
      </c>
      <c r="EF141" s="161">
        <f t="shared" si="120"/>
        <v>0</v>
      </c>
      <c r="EG141" s="161">
        <f t="shared" si="121"/>
        <v>0</v>
      </c>
      <c r="EH141" s="161">
        <f t="shared" si="122"/>
        <v>0</v>
      </c>
      <c r="EI141" s="161">
        <f t="shared" si="123"/>
        <v>0</v>
      </c>
      <c r="EJ141" s="161">
        <f t="shared" si="124"/>
        <v>0</v>
      </c>
      <c r="EK141" s="147">
        <f t="shared" si="131"/>
        <v>2718.3600713012479</v>
      </c>
      <c r="EL141" s="149"/>
      <c r="EN141" s="146"/>
      <c r="EO141" s="146"/>
      <c r="EP141" s="139">
        <f t="shared" si="132"/>
        <v>0</v>
      </c>
      <c r="EQ141" s="139">
        <f t="shared" si="133"/>
        <v>13.489154411764705</v>
      </c>
      <c r="ER141" s="139">
        <f t="shared" si="134"/>
        <v>64.252937576134826</v>
      </c>
      <c r="ES141" s="139">
        <f t="shared" si="135"/>
        <v>0</v>
      </c>
      <c r="ET141" s="139">
        <f t="shared" si="136"/>
        <v>0</v>
      </c>
      <c r="EU141" s="139">
        <f t="shared" si="137"/>
        <v>278.59487716705672</v>
      </c>
      <c r="EV141" s="139">
        <f t="shared" si="138"/>
        <v>415.61739488994306</v>
      </c>
      <c r="EW141" s="139">
        <f t="shared" si="139"/>
        <v>78.370175046505565</v>
      </c>
      <c r="EX141" s="139">
        <f t="shared" si="140"/>
        <v>0</v>
      </c>
      <c r="EY141" s="139">
        <f t="shared" si="141"/>
        <v>0</v>
      </c>
      <c r="EZ141" s="139">
        <f t="shared" si="142"/>
        <v>0</v>
      </c>
      <c r="FA141" s="139">
        <f t="shared" si="143"/>
        <v>0</v>
      </c>
      <c r="FB141" s="139">
        <f t="shared" si="144"/>
        <v>0</v>
      </c>
      <c r="FC141" s="139">
        <f t="shared" si="145"/>
        <v>0</v>
      </c>
      <c r="FD141" s="139">
        <f t="shared" si="146"/>
        <v>0</v>
      </c>
      <c r="FE141" s="139">
        <f t="shared" si="147"/>
        <v>0</v>
      </c>
      <c r="FF141" s="139">
        <f t="shared" si="148"/>
        <v>0</v>
      </c>
      <c r="FG141" s="139">
        <f t="shared" si="149"/>
        <v>0</v>
      </c>
      <c r="FH141" s="139">
        <f t="shared" si="150"/>
        <v>0</v>
      </c>
      <c r="FI141" s="139">
        <f t="shared" si="151"/>
        <v>0</v>
      </c>
      <c r="FJ141" s="139">
        <f t="shared" si="152"/>
        <v>0</v>
      </c>
      <c r="FK141" s="139">
        <f t="shared" si="153"/>
        <v>0</v>
      </c>
      <c r="FL141" s="139">
        <f t="shared" si="154"/>
        <v>0</v>
      </c>
      <c r="FM141" s="139">
        <f t="shared" si="155"/>
        <v>0</v>
      </c>
      <c r="FN141" s="139">
        <f t="shared" si="156"/>
        <v>0</v>
      </c>
      <c r="FO141" s="139">
        <f t="shared" si="157"/>
        <v>0</v>
      </c>
      <c r="FP141" s="139">
        <f t="shared" si="158"/>
        <v>0</v>
      </c>
      <c r="FQ141" s="139">
        <f t="shared" si="159"/>
        <v>0</v>
      </c>
      <c r="FR141" s="139">
        <f t="shared" si="160"/>
        <v>0</v>
      </c>
      <c r="FS141" s="139">
        <f t="shared" si="161"/>
        <v>0</v>
      </c>
      <c r="FT141" s="139">
        <f t="shared" si="162"/>
        <v>0</v>
      </c>
      <c r="FU141" s="148">
        <f t="shared" si="163"/>
        <v>850.32453909140486</v>
      </c>
      <c r="FV141" s="149"/>
      <c r="FY141" s="211">
        <v>136</v>
      </c>
      <c r="FZ141">
        <v>142.36524829201264</v>
      </c>
      <c r="GA141">
        <v>148.0396647976068</v>
      </c>
      <c r="GB141">
        <v>51.822773006126752</v>
      </c>
      <c r="GC141">
        <v>39.357696572962254</v>
      </c>
      <c r="GD141">
        <v>37.554543656002579</v>
      </c>
      <c r="GE141">
        <v>60.604256222589171</v>
      </c>
      <c r="GF141">
        <v>73.115327361523313</v>
      </c>
      <c r="GG141">
        <v>40.296610366418641</v>
      </c>
      <c r="GH141">
        <v>44.970890638729237</v>
      </c>
      <c r="GI141">
        <v>83.110351609059776</v>
      </c>
      <c r="GJ141"/>
      <c r="GK141"/>
      <c r="GL141"/>
      <c r="GM141"/>
    </row>
    <row r="142" spans="1:195" s="7" customFormat="1">
      <c r="A142" s="1"/>
      <c r="B142" s="76">
        <f ca="1">IF(C142="", "", RAND())</f>
        <v>0.62440888476438539</v>
      </c>
      <c r="C142">
        <v>1</v>
      </c>
      <c r="D142">
        <v>39799</v>
      </c>
      <c r="E142">
        <v>0</v>
      </c>
      <c r="F142">
        <v>83.333333333333329</v>
      </c>
      <c r="G142">
        <v>0</v>
      </c>
      <c r="H142">
        <v>0</v>
      </c>
      <c r="I142">
        <v>0</v>
      </c>
      <c r="J142">
        <v>0</v>
      </c>
      <c r="K142">
        <v>20.833333333333332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236.17551623940935</v>
      </c>
      <c r="AO142">
        <v>138.67612404589823</v>
      </c>
      <c r="AP142">
        <v>602.27500856925155</v>
      </c>
      <c r="AQ142">
        <v>738.66522094993331</v>
      </c>
      <c r="AR142">
        <v>131.49110039230467</v>
      </c>
      <c r="AS142">
        <v>1404.2833793750231</v>
      </c>
      <c r="AT142">
        <v>67.762724360944929</v>
      </c>
      <c r="AU142">
        <v>128.2762683548064</v>
      </c>
      <c r="AV142"/>
      <c r="AW142"/>
      <c r="AX142" s="146"/>
      <c r="AY142" s="76">
        <f t="shared" ca="1" si="87"/>
        <v>0.61524833501417842</v>
      </c>
      <c r="AZ142">
        <v>5</v>
      </c>
      <c r="BA142" s="129">
        <f t="shared" si="167"/>
        <v>39799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1</v>
      </c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 s="147"/>
      <c r="CH142" s="176"/>
      <c r="CJ142" s="146"/>
      <c r="CK142" s="76">
        <f t="shared" ca="1" si="89"/>
        <v>0.59811508503523414</v>
      </c>
      <c r="CL142" s="179">
        <f t="shared" si="90"/>
        <v>5</v>
      </c>
      <c r="CM142" s="180">
        <f t="shared" si="91"/>
        <v>39799</v>
      </c>
      <c r="CN142">
        <v>2</v>
      </c>
      <c r="CO142">
        <v>3</v>
      </c>
      <c r="CP142">
        <v>1</v>
      </c>
      <c r="CQ142"/>
      <c r="CR142"/>
      <c r="CS142"/>
      <c r="CT142"/>
      <c r="CU142"/>
      <c r="CV142" s="160"/>
      <c r="CW142">
        <v>1</v>
      </c>
      <c r="CX142">
        <f>350/52</f>
        <v>6.7307692307692308</v>
      </c>
      <c r="CY142" s="160"/>
      <c r="CZ142" s="177">
        <f t="shared" si="92"/>
        <v>9.6000000000000002E-2</v>
      </c>
      <c r="DB142" s="146"/>
      <c r="DC142" s="76">
        <f t="shared" ca="1" si="50"/>
        <v>1.0542840308086276E-2</v>
      </c>
      <c r="DD142">
        <f t="shared" si="93"/>
        <v>5</v>
      </c>
      <c r="DE142" s="129">
        <f t="shared" si="166"/>
        <v>39799</v>
      </c>
      <c r="DF142" s="161">
        <f t="shared" si="94"/>
        <v>140.22435897435898</v>
      </c>
      <c r="DG142" s="161">
        <f t="shared" si="95"/>
        <v>210.33653846153848</v>
      </c>
      <c r="DH142" s="161">
        <f t="shared" si="96"/>
        <v>70.112179487179489</v>
      </c>
      <c r="DI142" s="161">
        <f t="shared" si="97"/>
        <v>0</v>
      </c>
      <c r="DJ142" s="161">
        <f t="shared" si="98"/>
        <v>0</v>
      </c>
      <c r="DK142" s="161">
        <f t="shared" si="99"/>
        <v>10.416666666666666</v>
      </c>
      <c r="DL142" s="161">
        <f t="shared" si="100"/>
        <v>0</v>
      </c>
      <c r="DM142" s="161">
        <f t="shared" si="101"/>
        <v>0</v>
      </c>
      <c r="DN142" s="161">
        <f t="shared" si="102"/>
        <v>0</v>
      </c>
      <c r="DO142" s="161">
        <f t="shared" si="103"/>
        <v>0</v>
      </c>
      <c r="DP142" s="161">
        <f t="shared" si="104"/>
        <v>0</v>
      </c>
      <c r="DQ142" s="161">
        <f t="shared" si="105"/>
        <v>0</v>
      </c>
      <c r="DR142" s="161">
        <f t="shared" si="106"/>
        <v>0</v>
      </c>
      <c r="DS142" s="161">
        <f t="shared" si="107"/>
        <v>0</v>
      </c>
      <c r="DT142" s="161">
        <f t="shared" si="108"/>
        <v>0</v>
      </c>
      <c r="DU142" s="161">
        <f t="shared" si="109"/>
        <v>0</v>
      </c>
      <c r="DV142" s="161">
        <f t="shared" si="110"/>
        <v>0</v>
      </c>
      <c r="DW142" s="161">
        <f t="shared" si="111"/>
        <v>0</v>
      </c>
      <c r="DX142" s="161">
        <f t="shared" si="112"/>
        <v>0</v>
      </c>
      <c r="DY142" s="161">
        <f t="shared" si="113"/>
        <v>0</v>
      </c>
      <c r="DZ142" s="161">
        <f t="shared" si="114"/>
        <v>0</v>
      </c>
      <c r="EA142" s="161">
        <f t="shared" si="115"/>
        <v>0</v>
      </c>
      <c r="EB142" s="161">
        <f t="shared" si="116"/>
        <v>0</v>
      </c>
      <c r="EC142" s="161">
        <f t="shared" si="117"/>
        <v>0</v>
      </c>
      <c r="ED142" s="161">
        <f t="shared" si="118"/>
        <v>0</v>
      </c>
      <c r="EE142" s="161">
        <f t="shared" si="119"/>
        <v>0</v>
      </c>
      <c r="EF142" s="161">
        <f t="shared" si="120"/>
        <v>0</v>
      </c>
      <c r="EG142" s="161">
        <f t="shared" si="121"/>
        <v>0</v>
      </c>
      <c r="EH142" s="161">
        <f t="shared" si="122"/>
        <v>0</v>
      </c>
      <c r="EI142" s="161">
        <f t="shared" si="123"/>
        <v>0</v>
      </c>
      <c r="EJ142" s="161">
        <f t="shared" si="124"/>
        <v>0</v>
      </c>
      <c r="EK142" s="147">
        <f t="shared" si="131"/>
        <v>431.08974358974365</v>
      </c>
      <c r="EL142" s="149"/>
      <c r="EN142" s="146"/>
      <c r="EO142" s="146"/>
      <c r="EP142" s="139">
        <f t="shared" si="132"/>
        <v>0.25459785234968985</v>
      </c>
      <c r="EQ142" s="139">
        <f t="shared" si="133"/>
        <v>2.4254537259615385</v>
      </c>
      <c r="ER142" s="139">
        <f t="shared" si="134"/>
        <v>5.1347433020244502</v>
      </c>
      <c r="ES142" s="139">
        <f t="shared" si="135"/>
        <v>0</v>
      </c>
      <c r="ET142" s="139">
        <f t="shared" si="136"/>
        <v>0</v>
      </c>
      <c r="EU142" s="139">
        <f t="shared" si="137"/>
        <v>8.7853696509678922</v>
      </c>
      <c r="EV142" s="139">
        <f t="shared" si="138"/>
        <v>0</v>
      </c>
      <c r="EW142" s="139">
        <f t="shared" si="139"/>
        <v>0</v>
      </c>
      <c r="EX142" s="139">
        <f t="shared" si="140"/>
        <v>0</v>
      </c>
      <c r="EY142" s="139">
        <f t="shared" si="141"/>
        <v>0</v>
      </c>
      <c r="EZ142" s="139">
        <f t="shared" si="142"/>
        <v>0</v>
      </c>
      <c r="FA142" s="139">
        <f t="shared" si="143"/>
        <v>0</v>
      </c>
      <c r="FB142" s="139">
        <f t="shared" si="144"/>
        <v>0</v>
      </c>
      <c r="FC142" s="139">
        <f t="shared" si="145"/>
        <v>0</v>
      </c>
      <c r="FD142" s="139">
        <f t="shared" si="146"/>
        <v>0</v>
      </c>
      <c r="FE142" s="139">
        <f t="shared" si="147"/>
        <v>0</v>
      </c>
      <c r="FF142" s="139">
        <f t="shared" si="148"/>
        <v>0</v>
      </c>
      <c r="FG142" s="139">
        <f t="shared" si="149"/>
        <v>0</v>
      </c>
      <c r="FH142" s="139">
        <f t="shared" si="150"/>
        <v>0</v>
      </c>
      <c r="FI142" s="139">
        <f t="shared" si="151"/>
        <v>0</v>
      </c>
      <c r="FJ142" s="139">
        <f t="shared" si="152"/>
        <v>0</v>
      </c>
      <c r="FK142" s="139">
        <f t="shared" si="153"/>
        <v>0</v>
      </c>
      <c r="FL142" s="139">
        <f t="shared" si="154"/>
        <v>0</v>
      </c>
      <c r="FM142" s="139">
        <f t="shared" si="155"/>
        <v>0</v>
      </c>
      <c r="FN142" s="139">
        <f t="shared" si="156"/>
        <v>0</v>
      </c>
      <c r="FO142" s="139">
        <f t="shared" si="157"/>
        <v>0</v>
      </c>
      <c r="FP142" s="139">
        <f t="shared" si="158"/>
        <v>0</v>
      </c>
      <c r="FQ142" s="139">
        <f t="shared" si="159"/>
        <v>0</v>
      </c>
      <c r="FR142" s="139">
        <f t="shared" si="160"/>
        <v>0</v>
      </c>
      <c r="FS142" s="139">
        <f t="shared" si="161"/>
        <v>0</v>
      </c>
      <c r="FT142" s="139">
        <f t="shared" si="162"/>
        <v>0</v>
      </c>
      <c r="FU142" s="148">
        <f t="shared" si="163"/>
        <v>16.60016453130357</v>
      </c>
      <c r="FV142" s="149"/>
      <c r="FY142" s="211">
        <v>137</v>
      </c>
      <c r="FZ142">
        <v>127.30381727511411</v>
      </c>
      <c r="GA142">
        <v>149.21219310406829</v>
      </c>
      <c r="GB142">
        <v>41.747377710793486</v>
      </c>
      <c r="GC142">
        <v>32.546778002205507</v>
      </c>
      <c r="GD142">
        <v>30.828532127050455</v>
      </c>
      <c r="GE142">
        <v>61.381393371464682</v>
      </c>
      <c r="GF142">
        <v>110.20041282279431</v>
      </c>
      <c r="GG142">
        <v>98.326834697670733</v>
      </c>
      <c r="GH142">
        <v>78.377615469105379</v>
      </c>
      <c r="GI142">
        <v>87.287858446213576</v>
      </c>
      <c r="GJ142"/>
      <c r="GK142"/>
      <c r="GL142"/>
      <c r="GM142"/>
    </row>
    <row r="143" spans="1:195" s="7" customFormat="1">
      <c r="A143" s="1"/>
      <c r="B143" s="76">
        <f ca="1">IF(C143="", "", RAND())</f>
        <v>0.17231316971527666</v>
      </c>
      <c r="C143">
        <v>7</v>
      </c>
      <c r="D143">
        <v>39799</v>
      </c>
      <c r="E143">
        <v>0</v>
      </c>
      <c r="F143">
        <v>121.52777777777777</v>
      </c>
      <c r="G143">
        <v>364.58333333333331</v>
      </c>
      <c r="H143">
        <v>0</v>
      </c>
      <c r="I143">
        <v>0</v>
      </c>
      <c r="J143">
        <v>52.083333333333336</v>
      </c>
      <c r="K143">
        <v>41.666666666666664</v>
      </c>
      <c r="L143">
        <v>10.416666666666666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244.567381878166</v>
      </c>
      <c r="AO143">
        <v>120.74619347780499</v>
      </c>
      <c r="AP143">
        <v>483.18539820880551</v>
      </c>
      <c r="AQ143">
        <v>686.5282862009559</v>
      </c>
      <c r="AR143">
        <v>114.74838734750254</v>
      </c>
      <c r="AS143">
        <v>1126.5234044105036</v>
      </c>
      <c r="AT143">
        <v>58.957968498211187</v>
      </c>
      <c r="AU143">
        <v>315.43580510061531</v>
      </c>
      <c r="AV143"/>
      <c r="AW143"/>
      <c r="AX143" s="146"/>
      <c r="AY143" s="76">
        <f t="shared" ca="1" si="87"/>
        <v>3.4795465510564227E-3</v>
      </c>
      <c r="AZ143">
        <v>6</v>
      </c>
      <c r="BA143" s="129">
        <f t="shared" si="167"/>
        <v>39799</v>
      </c>
      <c r="BB143">
        <v>0</v>
      </c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 s="147"/>
      <c r="CH143" s="176"/>
      <c r="CJ143" s="146"/>
      <c r="CK143" s="76">
        <f t="shared" ca="1" si="89"/>
        <v>0.69082592104589291</v>
      </c>
      <c r="CL143" s="179">
        <f t="shared" si="90"/>
        <v>6</v>
      </c>
      <c r="CM143" s="180">
        <f t="shared" si="91"/>
        <v>39799</v>
      </c>
      <c r="CN143"/>
      <c r="CO143"/>
      <c r="CP143"/>
      <c r="CQ143"/>
      <c r="CR143"/>
      <c r="CS143"/>
      <c r="CT143"/>
      <c r="CU143"/>
      <c r="CV143" s="160"/>
      <c r="CW143">
        <v>1</v>
      </c>
      <c r="CX143">
        <v>1</v>
      </c>
      <c r="CY143" s="160"/>
      <c r="CZ143" s="177">
        <f t="shared" si="92"/>
        <v>9.6000000000000002E-2</v>
      </c>
      <c r="DB143" s="146"/>
      <c r="DC143" s="76">
        <f t="shared" ca="1" si="50"/>
        <v>0.39243605104301227</v>
      </c>
      <c r="DD143">
        <f t="shared" si="93"/>
        <v>6</v>
      </c>
      <c r="DE143" s="129">
        <f t="shared" si="166"/>
        <v>39799</v>
      </c>
      <c r="DF143" s="161">
        <f t="shared" si="94"/>
        <v>0</v>
      </c>
      <c r="DG143" s="161">
        <f t="shared" si="95"/>
        <v>0</v>
      </c>
      <c r="DH143" s="161">
        <f t="shared" si="96"/>
        <v>0</v>
      </c>
      <c r="DI143" s="161">
        <f t="shared" si="97"/>
        <v>0</v>
      </c>
      <c r="DJ143" s="161">
        <f t="shared" si="98"/>
        <v>0</v>
      </c>
      <c r="DK143" s="161">
        <f t="shared" si="99"/>
        <v>0</v>
      </c>
      <c r="DL143" s="161">
        <f t="shared" si="100"/>
        <v>0</v>
      </c>
      <c r="DM143" s="161">
        <f t="shared" si="101"/>
        <v>0</v>
      </c>
      <c r="DN143" s="161">
        <f t="shared" si="102"/>
        <v>0</v>
      </c>
      <c r="DO143" s="161">
        <f t="shared" si="103"/>
        <v>0</v>
      </c>
      <c r="DP143" s="161">
        <f t="shared" si="104"/>
        <v>0</v>
      </c>
      <c r="DQ143" s="161">
        <f t="shared" si="105"/>
        <v>0</v>
      </c>
      <c r="DR143" s="161">
        <f t="shared" si="106"/>
        <v>0</v>
      </c>
      <c r="DS143" s="161">
        <f t="shared" si="107"/>
        <v>0</v>
      </c>
      <c r="DT143" s="161">
        <f t="shared" si="108"/>
        <v>0</v>
      </c>
      <c r="DU143" s="161">
        <f t="shared" si="109"/>
        <v>0</v>
      </c>
      <c r="DV143" s="161">
        <f t="shared" si="110"/>
        <v>0</v>
      </c>
      <c r="DW143" s="161">
        <f t="shared" si="111"/>
        <v>0</v>
      </c>
      <c r="DX143" s="161">
        <f t="shared" si="112"/>
        <v>0</v>
      </c>
      <c r="DY143" s="161">
        <f t="shared" si="113"/>
        <v>0</v>
      </c>
      <c r="DZ143" s="161">
        <f t="shared" si="114"/>
        <v>0</v>
      </c>
      <c r="EA143" s="161">
        <f t="shared" si="115"/>
        <v>0</v>
      </c>
      <c r="EB143" s="161">
        <f t="shared" si="116"/>
        <v>0</v>
      </c>
      <c r="EC143" s="161">
        <f t="shared" si="117"/>
        <v>0</v>
      </c>
      <c r="ED143" s="161">
        <f t="shared" si="118"/>
        <v>0</v>
      </c>
      <c r="EE143" s="161">
        <f t="shared" si="119"/>
        <v>0</v>
      </c>
      <c r="EF143" s="161">
        <f t="shared" si="120"/>
        <v>0</v>
      </c>
      <c r="EG143" s="161">
        <f t="shared" si="121"/>
        <v>0</v>
      </c>
      <c r="EH143" s="161">
        <f t="shared" si="122"/>
        <v>0</v>
      </c>
      <c r="EI143" s="161">
        <f t="shared" si="123"/>
        <v>0</v>
      </c>
      <c r="EJ143" s="161">
        <f t="shared" si="124"/>
        <v>0</v>
      </c>
      <c r="EK143" s="147">
        <f t="shared" si="131"/>
        <v>0</v>
      </c>
      <c r="EL143" s="149"/>
      <c r="EN143" s="146"/>
      <c r="EO143" s="146"/>
      <c r="EP143" s="139">
        <f t="shared" si="132"/>
        <v>0</v>
      </c>
      <c r="EQ143" s="139">
        <f t="shared" si="133"/>
        <v>0</v>
      </c>
      <c r="ER143" s="139">
        <f t="shared" si="134"/>
        <v>0</v>
      </c>
      <c r="ES143" s="139">
        <f t="shared" si="135"/>
        <v>0</v>
      </c>
      <c r="ET143" s="139">
        <f t="shared" si="136"/>
        <v>0</v>
      </c>
      <c r="EU143" s="139">
        <f t="shared" si="137"/>
        <v>0</v>
      </c>
      <c r="EV143" s="139">
        <f t="shared" si="138"/>
        <v>0</v>
      </c>
      <c r="EW143" s="139">
        <f t="shared" si="139"/>
        <v>0</v>
      </c>
      <c r="EX143" s="139">
        <f t="shared" si="140"/>
        <v>0</v>
      </c>
      <c r="EY143" s="139">
        <f t="shared" si="141"/>
        <v>0</v>
      </c>
      <c r="EZ143" s="139">
        <f t="shared" si="142"/>
        <v>0</v>
      </c>
      <c r="FA143" s="139">
        <f t="shared" si="143"/>
        <v>0</v>
      </c>
      <c r="FB143" s="139">
        <f t="shared" si="144"/>
        <v>0</v>
      </c>
      <c r="FC143" s="139">
        <f t="shared" si="145"/>
        <v>0</v>
      </c>
      <c r="FD143" s="139">
        <f t="shared" si="146"/>
        <v>0</v>
      </c>
      <c r="FE143" s="139">
        <f t="shared" si="147"/>
        <v>0</v>
      </c>
      <c r="FF143" s="139">
        <f t="shared" si="148"/>
        <v>0</v>
      </c>
      <c r="FG143" s="139">
        <f t="shared" si="149"/>
        <v>0</v>
      </c>
      <c r="FH143" s="139">
        <f t="shared" si="150"/>
        <v>0</v>
      </c>
      <c r="FI143" s="139">
        <f t="shared" si="151"/>
        <v>0</v>
      </c>
      <c r="FJ143" s="139">
        <f t="shared" si="152"/>
        <v>0</v>
      </c>
      <c r="FK143" s="139">
        <f t="shared" si="153"/>
        <v>0</v>
      </c>
      <c r="FL143" s="139">
        <f t="shared" si="154"/>
        <v>0</v>
      </c>
      <c r="FM143" s="139">
        <f t="shared" si="155"/>
        <v>0</v>
      </c>
      <c r="FN143" s="139">
        <f t="shared" si="156"/>
        <v>0</v>
      </c>
      <c r="FO143" s="139">
        <f t="shared" si="157"/>
        <v>0</v>
      </c>
      <c r="FP143" s="139">
        <f t="shared" si="158"/>
        <v>0</v>
      </c>
      <c r="FQ143" s="139">
        <f t="shared" si="159"/>
        <v>0</v>
      </c>
      <c r="FR143" s="139">
        <f t="shared" si="160"/>
        <v>0</v>
      </c>
      <c r="FS143" s="139">
        <f t="shared" si="161"/>
        <v>0</v>
      </c>
      <c r="FT143" s="139">
        <f t="shared" si="162"/>
        <v>0</v>
      </c>
      <c r="FU143" s="148">
        <f t="shared" si="163"/>
        <v>0</v>
      </c>
      <c r="FV143" s="149"/>
      <c r="FY143" s="211">
        <v>138</v>
      </c>
      <c r="FZ143">
        <v>85.600116844939862</v>
      </c>
      <c r="GA143">
        <v>107.70824113404277</v>
      </c>
      <c r="GB143">
        <v>52.074150765637405</v>
      </c>
      <c r="GC143">
        <v>38.244776844347626</v>
      </c>
      <c r="GD143">
        <v>38.717331123644129</v>
      </c>
      <c r="GE143">
        <v>91.351365432092649</v>
      </c>
      <c r="GF143">
        <v>96.953028408241408</v>
      </c>
      <c r="GG143">
        <v>58.96072100510429</v>
      </c>
      <c r="GH143">
        <v>87.161491901450376</v>
      </c>
      <c r="GI143">
        <v>88.281708204724367</v>
      </c>
      <c r="GJ143"/>
      <c r="GK143"/>
      <c r="GL143"/>
      <c r="GM143"/>
    </row>
    <row r="144" spans="1:195" s="7" customFormat="1">
      <c r="A144" s="1"/>
      <c r="B144" s="76">
        <f ca="1">IF(C144="", "", RAND())</f>
        <v>0.72783631010411942</v>
      </c>
      <c r="C144">
        <v>3</v>
      </c>
      <c r="D144">
        <v>39799</v>
      </c>
      <c r="E144">
        <v>0</v>
      </c>
      <c r="F144">
        <v>0</v>
      </c>
      <c r="G144">
        <v>500</v>
      </c>
      <c r="H144">
        <v>0</v>
      </c>
      <c r="I144">
        <v>83.333333333333329</v>
      </c>
      <c r="J144">
        <v>96.153846153846146</v>
      </c>
      <c r="K144">
        <v>120.19230769230766</v>
      </c>
      <c r="L144">
        <v>48.076923076923073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231.06090138919694</v>
      </c>
      <c r="AO144">
        <v>129.46547289225478</v>
      </c>
      <c r="AP144">
        <v>649.40351966958531</v>
      </c>
      <c r="AQ144">
        <v>748.38184780373217</v>
      </c>
      <c r="AR144">
        <v>122.28749280986098</v>
      </c>
      <c r="AS144">
        <v>1216.4631196960349</v>
      </c>
      <c r="AT144">
        <v>69.333609575196306</v>
      </c>
      <c r="AU144">
        <v>128.5768720564169</v>
      </c>
      <c r="AV144"/>
      <c r="AW144"/>
      <c r="AX144" s="146"/>
      <c r="AY144" s="76">
        <f t="shared" ca="1" si="87"/>
        <v>0.1436093742060538</v>
      </c>
      <c r="AZ144">
        <v>7</v>
      </c>
      <c r="BA144" s="129">
        <f t="shared" si="167"/>
        <v>39799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5</v>
      </c>
      <c r="BH144">
        <v>4</v>
      </c>
      <c r="BI144">
        <v>1</v>
      </c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 s="147"/>
      <c r="CH144" s="176"/>
      <c r="CJ144" s="146"/>
      <c r="CK144" s="76">
        <f t="shared" ca="1" si="89"/>
        <v>0.94090198538496272</v>
      </c>
      <c r="CL144" s="179">
        <f t="shared" si="90"/>
        <v>7</v>
      </c>
      <c r="CM144" s="180">
        <f t="shared" si="91"/>
        <v>39799</v>
      </c>
      <c r="CN144">
        <v>0</v>
      </c>
      <c r="CO144">
        <v>2</v>
      </c>
      <c r="CP144">
        <v>6</v>
      </c>
      <c r="CQ144"/>
      <c r="CR144"/>
      <c r="CS144"/>
      <c r="CT144"/>
      <c r="CU144"/>
      <c r="CV144" s="160"/>
      <c r="CW144">
        <v>1</v>
      </c>
      <c r="CX144">
        <f>350/60</f>
        <v>5.833333333333333</v>
      </c>
      <c r="CY144" s="165"/>
      <c r="CZ144" s="177">
        <f t="shared" si="92"/>
        <v>9.6000000000000002E-2</v>
      </c>
      <c r="DB144" s="146"/>
      <c r="DC144" s="76">
        <f t="shared" ca="1" si="50"/>
        <v>0.22733221619817567</v>
      </c>
      <c r="DD144">
        <f t="shared" si="93"/>
        <v>7</v>
      </c>
      <c r="DE144" s="129">
        <f t="shared" si="166"/>
        <v>39799</v>
      </c>
      <c r="DF144" s="161">
        <f t="shared" si="94"/>
        <v>0</v>
      </c>
      <c r="DG144" s="161">
        <f t="shared" si="95"/>
        <v>121.52777777777777</v>
      </c>
      <c r="DH144" s="161">
        <f t="shared" si="96"/>
        <v>364.58333333333331</v>
      </c>
      <c r="DI144" s="161">
        <f t="shared" si="97"/>
        <v>0</v>
      </c>
      <c r="DJ144" s="161">
        <f t="shared" si="98"/>
        <v>0</v>
      </c>
      <c r="DK144" s="161">
        <f t="shared" si="99"/>
        <v>52.083333333333336</v>
      </c>
      <c r="DL144" s="161">
        <f t="shared" si="100"/>
        <v>41.666666666666664</v>
      </c>
      <c r="DM144" s="161">
        <f t="shared" si="101"/>
        <v>10.416666666666666</v>
      </c>
      <c r="DN144" s="161">
        <f t="shared" si="102"/>
        <v>0</v>
      </c>
      <c r="DO144" s="161">
        <f t="shared" si="103"/>
        <v>0</v>
      </c>
      <c r="DP144" s="161">
        <f t="shared" si="104"/>
        <v>0</v>
      </c>
      <c r="DQ144" s="161">
        <f t="shared" si="105"/>
        <v>0</v>
      </c>
      <c r="DR144" s="161">
        <f t="shared" si="106"/>
        <v>0</v>
      </c>
      <c r="DS144" s="161">
        <f t="shared" si="107"/>
        <v>0</v>
      </c>
      <c r="DT144" s="161">
        <f t="shared" si="108"/>
        <v>0</v>
      </c>
      <c r="DU144" s="161">
        <f t="shared" si="109"/>
        <v>0</v>
      </c>
      <c r="DV144" s="161">
        <f t="shared" si="110"/>
        <v>0</v>
      </c>
      <c r="DW144" s="161">
        <f t="shared" si="111"/>
        <v>0</v>
      </c>
      <c r="DX144" s="161">
        <f t="shared" si="112"/>
        <v>0</v>
      </c>
      <c r="DY144" s="161">
        <f t="shared" si="113"/>
        <v>0</v>
      </c>
      <c r="DZ144" s="161">
        <f t="shared" si="114"/>
        <v>0</v>
      </c>
      <c r="EA144" s="161">
        <f t="shared" si="115"/>
        <v>0</v>
      </c>
      <c r="EB144" s="161">
        <f t="shared" si="116"/>
        <v>0</v>
      </c>
      <c r="EC144" s="161">
        <f t="shared" si="117"/>
        <v>0</v>
      </c>
      <c r="ED144" s="161">
        <f t="shared" si="118"/>
        <v>0</v>
      </c>
      <c r="EE144" s="161">
        <f t="shared" si="119"/>
        <v>0</v>
      </c>
      <c r="EF144" s="161">
        <f t="shared" si="120"/>
        <v>0</v>
      </c>
      <c r="EG144" s="161">
        <f t="shared" si="121"/>
        <v>0</v>
      </c>
      <c r="EH144" s="161">
        <f t="shared" si="122"/>
        <v>0</v>
      </c>
      <c r="EI144" s="161">
        <f t="shared" si="123"/>
        <v>0</v>
      </c>
      <c r="EJ144" s="161">
        <f t="shared" si="124"/>
        <v>0</v>
      </c>
      <c r="EK144" s="147">
        <f t="shared" si="131"/>
        <v>590.27777777777771</v>
      </c>
      <c r="EL144" s="149"/>
      <c r="EN144" s="146"/>
      <c r="EO144" s="146"/>
      <c r="EP144" s="139">
        <f t="shared" si="132"/>
        <v>0</v>
      </c>
      <c r="EQ144" s="139">
        <f t="shared" si="133"/>
        <v>1.4013732638888887</v>
      </c>
      <c r="ER144" s="139">
        <f t="shared" si="134"/>
        <v>26.700665170527138</v>
      </c>
      <c r="ES144" s="139">
        <f t="shared" si="135"/>
        <v>0</v>
      </c>
      <c r="ET144" s="139">
        <f t="shared" si="136"/>
        <v>0</v>
      </c>
      <c r="EU144" s="139">
        <f t="shared" si="137"/>
        <v>43.92684825483947</v>
      </c>
      <c r="EV144" s="139">
        <f t="shared" si="138"/>
        <v>57.14739179736717</v>
      </c>
      <c r="EW144" s="139">
        <f t="shared" si="139"/>
        <v>21.551798137789032</v>
      </c>
      <c r="EX144" s="139">
        <f t="shared" si="140"/>
        <v>0</v>
      </c>
      <c r="EY144" s="139">
        <f t="shared" si="141"/>
        <v>0</v>
      </c>
      <c r="EZ144" s="139">
        <f t="shared" si="142"/>
        <v>0</v>
      </c>
      <c r="FA144" s="139">
        <f t="shared" si="143"/>
        <v>0</v>
      </c>
      <c r="FB144" s="139">
        <f t="shared" si="144"/>
        <v>0</v>
      </c>
      <c r="FC144" s="139">
        <f t="shared" si="145"/>
        <v>0</v>
      </c>
      <c r="FD144" s="139">
        <f t="shared" si="146"/>
        <v>0</v>
      </c>
      <c r="FE144" s="139">
        <f t="shared" si="147"/>
        <v>0</v>
      </c>
      <c r="FF144" s="139">
        <f t="shared" si="148"/>
        <v>0</v>
      </c>
      <c r="FG144" s="139">
        <f t="shared" si="149"/>
        <v>0</v>
      </c>
      <c r="FH144" s="139">
        <f t="shared" si="150"/>
        <v>0</v>
      </c>
      <c r="FI144" s="139">
        <f t="shared" si="151"/>
        <v>0</v>
      </c>
      <c r="FJ144" s="139">
        <f t="shared" si="152"/>
        <v>0</v>
      </c>
      <c r="FK144" s="139">
        <f t="shared" si="153"/>
        <v>0</v>
      </c>
      <c r="FL144" s="139">
        <f t="shared" si="154"/>
        <v>0</v>
      </c>
      <c r="FM144" s="139">
        <f t="shared" si="155"/>
        <v>0</v>
      </c>
      <c r="FN144" s="139">
        <f t="shared" si="156"/>
        <v>0</v>
      </c>
      <c r="FO144" s="139">
        <f t="shared" si="157"/>
        <v>0</v>
      </c>
      <c r="FP144" s="139">
        <f t="shared" si="158"/>
        <v>0</v>
      </c>
      <c r="FQ144" s="139">
        <f t="shared" si="159"/>
        <v>0</v>
      </c>
      <c r="FR144" s="139">
        <f t="shared" si="160"/>
        <v>0</v>
      </c>
      <c r="FS144" s="139">
        <f t="shared" si="161"/>
        <v>0</v>
      </c>
      <c r="FT144" s="139">
        <f t="shared" si="162"/>
        <v>0</v>
      </c>
      <c r="FU144" s="148">
        <f t="shared" si="163"/>
        <v>150.7280766244117</v>
      </c>
      <c r="FV144" s="149"/>
      <c r="FY144" s="211">
        <v>139</v>
      </c>
      <c r="FZ144">
        <v>106.06721418730909</v>
      </c>
      <c r="GA144">
        <v>158.36380697910357</v>
      </c>
      <c r="GB144">
        <v>54.502990584002923</v>
      </c>
      <c r="GC144">
        <v>35.674392326607325</v>
      </c>
      <c r="GD144">
        <v>58.151523016313419</v>
      </c>
      <c r="GE144">
        <v>125.26750000860726</v>
      </c>
      <c r="GF144">
        <v>99.10439679721361</v>
      </c>
      <c r="GG144">
        <v>42.043332313965109</v>
      </c>
      <c r="GH144">
        <v>27.920811712587653</v>
      </c>
      <c r="GI144">
        <v>94.238159204942889</v>
      </c>
      <c r="GJ144"/>
      <c r="GK144"/>
      <c r="GL144"/>
      <c r="GM144"/>
    </row>
    <row r="145" spans="1:195" s="7" customFormat="1">
      <c r="A145" s="1"/>
      <c r="B145" s="76">
        <f ca="1">IF(C145="", "", RAND())</f>
        <v>0.30681693957480016</v>
      </c>
      <c r="C145">
        <v>5</v>
      </c>
      <c r="D145">
        <v>39799</v>
      </c>
      <c r="E145">
        <v>140.22435897435898</v>
      </c>
      <c r="F145">
        <v>210.33653846153848</v>
      </c>
      <c r="G145">
        <v>70.112179487179489</v>
      </c>
      <c r="H145">
        <v>0</v>
      </c>
      <c r="I145">
        <v>0</v>
      </c>
      <c r="J145">
        <v>10.416666666666666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275.73282136220479</v>
      </c>
      <c r="AO145">
        <v>156.87835154285915</v>
      </c>
      <c r="AP145">
        <v>735.47809509565877</v>
      </c>
      <c r="AQ145">
        <v>896.82005645764957</v>
      </c>
      <c r="AR145">
        <v>147.71297864332521</v>
      </c>
      <c r="AS145">
        <v>1433.1341302289688</v>
      </c>
      <c r="AT145">
        <v>76.408453285944702</v>
      </c>
      <c r="AU145">
        <v>306.28850234066005</v>
      </c>
      <c r="AV145"/>
      <c r="AW145"/>
      <c r="AX145" s="146"/>
      <c r="AY145" s="76">
        <f t="shared" ca="1" si="87"/>
        <v>8.6768037669707532E-2</v>
      </c>
      <c r="AZ145">
        <v>8</v>
      </c>
      <c r="BA145" s="129">
        <f t="shared" si="167"/>
        <v>39799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2</v>
      </c>
      <c r="BH145">
        <v>2</v>
      </c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 s="147"/>
      <c r="CH145" s="176"/>
      <c r="CJ145" s="146"/>
      <c r="CK145" s="76">
        <f t="shared" ca="1" si="89"/>
        <v>0.74696238290704997</v>
      </c>
      <c r="CL145" s="179">
        <f t="shared" si="90"/>
        <v>8</v>
      </c>
      <c r="CM145" s="180">
        <f t="shared" si="91"/>
        <v>39799</v>
      </c>
      <c r="CN145">
        <v>0</v>
      </c>
      <c r="CO145">
        <v>6</v>
      </c>
      <c r="CP145"/>
      <c r="CQ145"/>
      <c r="CR145"/>
      <c r="CS145"/>
      <c r="CT145"/>
      <c r="CU145"/>
      <c r="CV145" s="160"/>
      <c r="CW145">
        <v>1</v>
      </c>
      <c r="CX145">
        <f>350/49</f>
        <v>7.1428571428571432</v>
      </c>
      <c r="CY145" s="165"/>
      <c r="CZ145" s="177">
        <f t="shared" si="92"/>
        <v>9.6000000000000002E-2</v>
      </c>
      <c r="DB145" s="146"/>
      <c r="DC145" s="76">
        <f t="shared" ca="1" si="50"/>
        <v>0.75826840755262581</v>
      </c>
      <c r="DD145">
        <f t="shared" si="93"/>
        <v>8</v>
      </c>
      <c r="DE145" s="129">
        <f t="shared" si="166"/>
        <v>39799</v>
      </c>
      <c r="DF145" s="161">
        <f t="shared" si="94"/>
        <v>0</v>
      </c>
      <c r="DG145" s="161">
        <f t="shared" si="95"/>
        <v>446.42857142857144</v>
      </c>
      <c r="DH145" s="161">
        <f t="shared" si="96"/>
        <v>0</v>
      </c>
      <c r="DI145" s="161">
        <f t="shared" si="97"/>
        <v>0</v>
      </c>
      <c r="DJ145" s="161">
        <f t="shared" si="98"/>
        <v>0</v>
      </c>
      <c r="DK145" s="161">
        <f t="shared" si="99"/>
        <v>20.833333333333332</v>
      </c>
      <c r="DL145" s="161">
        <f t="shared" si="100"/>
        <v>20.833333333333332</v>
      </c>
      <c r="DM145" s="161">
        <f t="shared" si="101"/>
        <v>0</v>
      </c>
      <c r="DN145" s="161">
        <f t="shared" si="102"/>
        <v>0</v>
      </c>
      <c r="DO145" s="161">
        <f t="shared" si="103"/>
        <v>0</v>
      </c>
      <c r="DP145" s="161">
        <f t="shared" si="104"/>
        <v>0</v>
      </c>
      <c r="DQ145" s="161">
        <f t="shared" si="105"/>
        <v>0</v>
      </c>
      <c r="DR145" s="161">
        <f t="shared" si="106"/>
        <v>0</v>
      </c>
      <c r="DS145" s="161">
        <f t="shared" si="107"/>
        <v>0</v>
      </c>
      <c r="DT145" s="161">
        <f t="shared" si="108"/>
        <v>0</v>
      </c>
      <c r="DU145" s="161">
        <f t="shared" si="109"/>
        <v>0</v>
      </c>
      <c r="DV145" s="161">
        <f t="shared" si="110"/>
        <v>0</v>
      </c>
      <c r="DW145" s="161">
        <f t="shared" si="111"/>
        <v>0</v>
      </c>
      <c r="DX145" s="161">
        <f t="shared" si="112"/>
        <v>0</v>
      </c>
      <c r="DY145" s="161">
        <f t="shared" si="113"/>
        <v>0</v>
      </c>
      <c r="DZ145" s="161">
        <f t="shared" si="114"/>
        <v>0</v>
      </c>
      <c r="EA145" s="161">
        <f t="shared" si="115"/>
        <v>0</v>
      </c>
      <c r="EB145" s="161">
        <f t="shared" si="116"/>
        <v>0</v>
      </c>
      <c r="EC145" s="161">
        <f t="shared" si="117"/>
        <v>0</v>
      </c>
      <c r="ED145" s="161">
        <f t="shared" si="118"/>
        <v>0</v>
      </c>
      <c r="EE145" s="161">
        <f t="shared" si="119"/>
        <v>0</v>
      </c>
      <c r="EF145" s="161">
        <f t="shared" si="120"/>
        <v>0</v>
      </c>
      <c r="EG145" s="161">
        <f t="shared" si="121"/>
        <v>0</v>
      </c>
      <c r="EH145" s="161">
        <f t="shared" si="122"/>
        <v>0</v>
      </c>
      <c r="EI145" s="161">
        <f t="shared" si="123"/>
        <v>0</v>
      </c>
      <c r="EJ145" s="161">
        <f t="shared" si="124"/>
        <v>0</v>
      </c>
      <c r="EK145" s="147">
        <f t="shared" si="131"/>
        <v>488.09523809523807</v>
      </c>
      <c r="EL145" s="149"/>
      <c r="EN145" s="146"/>
      <c r="EO145" s="146"/>
      <c r="EP145" s="139">
        <f t="shared" si="132"/>
        <v>0</v>
      </c>
      <c r="EQ145" s="139">
        <f t="shared" si="133"/>
        <v>5.1479017857142857</v>
      </c>
      <c r="ER145" s="139">
        <f t="shared" si="134"/>
        <v>0</v>
      </c>
      <c r="ES145" s="139">
        <f t="shared" si="135"/>
        <v>0</v>
      </c>
      <c r="ET145" s="139">
        <f t="shared" si="136"/>
        <v>0</v>
      </c>
      <c r="EU145" s="139">
        <f t="shared" si="137"/>
        <v>17.570739301935784</v>
      </c>
      <c r="EV145" s="139">
        <f t="shared" si="138"/>
        <v>28.573695898683585</v>
      </c>
      <c r="EW145" s="139">
        <f t="shared" si="139"/>
        <v>0</v>
      </c>
      <c r="EX145" s="139">
        <f t="shared" si="140"/>
        <v>0</v>
      </c>
      <c r="EY145" s="139">
        <f t="shared" si="141"/>
        <v>0</v>
      </c>
      <c r="EZ145" s="139">
        <f t="shared" si="142"/>
        <v>0</v>
      </c>
      <c r="FA145" s="139">
        <f t="shared" si="143"/>
        <v>0</v>
      </c>
      <c r="FB145" s="139">
        <f t="shared" si="144"/>
        <v>0</v>
      </c>
      <c r="FC145" s="139">
        <f t="shared" si="145"/>
        <v>0</v>
      </c>
      <c r="FD145" s="139">
        <f t="shared" si="146"/>
        <v>0</v>
      </c>
      <c r="FE145" s="139">
        <f t="shared" si="147"/>
        <v>0</v>
      </c>
      <c r="FF145" s="139">
        <f t="shared" si="148"/>
        <v>0</v>
      </c>
      <c r="FG145" s="139">
        <f t="shared" si="149"/>
        <v>0</v>
      </c>
      <c r="FH145" s="139">
        <f t="shared" si="150"/>
        <v>0</v>
      </c>
      <c r="FI145" s="139">
        <f t="shared" si="151"/>
        <v>0</v>
      </c>
      <c r="FJ145" s="139">
        <f t="shared" si="152"/>
        <v>0</v>
      </c>
      <c r="FK145" s="139">
        <f t="shared" si="153"/>
        <v>0</v>
      </c>
      <c r="FL145" s="139">
        <f t="shared" si="154"/>
        <v>0</v>
      </c>
      <c r="FM145" s="139">
        <f t="shared" si="155"/>
        <v>0</v>
      </c>
      <c r="FN145" s="139">
        <f t="shared" si="156"/>
        <v>0</v>
      </c>
      <c r="FO145" s="139">
        <f t="shared" si="157"/>
        <v>0</v>
      </c>
      <c r="FP145" s="139">
        <f t="shared" si="158"/>
        <v>0</v>
      </c>
      <c r="FQ145" s="139">
        <f t="shared" si="159"/>
        <v>0</v>
      </c>
      <c r="FR145" s="139">
        <f t="shared" si="160"/>
        <v>0</v>
      </c>
      <c r="FS145" s="139">
        <f t="shared" si="161"/>
        <v>0</v>
      </c>
      <c r="FT145" s="139">
        <f t="shared" si="162"/>
        <v>0</v>
      </c>
      <c r="FU145" s="148">
        <f t="shared" si="163"/>
        <v>51.292336986333652</v>
      </c>
      <c r="FV145" s="149"/>
      <c r="FY145" s="211">
        <v>140</v>
      </c>
      <c r="FZ145">
        <v>131.06724873819147</v>
      </c>
      <c r="GA145">
        <v>161.047291365717</v>
      </c>
      <c r="GB145">
        <v>51.798595082961562</v>
      </c>
      <c r="GC145">
        <v>40.295868258141653</v>
      </c>
      <c r="GD145">
        <v>22.903503623100239</v>
      </c>
      <c r="GE145">
        <v>25.599269114166994</v>
      </c>
      <c r="GF145">
        <v>51.224788127549452</v>
      </c>
      <c r="GG145">
        <v>40.74681962901456</v>
      </c>
      <c r="GH145">
        <v>43.01958344362297</v>
      </c>
      <c r="GI145">
        <v>66.038721771482315</v>
      </c>
      <c r="GJ145"/>
      <c r="GK145"/>
      <c r="GL145"/>
      <c r="GM145"/>
    </row>
    <row r="146" spans="1:195" s="7" customFormat="1">
      <c r="A146" s="1"/>
      <c r="B146" s="76">
        <f ca="1">IF(C146="", "", RAND())</f>
        <v>0.7821292214389004</v>
      </c>
      <c r="C146">
        <v>9</v>
      </c>
      <c r="D146">
        <v>39799</v>
      </c>
      <c r="E146">
        <v>0</v>
      </c>
      <c r="F146">
        <v>0</v>
      </c>
      <c r="G146">
        <v>57.53391472868217</v>
      </c>
      <c r="H146">
        <v>115.06782945736434</v>
      </c>
      <c r="I146">
        <v>57.53391472868217</v>
      </c>
      <c r="J146">
        <v>0</v>
      </c>
      <c r="K146">
        <v>10.416666666666666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207.01698874939106</v>
      </c>
      <c r="AO146">
        <v>125.16856567249992</v>
      </c>
      <c r="AP146">
        <v>595.8247217968584</v>
      </c>
      <c r="AQ146">
        <v>684.47882255396212</v>
      </c>
      <c r="AR146">
        <v>116.88744669560353</v>
      </c>
      <c r="AS146">
        <v>1075.5906963881778</v>
      </c>
      <c r="AT146">
        <v>59.999019184929217</v>
      </c>
      <c r="AU146">
        <v>150.86091714146559</v>
      </c>
      <c r="AV146"/>
      <c r="AW146"/>
      <c r="AX146" s="146"/>
      <c r="AY146" s="76">
        <f t="shared" ca="1" si="87"/>
        <v>0.55379748914998395</v>
      </c>
      <c r="AZ146">
        <v>9</v>
      </c>
      <c r="BA146" s="129">
        <f t="shared" si="167"/>
        <v>39799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1</v>
      </c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 s="147"/>
      <c r="CH146" s="176"/>
      <c r="CJ146" s="146"/>
      <c r="CK146" s="76">
        <f t="shared" ca="1" si="89"/>
        <v>2.858545375942434E-3</v>
      </c>
      <c r="CL146" s="179">
        <f t="shared" si="90"/>
        <v>9</v>
      </c>
      <c r="CM146" s="180">
        <f t="shared" si="91"/>
        <v>39799</v>
      </c>
      <c r="CN146">
        <v>0</v>
      </c>
      <c r="CO146">
        <v>0</v>
      </c>
      <c r="CP146">
        <v>1</v>
      </c>
      <c r="CQ146">
        <v>2</v>
      </c>
      <c r="CR146">
        <v>1</v>
      </c>
      <c r="CS146"/>
      <c r="CT146"/>
      <c r="CU146"/>
      <c r="CV146" s="160"/>
      <c r="CW146">
        <v>1</v>
      </c>
      <c r="CX146">
        <f>475/86</f>
        <v>5.5232558139534884</v>
      </c>
      <c r="CY146" s="165"/>
      <c r="CZ146" s="177">
        <f t="shared" si="92"/>
        <v>9.6000000000000002E-2</v>
      </c>
      <c r="DB146" s="146"/>
      <c r="DC146" s="76">
        <f t="shared" ca="1" si="50"/>
        <v>0.36135625810348593</v>
      </c>
      <c r="DD146">
        <f t="shared" si="93"/>
        <v>9</v>
      </c>
      <c r="DE146" s="129">
        <f t="shared" si="166"/>
        <v>39799</v>
      </c>
      <c r="DF146" s="161">
        <f t="shared" si="94"/>
        <v>0</v>
      </c>
      <c r="DG146" s="161">
        <f t="shared" si="95"/>
        <v>0</v>
      </c>
      <c r="DH146" s="161">
        <f t="shared" si="96"/>
        <v>57.53391472868217</v>
      </c>
      <c r="DI146" s="161">
        <f t="shared" si="97"/>
        <v>115.06782945736434</v>
      </c>
      <c r="DJ146" s="161">
        <f t="shared" si="98"/>
        <v>57.53391472868217</v>
      </c>
      <c r="DK146" s="161">
        <f t="shared" si="99"/>
        <v>0</v>
      </c>
      <c r="DL146" s="161">
        <f t="shared" si="100"/>
        <v>10.416666666666666</v>
      </c>
      <c r="DM146" s="161">
        <f t="shared" si="101"/>
        <v>0</v>
      </c>
      <c r="DN146" s="161">
        <f t="shared" si="102"/>
        <v>0</v>
      </c>
      <c r="DO146" s="161">
        <f t="shared" si="103"/>
        <v>0</v>
      </c>
      <c r="DP146" s="161">
        <f t="shared" si="104"/>
        <v>0</v>
      </c>
      <c r="DQ146" s="161">
        <f t="shared" si="105"/>
        <v>0</v>
      </c>
      <c r="DR146" s="161">
        <f t="shared" si="106"/>
        <v>0</v>
      </c>
      <c r="DS146" s="161">
        <f t="shared" si="107"/>
        <v>0</v>
      </c>
      <c r="DT146" s="161">
        <f t="shared" si="108"/>
        <v>0</v>
      </c>
      <c r="DU146" s="161">
        <f t="shared" si="109"/>
        <v>0</v>
      </c>
      <c r="DV146" s="161">
        <f t="shared" si="110"/>
        <v>0</v>
      </c>
      <c r="DW146" s="161">
        <f t="shared" si="111"/>
        <v>0</v>
      </c>
      <c r="DX146" s="161">
        <f t="shared" si="112"/>
        <v>0</v>
      </c>
      <c r="DY146" s="161">
        <f t="shared" si="113"/>
        <v>0</v>
      </c>
      <c r="DZ146" s="161">
        <f t="shared" si="114"/>
        <v>0</v>
      </c>
      <c r="EA146" s="161">
        <f t="shared" si="115"/>
        <v>0</v>
      </c>
      <c r="EB146" s="161">
        <f t="shared" si="116"/>
        <v>0</v>
      </c>
      <c r="EC146" s="161">
        <f t="shared" si="117"/>
        <v>0</v>
      </c>
      <c r="ED146" s="161">
        <f t="shared" si="118"/>
        <v>0</v>
      </c>
      <c r="EE146" s="161">
        <f t="shared" si="119"/>
        <v>0</v>
      </c>
      <c r="EF146" s="161">
        <f t="shared" si="120"/>
        <v>0</v>
      </c>
      <c r="EG146" s="161">
        <f t="shared" si="121"/>
        <v>0</v>
      </c>
      <c r="EH146" s="161">
        <f t="shared" si="122"/>
        <v>0</v>
      </c>
      <c r="EI146" s="161">
        <f t="shared" si="123"/>
        <v>0</v>
      </c>
      <c r="EJ146" s="161">
        <f t="shared" si="124"/>
        <v>0</v>
      </c>
      <c r="EK146" s="147">
        <f t="shared" si="131"/>
        <v>240.55232558139534</v>
      </c>
      <c r="EL146" s="149"/>
      <c r="EN146" s="146"/>
      <c r="EO146" s="146"/>
      <c r="EP146" s="139">
        <f t="shared" si="132"/>
        <v>0</v>
      </c>
      <c r="EQ146" s="139">
        <f t="shared" si="133"/>
        <v>0</v>
      </c>
      <c r="ER146" s="139">
        <f t="shared" si="134"/>
        <v>4.2135601182725555</v>
      </c>
      <c r="ES146" s="139">
        <f t="shared" si="135"/>
        <v>24.84932397695334</v>
      </c>
      <c r="ET146" s="139">
        <f t="shared" si="136"/>
        <v>26.760621359288436</v>
      </c>
      <c r="EU146" s="139">
        <f t="shared" si="137"/>
        <v>0</v>
      </c>
      <c r="EV146" s="139">
        <f t="shared" si="138"/>
        <v>14.286847949341793</v>
      </c>
      <c r="EW146" s="139">
        <f t="shared" si="139"/>
        <v>0</v>
      </c>
      <c r="EX146" s="139">
        <f t="shared" si="140"/>
        <v>0</v>
      </c>
      <c r="EY146" s="139">
        <f t="shared" si="141"/>
        <v>0</v>
      </c>
      <c r="EZ146" s="139">
        <f t="shared" si="142"/>
        <v>0</v>
      </c>
      <c r="FA146" s="139">
        <f t="shared" si="143"/>
        <v>0</v>
      </c>
      <c r="FB146" s="139">
        <f t="shared" si="144"/>
        <v>0</v>
      </c>
      <c r="FC146" s="139">
        <f t="shared" si="145"/>
        <v>0</v>
      </c>
      <c r="FD146" s="139">
        <f t="shared" si="146"/>
        <v>0</v>
      </c>
      <c r="FE146" s="139">
        <f t="shared" si="147"/>
        <v>0</v>
      </c>
      <c r="FF146" s="139">
        <f t="shared" si="148"/>
        <v>0</v>
      </c>
      <c r="FG146" s="139">
        <f t="shared" si="149"/>
        <v>0</v>
      </c>
      <c r="FH146" s="139">
        <f t="shared" si="150"/>
        <v>0</v>
      </c>
      <c r="FI146" s="139">
        <f t="shared" si="151"/>
        <v>0</v>
      </c>
      <c r="FJ146" s="139">
        <f t="shared" si="152"/>
        <v>0</v>
      </c>
      <c r="FK146" s="139">
        <f t="shared" si="153"/>
        <v>0</v>
      </c>
      <c r="FL146" s="139">
        <f t="shared" si="154"/>
        <v>0</v>
      </c>
      <c r="FM146" s="139">
        <f t="shared" si="155"/>
        <v>0</v>
      </c>
      <c r="FN146" s="139">
        <f t="shared" si="156"/>
        <v>0</v>
      </c>
      <c r="FO146" s="139">
        <f t="shared" si="157"/>
        <v>0</v>
      </c>
      <c r="FP146" s="139">
        <f t="shared" si="158"/>
        <v>0</v>
      </c>
      <c r="FQ146" s="139">
        <f t="shared" si="159"/>
        <v>0</v>
      </c>
      <c r="FR146" s="139">
        <f t="shared" si="160"/>
        <v>0</v>
      </c>
      <c r="FS146" s="139">
        <f t="shared" si="161"/>
        <v>0</v>
      </c>
      <c r="FT146" s="139">
        <f t="shared" si="162"/>
        <v>0</v>
      </c>
      <c r="FU146" s="148">
        <f t="shared" si="163"/>
        <v>70.110353403856124</v>
      </c>
      <c r="FV146" s="149"/>
      <c r="FY146" s="211">
        <v>141</v>
      </c>
      <c r="FZ146">
        <v>89.195292410710962</v>
      </c>
      <c r="GA146">
        <v>122.52432244000386</v>
      </c>
      <c r="GB146">
        <v>52.786993583746209</v>
      </c>
      <c r="GC146">
        <v>36.009400844331225</v>
      </c>
      <c r="GD146">
        <v>28.440230044194845</v>
      </c>
      <c r="GE146">
        <v>54.792322607438493</v>
      </c>
      <c r="GF146">
        <v>79.063041833336058</v>
      </c>
      <c r="GG146">
        <v>79.534409977609684</v>
      </c>
      <c r="GH146">
        <v>83.588109961887326</v>
      </c>
      <c r="GI146">
        <v>76.206328462094945</v>
      </c>
      <c r="GJ146"/>
      <c r="GK146"/>
      <c r="GL146"/>
      <c r="GM146"/>
    </row>
    <row r="147" spans="1:195" s="7" customFormat="1">
      <c r="A147" s="1"/>
      <c r="B147" s="76">
        <f ca="1">IF(C147="", "", RAND())</f>
        <v>0.48769865189351869</v>
      </c>
      <c r="C147">
        <v>2</v>
      </c>
      <c r="D147">
        <v>39799</v>
      </c>
      <c r="E147">
        <v>10.416666666666666</v>
      </c>
      <c r="F147">
        <v>62.5</v>
      </c>
      <c r="G147">
        <v>83.333333333333329</v>
      </c>
      <c r="H147">
        <v>31.25</v>
      </c>
      <c r="I147">
        <v>0</v>
      </c>
      <c r="J147">
        <v>0</v>
      </c>
      <c r="K147">
        <v>10.416666666666666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215.8360429278583</v>
      </c>
      <c r="AO147">
        <v>119.4233123050999</v>
      </c>
      <c r="AP147">
        <v>711.55251308839365</v>
      </c>
      <c r="AQ147">
        <v>688.55822539121539</v>
      </c>
      <c r="AR147">
        <v>112.67555659110224</v>
      </c>
      <c r="AS147">
        <v>1050.8295820737724</v>
      </c>
      <c r="AT147">
        <v>56.275458435808822</v>
      </c>
      <c r="AU147">
        <v>-62.732047843921777</v>
      </c>
      <c r="AV147"/>
      <c r="AW147"/>
      <c r="AX147" s="146"/>
      <c r="AY147" s="76">
        <f t="shared" ca="1" si="87"/>
        <v>0.44985598820552131</v>
      </c>
      <c r="AZ147">
        <v>10</v>
      </c>
      <c r="BA147" s="129">
        <f t="shared" si="167"/>
        <v>39799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5</v>
      </c>
      <c r="BH147">
        <v>3</v>
      </c>
      <c r="BI147">
        <v>3</v>
      </c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 s="147"/>
      <c r="CH147" s="176"/>
      <c r="CJ147" s="146"/>
      <c r="CK147" s="76">
        <f t="shared" ca="1" si="89"/>
        <v>0.84825994790723214</v>
      </c>
      <c r="CL147" s="179">
        <f t="shared" si="90"/>
        <v>10</v>
      </c>
      <c r="CM147" s="180">
        <f t="shared" si="91"/>
        <v>39799</v>
      </c>
      <c r="CN147">
        <v>0</v>
      </c>
      <c r="CO147">
        <v>0</v>
      </c>
      <c r="CP147">
        <v>5</v>
      </c>
      <c r="CQ147"/>
      <c r="CR147"/>
      <c r="CS147"/>
      <c r="CT147"/>
      <c r="CU147"/>
      <c r="CV147" s="160"/>
      <c r="CW147">
        <v>1</v>
      </c>
      <c r="CX147">
        <v>1</v>
      </c>
      <c r="CY147" s="165"/>
      <c r="CZ147" s="177">
        <f t="shared" si="92"/>
        <v>9.6000000000000002E-2</v>
      </c>
      <c r="DB147" s="146"/>
      <c r="DC147" s="76">
        <f t="shared" ca="1" si="50"/>
        <v>0.459945960148338</v>
      </c>
      <c r="DD147">
        <f t="shared" si="93"/>
        <v>10</v>
      </c>
      <c r="DE147" s="129">
        <f t="shared" si="166"/>
        <v>39799</v>
      </c>
      <c r="DF147" s="161">
        <f t="shared" si="94"/>
        <v>0</v>
      </c>
      <c r="DG147" s="161">
        <f t="shared" si="95"/>
        <v>0</v>
      </c>
      <c r="DH147" s="161">
        <f t="shared" si="96"/>
        <v>52.083333333333336</v>
      </c>
      <c r="DI147" s="161">
        <f t="shared" si="97"/>
        <v>0</v>
      </c>
      <c r="DJ147" s="161">
        <f t="shared" si="98"/>
        <v>0</v>
      </c>
      <c r="DK147" s="161">
        <f t="shared" si="99"/>
        <v>52.083333333333336</v>
      </c>
      <c r="DL147" s="161">
        <f t="shared" si="100"/>
        <v>31.25</v>
      </c>
      <c r="DM147" s="161">
        <f t="shared" si="101"/>
        <v>31.25</v>
      </c>
      <c r="DN147" s="161">
        <f t="shared" si="102"/>
        <v>0</v>
      </c>
      <c r="DO147" s="161">
        <f t="shared" si="103"/>
        <v>0</v>
      </c>
      <c r="DP147" s="161">
        <f t="shared" si="104"/>
        <v>0</v>
      </c>
      <c r="DQ147" s="161">
        <f t="shared" si="105"/>
        <v>0</v>
      </c>
      <c r="DR147" s="161">
        <f t="shared" si="106"/>
        <v>0</v>
      </c>
      <c r="DS147" s="161">
        <f t="shared" si="107"/>
        <v>0</v>
      </c>
      <c r="DT147" s="161">
        <f t="shared" si="108"/>
        <v>0</v>
      </c>
      <c r="DU147" s="161">
        <f t="shared" si="109"/>
        <v>0</v>
      </c>
      <c r="DV147" s="161">
        <f t="shared" si="110"/>
        <v>0</v>
      </c>
      <c r="DW147" s="161">
        <f t="shared" si="111"/>
        <v>0</v>
      </c>
      <c r="DX147" s="161">
        <f t="shared" si="112"/>
        <v>0</v>
      </c>
      <c r="DY147" s="161">
        <f t="shared" si="113"/>
        <v>0</v>
      </c>
      <c r="DZ147" s="161">
        <f t="shared" si="114"/>
        <v>0</v>
      </c>
      <c r="EA147" s="161">
        <f t="shared" si="115"/>
        <v>0</v>
      </c>
      <c r="EB147" s="161">
        <f t="shared" si="116"/>
        <v>0</v>
      </c>
      <c r="EC147" s="161">
        <f t="shared" si="117"/>
        <v>0</v>
      </c>
      <c r="ED147" s="161">
        <f t="shared" si="118"/>
        <v>0</v>
      </c>
      <c r="EE147" s="161">
        <f t="shared" si="119"/>
        <v>0</v>
      </c>
      <c r="EF147" s="161">
        <f t="shared" si="120"/>
        <v>0</v>
      </c>
      <c r="EG147" s="161">
        <f t="shared" si="121"/>
        <v>0</v>
      </c>
      <c r="EH147" s="161">
        <f t="shared" si="122"/>
        <v>0</v>
      </c>
      <c r="EI147" s="161">
        <f t="shared" si="123"/>
        <v>0</v>
      </c>
      <c r="EJ147" s="161">
        <f t="shared" si="124"/>
        <v>0</v>
      </c>
      <c r="EK147" s="147">
        <f t="shared" si="131"/>
        <v>166.66666666666669</v>
      </c>
      <c r="EL147" s="149"/>
      <c r="EN147" s="146"/>
      <c r="EO147" s="146"/>
      <c r="EP147" s="139">
        <f t="shared" si="132"/>
        <v>0</v>
      </c>
      <c r="EQ147" s="139">
        <f t="shared" si="133"/>
        <v>0</v>
      </c>
      <c r="ER147" s="139">
        <f t="shared" si="134"/>
        <v>3.8143807386467343</v>
      </c>
      <c r="ES147" s="139">
        <f t="shared" si="135"/>
        <v>0</v>
      </c>
      <c r="ET147" s="139">
        <f t="shared" si="136"/>
        <v>0</v>
      </c>
      <c r="EU147" s="139">
        <f t="shared" si="137"/>
        <v>43.92684825483947</v>
      </c>
      <c r="EV147" s="139">
        <f t="shared" si="138"/>
        <v>42.86054384802538</v>
      </c>
      <c r="EW147" s="139">
        <f t="shared" si="139"/>
        <v>64.655394413367091</v>
      </c>
      <c r="EX147" s="139">
        <f t="shared" si="140"/>
        <v>0</v>
      </c>
      <c r="EY147" s="139">
        <f t="shared" si="141"/>
        <v>0</v>
      </c>
      <c r="EZ147" s="139">
        <f t="shared" si="142"/>
        <v>0</v>
      </c>
      <c r="FA147" s="139">
        <f t="shared" si="143"/>
        <v>0</v>
      </c>
      <c r="FB147" s="139">
        <f t="shared" si="144"/>
        <v>0</v>
      </c>
      <c r="FC147" s="139">
        <f t="shared" si="145"/>
        <v>0</v>
      </c>
      <c r="FD147" s="139">
        <f t="shared" si="146"/>
        <v>0</v>
      </c>
      <c r="FE147" s="139">
        <f t="shared" si="147"/>
        <v>0</v>
      </c>
      <c r="FF147" s="139">
        <f t="shared" si="148"/>
        <v>0</v>
      </c>
      <c r="FG147" s="139">
        <f t="shared" si="149"/>
        <v>0</v>
      </c>
      <c r="FH147" s="139">
        <f t="shared" si="150"/>
        <v>0</v>
      </c>
      <c r="FI147" s="139">
        <f t="shared" si="151"/>
        <v>0</v>
      </c>
      <c r="FJ147" s="139">
        <f t="shared" si="152"/>
        <v>0</v>
      </c>
      <c r="FK147" s="139">
        <f t="shared" si="153"/>
        <v>0</v>
      </c>
      <c r="FL147" s="139">
        <f t="shared" si="154"/>
        <v>0</v>
      </c>
      <c r="FM147" s="139">
        <f t="shared" si="155"/>
        <v>0</v>
      </c>
      <c r="FN147" s="139">
        <f t="shared" si="156"/>
        <v>0</v>
      </c>
      <c r="FO147" s="139">
        <f t="shared" si="157"/>
        <v>0</v>
      </c>
      <c r="FP147" s="139">
        <f t="shared" si="158"/>
        <v>0</v>
      </c>
      <c r="FQ147" s="139">
        <f t="shared" si="159"/>
        <v>0</v>
      </c>
      <c r="FR147" s="139">
        <f t="shared" si="160"/>
        <v>0</v>
      </c>
      <c r="FS147" s="139">
        <f t="shared" si="161"/>
        <v>0</v>
      </c>
      <c r="FT147" s="139">
        <f t="shared" si="162"/>
        <v>0</v>
      </c>
      <c r="FU147" s="148">
        <f t="shared" si="163"/>
        <v>155.25716725487865</v>
      </c>
      <c r="FV147" s="149"/>
      <c r="FY147" s="211">
        <v>142</v>
      </c>
      <c r="FZ147">
        <v>73.424040895339999</v>
      </c>
      <c r="GA147">
        <v>121.62905838513252</v>
      </c>
      <c r="GB147">
        <v>47.166407201250522</v>
      </c>
      <c r="GC147">
        <v>46.60688242150362</v>
      </c>
      <c r="GD147">
        <v>60.686099368629208</v>
      </c>
      <c r="GE147">
        <v>94.782486860483701</v>
      </c>
      <c r="GF147">
        <v>64.742826985731071</v>
      </c>
      <c r="GG147">
        <v>74.281694424606115</v>
      </c>
      <c r="GH147">
        <v>91.096167214088823</v>
      </c>
      <c r="GI147">
        <v>91.940126840641838</v>
      </c>
      <c r="GJ147"/>
      <c r="GK147"/>
      <c r="GL147"/>
      <c r="GM147"/>
    </row>
    <row r="148" spans="1:195" s="7" customFormat="1">
      <c r="A148" s="128"/>
      <c r="B148" s="76">
        <f ca="1">IF(C148="", "", RAND())</f>
        <v>0.63520938602245902</v>
      </c>
      <c r="C148">
        <v>3</v>
      </c>
      <c r="D148">
        <v>39847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 s="2"/>
      <c r="AK148" s="80"/>
      <c r="AL148" s="74">
        <v>3.0028000000000028</v>
      </c>
      <c r="AM148" s="43">
        <v>132</v>
      </c>
      <c r="AN148">
        <v>262.32644657457433</v>
      </c>
      <c r="AO148">
        <v>159.88889135283964</v>
      </c>
      <c r="AP148">
        <v>527.573676177793</v>
      </c>
      <c r="AQ148">
        <v>894.40073317267695</v>
      </c>
      <c r="AR148">
        <v>149.48764737983944</v>
      </c>
      <c r="AS148">
        <v>1530.8509407738968</v>
      </c>
      <c r="AT148">
        <v>78.462669358211087</v>
      </c>
      <c r="AU148">
        <v>84.725977828895324</v>
      </c>
      <c r="AV148"/>
      <c r="AW148"/>
      <c r="AX148" s="128"/>
      <c r="AY148" s="76">
        <f t="shared" ca="1" si="87"/>
        <v>0.51424121686362234</v>
      </c>
      <c r="AZ148">
        <v>1</v>
      </c>
      <c r="BA148" s="129">
        <f>IF(AZ148="", "",$C$10)</f>
        <v>39847</v>
      </c>
      <c r="BB148">
        <v>0</v>
      </c>
      <c r="BC148">
        <v>0</v>
      </c>
      <c r="BD148">
        <v>0</v>
      </c>
      <c r="BE148">
        <v>0</v>
      </c>
      <c r="BF148">
        <v>2.5</v>
      </c>
      <c r="BG148">
        <v>6.25</v>
      </c>
      <c r="BH148">
        <v>5</v>
      </c>
      <c r="BI148">
        <v>16.25</v>
      </c>
      <c r="BJ148">
        <v>10</v>
      </c>
      <c r="BK148">
        <v>5</v>
      </c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 s="147"/>
      <c r="CH148" s="176"/>
      <c r="CJ148" s="128"/>
      <c r="CK148" s="76">
        <f t="shared" ca="1" si="89"/>
        <v>0.95058043491611288</v>
      </c>
      <c r="CL148" s="179">
        <f t="shared" si="90"/>
        <v>1</v>
      </c>
      <c r="CM148" s="180">
        <f t="shared" si="91"/>
        <v>39847</v>
      </c>
      <c r="CN148">
        <v>0</v>
      </c>
      <c r="CO148">
        <v>7</v>
      </c>
      <c r="CP148">
        <v>12</v>
      </c>
      <c r="CQ148">
        <v>1</v>
      </c>
      <c r="CR148"/>
      <c r="CS148"/>
      <c r="CT148"/>
      <c r="CU148"/>
      <c r="CV148" s="160"/>
      <c r="CW148">
        <v>1</v>
      </c>
      <c r="CX148">
        <v>1</v>
      </c>
      <c r="CY148" s="160"/>
      <c r="CZ148" s="177">
        <f t="shared" si="92"/>
        <v>9.6000000000000002E-2</v>
      </c>
      <c r="DB148" s="128"/>
      <c r="DC148" s="76">
        <f t="shared" ca="1" si="50"/>
        <v>0.64987133842598066</v>
      </c>
      <c r="DD148">
        <f t="shared" si="93"/>
        <v>1</v>
      </c>
      <c r="DE148" s="129">
        <f t="shared" ref="DE148:DE157" si="168">IF((DD148)="", "", $C$10)</f>
        <v>39847</v>
      </c>
      <c r="DF148" s="161">
        <f t="shared" si="94"/>
        <v>0</v>
      </c>
      <c r="DG148" s="161">
        <f t="shared" si="95"/>
        <v>72.916666666666671</v>
      </c>
      <c r="DH148" s="161">
        <f t="shared" si="96"/>
        <v>125</v>
      </c>
      <c r="DI148" s="161">
        <f t="shared" si="97"/>
        <v>10.416666666666666</v>
      </c>
      <c r="DJ148" s="161">
        <f t="shared" si="98"/>
        <v>26.041666666666668</v>
      </c>
      <c r="DK148" s="161">
        <f t="shared" si="99"/>
        <v>65.104166666666671</v>
      </c>
      <c r="DL148" s="161">
        <f t="shared" si="100"/>
        <v>52.083333333333336</v>
      </c>
      <c r="DM148" s="161">
        <f t="shared" si="101"/>
        <v>169.27083333333334</v>
      </c>
      <c r="DN148" s="161">
        <f t="shared" si="102"/>
        <v>104.16666666666667</v>
      </c>
      <c r="DO148" s="161">
        <f t="shared" si="103"/>
        <v>52.083333333333336</v>
      </c>
      <c r="DP148" s="161">
        <f t="shared" si="104"/>
        <v>0</v>
      </c>
      <c r="DQ148" s="161">
        <f t="shared" si="105"/>
        <v>0</v>
      </c>
      <c r="DR148" s="161">
        <f t="shared" si="106"/>
        <v>0</v>
      </c>
      <c r="DS148" s="161">
        <f t="shared" si="107"/>
        <v>0</v>
      </c>
      <c r="DT148" s="161">
        <f t="shared" si="108"/>
        <v>0</v>
      </c>
      <c r="DU148" s="161">
        <f t="shared" si="109"/>
        <v>0</v>
      </c>
      <c r="DV148" s="161">
        <f t="shared" si="110"/>
        <v>0</v>
      </c>
      <c r="DW148" s="161">
        <f t="shared" si="111"/>
        <v>0</v>
      </c>
      <c r="DX148" s="161">
        <f t="shared" si="112"/>
        <v>0</v>
      </c>
      <c r="DY148" s="161">
        <f t="shared" si="113"/>
        <v>0</v>
      </c>
      <c r="DZ148" s="161">
        <f t="shared" si="114"/>
        <v>0</v>
      </c>
      <c r="EA148" s="161">
        <f t="shared" si="115"/>
        <v>0</v>
      </c>
      <c r="EB148" s="161">
        <f t="shared" si="116"/>
        <v>0</v>
      </c>
      <c r="EC148" s="161">
        <f t="shared" si="117"/>
        <v>0</v>
      </c>
      <c r="ED148" s="161">
        <f t="shared" si="118"/>
        <v>0</v>
      </c>
      <c r="EE148" s="161">
        <f t="shared" si="119"/>
        <v>0</v>
      </c>
      <c r="EF148" s="161">
        <f t="shared" si="120"/>
        <v>0</v>
      </c>
      <c r="EG148" s="161">
        <f t="shared" si="121"/>
        <v>0</v>
      </c>
      <c r="EH148" s="161">
        <f t="shared" si="122"/>
        <v>0</v>
      </c>
      <c r="EI148" s="161">
        <f t="shared" si="123"/>
        <v>0</v>
      </c>
      <c r="EJ148" s="161">
        <f t="shared" si="124"/>
        <v>0</v>
      </c>
      <c r="EK148" s="147">
        <f t="shared" si="131"/>
        <v>677.08333333333337</v>
      </c>
      <c r="EL148" s="149"/>
      <c r="EN148" s="146"/>
      <c r="EO148" s="146"/>
      <c r="EP148" s="139">
        <f t="shared" si="132"/>
        <v>0</v>
      </c>
      <c r="EQ148" s="139">
        <f t="shared" si="133"/>
        <v>0.84082395833333334</v>
      </c>
      <c r="ER148" s="139">
        <f t="shared" si="134"/>
        <v>9.1545137727521624</v>
      </c>
      <c r="ES148" s="139">
        <f t="shared" si="135"/>
        <v>2.2495177494926182</v>
      </c>
      <c r="ET148" s="139">
        <f t="shared" si="136"/>
        <v>12.112702299467397</v>
      </c>
      <c r="EU148" s="139">
        <f t="shared" si="137"/>
        <v>54.908560318549334</v>
      </c>
      <c r="EV148" s="139">
        <f t="shared" si="138"/>
        <v>71.434239746708968</v>
      </c>
      <c r="EW148" s="139">
        <f t="shared" si="139"/>
        <v>350.21671973907178</v>
      </c>
      <c r="EX148" s="139">
        <f t="shared" si="140"/>
        <v>307.7145509025932</v>
      </c>
      <c r="EY148" s="139">
        <f t="shared" si="141"/>
        <v>210.64046989806187</v>
      </c>
      <c r="EZ148" s="139">
        <f t="shared" si="142"/>
        <v>0</v>
      </c>
      <c r="FA148" s="139">
        <f t="shared" si="143"/>
        <v>0</v>
      </c>
      <c r="FB148" s="139">
        <f t="shared" si="144"/>
        <v>0</v>
      </c>
      <c r="FC148" s="139">
        <f t="shared" si="145"/>
        <v>0</v>
      </c>
      <c r="FD148" s="139">
        <f t="shared" si="146"/>
        <v>0</v>
      </c>
      <c r="FE148" s="139">
        <f t="shared" si="147"/>
        <v>0</v>
      </c>
      <c r="FF148" s="139">
        <f t="shared" si="148"/>
        <v>0</v>
      </c>
      <c r="FG148" s="139">
        <f t="shared" si="149"/>
        <v>0</v>
      </c>
      <c r="FH148" s="139">
        <f t="shared" si="150"/>
        <v>0</v>
      </c>
      <c r="FI148" s="139">
        <f t="shared" si="151"/>
        <v>0</v>
      </c>
      <c r="FJ148" s="139">
        <f t="shared" si="152"/>
        <v>0</v>
      </c>
      <c r="FK148" s="139">
        <f t="shared" si="153"/>
        <v>0</v>
      </c>
      <c r="FL148" s="139">
        <f t="shared" si="154"/>
        <v>0</v>
      </c>
      <c r="FM148" s="139">
        <f t="shared" si="155"/>
        <v>0</v>
      </c>
      <c r="FN148" s="139">
        <f t="shared" si="156"/>
        <v>0</v>
      </c>
      <c r="FO148" s="139">
        <f t="shared" si="157"/>
        <v>0</v>
      </c>
      <c r="FP148" s="139">
        <f t="shared" si="158"/>
        <v>0</v>
      </c>
      <c r="FQ148" s="139">
        <f t="shared" si="159"/>
        <v>0</v>
      </c>
      <c r="FR148" s="139">
        <f t="shared" si="160"/>
        <v>0</v>
      </c>
      <c r="FS148" s="139">
        <f t="shared" si="161"/>
        <v>0</v>
      </c>
      <c r="FT148" s="139">
        <f t="shared" si="162"/>
        <v>0</v>
      </c>
      <c r="FU148" s="148">
        <f t="shared" si="163"/>
        <v>1019.2720983850306</v>
      </c>
      <c r="FV148" s="149"/>
      <c r="FY148" s="211">
        <v>143</v>
      </c>
      <c r="FZ148">
        <v>117.41335306747472</v>
      </c>
      <c r="GA148">
        <v>158.22043309445516</v>
      </c>
      <c r="GB148">
        <v>58.76294033378764</v>
      </c>
      <c r="GC148">
        <v>40.605534907113523</v>
      </c>
      <c r="GD148">
        <v>27.327533588602194</v>
      </c>
      <c r="GE148">
        <v>42.650134241164203</v>
      </c>
      <c r="GF148">
        <v>93.187193122275019</v>
      </c>
      <c r="GG148">
        <v>73.562697863707683</v>
      </c>
      <c r="GH148">
        <v>53.66757029460129</v>
      </c>
      <c r="GI148">
        <v>80.095493347683856</v>
      </c>
      <c r="GJ148"/>
      <c r="GK148"/>
      <c r="GL148"/>
      <c r="GM148"/>
    </row>
    <row r="149" spans="1:195" s="7" customFormat="1">
      <c r="A149" s="77"/>
      <c r="B149" s="76">
        <f ca="1">IF(C149="", "", RAND())</f>
        <v>0.67128699438364081</v>
      </c>
      <c r="C149">
        <v>5</v>
      </c>
      <c r="D149">
        <v>39847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52.083333333333336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 s="2"/>
      <c r="AK149" s="80"/>
      <c r="AL149" s="74">
        <v>3.0028000000000028</v>
      </c>
      <c r="AM149" s="43">
        <v>133</v>
      </c>
      <c r="AN149">
        <v>218.33066797504563</v>
      </c>
      <c r="AO149">
        <v>132.81406676236094</v>
      </c>
      <c r="AP149">
        <v>596.90010436923478</v>
      </c>
      <c r="AQ149">
        <v>767.03220877749231</v>
      </c>
      <c r="AR149">
        <v>125.80728130271511</v>
      </c>
      <c r="AS149">
        <v>1083.1185410974615</v>
      </c>
      <c r="AT149">
        <v>66.690874068891659</v>
      </c>
      <c r="AU149">
        <v>93.254395275570772</v>
      </c>
      <c r="AV149"/>
      <c r="AW149"/>
      <c r="AX149" s="151"/>
      <c r="AY149" s="76">
        <f t="shared" ca="1" si="87"/>
        <v>0.36697484398072433</v>
      </c>
      <c r="AZ149">
        <v>2</v>
      </c>
      <c r="BA149" s="129">
        <f t="shared" ref="BA149:BA157" si="169">IF(AZ149="", "",$C$10)</f>
        <v>39847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2</v>
      </c>
      <c r="BI149">
        <v>3</v>
      </c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 s="147"/>
      <c r="CH149" s="176"/>
      <c r="CJ149" s="151"/>
      <c r="CK149" s="76">
        <f t="shared" ca="1" si="89"/>
        <v>0.69392325322028903</v>
      </c>
      <c r="CL149" s="179">
        <f t="shared" si="90"/>
        <v>2</v>
      </c>
      <c r="CM149" s="180">
        <f t="shared" si="91"/>
        <v>39847</v>
      </c>
      <c r="CN149">
        <v>0</v>
      </c>
      <c r="CO149">
        <v>3</v>
      </c>
      <c r="CP149">
        <v>3</v>
      </c>
      <c r="CQ149"/>
      <c r="CR149"/>
      <c r="CS149"/>
      <c r="CT149"/>
      <c r="CU149"/>
      <c r="CV149" s="160"/>
      <c r="CW149">
        <f>40/12</f>
        <v>3.3333333333333335</v>
      </c>
      <c r="CX149">
        <f>350/32</f>
        <v>10.9375</v>
      </c>
      <c r="CY149" s="160"/>
      <c r="CZ149" s="177">
        <f t="shared" si="92"/>
        <v>9.6000000000000002E-2</v>
      </c>
      <c r="DB149" s="151"/>
      <c r="DC149" s="76">
        <f t="shared" ca="1" si="50"/>
        <v>0.12488834914642721</v>
      </c>
      <c r="DD149">
        <f t="shared" si="93"/>
        <v>2</v>
      </c>
      <c r="DE149" s="129">
        <f t="shared" si="168"/>
        <v>39847</v>
      </c>
      <c r="DF149" s="161">
        <f t="shared" si="94"/>
        <v>0</v>
      </c>
      <c r="DG149" s="161">
        <f t="shared" si="95"/>
        <v>341.796875</v>
      </c>
      <c r="DH149" s="161">
        <f t="shared" si="96"/>
        <v>341.796875</v>
      </c>
      <c r="DI149" s="161">
        <f t="shared" si="97"/>
        <v>0</v>
      </c>
      <c r="DJ149" s="161">
        <f t="shared" si="98"/>
        <v>0</v>
      </c>
      <c r="DK149" s="161">
        <f t="shared" si="99"/>
        <v>0</v>
      </c>
      <c r="DL149" s="161">
        <f t="shared" si="100"/>
        <v>69.444444444444443</v>
      </c>
      <c r="DM149" s="161">
        <f t="shared" si="101"/>
        <v>104.16666666666667</v>
      </c>
      <c r="DN149" s="161">
        <f t="shared" si="102"/>
        <v>0</v>
      </c>
      <c r="DO149" s="161">
        <f t="shared" si="103"/>
        <v>0</v>
      </c>
      <c r="DP149" s="161">
        <f t="shared" si="104"/>
        <v>0</v>
      </c>
      <c r="DQ149" s="161">
        <f t="shared" si="105"/>
        <v>0</v>
      </c>
      <c r="DR149" s="161">
        <f t="shared" si="106"/>
        <v>0</v>
      </c>
      <c r="DS149" s="161">
        <f t="shared" si="107"/>
        <v>0</v>
      </c>
      <c r="DT149" s="161">
        <f t="shared" si="108"/>
        <v>0</v>
      </c>
      <c r="DU149" s="161">
        <f t="shared" si="109"/>
        <v>0</v>
      </c>
      <c r="DV149" s="161">
        <f t="shared" si="110"/>
        <v>0</v>
      </c>
      <c r="DW149" s="161">
        <f t="shared" si="111"/>
        <v>0</v>
      </c>
      <c r="DX149" s="161">
        <f t="shared" si="112"/>
        <v>0</v>
      </c>
      <c r="DY149" s="161">
        <f t="shared" si="113"/>
        <v>0</v>
      </c>
      <c r="DZ149" s="161">
        <f t="shared" si="114"/>
        <v>0</v>
      </c>
      <c r="EA149" s="161">
        <f t="shared" si="115"/>
        <v>0</v>
      </c>
      <c r="EB149" s="161">
        <f t="shared" si="116"/>
        <v>0</v>
      </c>
      <c r="EC149" s="161">
        <f t="shared" si="117"/>
        <v>0</v>
      </c>
      <c r="ED149" s="161">
        <f t="shared" si="118"/>
        <v>0</v>
      </c>
      <c r="EE149" s="161">
        <f t="shared" si="119"/>
        <v>0</v>
      </c>
      <c r="EF149" s="161">
        <f t="shared" si="120"/>
        <v>0</v>
      </c>
      <c r="EG149" s="161">
        <f t="shared" si="121"/>
        <v>0</v>
      </c>
      <c r="EH149" s="161">
        <f t="shared" si="122"/>
        <v>0</v>
      </c>
      <c r="EI149" s="161">
        <f t="shared" si="123"/>
        <v>0</v>
      </c>
      <c r="EJ149" s="161">
        <f t="shared" si="124"/>
        <v>0</v>
      </c>
      <c r="EK149" s="147">
        <f t="shared" si="131"/>
        <v>857.20486111111109</v>
      </c>
      <c r="EL149" s="149"/>
      <c r="EN149" s="151"/>
      <c r="EO149" s="151"/>
      <c r="EP149" s="139">
        <f t="shared" si="132"/>
        <v>0</v>
      </c>
      <c r="EQ149" s="139">
        <f t="shared" si="133"/>
        <v>3.9413623046874999</v>
      </c>
      <c r="ER149" s="139">
        <f t="shared" si="134"/>
        <v>25.031873597369195</v>
      </c>
      <c r="ES149" s="139">
        <f t="shared" si="135"/>
        <v>0</v>
      </c>
      <c r="ET149" s="139">
        <f t="shared" si="136"/>
        <v>0</v>
      </c>
      <c r="EU149" s="139">
        <f t="shared" si="137"/>
        <v>0</v>
      </c>
      <c r="EV149" s="139">
        <f t="shared" si="138"/>
        <v>95.245652995611948</v>
      </c>
      <c r="EW149" s="139">
        <f t="shared" si="139"/>
        <v>215.51798137789032</v>
      </c>
      <c r="EX149" s="139">
        <f t="shared" si="140"/>
        <v>0</v>
      </c>
      <c r="EY149" s="139">
        <f t="shared" si="141"/>
        <v>0</v>
      </c>
      <c r="EZ149" s="139">
        <f t="shared" si="142"/>
        <v>0</v>
      </c>
      <c r="FA149" s="139">
        <f t="shared" si="143"/>
        <v>0</v>
      </c>
      <c r="FB149" s="139">
        <f t="shared" si="144"/>
        <v>0</v>
      </c>
      <c r="FC149" s="139">
        <f t="shared" si="145"/>
        <v>0</v>
      </c>
      <c r="FD149" s="139">
        <f t="shared" si="146"/>
        <v>0</v>
      </c>
      <c r="FE149" s="139">
        <f t="shared" si="147"/>
        <v>0</v>
      </c>
      <c r="FF149" s="139">
        <f t="shared" si="148"/>
        <v>0</v>
      </c>
      <c r="FG149" s="139">
        <f t="shared" si="149"/>
        <v>0</v>
      </c>
      <c r="FH149" s="139">
        <f t="shared" si="150"/>
        <v>0</v>
      </c>
      <c r="FI149" s="139">
        <f t="shared" si="151"/>
        <v>0</v>
      </c>
      <c r="FJ149" s="139">
        <f t="shared" si="152"/>
        <v>0</v>
      </c>
      <c r="FK149" s="139">
        <f t="shared" si="153"/>
        <v>0</v>
      </c>
      <c r="FL149" s="139">
        <f t="shared" si="154"/>
        <v>0</v>
      </c>
      <c r="FM149" s="139">
        <f t="shared" si="155"/>
        <v>0</v>
      </c>
      <c r="FN149" s="139">
        <f t="shared" si="156"/>
        <v>0</v>
      </c>
      <c r="FO149" s="139">
        <f t="shared" si="157"/>
        <v>0</v>
      </c>
      <c r="FP149" s="139">
        <f t="shared" si="158"/>
        <v>0</v>
      </c>
      <c r="FQ149" s="139">
        <f t="shared" si="159"/>
        <v>0</v>
      </c>
      <c r="FR149" s="139">
        <f t="shared" si="160"/>
        <v>0</v>
      </c>
      <c r="FS149" s="139">
        <f t="shared" si="161"/>
        <v>0</v>
      </c>
      <c r="FT149" s="139">
        <f t="shared" si="162"/>
        <v>0</v>
      </c>
      <c r="FU149" s="148">
        <f t="shared" si="163"/>
        <v>339.736870275559</v>
      </c>
      <c r="FV149" s="149"/>
      <c r="FY149" s="211">
        <v>144</v>
      </c>
      <c r="FZ149">
        <v>94.982465016211179</v>
      </c>
      <c r="GA149">
        <v>130.90934901547874</v>
      </c>
      <c r="GB149">
        <v>60.690360534034255</v>
      </c>
      <c r="GC149">
        <v>44.573738904582413</v>
      </c>
      <c r="GD149">
        <v>33.702195733364924</v>
      </c>
      <c r="GE149">
        <v>54.388602516389334</v>
      </c>
      <c r="GF149">
        <v>91.358289954587718</v>
      </c>
      <c r="GG149">
        <v>97.48344957322503</v>
      </c>
      <c r="GH149">
        <v>95.331031730202582</v>
      </c>
      <c r="GI149">
        <v>87.080881815281685</v>
      </c>
      <c r="GJ149"/>
      <c r="GK149"/>
      <c r="GL149"/>
      <c r="GM149"/>
    </row>
    <row r="150" spans="1:195" s="7" customFormat="1">
      <c r="A150" s="77"/>
      <c r="B150" s="76">
        <f ca="1">IF(C150="", "", RAND())</f>
        <v>0.37762367061249069</v>
      </c>
      <c r="C150">
        <v>9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10.416666666666666</v>
      </c>
      <c r="L150">
        <v>72.916666666666671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275.19006710165468</v>
      </c>
      <c r="AO150">
        <v>160.49758819324651</v>
      </c>
      <c r="AP150">
        <v>738.27248360839326</v>
      </c>
      <c r="AQ150">
        <v>858.8675501135591</v>
      </c>
      <c r="AR150">
        <v>148.99897650037371</v>
      </c>
      <c r="AS150">
        <v>1480.0726958985479</v>
      </c>
      <c r="AT150">
        <v>74.136474216054182</v>
      </c>
      <c r="AU150">
        <v>204.4799474945039</v>
      </c>
      <c r="AV150"/>
      <c r="AW150"/>
      <c r="AX150" s="151"/>
      <c r="AY150" s="76">
        <f t="shared" ca="1" si="87"/>
        <v>0.70426314380159649</v>
      </c>
      <c r="AZ150">
        <v>3</v>
      </c>
      <c r="BA150" s="129">
        <f t="shared" si="169"/>
        <v>39847</v>
      </c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 s="147"/>
      <c r="CH150" s="176"/>
      <c r="CJ150" s="151"/>
      <c r="CK150" s="76">
        <f t="shared" ca="1" si="89"/>
        <v>0.27536116926577581</v>
      </c>
      <c r="CL150" s="179">
        <f t="shared" si="90"/>
        <v>3</v>
      </c>
      <c r="CM150" s="180">
        <f t="shared" si="91"/>
        <v>39847</v>
      </c>
      <c r="CN150"/>
      <c r="CO150"/>
      <c r="CP150"/>
      <c r="CQ150"/>
      <c r="CR150"/>
      <c r="CS150"/>
      <c r="CT150"/>
      <c r="CU150"/>
      <c r="CV150" s="160"/>
      <c r="CW150">
        <v>1</v>
      </c>
      <c r="CX150">
        <v>1</v>
      </c>
      <c r="CY150" s="160"/>
      <c r="CZ150" s="177">
        <f t="shared" si="92"/>
        <v>9.6000000000000002E-2</v>
      </c>
      <c r="DB150" s="151"/>
      <c r="DC150" s="76">
        <f t="shared" ca="1" si="50"/>
        <v>0.41053481279154291</v>
      </c>
      <c r="DD150">
        <f t="shared" si="93"/>
        <v>3</v>
      </c>
      <c r="DE150" s="129">
        <f t="shared" si="168"/>
        <v>39847</v>
      </c>
      <c r="DF150" s="161">
        <f t="shared" si="94"/>
        <v>0</v>
      </c>
      <c r="DG150" s="161">
        <f t="shared" si="95"/>
        <v>0</v>
      </c>
      <c r="DH150" s="161">
        <f t="shared" si="96"/>
        <v>0</v>
      </c>
      <c r="DI150" s="161">
        <f t="shared" si="97"/>
        <v>0</v>
      </c>
      <c r="DJ150" s="161">
        <f t="shared" si="98"/>
        <v>0</v>
      </c>
      <c r="DK150" s="161">
        <f t="shared" si="99"/>
        <v>0</v>
      </c>
      <c r="DL150" s="161">
        <f t="shared" si="100"/>
        <v>0</v>
      </c>
      <c r="DM150" s="161">
        <f t="shared" si="101"/>
        <v>0</v>
      </c>
      <c r="DN150" s="161">
        <f t="shared" si="102"/>
        <v>0</v>
      </c>
      <c r="DO150" s="161">
        <f t="shared" si="103"/>
        <v>0</v>
      </c>
      <c r="DP150" s="161">
        <f t="shared" si="104"/>
        <v>0</v>
      </c>
      <c r="DQ150" s="161">
        <f t="shared" si="105"/>
        <v>0</v>
      </c>
      <c r="DR150" s="161">
        <f t="shared" si="106"/>
        <v>0</v>
      </c>
      <c r="DS150" s="161">
        <f t="shared" si="107"/>
        <v>0</v>
      </c>
      <c r="DT150" s="161">
        <f t="shared" si="108"/>
        <v>0</v>
      </c>
      <c r="DU150" s="161">
        <f t="shared" si="109"/>
        <v>0</v>
      </c>
      <c r="DV150" s="161">
        <f t="shared" si="110"/>
        <v>0</v>
      </c>
      <c r="DW150" s="161">
        <f t="shared" si="111"/>
        <v>0</v>
      </c>
      <c r="DX150" s="161">
        <f t="shared" si="112"/>
        <v>0</v>
      </c>
      <c r="DY150" s="161">
        <f t="shared" si="113"/>
        <v>0</v>
      </c>
      <c r="DZ150" s="161">
        <f t="shared" si="114"/>
        <v>0</v>
      </c>
      <c r="EA150" s="161">
        <f t="shared" si="115"/>
        <v>0</v>
      </c>
      <c r="EB150" s="161">
        <f t="shared" si="116"/>
        <v>0</v>
      </c>
      <c r="EC150" s="161">
        <f t="shared" si="117"/>
        <v>0</v>
      </c>
      <c r="ED150" s="161">
        <f t="shared" si="118"/>
        <v>0</v>
      </c>
      <c r="EE150" s="161">
        <f t="shared" si="119"/>
        <v>0</v>
      </c>
      <c r="EF150" s="161">
        <f t="shared" si="120"/>
        <v>0</v>
      </c>
      <c r="EG150" s="161">
        <f t="shared" si="121"/>
        <v>0</v>
      </c>
      <c r="EH150" s="161">
        <f t="shared" si="122"/>
        <v>0</v>
      </c>
      <c r="EI150" s="161">
        <f t="shared" si="123"/>
        <v>0</v>
      </c>
      <c r="EJ150" s="161">
        <f t="shared" si="124"/>
        <v>0</v>
      </c>
      <c r="EK150" s="147">
        <f t="shared" si="131"/>
        <v>0</v>
      </c>
      <c r="EL150" s="149"/>
      <c r="EN150" s="151"/>
      <c r="EO150" s="151"/>
      <c r="EP150" s="139">
        <f t="shared" si="132"/>
        <v>0</v>
      </c>
      <c r="EQ150" s="139">
        <f t="shared" si="133"/>
        <v>0</v>
      </c>
      <c r="ER150" s="139">
        <f t="shared" si="134"/>
        <v>0</v>
      </c>
      <c r="ES150" s="139">
        <f t="shared" si="135"/>
        <v>0</v>
      </c>
      <c r="ET150" s="139">
        <f t="shared" si="136"/>
        <v>0</v>
      </c>
      <c r="EU150" s="139">
        <f t="shared" si="137"/>
        <v>0</v>
      </c>
      <c r="EV150" s="139">
        <f t="shared" si="138"/>
        <v>0</v>
      </c>
      <c r="EW150" s="139">
        <f t="shared" si="139"/>
        <v>0</v>
      </c>
      <c r="EX150" s="139">
        <f t="shared" si="140"/>
        <v>0</v>
      </c>
      <c r="EY150" s="139">
        <f t="shared" si="141"/>
        <v>0</v>
      </c>
      <c r="EZ150" s="139">
        <f t="shared" si="142"/>
        <v>0</v>
      </c>
      <c r="FA150" s="139">
        <f t="shared" si="143"/>
        <v>0</v>
      </c>
      <c r="FB150" s="139">
        <f t="shared" si="144"/>
        <v>0</v>
      </c>
      <c r="FC150" s="139">
        <f t="shared" si="145"/>
        <v>0</v>
      </c>
      <c r="FD150" s="139">
        <f t="shared" si="146"/>
        <v>0</v>
      </c>
      <c r="FE150" s="139">
        <f t="shared" si="147"/>
        <v>0</v>
      </c>
      <c r="FF150" s="139">
        <f t="shared" si="148"/>
        <v>0</v>
      </c>
      <c r="FG150" s="139">
        <f t="shared" si="149"/>
        <v>0</v>
      </c>
      <c r="FH150" s="139">
        <f t="shared" si="150"/>
        <v>0</v>
      </c>
      <c r="FI150" s="139">
        <f t="shared" si="151"/>
        <v>0</v>
      </c>
      <c r="FJ150" s="139">
        <f t="shared" si="152"/>
        <v>0</v>
      </c>
      <c r="FK150" s="139">
        <f t="shared" si="153"/>
        <v>0</v>
      </c>
      <c r="FL150" s="139">
        <f t="shared" si="154"/>
        <v>0</v>
      </c>
      <c r="FM150" s="139">
        <f t="shared" si="155"/>
        <v>0</v>
      </c>
      <c r="FN150" s="139">
        <f t="shared" si="156"/>
        <v>0</v>
      </c>
      <c r="FO150" s="139">
        <f t="shared" si="157"/>
        <v>0</v>
      </c>
      <c r="FP150" s="139">
        <f t="shared" si="158"/>
        <v>0</v>
      </c>
      <c r="FQ150" s="139">
        <f t="shared" si="159"/>
        <v>0</v>
      </c>
      <c r="FR150" s="139">
        <f t="shared" si="160"/>
        <v>0</v>
      </c>
      <c r="FS150" s="139">
        <f t="shared" si="161"/>
        <v>0</v>
      </c>
      <c r="FT150" s="139">
        <f t="shared" si="162"/>
        <v>0</v>
      </c>
      <c r="FU150" s="148">
        <f t="shared" si="163"/>
        <v>0</v>
      </c>
      <c r="FV150" s="149"/>
      <c r="FY150" s="211">
        <v>145</v>
      </c>
      <c r="FZ150">
        <v>127.67449844071791</v>
      </c>
      <c r="GA150">
        <v>172.88964786835996</v>
      </c>
      <c r="GB150">
        <v>62.475456803191456</v>
      </c>
      <c r="GC150">
        <v>43.056131663401537</v>
      </c>
      <c r="GD150">
        <v>38.868476229799327</v>
      </c>
      <c r="GE150">
        <v>59.49998930520713</v>
      </c>
      <c r="GF150">
        <v>69.568639659401413</v>
      </c>
      <c r="GG150">
        <v>76.794494100972244</v>
      </c>
      <c r="GH150">
        <v>63.623904294561569</v>
      </c>
      <c r="GI150">
        <v>85.862012470229999</v>
      </c>
      <c r="GJ150"/>
      <c r="GK150"/>
      <c r="GL150"/>
      <c r="GM150"/>
    </row>
    <row r="151" spans="1:195" s="7" customFormat="1">
      <c r="A151" s="77"/>
      <c r="B151" s="76">
        <f ca="1">IF(C151="", "", RAND())</f>
        <v>0.31655379672874862</v>
      </c>
      <c r="C151">
        <v>10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10.416666666666666</v>
      </c>
      <c r="J151">
        <v>10.416666666666666</v>
      </c>
      <c r="K151">
        <v>41.666666666666664</v>
      </c>
      <c r="L151">
        <v>31.25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231.0467558807573</v>
      </c>
      <c r="AO151">
        <v>125.53374653395706</v>
      </c>
      <c r="AP151">
        <v>509.02473264286738</v>
      </c>
      <c r="AQ151">
        <v>750.36485834494613</v>
      </c>
      <c r="AR151">
        <v>120.24479768773865</v>
      </c>
      <c r="AS151">
        <v>1178.2586792558047</v>
      </c>
      <c r="AT151">
        <v>57.448858964386623</v>
      </c>
      <c r="AU151">
        <v>171.89596856319972</v>
      </c>
      <c r="AV151"/>
      <c r="AW151"/>
      <c r="AX151" s="151"/>
      <c r="AY151" s="76">
        <f t="shared" ca="1" si="87"/>
        <v>0.82153197380781218</v>
      </c>
      <c r="AZ151">
        <v>4</v>
      </c>
      <c r="BA151" s="129">
        <f t="shared" si="169"/>
        <v>39847</v>
      </c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 s="147"/>
      <c r="CH151" s="176"/>
      <c r="CJ151" s="151"/>
      <c r="CK151" s="76">
        <f t="shared" ca="1" si="89"/>
        <v>3.4515300522928172E-3</v>
      </c>
      <c r="CL151" s="179">
        <f t="shared" si="90"/>
        <v>4</v>
      </c>
      <c r="CM151" s="180">
        <f t="shared" si="91"/>
        <v>39847</v>
      </c>
      <c r="CN151"/>
      <c r="CO151"/>
      <c r="CP151"/>
      <c r="CQ151"/>
      <c r="CR151"/>
      <c r="CS151"/>
      <c r="CT151"/>
      <c r="CU151"/>
      <c r="CV151" s="160"/>
      <c r="CW151">
        <v>1</v>
      </c>
      <c r="CX151">
        <v>1</v>
      </c>
      <c r="CY151" s="160"/>
      <c r="CZ151" s="177">
        <f t="shared" si="92"/>
        <v>9.6000000000000002E-2</v>
      </c>
      <c r="DB151" s="151"/>
      <c r="DC151" s="76">
        <f t="shared" ca="1" si="50"/>
        <v>0.92464477216201102</v>
      </c>
      <c r="DD151">
        <f t="shared" si="93"/>
        <v>4</v>
      </c>
      <c r="DE151" s="129">
        <f t="shared" si="168"/>
        <v>39847</v>
      </c>
      <c r="DF151" s="161">
        <f t="shared" si="94"/>
        <v>0</v>
      </c>
      <c r="DG151" s="161">
        <f t="shared" si="95"/>
        <v>0</v>
      </c>
      <c r="DH151" s="161">
        <f t="shared" si="96"/>
        <v>0</v>
      </c>
      <c r="DI151" s="161">
        <f t="shared" si="97"/>
        <v>0</v>
      </c>
      <c r="DJ151" s="161">
        <f t="shared" si="98"/>
        <v>0</v>
      </c>
      <c r="DK151" s="161">
        <f t="shared" si="99"/>
        <v>0</v>
      </c>
      <c r="DL151" s="161">
        <f t="shared" si="100"/>
        <v>0</v>
      </c>
      <c r="DM151" s="161">
        <f t="shared" si="101"/>
        <v>0</v>
      </c>
      <c r="DN151" s="161">
        <f t="shared" si="102"/>
        <v>0</v>
      </c>
      <c r="DO151" s="161">
        <f t="shared" si="103"/>
        <v>0</v>
      </c>
      <c r="DP151" s="161">
        <f t="shared" si="104"/>
        <v>0</v>
      </c>
      <c r="DQ151" s="161">
        <f t="shared" si="105"/>
        <v>0</v>
      </c>
      <c r="DR151" s="161">
        <f t="shared" si="106"/>
        <v>0</v>
      </c>
      <c r="DS151" s="161">
        <f t="shared" si="107"/>
        <v>0</v>
      </c>
      <c r="DT151" s="161">
        <f t="shared" si="108"/>
        <v>0</v>
      </c>
      <c r="DU151" s="161">
        <f t="shared" si="109"/>
        <v>0</v>
      </c>
      <c r="DV151" s="161">
        <f t="shared" si="110"/>
        <v>0</v>
      </c>
      <c r="DW151" s="161">
        <f t="shared" si="111"/>
        <v>0</v>
      </c>
      <c r="DX151" s="161">
        <f t="shared" si="112"/>
        <v>0</v>
      </c>
      <c r="DY151" s="161">
        <f t="shared" si="113"/>
        <v>0</v>
      </c>
      <c r="DZ151" s="161">
        <f t="shared" si="114"/>
        <v>0</v>
      </c>
      <c r="EA151" s="161">
        <f t="shared" si="115"/>
        <v>0</v>
      </c>
      <c r="EB151" s="161">
        <f t="shared" si="116"/>
        <v>0</v>
      </c>
      <c r="EC151" s="161">
        <f t="shared" si="117"/>
        <v>0</v>
      </c>
      <c r="ED151" s="161">
        <f t="shared" si="118"/>
        <v>0</v>
      </c>
      <c r="EE151" s="161">
        <f t="shared" si="119"/>
        <v>0</v>
      </c>
      <c r="EF151" s="161">
        <f t="shared" si="120"/>
        <v>0</v>
      </c>
      <c r="EG151" s="161">
        <f t="shared" si="121"/>
        <v>0</v>
      </c>
      <c r="EH151" s="161">
        <f t="shared" si="122"/>
        <v>0</v>
      </c>
      <c r="EI151" s="161">
        <f t="shared" si="123"/>
        <v>0</v>
      </c>
      <c r="EJ151" s="161">
        <f t="shared" si="124"/>
        <v>0</v>
      </c>
      <c r="EK151" s="147">
        <f t="shared" si="131"/>
        <v>0</v>
      </c>
      <c r="EL151" s="149"/>
      <c r="EN151" s="151"/>
      <c r="EO151" s="151"/>
      <c r="EP151" s="139">
        <f t="shared" si="132"/>
        <v>0</v>
      </c>
      <c r="EQ151" s="139">
        <f t="shared" si="133"/>
        <v>0</v>
      </c>
      <c r="ER151" s="139">
        <f t="shared" si="134"/>
        <v>0</v>
      </c>
      <c r="ES151" s="139">
        <f t="shared" si="135"/>
        <v>0</v>
      </c>
      <c r="ET151" s="139">
        <f t="shared" si="136"/>
        <v>0</v>
      </c>
      <c r="EU151" s="139">
        <f t="shared" si="137"/>
        <v>0</v>
      </c>
      <c r="EV151" s="139">
        <f t="shared" si="138"/>
        <v>0</v>
      </c>
      <c r="EW151" s="139">
        <f t="shared" si="139"/>
        <v>0</v>
      </c>
      <c r="EX151" s="139">
        <f t="shared" si="140"/>
        <v>0</v>
      </c>
      <c r="EY151" s="139">
        <f t="shared" si="141"/>
        <v>0</v>
      </c>
      <c r="EZ151" s="139">
        <f t="shared" si="142"/>
        <v>0</v>
      </c>
      <c r="FA151" s="139">
        <f t="shared" si="143"/>
        <v>0</v>
      </c>
      <c r="FB151" s="139">
        <f t="shared" si="144"/>
        <v>0</v>
      </c>
      <c r="FC151" s="139">
        <f t="shared" si="145"/>
        <v>0</v>
      </c>
      <c r="FD151" s="139">
        <f t="shared" si="146"/>
        <v>0</v>
      </c>
      <c r="FE151" s="139">
        <f t="shared" si="147"/>
        <v>0</v>
      </c>
      <c r="FF151" s="139">
        <f t="shared" si="148"/>
        <v>0</v>
      </c>
      <c r="FG151" s="139">
        <f t="shared" si="149"/>
        <v>0</v>
      </c>
      <c r="FH151" s="139">
        <f t="shared" si="150"/>
        <v>0</v>
      </c>
      <c r="FI151" s="139">
        <f t="shared" si="151"/>
        <v>0</v>
      </c>
      <c r="FJ151" s="139">
        <f t="shared" si="152"/>
        <v>0</v>
      </c>
      <c r="FK151" s="139">
        <f t="shared" si="153"/>
        <v>0</v>
      </c>
      <c r="FL151" s="139">
        <f t="shared" si="154"/>
        <v>0</v>
      </c>
      <c r="FM151" s="139">
        <f t="shared" si="155"/>
        <v>0</v>
      </c>
      <c r="FN151" s="139">
        <f t="shared" si="156"/>
        <v>0</v>
      </c>
      <c r="FO151" s="139">
        <f t="shared" si="157"/>
        <v>0</v>
      </c>
      <c r="FP151" s="139">
        <f t="shared" si="158"/>
        <v>0</v>
      </c>
      <c r="FQ151" s="139">
        <f t="shared" si="159"/>
        <v>0</v>
      </c>
      <c r="FR151" s="139">
        <f t="shared" si="160"/>
        <v>0</v>
      </c>
      <c r="FS151" s="139">
        <f t="shared" si="161"/>
        <v>0</v>
      </c>
      <c r="FT151" s="139">
        <f t="shared" si="162"/>
        <v>0</v>
      </c>
      <c r="FU151" s="148">
        <f t="shared" si="163"/>
        <v>0</v>
      </c>
      <c r="FV151" s="149"/>
      <c r="FY151" s="211">
        <v>146</v>
      </c>
      <c r="FZ151">
        <v>103.60033272538141</v>
      </c>
      <c r="GA151">
        <v>153.56051923679661</v>
      </c>
      <c r="GB151">
        <v>58.269158186433756</v>
      </c>
      <c r="GC151">
        <v>39.048445148013514</v>
      </c>
      <c r="GD151">
        <v>50.447385799837562</v>
      </c>
      <c r="GE151">
        <v>98.888874241100396</v>
      </c>
      <c r="GF151">
        <v>84.531349250118637</v>
      </c>
      <c r="GG151">
        <v>77.994505434463647</v>
      </c>
      <c r="GH151">
        <v>89.47848014228974</v>
      </c>
      <c r="GI151">
        <v>97.536693542745383</v>
      </c>
      <c r="GJ151"/>
      <c r="GK151"/>
      <c r="GL151"/>
      <c r="GM151"/>
    </row>
    <row r="152" spans="1:195" s="7" customFormat="1">
      <c r="A152" s="77"/>
      <c r="B152" s="76">
        <f ca="1">IF(C152="", "", RAND())</f>
        <v>0.54751159892140899</v>
      </c>
      <c r="C152">
        <v>2</v>
      </c>
      <c r="D152">
        <v>39847</v>
      </c>
      <c r="E152">
        <v>0</v>
      </c>
      <c r="F152">
        <v>341.796875</v>
      </c>
      <c r="G152">
        <v>341.796875</v>
      </c>
      <c r="H152">
        <v>0</v>
      </c>
      <c r="I152">
        <v>0</v>
      </c>
      <c r="J152">
        <v>0</v>
      </c>
      <c r="K152">
        <v>69.444444444444443</v>
      </c>
      <c r="L152">
        <v>104.16666666666667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242.72624428273494</v>
      </c>
      <c r="AO152">
        <v>126.84339810672434</v>
      </c>
      <c r="AP152">
        <v>449.77270807608414</v>
      </c>
      <c r="AQ152">
        <v>721.23736252303115</v>
      </c>
      <c r="AR152">
        <v>124.94003213916569</v>
      </c>
      <c r="AS152">
        <v>1324.4757745182333</v>
      </c>
      <c r="AT152">
        <v>62.838822816807557</v>
      </c>
      <c r="AU152">
        <v>185.21980245700138</v>
      </c>
      <c r="AV152"/>
      <c r="AW152"/>
      <c r="AX152" s="151"/>
      <c r="AY152" s="76">
        <f t="shared" ref="AY152:AY207" ca="1" si="170">IF(AZ152="", "", RAND())</f>
        <v>0.12000738954072854</v>
      </c>
      <c r="AZ152">
        <v>5</v>
      </c>
      <c r="BA152" s="129">
        <f t="shared" si="169"/>
        <v>39847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5</v>
      </c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 s="147"/>
      <c r="CH152" s="176"/>
      <c r="CJ152" s="151"/>
      <c r="CK152" s="76">
        <f t="shared" ca="1" si="89"/>
        <v>0.34555030244662888</v>
      </c>
      <c r="CL152" s="179">
        <f t="shared" si="90"/>
        <v>5</v>
      </c>
      <c r="CM152" s="180">
        <f t="shared" si="91"/>
        <v>39847</v>
      </c>
      <c r="CN152"/>
      <c r="CO152"/>
      <c r="CP152"/>
      <c r="CQ152"/>
      <c r="CR152"/>
      <c r="CS152"/>
      <c r="CT152"/>
      <c r="CU152"/>
      <c r="CV152" s="160"/>
      <c r="CW152">
        <v>1</v>
      </c>
      <c r="CX152">
        <v>1</v>
      </c>
      <c r="CY152" s="160"/>
      <c r="CZ152" s="177">
        <f t="shared" si="92"/>
        <v>9.6000000000000002E-2</v>
      </c>
      <c r="DB152" s="151"/>
      <c r="DC152" s="76">
        <f t="shared" ref="DC152:DC207" ca="1" si="171">IF(DD152="", "", RAND())</f>
        <v>0.79765652135637133</v>
      </c>
      <c r="DD152">
        <f t="shared" si="93"/>
        <v>5</v>
      </c>
      <c r="DE152" s="129">
        <f t="shared" si="168"/>
        <v>39847</v>
      </c>
      <c r="DF152" s="161">
        <f t="shared" si="94"/>
        <v>0</v>
      </c>
      <c r="DG152" s="161">
        <f t="shared" si="95"/>
        <v>0</v>
      </c>
      <c r="DH152" s="161">
        <f t="shared" si="96"/>
        <v>0</v>
      </c>
      <c r="DI152" s="161">
        <f t="shared" si="97"/>
        <v>0</v>
      </c>
      <c r="DJ152" s="161">
        <f t="shared" si="98"/>
        <v>0</v>
      </c>
      <c r="DK152" s="161">
        <f t="shared" si="99"/>
        <v>52.083333333333336</v>
      </c>
      <c r="DL152" s="161">
        <f t="shared" si="100"/>
        <v>0</v>
      </c>
      <c r="DM152" s="161">
        <f t="shared" si="101"/>
        <v>0</v>
      </c>
      <c r="DN152" s="161">
        <f t="shared" si="102"/>
        <v>0</v>
      </c>
      <c r="DO152" s="161">
        <f t="shared" si="103"/>
        <v>0</v>
      </c>
      <c r="DP152" s="161">
        <f t="shared" si="104"/>
        <v>0</v>
      </c>
      <c r="DQ152" s="161">
        <f t="shared" si="105"/>
        <v>0</v>
      </c>
      <c r="DR152" s="161">
        <f t="shared" si="106"/>
        <v>0</v>
      </c>
      <c r="DS152" s="161">
        <f t="shared" si="107"/>
        <v>0</v>
      </c>
      <c r="DT152" s="161">
        <f t="shared" si="108"/>
        <v>0</v>
      </c>
      <c r="DU152" s="161">
        <f t="shared" si="109"/>
        <v>0</v>
      </c>
      <c r="DV152" s="161">
        <f t="shared" si="110"/>
        <v>0</v>
      </c>
      <c r="DW152" s="161">
        <f t="shared" si="111"/>
        <v>0</v>
      </c>
      <c r="DX152" s="161">
        <f t="shared" si="112"/>
        <v>0</v>
      </c>
      <c r="DY152" s="161">
        <f t="shared" si="113"/>
        <v>0</v>
      </c>
      <c r="DZ152" s="161">
        <f t="shared" si="114"/>
        <v>0</v>
      </c>
      <c r="EA152" s="161">
        <f t="shared" si="115"/>
        <v>0</v>
      </c>
      <c r="EB152" s="161">
        <f t="shared" si="116"/>
        <v>0</v>
      </c>
      <c r="EC152" s="161">
        <f t="shared" si="117"/>
        <v>0</v>
      </c>
      <c r="ED152" s="161">
        <f t="shared" si="118"/>
        <v>0</v>
      </c>
      <c r="EE152" s="161">
        <f t="shared" si="119"/>
        <v>0</v>
      </c>
      <c r="EF152" s="161">
        <f t="shared" si="120"/>
        <v>0</v>
      </c>
      <c r="EG152" s="161">
        <f t="shared" si="121"/>
        <v>0</v>
      </c>
      <c r="EH152" s="161">
        <f t="shared" si="122"/>
        <v>0</v>
      </c>
      <c r="EI152" s="161">
        <f t="shared" si="123"/>
        <v>0</v>
      </c>
      <c r="EJ152" s="161">
        <f t="shared" si="124"/>
        <v>0</v>
      </c>
      <c r="EK152" s="147">
        <f t="shared" ref="EK152:EK183" si="172">IF(DF152="", "", SUM(DF152:EJ152))</f>
        <v>52.083333333333336</v>
      </c>
      <c r="EL152" s="149"/>
      <c r="EN152" s="151"/>
      <c r="EO152" s="151"/>
      <c r="EP152" s="139">
        <f t="shared" ref="EP152:EP183" si="173">IF(DF152="", "", DF152*G$36)</f>
        <v>0</v>
      </c>
      <c r="EQ152" s="139">
        <f t="shared" ref="EQ152:EQ183" si="174">IF(DG152="", "", DG152*H$36)</f>
        <v>0</v>
      </c>
      <c r="ER152" s="139">
        <f t="shared" ref="ER152:ER183" si="175">IF(DH152="", "", DH152*I$36)</f>
        <v>0</v>
      </c>
      <c r="ES152" s="139">
        <f t="shared" ref="ES152:ES183" si="176">IF(DI152="", "", DI152*J$36)</f>
        <v>0</v>
      </c>
      <c r="ET152" s="139">
        <f t="shared" ref="ET152:ET183" si="177">IF(DJ152="", "", DJ152*K$36)</f>
        <v>0</v>
      </c>
      <c r="EU152" s="139">
        <f t="shared" ref="EU152:EU183" si="178">IF(DK152="", "", DK152*L$36)</f>
        <v>43.92684825483947</v>
      </c>
      <c r="EV152" s="139">
        <f t="shared" ref="EV152:EV183" si="179">IF(DL152="", "", DL152*M$36)</f>
        <v>0</v>
      </c>
      <c r="EW152" s="139">
        <f t="shared" ref="EW152:EW183" si="180">IF(DM152="", "", DM152*N$36)</f>
        <v>0</v>
      </c>
      <c r="EX152" s="139">
        <f t="shared" ref="EX152:EX183" si="181">IF(DN152="", "", DN152*O$36)</f>
        <v>0</v>
      </c>
      <c r="EY152" s="139">
        <f t="shared" ref="EY152:EY183" si="182">IF(DO152="", "", DO152*P$36)</f>
        <v>0</v>
      </c>
      <c r="EZ152" s="139">
        <f t="shared" ref="EZ152:EZ183" si="183">IF(DP152="", "", DP152*Q$36)</f>
        <v>0</v>
      </c>
      <c r="FA152" s="139">
        <f t="shared" ref="FA152:FA183" si="184">IF(DQ152="", "", DQ152*R$36)</f>
        <v>0</v>
      </c>
      <c r="FB152" s="139">
        <f t="shared" ref="FB152:FB183" si="185">IF(DR152="", "", DR152*S$36)</f>
        <v>0</v>
      </c>
      <c r="FC152" s="139">
        <f t="shared" ref="FC152:FC183" si="186">IF(DS152="", "", DS152*T$36)</f>
        <v>0</v>
      </c>
      <c r="FD152" s="139">
        <f t="shared" ref="FD152:FD183" si="187">IF(DT152="", "", DT152*U$36)</f>
        <v>0</v>
      </c>
      <c r="FE152" s="139">
        <f t="shared" ref="FE152:FE183" si="188">IF(DU152="", "", DU152*V$36)</f>
        <v>0</v>
      </c>
      <c r="FF152" s="139">
        <f t="shared" ref="FF152:FF183" si="189">IF(DV152="", "", DV152*W$36)</f>
        <v>0</v>
      </c>
      <c r="FG152" s="139">
        <f t="shared" ref="FG152:FG183" si="190">IF(DW152="", "", DW152*X$36)</f>
        <v>0</v>
      </c>
      <c r="FH152" s="139">
        <f t="shared" ref="FH152:FH183" si="191">IF(DX152="", "", DX152*Y$36)</f>
        <v>0</v>
      </c>
      <c r="FI152" s="139">
        <f t="shared" ref="FI152:FI183" si="192">IF(DY152="", "", DY152*Z$36)</f>
        <v>0</v>
      </c>
      <c r="FJ152" s="139">
        <f t="shared" ref="FJ152:FJ183" si="193">IF(DZ152="", "", DZ152*AA$36)</f>
        <v>0</v>
      </c>
      <c r="FK152" s="139">
        <f t="shared" ref="FK152:FK183" si="194">IF(EA152="", "", EA152*AB$36)</f>
        <v>0</v>
      </c>
      <c r="FL152" s="139">
        <f t="shared" ref="FL152:FL183" si="195">IF(EB152="", "", EB152*AC$36)</f>
        <v>0</v>
      </c>
      <c r="FM152" s="139">
        <f t="shared" ref="FM152:FM183" si="196">IF(EC152="", "", EC152*AD$36)</f>
        <v>0</v>
      </c>
      <c r="FN152" s="139">
        <f t="shared" ref="FN152:FN183" si="197">IF(ED152="", "", ED152*AE$36)</f>
        <v>0</v>
      </c>
      <c r="FO152" s="139">
        <f t="shared" ref="FO152:FO183" si="198">IF(EE152="", "", EE152*AF$36)</f>
        <v>0</v>
      </c>
      <c r="FP152" s="139">
        <f t="shared" ref="FP152:FP183" si="199">IF(EF152="", "", EF152*AG$36)</f>
        <v>0</v>
      </c>
      <c r="FQ152" s="139">
        <f t="shared" ref="FQ152:FQ183" si="200">IF(EG152="", "", EG152*AH$36)</f>
        <v>0</v>
      </c>
      <c r="FR152" s="139">
        <f t="shared" ref="FR152:FR183" si="201">IF(EH152="", "", EH152*AI$36)</f>
        <v>0</v>
      </c>
      <c r="FS152" s="139">
        <f t="shared" ref="FS152:FS183" si="202">IF(EI152="", "", EI152*AJ$36)</f>
        <v>0</v>
      </c>
      <c r="FT152" s="139">
        <f t="shared" ref="FT152:FT183" si="203">IF(EJ152="", "", EJ152*AK$36)</f>
        <v>0</v>
      </c>
      <c r="FU152" s="148">
        <f t="shared" ref="FU152:FU183" si="204">IF(EP152="","",SUM(EP152:FT152))</f>
        <v>43.92684825483947</v>
      </c>
      <c r="FV152" s="149"/>
      <c r="FY152" s="211">
        <v>147</v>
      </c>
      <c r="FZ152">
        <v>139.74557129254586</v>
      </c>
      <c r="GA152">
        <v>179.43336269179551</v>
      </c>
      <c r="GB152">
        <v>42.569612110905688</v>
      </c>
      <c r="GC152">
        <v>33.817549146834679</v>
      </c>
      <c r="GD152">
        <v>32.172104570527438</v>
      </c>
      <c r="GE152">
        <v>51.729597045756535</v>
      </c>
      <c r="GF152">
        <v>80.99932483687239</v>
      </c>
      <c r="GG152">
        <v>46.681581671147114</v>
      </c>
      <c r="GH152">
        <v>35.196434834935665</v>
      </c>
      <c r="GI152">
        <v>76.653580188480163</v>
      </c>
      <c r="GJ152"/>
      <c r="GK152"/>
      <c r="GL152"/>
      <c r="GM152"/>
    </row>
    <row r="153" spans="1:195" s="7" customFormat="1">
      <c r="A153" s="77"/>
      <c r="B153" s="76">
        <f ca="1">IF(C153="", "", RAND())</f>
        <v>0.53108176910770877</v>
      </c>
      <c r="C153">
        <v>7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10.416666666666666</v>
      </c>
      <c r="J153">
        <v>41.666666666666664</v>
      </c>
      <c r="K153">
        <v>114.58333333333333</v>
      </c>
      <c r="L153">
        <v>31.25</v>
      </c>
      <c r="M153">
        <v>10.416666666666666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212.85417378173142</v>
      </c>
      <c r="AO153">
        <v>141.05436492338956</v>
      </c>
      <c r="AP153">
        <v>629.63687329348227</v>
      </c>
      <c r="AQ153">
        <v>817.21281302648049</v>
      </c>
      <c r="AR153">
        <v>133.25195180530022</v>
      </c>
      <c r="AS153">
        <v>1301.7878553291537</v>
      </c>
      <c r="AT153">
        <v>75.164866016230022</v>
      </c>
      <c r="AU153">
        <v>338.94986490532204</v>
      </c>
      <c r="AV153"/>
      <c r="AW153"/>
      <c r="AX153" s="151"/>
      <c r="AY153" s="76">
        <f t="shared" ca="1" si="170"/>
        <v>0.39412546650549252</v>
      </c>
      <c r="AZ153">
        <v>6</v>
      </c>
      <c r="BA153" s="129">
        <f t="shared" si="169"/>
        <v>39847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2</v>
      </c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 s="147"/>
      <c r="CH153" s="176"/>
      <c r="CJ153" s="151"/>
      <c r="CK153" s="76">
        <f t="shared" ref="CK153:CK207" ca="1" si="205">IF(AZ153="", "", RAND())</f>
        <v>0.63992398927636085</v>
      </c>
      <c r="CL153" s="179">
        <f t="shared" ref="CL153:CL207" si="206">IF(AZ153="", "", AZ153)</f>
        <v>6</v>
      </c>
      <c r="CM153" s="180">
        <f t="shared" ref="CM153:CM207" si="207">IF(AZ153="", "", BA153)</f>
        <v>39847</v>
      </c>
      <c r="CN153"/>
      <c r="CO153"/>
      <c r="CP153"/>
      <c r="CQ153"/>
      <c r="CR153"/>
      <c r="CS153"/>
      <c r="CT153"/>
      <c r="CU153"/>
      <c r="CV153" s="160"/>
      <c r="CW153">
        <v>1</v>
      </c>
      <c r="CX153">
        <v>1</v>
      </c>
      <c r="CY153" s="160"/>
      <c r="CZ153" s="177">
        <f t="shared" ref="CZ153:CZ207" si="208">IF(AZ153="", "", $G$15)</f>
        <v>9.6000000000000002E-2</v>
      </c>
      <c r="DB153" s="151"/>
      <c r="DC153" s="76">
        <f t="shared" ca="1" si="171"/>
        <v>0.28415788125424379</v>
      </c>
      <c r="DD153">
        <f t="shared" ref="DD153:DD207" si="209">IF(AZ153="", "", AZ153)</f>
        <v>6</v>
      </c>
      <c r="DE153" s="129">
        <f t="shared" si="168"/>
        <v>39847</v>
      </c>
      <c r="DF153" s="161">
        <f t="shared" ref="DF153:DF187" si="210">IF($AZ153="", "", ((BB153*$CW153)+(CN153*$CX153))/$CZ153)</f>
        <v>0</v>
      </c>
      <c r="DG153" s="161">
        <f t="shared" ref="DG153:DG187" si="211">IF($AZ153="", "", ((BC153*$CW153)+(CO153*$CX153))/$CZ153)</f>
        <v>0</v>
      </c>
      <c r="DH153" s="161">
        <f t="shared" ref="DH153:DH187" si="212">IF($AZ153="", "", ((BD153*$CW153)+(CP153*$CX153))/$CZ153)</f>
        <v>0</v>
      </c>
      <c r="DI153" s="161">
        <f t="shared" ref="DI153:DI187" si="213">IF($AZ153="", "", ((BE153*$CW153)+(CQ153*$CX153))/$CZ153)</f>
        <v>0</v>
      </c>
      <c r="DJ153" s="161">
        <f t="shared" ref="DJ153:DJ187" si="214">IF($AZ153="", "", ((BF153*$CW153)+(CR153*$CX153))/$CZ153)</f>
        <v>0</v>
      </c>
      <c r="DK153" s="161">
        <f t="shared" ref="DK153:DK187" si="215">IF($AZ153="", "", ((BG153*$CW153)+(CS153*$CX153))/$CZ153)</f>
        <v>20.833333333333332</v>
      </c>
      <c r="DL153" s="161">
        <f t="shared" ref="DL153:DL187" si="216">IF($AZ153="", "", ((BH153*$CW153)+(CT153*$CX153))/$CZ153)</f>
        <v>0</v>
      </c>
      <c r="DM153" s="161">
        <f t="shared" ref="DM153:DM187" si="217">IF($AZ153="", "", ((BI153*$CW153)+(CU153*$CX153))/$CZ153)</f>
        <v>0</v>
      </c>
      <c r="DN153" s="161">
        <f t="shared" ref="DN153:DN187" si="218">IF($AZ153="", "", (BJ153*$CW153)/$CZ153)</f>
        <v>0</v>
      </c>
      <c r="DO153" s="161">
        <f t="shared" ref="DO153:DO187" si="219">IF($AZ153="", "", (BK153*$CW153)/$CZ153)</f>
        <v>0</v>
      </c>
      <c r="DP153" s="161">
        <f t="shared" ref="DP153:DP187" si="220">IF($AZ153="", "", (BL153*$CW153)/$CZ153)</f>
        <v>0</v>
      </c>
      <c r="DQ153" s="161">
        <f t="shared" ref="DQ153:DQ187" si="221">IF($AZ153="", "", (BM153*$CW153)/$CZ153)</f>
        <v>0</v>
      </c>
      <c r="DR153" s="161">
        <f t="shared" ref="DR153:DR187" si="222">IF($AZ153="", "", (BN153*$CW153)/$CZ153)</f>
        <v>0</v>
      </c>
      <c r="DS153" s="161">
        <f t="shared" ref="DS153:DS187" si="223">IF($AZ153="", "", (BO153*$CW153)/$CZ153)</f>
        <v>0</v>
      </c>
      <c r="DT153" s="161">
        <f t="shared" ref="DT153:DT187" si="224">IF($AZ153="", "", (BP153*$CW153)/$CZ153)</f>
        <v>0</v>
      </c>
      <c r="DU153" s="161">
        <f t="shared" ref="DU153:DU187" si="225">IF($AZ153="", "", (BQ153*$CW153)/$CZ153)</f>
        <v>0</v>
      </c>
      <c r="DV153" s="161">
        <f t="shared" ref="DV153:DV187" si="226">IF($AZ153="", "", (BR153*$CW153)/$CZ153)</f>
        <v>0</v>
      </c>
      <c r="DW153" s="161">
        <f t="shared" ref="DW153:DW187" si="227">IF($AZ153="", "", (BS153*$CW153)/$CZ153)</f>
        <v>0</v>
      </c>
      <c r="DX153" s="161">
        <f t="shared" ref="DX153:DX187" si="228">IF($AZ153="", "", (BT153*$CW153)/$CZ153)</f>
        <v>0</v>
      </c>
      <c r="DY153" s="161">
        <f t="shared" ref="DY153:DY187" si="229">IF($AZ153="", "", (BU153*$CW153)/$CZ153)</f>
        <v>0</v>
      </c>
      <c r="DZ153" s="161">
        <f t="shared" ref="DZ153:DZ187" si="230">IF($AZ153="", "", (BV153*$CW153)/$CZ153)</f>
        <v>0</v>
      </c>
      <c r="EA153" s="161">
        <f t="shared" ref="EA153:EA187" si="231">IF($AZ153="", "", (BW153*$CW153)/$CZ153)</f>
        <v>0</v>
      </c>
      <c r="EB153" s="161">
        <f t="shared" ref="EB153:EB187" si="232">IF($AZ153="", "", (BX153*$CW153)/$CZ153)</f>
        <v>0</v>
      </c>
      <c r="EC153" s="161">
        <f t="shared" ref="EC153:EC187" si="233">IF($AZ153="", "", (BY153*$CW153)/$CZ153)</f>
        <v>0</v>
      </c>
      <c r="ED153" s="161">
        <f t="shared" ref="ED153:ED187" si="234">IF($AZ153="", "", (BZ153*$CW153)/$CZ153)</f>
        <v>0</v>
      </c>
      <c r="EE153" s="161">
        <f t="shared" ref="EE153:EE187" si="235">IF($AZ153="", "", (CA153*$CW153)/$CZ153)</f>
        <v>0</v>
      </c>
      <c r="EF153" s="161">
        <f t="shared" ref="EF153:EF187" si="236">IF($AZ153="", "", (CB153*$CW153)/$CZ153)</f>
        <v>0</v>
      </c>
      <c r="EG153" s="161">
        <f t="shared" ref="EG153:EG187" si="237">IF($AZ153="", "", (CC153*$CW153)/$CZ153)</f>
        <v>0</v>
      </c>
      <c r="EH153" s="161">
        <f t="shared" ref="EH153:EH187" si="238">IF($AZ153="", "", (CD153*$CW153)/$CZ153)</f>
        <v>0</v>
      </c>
      <c r="EI153" s="161">
        <f t="shared" ref="EI153:EI187" si="239">IF($AZ153="", "", (CE153*$CW153)/$CZ153)</f>
        <v>0</v>
      </c>
      <c r="EJ153" s="161">
        <f t="shared" ref="EJ153:EJ187" si="240">IF($AZ153="", "", (CF153*$CW153)/$CZ153)</f>
        <v>0</v>
      </c>
      <c r="EK153" s="147">
        <f t="shared" si="172"/>
        <v>20.833333333333332</v>
      </c>
      <c r="EL153" s="149"/>
      <c r="EN153" s="151"/>
      <c r="EO153" s="151"/>
      <c r="EP153" s="139">
        <f t="shared" si="173"/>
        <v>0</v>
      </c>
      <c r="EQ153" s="139">
        <f t="shared" si="174"/>
        <v>0</v>
      </c>
      <c r="ER153" s="139">
        <f t="shared" si="175"/>
        <v>0</v>
      </c>
      <c r="ES153" s="139">
        <f t="shared" si="176"/>
        <v>0</v>
      </c>
      <c r="ET153" s="139">
        <f t="shared" si="177"/>
        <v>0</v>
      </c>
      <c r="EU153" s="139">
        <f t="shared" si="178"/>
        <v>17.570739301935784</v>
      </c>
      <c r="EV153" s="139">
        <f t="shared" si="179"/>
        <v>0</v>
      </c>
      <c r="EW153" s="139">
        <f t="shared" si="180"/>
        <v>0</v>
      </c>
      <c r="EX153" s="139">
        <f t="shared" si="181"/>
        <v>0</v>
      </c>
      <c r="EY153" s="139">
        <f t="shared" si="182"/>
        <v>0</v>
      </c>
      <c r="EZ153" s="139">
        <f t="shared" si="183"/>
        <v>0</v>
      </c>
      <c r="FA153" s="139">
        <f t="shared" si="184"/>
        <v>0</v>
      </c>
      <c r="FB153" s="139">
        <f t="shared" si="185"/>
        <v>0</v>
      </c>
      <c r="FC153" s="139">
        <f t="shared" si="186"/>
        <v>0</v>
      </c>
      <c r="FD153" s="139">
        <f t="shared" si="187"/>
        <v>0</v>
      </c>
      <c r="FE153" s="139">
        <f t="shared" si="188"/>
        <v>0</v>
      </c>
      <c r="FF153" s="139">
        <f t="shared" si="189"/>
        <v>0</v>
      </c>
      <c r="FG153" s="139">
        <f t="shared" si="190"/>
        <v>0</v>
      </c>
      <c r="FH153" s="139">
        <f t="shared" si="191"/>
        <v>0</v>
      </c>
      <c r="FI153" s="139">
        <f t="shared" si="192"/>
        <v>0</v>
      </c>
      <c r="FJ153" s="139">
        <f t="shared" si="193"/>
        <v>0</v>
      </c>
      <c r="FK153" s="139">
        <f t="shared" si="194"/>
        <v>0</v>
      </c>
      <c r="FL153" s="139">
        <f t="shared" si="195"/>
        <v>0</v>
      </c>
      <c r="FM153" s="139">
        <f t="shared" si="196"/>
        <v>0</v>
      </c>
      <c r="FN153" s="139">
        <f t="shared" si="197"/>
        <v>0</v>
      </c>
      <c r="FO153" s="139">
        <f t="shared" si="198"/>
        <v>0</v>
      </c>
      <c r="FP153" s="139">
        <f t="shared" si="199"/>
        <v>0</v>
      </c>
      <c r="FQ153" s="139">
        <f t="shared" si="200"/>
        <v>0</v>
      </c>
      <c r="FR153" s="139">
        <f t="shared" si="201"/>
        <v>0</v>
      </c>
      <c r="FS153" s="139">
        <f t="shared" si="202"/>
        <v>0</v>
      </c>
      <c r="FT153" s="139">
        <f t="shared" si="203"/>
        <v>0</v>
      </c>
      <c r="FU153" s="148">
        <f t="shared" si="204"/>
        <v>17.570739301935784</v>
      </c>
      <c r="FV153" s="149"/>
      <c r="FY153" s="211">
        <v>148</v>
      </c>
      <c r="FZ153">
        <v>125.17951297818442</v>
      </c>
      <c r="GA153">
        <v>150.1300093866501</v>
      </c>
      <c r="GB153">
        <v>39.3349687734489</v>
      </c>
      <c r="GC153">
        <v>37.811265111271631</v>
      </c>
      <c r="GD153">
        <v>41.276122600439479</v>
      </c>
      <c r="GE153">
        <v>79.985521314365343</v>
      </c>
      <c r="GF153">
        <v>89.60274078502411</v>
      </c>
      <c r="GG153">
        <v>57.938806989977607</v>
      </c>
      <c r="GH153">
        <v>57.129905541959864</v>
      </c>
      <c r="GI153">
        <v>85.600754907047417</v>
      </c>
      <c r="GJ153"/>
      <c r="GK153"/>
      <c r="GL153"/>
      <c r="GM153"/>
    </row>
    <row r="154" spans="1:195" s="7" customFormat="1">
      <c r="A154" s="77"/>
      <c r="B154" s="76">
        <f ca="1">IF(C154="", "", RAND())</f>
        <v>0.1900209299703095</v>
      </c>
      <c r="C154">
        <v>1</v>
      </c>
      <c r="D154">
        <v>39847</v>
      </c>
      <c r="E154">
        <v>0</v>
      </c>
      <c r="F154">
        <v>72.916666666666671</v>
      </c>
      <c r="G154">
        <v>125</v>
      </c>
      <c r="H154">
        <v>10.416666666666666</v>
      </c>
      <c r="I154">
        <v>26.041666666666668</v>
      </c>
      <c r="J154">
        <v>65.104166666666671</v>
      </c>
      <c r="K154">
        <v>52.083333333333336</v>
      </c>
      <c r="L154">
        <v>169.27083333333334</v>
      </c>
      <c r="M154">
        <v>104.16666666666667</v>
      </c>
      <c r="N154">
        <v>52.083333333333336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242.55544192802154</v>
      </c>
      <c r="AO154">
        <v>141.38035584037885</v>
      </c>
      <c r="AP154">
        <v>617.32657074316239</v>
      </c>
      <c r="AQ154">
        <v>745.05293166422484</v>
      </c>
      <c r="AR154">
        <v>134.09403797679477</v>
      </c>
      <c r="AS154">
        <v>1322.3242897851683</v>
      </c>
      <c r="AT154">
        <v>68.914927908383078</v>
      </c>
      <c r="AU154">
        <v>127.71501782205647</v>
      </c>
      <c r="AV154"/>
      <c r="AW154"/>
      <c r="AX154" s="151"/>
      <c r="AY154" s="76">
        <f t="shared" ca="1" si="170"/>
        <v>0.78665177199936087</v>
      </c>
      <c r="AZ154">
        <v>7</v>
      </c>
      <c r="BA154" s="129">
        <f t="shared" si="169"/>
        <v>39847</v>
      </c>
      <c r="BB154">
        <v>0</v>
      </c>
      <c r="BC154">
        <v>0</v>
      </c>
      <c r="BD154">
        <v>0</v>
      </c>
      <c r="BE154">
        <v>0</v>
      </c>
      <c r="BF154">
        <v>1</v>
      </c>
      <c r="BG154">
        <v>4</v>
      </c>
      <c r="BH154">
        <v>11</v>
      </c>
      <c r="BI154">
        <v>3</v>
      </c>
      <c r="BJ154">
        <v>1</v>
      </c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 s="147"/>
      <c r="CH154" s="176"/>
      <c r="CJ154" s="151"/>
      <c r="CK154" s="76">
        <f t="shared" ca="1" si="205"/>
        <v>0.52324617954892361</v>
      </c>
      <c r="CL154" s="179">
        <f t="shared" si="206"/>
        <v>7</v>
      </c>
      <c r="CM154" s="180">
        <f t="shared" si="207"/>
        <v>39847</v>
      </c>
      <c r="CN154"/>
      <c r="CO154"/>
      <c r="CP154"/>
      <c r="CQ154"/>
      <c r="CR154"/>
      <c r="CS154"/>
      <c r="CT154"/>
      <c r="CU154"/>
      <c r="CV154" s="160"/>
      <c r="CW154">
        <v>1</v>
      </c>
      <c r="CX154">
        <v>1</v>
      </c>
      <c r="CY154" s="165"/>
      <c r="CZ154" s="177">
        <f t="shared" si="208"/>
        <v>9.6000000000000002E-2</v>
      </c>
      <c r="DB154" s="151"/>
      <c r="DC154" s="76">
        <f t="shared" ca="1" si="171"/>
        <v>0.5996675677070693</v>
      </c>
      <c r="DD154">
        <f t="shared" si="209"/>
        <v>7</v>
      </c>
      <c r="DE154" s="129">
        <f t="shared" si="168"/>
        <v>39847</v>
      </c>
      <c r="DF154" s="161">
        <f t="shared" si="210"/>
        <v>0</v>
      </c>
      <c r="DG154" s="161">
        <f t="shared" si="211"/>
        <v>0</v>
      </c>
      <c r="DH154" s="161">
        <f t="shared" si="212"/>
        <v>0</v>
      </c>
      <c r="DI154" s="161">
        <f t="shared" si="213"/>
        <v>0</v>
      </c>
      <c r="DJ154" s="161">
        <f t="shared" si="214"/>
        <v>10.416666666666666</v>
      </c>
      <c r="DK154" s="161">
        <f t="shared" si="215"/>
        <v>41.666666666666664</v>
      </c>
      <c r="DL154" s="161">
        <f t="shared" si="216"/>
        <v>114.58333333333333</v>
      </c>
      <c r="DM154" s="161">
        <f t="shared" si="217"/>
        <v>31.25</v>
      </c>
      <c r="DN154" s="161">
        <f t="shared" si="218"/>
        <v>10.416666666666666</v>
      </c>
      <c r="DO154" s="161">
        <f t="shared" si="219"/>
        <v>0</v>
      </c>
      <c r="DP154" s="161">
        <f t="shared" si="220"/>
        <v>0</v>
      </c>
      <c r="DQ154" s="161">
        <f t="shared" si="221"/>
        <v>0</v>
      </c>
      <c r="DR154" s="161">
        <f t="shared" si="222"/>
        <v>0</v>
      </c>
      <c r="DS154" s="161">
        <f t="shared" si="223"/>
        <v>0</v>
      </c>
      <c r="DT154" s="161">
        <f t="shared" si="224"/>
        <v>0</v>
      </c>
      <c r="DU154" s="161">
        <f t="shared" si="225"/>
        <v>0</v>
      </c>
      <c r="DV154" s="161">
        <f t="shared" si="226"/>
        <v>0</v>
      </c>
      <c r="DW154" s="161">
        <f t="shared" si="227"/>
        <v>0</v>
      </c>
      <c r="DX154" s="161">
        <f t="shared" si="228"/>
        <v>0</v>
      </c>
      <c r="DY154" s="161">
        <f t="shared" si="229"/>
        <v>0</v>
      </c>
      <c r="DZ154" s="161">
        <f t="shared" si="230"/>
        <v>0</v>
      </c>
      <c r="EA154" s="161">
        <f t="shared" si="231"/>
        <v>0</v>
      </c>
      <c r="EB154" s="161">
        <f t="shared" si="232"/>
        <v>0</v>
      </c>
      <c r="EC154" s="161">
        <f t="shared" si="233"/>
        <v>0</v>
      </c>
      <c r="ED154" s="161">
        <f t="shared" si="234"/>
        <v>0</v>
      </c>
      <c r="EE154" s="161">
        <f t="shared" si="235"/>
        <v>0</v>
      </c>
      <c r="EF154" s="161">
        <f t="shared" si="236"/>
        <v>0</v>
      </c>
      <c r="EG154" s="161">
        <f t="shared" si="237"/>
        <v>0</v>
      </c>
      <c r="EH154" s="161">
        <f t="shared" si="238"/>
        <v>0</v>
      </c>
      <c r="EI154" s="161">
        <f t="shared" si="239"/>
        <v>0</v>
      </c>
      <c r="EJ154" s="161">
        <f t="shared" si="240"/>
        <v>0</v>
      </c>
      <c r="EK154" s="147">
        <f t="shared" si="172"/>
        <v>208.33333333333331</v>
      </c>
      <c r="EL154" s="149"/>
      <c r="EN154" s="151"/>
      <c r="EO154" s="151"/>
      <c r="EP154" s="139">
        <f t="shared" si="173"/>
        <v>0</v>
      </c>
      <c r="EQ154" s="139">
        <f t="shared" si="174"/>
        <v>0</v>
      </c>
      <c r="ER154" s="139">
        <f t="shared" si="175"/>
        <v>0</v>
      </c>
      <c r="ES154" s="139">
        <f t="shared" si="176"/>
        <v>0</v>
      </c>
      <c r="ET154" s="139">
        <f t="shared" si="177"/>
        <v>4.8450809197869589</v>
      </c>
      <c r="EU154" s="139">
        <f t="shared" si="178"/>
        <v>35.141478603871569</v>
      </c>
      <c r="EV154" s="139">
        <f t="shared" si="179"/>
        <v>157.15532744275973</v>
      </c>
      <c r="EW154" s="139">
        <f t="shared" si="180"/>
        <v>64.655394413367091</v>
      </c>
      <c r="EX154" s="139">
        <f t="shared" si="181"/>
        <v>30.77145509025932</v>
      </c>
      <c r="EY154" s="139">
        <f t="shared" si="182"/>
        <v>0</v>
      </c>
      <c r="EZ154" s="139">
        <f t="shared" si="183"/>
        <v>0</v>
      </c>
      <c r="FA154" s="139">
        <f t="shared" si="184"/>
        <v>0</v>
      </c>
      <c r="FB154" s="139">
        <f t="shared" si="185"/>
        <v>0</v>
      </c>
      <c r="FC154" s="139">
        <f t="shared" si="186"/>
        <v>0</v>
      </c>
      <c r="FD154" s="139">
        <f t="shared" si="187"/>
        <v>0</v>
      </c>
      <c r="FE154" s="139">
        <f t="shared" si="188"/>
        <v>0</v>
      </c>
      <c r="FF154" s="139">
        <f t="shared" si="189"/>
        <v>0</v>
      </c>
      <c r="FG154" s="139">
        <f t="shared" si="190"/>
        <v>0</v>
      </c>
      <c r="FH154" s="139">
        <f t="shared" si="191"/>
        <v>0</v>
      </c>
      <c r="FI154" s="139">
        <f t="shared" si="192"/>
        <v>0</v>
      </c>
      <c r="FJ154" s="139">
        <f t="shared" si="193"/>
        <v>0</v>
      </c>
      <c r="FK154" s="139">
        <f t="shared" si="194"/>
        <v>0</v>
      </c>
      <c r="FL154" s="139">
        <f t="shared" si="195"/>
        <v>0</v>
      </c>
      <c r="FM154" s="139">
        <f t="shared" si="196"/>
        <v>0</v>
      </c>
      <c r="FN154" s="139">
        <f t="shared" si="197"/>
        <v>0</v>
      </c>
      <c r="FO154" s="139">
        <f t="shared" si="198"/>
        <v>0</v>
      </c>
      <c r="FP154" s="139">
        <f t="shared" si="199"/>
        <v>0</v>
      </c>
      <c r="FQ154" s="139">
        <f t="shared" si="200"/>
        <v>0</v>
      </c>
      <c r="FR154" s="139">
        <f t="shared" si="201"/>
        <v>0</v>
      </c>
      <c r="FS154" s="139">
        <f t="shared" si="202"/>
        <v>0</v>
      </c>
      <c r="FT154" s="139">
        <f t="shared" si="203"/>
        <v>0</v>
      </c>
      <c r="FU154" s="148">
        <f t="shared" si="204"/>
        <v>292.56873647004471</v>
      </c>
      <c r="FV154" s="149"/>
      <c r="FY154" s="211">
        <v>149</v>
      </c>
      <c r="FZ154">
        <v>77.612060938935599</v>
      </c>
      <c r="GA154">
        <v>132.54470346611484</v>
      </c>
      <c r="GB154">
        <v>45.361350848163518</v>
      </c>
      <c r="GC154">
        <v>35.373126626127579</v>
      </c>
      <c r="GD154">
        <v>42.126179347441237</v>
      </c>
      <c r="GE154">
        <v>72.715846472158702</v>
      </c>
      <c r="GF154">
        <v>87.629246732079068</v>
      </c>
      <c r="GG154">
        <v>91.139929294815772</v>
      </c>
      <c r="GH154">
        <v>90.412298387917446</v>
      </c>
      <c r="GI154">
        <v>85.330860232246039</v>
      </c>
      <c r="GJ154"/>
      <c r="GK154"/>
      <c r="GL154"/>
      <c r="GM154"/>
    </row>
    <row r="155" spans="1:195" s="7" customFormat="1">
      <c r="A155" s="77"/>
      <c r="B155" s="76">
        <f ca="1">IF(C155="", "", RAND())</f>
        <v>0.15865322056236986</v>
      </c>
      <c r="C155">
        <v>6</v>
      </c>
      <c r="D155">
        <v>39847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20.833333333333332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343.26735478697879</v>
      </c>
      <c r="AO155">
        <v>151.12356295165409</v>
      </c>
      <c r="AP155">
        <v>555.98647204529107</v>
      </c>
      <c r="AQ155">
        <v>801.33412713065309</v>
      </c>
      <c r="AR155">
        <v>140.24439006307102</v>
      </c>
      <c r="AS155">
        <v>1391.8106765250125</v>
      </c>
      <c r="AT155">
        <v>62.65841577481595</v>
      </c>
      <c r="AU155">
        <v>172.52884170497583</v>
      </c>
      <c r="AV155"/>
      <c r="AW155"/>
      <c r="AX155" s="151"/>
      <c r="AY155" s="76">
        <f t="shared" ca="1" si="170"/>
        <v>0.60215287590239153</v>
      </c>
      <c r="AZ155">
        <v>8</v>
      </c>
      <c r="BA155" s="129">
        <f t="shared" si="169"/>
        <v>39847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1</v>
      </c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 s="147"/>
      <c r="CH155" s="176"/>
      <c r="CJ155" s="151"/>
      <c r="CK155" s="76">
        <f t="shared" ca="1" si="205"/>
        <v>0.56000271741256147</v>
      </c>
      <c r="CL155" s="179">
        <f t="shared" si="206"/>
        <v>8</v>
      </c>
      <c r="CM155" s="180">
        <f t="shared" si="207"/>
        <v>39847</v>
      </c>
      <c r="CN155">
        <v>0</v>
      </c>
      <c r="CO155">
        <v>1</v>
      </c>
      <c r="CP155"/>
      <c r="CQ155"/>
      <c r="CR155"/>
      <c r="CS155"/>
      <c r="CT155"/>
      <c r="CU155"/>
      <c r="CV155" s="160"/>
      <c r="CW155">
        <v>1</v>
      </c>
      <c r="CX155">
        <f>360/54</f>
        <v>6.666666666666667</v>
      </c>
      <c r="CY155" s="165"/>
      <c r="CZ155" s="177">
        <f t="shared" si="208"/>
        <v>9.6000000000000002E-2</v>
      </c>
      <c r="DB155" s="151"/>
      <c r="DC155" s="76">
        <f t="shared" ca="1" si="171"/>
        <v>0.48623492829862536</v>
      </c>
      <c r="DD155">
        <f t="shared" si="209"/>
        <v>8</v>
      </c>
      <c r="DE155" s="129">
        <f t="shared" si="168"/>
        <v>39847</v>
      </c>
      <c r="DF155" s="161">
        <f t="shared" si="210"/>
        <v>0</v>
      </c>
      <c r="DG155" s="161">
        <f t="shared" si="211"/>
        <v>69.444444444444443</v>
      </c>
      <c r="DH155" s="161">
        <f t="shared" si="212"/>
        <v>0</v>
      </c>
      <c r="DI155" s="161">
        <f t="shared" si="213"/>
        <v>0</v>
      </c>
      <c r="DJ155" s="161">
        <f t="shared" si="214"/>
        <v>0</v>
      </c>
      <c r="DK155" s="161">
        <f t="shared" si="215"/>
        <v>0</v>
      </c>
      <c r="DL155" s="161">
        <f t="shared" si="216"/>
        <v>10.416666666666666</v>
      </c>
      <c r="DM155" s="161">
        <f t="shared" si="217"/>
        <v>0</v>
      </c>
      <c r="DN155" s="161">
        <f t="shared" si="218"/>
        <v>0</v>
      </c>
      <c r="DO155" s="161">
        <f t="shared" si="219"/>
        <v>0</v>
      </c>
      <c r="DP155" s="161">
        <f t="shared" si="220"/>
        <v>0</v>
      </c>
      <c r="DQ155" s="161">
        <f t="shared" si="221"/>
        <v>0</v>
      </c>
      <c r="DR155" s="161">
        <f t="shared" si="222"/>
        <v>0</v>
      </c>
      <c r="DS155" s="161">
        <f t="shared" si="223"/>
        <v>0</v>
      </c>
      <c r="DT155" s="161">
        <f t="shared" si="224"/>
        <v>0</v>
      </c>
      <c r="DU155" s="161">
        <f t="shared" si="225"/>
        <v>0</v>
      </c>
      <c r="DV155" s="161">
        <f t="shared" si="226"/>
        <v>0</v>
      </c>
      <c r="DW155" s="161">
        <f t="shared" si="227"/>
        <v>0</v>
      </c>
      <c r="DX155" s="161">
        <f t="shared" si="228"/>
        <v>0</v>
      </c>
      <c r="DY155" s="161">
        <f t="shared" si="229"/>
        <v>0</v>
      </c>
      <c r="DZ155" s="161">
        <f t="shared" si="230"/>
        <v>0</v>
      </c>
      <c r="EA155" s="161">
        <f t="shared" si="231"/>
        <v>0</v>
      </c>
      <c r="EB155" s="161">
        <f t="shared" si="232"/>
        <v>0</v>
      </c>
      <c r="EC155" s="161">
        <f t="shared" si="233"/>
        <v>0</v>
      </c>
      <c r="ED155" s="161">
        <f t="shared" si="234"/>
        <v>0</v>
      </c>
      <c r="EE155" s="161">
        <f t="shared" si="235"/>
        <v>0</v>
      </c>
      <c r="EF155" s="161">
        <f t="shared" si="236"/>
        <v>0</v>
      </c>
      <c r="EG155" s="161">
        <f t="shared" si="237"/>
        <v>0</v>
      </c>
      <c r="EH155" s="161">
        <f t="shared" si="238"/>
        <v>0</v>
      </c>
      <c r="EI155" s="161">
        <f t="shared" si="239"/>
        <v>0</v>
      </c>
      <c r="EJ155" s="161">
        <f t="shared" si="240"/>
        <v>0</v>
      </c>
      <c r="EK155" s="147">
        <f t="shared" si="172"/>
        <v>79.861111111111114</v>
      </c>
      <c r="EL155" s="149"/>
      <c r="EN155" s="151"/>
      <c r="EO155" s="151"/>
      <c r="EP155" s="139">
        <f t="shared" si="173"/>
        <v>0</v>
      </c>
      <c r="EQ155" s="139">
        <f t="shared" si="174"/>
        <v>0.80078472222222219</v>
      </c>
      <c r="ER155" s="139">
        <f t="shared" si="175"/>
        <v>0</v>
      </c>
      <c r="ES155" s="139">
        <f t="shared" si="176"/>
        <v>0</v>
      </c>
      <c r="ET155" s="139">
        <f t="shared" si="177"/>
        <v>0</v>
      </c>
      <c r="EU155" s="139">
        <f t="shared" si="178"/>
        <v>0</v>
      </c>
      <c r="EV155" s="139">
        <f t="shared" si="179"/>
        <v>14.286847949341793</v>
      </c>
      <c r="EW155" s="139">
        <f t="shared" si="180"/>
        <v>0</v>
      </c>
      <c r="EX155" s="139">
        <f t="shared" si="181"/>
        <v>0</v>
      </c>
      <c r="EY155" s="139">
        <f t="shared" si="182"/>
        <v>0</v>
      </c>
      <c r="EZ155" s="139">
        <f t="shared" si="183"/>
        <v>0</v>
      </c>
      <c r="FA155" s="139">
        <f t="shared" si="184"/>
        <v>0</v>
      </c>
      <c r="FB155" s="139">
        <f t="shared" si="185"/>
        <v>0</v>
      </c>
      <c r="FC155" s="139">
        <f t="shared" si="186"/>
        <v>0</v>
      </c>
      <c r="FD155" s="139">
        <f t="shared" si="187"/>
        <v>0</v>
      </c>
      <c r="FE155" s="139">
        <f t="shared" si="188"/>
        <v>0</v>
      </c>
      <c r="FF155" s="139">
        <f t="shared" si="189"/>
        <v>0</v>
      </c>
      <c r="FG155" s="139">
        <f t="shared" si="190"/>
        <v>0</v>
      </c>
      <c r="FH155" s="139">
        <f t="shared" si="191"/>
        <v>0</v>
      </c>
      <c r="FI155" s="139">
        <f t="shared" si="192"/>
        <v>0</v>
      </c>
      <c r="FJ155" s="139">
        <f t="shared" si="193"/>
        <v>0</v>
      </c>
      <c r="FK155" s="139">
        <f t="shared" si="194"/>
        <v>0</v>
      </c>
      <c r="FL155" s="139">
        <f t="shared" si="195"/>
        <v>0</v>
      </c>
      <c r="FM155" s="139">
        <f t="shared" si="196"/>
        <v>0</v>
      </c>
      <c r="FN155" s="139">
        <f t="shared" si="197"/>
        <v>0</v>
      </c>
      <c r="FO155" s="139">
        <f t="shared" si="198"/>
        <v>0</v>
      </c>
      <c r="FP155" s="139">
        <f t="shared" si="199"/>
        <v>0</v>
      </c>
      <c r="FQ155" s="139">
        <f t="shared" si="200"/>
        <v>0</v>
      </c>
      <c r="FR155" s="139">
        <f t="shared" si="201"/>
        <v>0</v>
      </c>
      <c r="FS155" s="139">
        <f t="shared" si="202"/>
        <v>0</v>
      </c>
      <c r="FT155" s="139">
        <f t="shared" si="203"/>
        <v>0</v>
      </c>
      <c r="FU155" s="148">
        <f t="shared" si="204"/>
        <v>15.087632671564014</v>
      </c>
      <c r="FV155" s="149"/>
      <c r="FY155" s="211">
        <v>150</v>
      </c>
      <c r="FZ155">
        <v>117.65066596039998</v>
      </c>
      <c r="GA155">
        <v>166.45879999163819</v>
      </c>
      <c r="GB155">
        <v>62.612250556907014</v>
      </c>
      <c r="GC155">
        <v>51.901945068328345</v>
      </c>
      <c r="GD155">
        <v>60.913383397777352</v>
      </c>
      <c r="GE155">
        <v>101.99050767111298</v>
      </c>
      <c r="GF155">
        <v>86.644001931992861</v>
      </c>
      <c r="GG155">
        <v>65.550170353858661</v>
      </c>
      <c r="GH155">
        <v>65.602577493214014</v>
      </c>
      <c r="GI155">
        <v>103.85434123219025</v>
      </c>
      <c r="GJ155"/>
      <c r="GK155"/>
      <c r="GL155"/>
      <c r="GM155"/>
    </row>
    <row r="156" spans="1:195" s="7" customFormat="1">
      <c r="A156" s="77"/>
      <c r="B156" s="76">
        <f ca="1">IF(C156="", "", RAND())</f>
        <v>0.63817050360263128</v>
      </c>
      <c r="C156">
        <v>4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189.8005406104208</v>
      </c>
      <c r="AO156">
        <v>103.35308036535619</v>
      </c>
      <c r="AP156">
        <v>392.06662739263129</v>
      </c>
      <c r="AQ156">
        <v>633.74168915394819</v>
      </c>
      <c r="AR156">
        <v>99.216201112188031</v>
      </c>
      <c r="AS156">
        <v>930.29917529611339</v>
      </c>
      <c r="AT156">
        <v>52.249328847602975</v>
      </c>
      <c r="AU156">
        <v>-32.502937634790356</v>
      </c>
      <c r="AV156"/>
      <c r="AW156"/>
      <c r="AX156" s="151"/>
      <c r="AY156" s="76">
        <f t="shared" ca="1" si="170"/>
        <v>0.56392975415587898</v>
      </c>
      <c r="AZ156">
        <v>9</v>
      </c>
      <c r="BA156" s="129">
        <f t="shared" si="169"/>
        <v>39847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1</v>
      </c>
      <c r="BI156">
        <v>7</v>
      </c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 s="147"/>
      <c r="CH156" s="176"/>
      <c r="CJ156" s="151"/>
      <c r="CK156" s="76">
        <f t="shared" ca="1" si="205"/>
        <v>6.4284068144224937E-2</v>
      </c>
      <c r="CL156" s="179">
        <f t="shared" si="206"/>
        <v>9</v>
      </c>
      <c r="CM156" s="180">
        <f t="shared" si="207"/>
        <v>39847</v>
      </c>
      <c r="CN156">
        <v>0</v>
      </c>
      <c r="CO156"/>
      <c r="CP156"/>
      <c r="CQ156"/>
      <c r="CR156"/>
      <c r="CS156"/>
      <c r="CT156"/>
      <c r="CU156"/>
      <c r="CV156" s="160"/>
      <c r="CW156">
        <v>1</v>
      </c>
      <c r="CX156">
        <f>350/56</f>
        <v>6.25</v>
      </c>
      <c r="CY156" s="165"/>
      <c r="CZ156" s="177">
        <f t="shared" si="208"/>
        <v>9.6000000000000002E-2</v>
      </c>
      <c r="DB156" s="151"/>
      <c r="DC156" s="76">
        <f t="shared" ca="1" si="171"/>
        <v>0.3711034589427431</v>
      </c>
      <c r="DD156">
        <f t="shared" si="209"/>
        <v>9</v>
      </c>
      <c r="DE156" s="129">
        <f t="shared" si="168"/>
        <v>39847</v>
      </c>
      <c r="DF156" s="161">
        <f t="shared" si="210"/>
        <v>0</v>
      </c>
      <c r="DG156" s="161">
        <f t="shared" si="211"/>
        <v>0</v>
      </c>
      <c r="DH156" s="161">
        <f t="shared" si="212"/>
        <v>0</v>
      </c>
      <c r="DI156" s="161">
        <f t="shared" si="213"/>
        <v>0</v>
      </c>
      <c r="DJ156" s="161">
        <f t="shared" si="214"/>
        <v>0</v>
      </c>
      <c r="DK156" s="161">
        <f t="shared" si="215"/>
        <v>0</v>
      </c>
      <c r="DL156" s="161">
        <f t="shared" si="216"/>
        <v>10.416666666666666</v>
      </c>
      <c r="DM156" s="161">
        <f t="shared" si="217"/>
        <v>72.916666666666671</v>
      </c>
      <c r="DN156" s="161">
        <f t="shared" si="218"/>
        <v>0</v>
      </c>
      <c r="DO156" s="161">
        <f t="shared" si="219"/>
        <v>0</v>
      </c>
      <c r="DP156" s="161">
        <f t="shared" si="220"/>
        <v>0</v>
      </c>
      <c r="DQ156" s="161">
        <f t="shared" si="221"/>
        <v>0</v>
      </c>
      <c r="DR156" s="161">
        <f t="shared" si="222"/>
        <v>0</v>
      </c>
      <c r="DS156" s="161">
        <f t="shared" si="223"/>
        <v>0</v>
      </c>
      <c r="DT156" s="161">
        <f t="shared" si="224"/>
        <v>0</v>
      </c>
      <c r="DU156" s="161">
        <f t="shared" si="225"/>
        <v>0</v>
      </c>
      <c r="DV156" s="161">
        <f t="shared" si="226"/>
        <v>0</v>
      </c>
      <c r="DW156" s="161">
        <f t="shared" si="227"/>
        <v>0</v>
      </c>
      <c r="DX156" s="161">
        <f t="shared" si="228"/>
        <v>0</v>
      </c>
      <c r="DY156" s="161">
        <f t="shared" si="229"/>
        <v>0</v>
      </c>
      <c r="DZ156" s="161">
        <f t="shared" si="230"/>
        <v>0</v>
      </c>
      <c r="EA156" s="161">
        <f t="shared" si="231"/>
        <v>0</v>
      </c>
      <c r="EB156" s="161">
        <f t="shared" si="232"/>
        <v>0</v>
      </c>
      <c r="EC156" s="161">
        <f t="shared" si="233"/>
        <v>0</v>
      </c>
      <c r="ED156" s="161">
        <f t="shared" si="234"/>
        <v>0</v>
      </c>
      <c r="EE156" s="161">
        <f t="shared" si="235"/>
        <v>0</v>
      </c>
      <c r="EF156" s="161">
        <f t="shared" si="236"/>
        <v>0</v>
      </c>
      <c r="EG156" s="161">
        <f t="shared" si="237"/>
        <v>0</v>
      </c>
      <c r="EH156" s="161">
        <f t="shared" si="238"/>
        <v>0</v>
      </c>
      <c r="EI156" s="161">
        <f t="shared" si="239"/>
        <v>0</v>
      </c>
      <c r="EJ156" s="161">
        <f t="shared" si="240"/>
        <v>0</v>
      </c>
      <c r="EK156" s="147">
        <f t="shared" si="172"/>
        <v>83.333333333333343</v>
      </c>
      <c r="EL156" s="149"/>
      <c r="EN156" s="151"/>
      <c r="EO156" s="151"/>
      <c r="EP156" s="139">
        <f t="shared" si="173"/>
        <v>0</v>
      </c>
      <c r="EQ156" s="139">
        <f t="shared" si="174"/>
        <v>0</v>
      </c>
      <c r="ER156" s="139">
        <f t="shared" si="175"/>
        <v>0</v>
      </c>
      <c r="ES156" s="139">
        <f t="shared" si="176"/>
        <v>0</v>
      </c>
      <c r="ET156" s="139">
        <f t="shared" si="177"/>
        <v>0</v>
      </c>
      <c r="EU156" s="139">
        <f t="shared" si="178"/>
        <v>0</v>
      </c>
      <c r="EV156" s="139">
        <f t="shared" si="179"/>
        <v>14.286847949341793</v>
      </c>
      <c r="EW156" s="139">
        <f t="shared" si="180"/>
        <v>150.86258696452325</v>
      </c>
      <c r="EX156" s="139">
        <f t="shared" si="181"/>
        <v>0</v>
      </c>
      <c r="EY156" s="139">
        <f t="shared" si="182"/>
        <v>0</v>
      </c>
      <c r="EZ156" s="139">
        <f t="shared" si="183"/>
        <v>0</v>
      </c>
      <c r="FA156" s="139">
        <f t="shared" si="184"/>
        <v>0</v>
      </c>
      <c r="FB156" s="139">
        <f t="shared" si="185"/>
        <v>0</v>
      </c>
      <c r="FC156" s="139">
        <f t="shared" si="186"/>
        <v>0</v>
      </c>
      <c r="FD156" s="139">
        <f t="shared" si="187"/>
        <v>0</v>
      </c>
      <c r="FE156" s="139">
        <f t="shared" si="188"/>
        <v>0</v>
      </c>
      <c r="FF156" s="139">
        <f t="shared" si="189"/>
        <v>0</v>
      </c>
      <c r="FG156" s="139">
        <f t="shared" si="190"/>
        <v>0</v>
      </c>
      <c r="FH156" s="139">
        <f t="shared" si="191"/>
        <v>0</v>
      </c>
      <c r="FI156" s="139">
        <f t="shared" si="192"/>
        <v>0</v>
      </c>
      <c r="FJ156" s="139">
        <f t="shared" si="193"/>
        <v>0</v>
      </c>
      <c r="FK156" s="139">
        <f t="shared" si="194"/>
        <v>0</v>
      </c>
      <c r="FL156" s="139">
        <f t="shared" si="195"/>
        <v>0</v>
      </c>
      <c r="FM156" s="139">
        <f t="shared" si="196"/>
        <v>0</v>
      </c>
      <c r="FN156" s="139">
        <f t="shared" si="197"/>
        <v>0</v>
      </c>
      <c r="FO156" s="139">
        <f t="shared" si="198"/>
        <v>0</v>
      </c>
      <c r="FP156" s="139">
        <f t="shared" si="199"/>
        <v>0</v>
      </c>
      <c r="FQ156" s="139">
        <f t="shared" si="200"/>
        <v>0</v>
      </c>
      <c r="FR156" s="139">
        <f t="shared" si="201"/>
        <v>0</v>
      </c>
      <c r="FS156" s="139">
        <f t="shared" si="202"/>
        <v>0</v>
      </c>
      <c r="FT156" s="139">
        <f t="shared" si="203"/>
        <v>0</v>
      </c>
      <c r="FU156" s="148">
        <f t="shared" si="204"/>
        <v>165.14943491386504</v>
      </c>
      <c r="FV156" s="149"/>
      <c r="FY156" s="211">
        <v>151</v>
      </c>
      <c r="FZ156">
        <v>125.54387812777392</v>
      </c>
      <c r="GA156">
        <v>130.15491726425503</v>
      </c>
      <c r="GB156">
        <v>45.060785192472117</v>
      </c>
      <c r="GC156">
        <v>35.718194842062474</v>
      </c>
      <c r="GD156">
        <v>46.598378669703273</v>
      </c>
      <c r="GE156">
        <v>100.85851534886775</v>
      </c>
      <c r="GF156">
        <v>96.711787400695357</v>
      </c>
      <c r="GG156">
        <v>45.405036988582509</v>
      </c>
      <c r="GH156">
        <v>41.438007559917573</v>
      </c>
      <c r="GI156">
        <v>89.362610919876644</v>
      </c>
      <c r="GJ156"/>
      <c r="GK156"/>
      <c r="GL156"/>
      <c r="GM156"/>
    </row>
    <row r="157" spans="1:195" s="7" customFormat="1">
      <c r="A157" s="77"/>
      <c r="B157" s="76">
        <f ca="1">IF(C157="", "", RAND())</f>
        <v>0.71082047546029248</v>
      </c>
      <c r="C157">
        <v>8</v>
      </c>
      <c r="D157">
        <v>39847</v>
      </c>
      <c r="E157">
        <v>0</v>
      </c>
      <c r="F157">
        <v>69.444444444444443</v>
      </c>
      <c r="G157">
        <v>0</v>
      </c>
      <c r="H157">
        <v>0</v>
      </c>
      <c r="I157">
        <v>0</v>
      </c>
      <c r="J157">
        <v>0</v>
      </c>
      <c r="K157">
        <v>10.416666666666666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194.73794708332784</v>
      </c>
      <c r="AO157">
        <v>121.60133009379304</v>
      </c>
      <c r="AP157">
        <v>424.12921970228149</v>
      </c>
      <c r="AQ157">
        <v>702.14045216535351</v>
      </c>
      <c r="AR157">
        <v>114.46705092586589</v>
      </c>
      <c r="AS157">
        <v>1169.8376532042648</v>
      </c>
      <c r="AT157">
        <v>64.200420304802307</v>
      </c>
      <c r="AU157">
        <v>150.24581086987106</v>
      </c>
      <c r="AV157"/>
      <c r="AW157"/>
      <c r="AX157" s="151"/>
      <c r="AY157" s="76">
        <f t="shared" ca="1" si="170"/>
        <v>0.90657659551640801</v>
      </c>
      <c r="AZ157">
        <v>10</v>
      </c>
      <c r="BA157" s="129">
        <f t="shared" si="169"/>
        <v>39847</v>
      </c>
      <c r="BB157">
        <v>0</v>
      </c>
      <c r="BC157">
        <v>0</v>
      </c>
      <c r="BD157">
        <v>0</v>
      </c>
      <c r="BE157">
        <v>0</v>
      </c>
      <c r="BF157">
        <v>1</v>
      </c>
      <c r="BG157">
        <v>1</v>
      </c>
      <c r="BH157">
        <v>4</v>
      </c>
      <c r="BI157">
        <v>3</v>
      </c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 s="147"/>
      <c r="CH157" s="176"/>
      <c r="CJ157" s="151"/>
      <c r="CK157" s="76">
        <f t="shared" ca="1" si="205"/>
        <v>0.74390465164813868</v>
      </c>
      <c r="CL157" s="179">
        <f t="shared" si="206"/>
        <v>10</v>
      </c>
      <c r="CM157" s="180">
        <f t="shared" si="207"/>
        <v>39847</v>
      </c>
      <c r="CN157"/>
      <c r="CO157"/>
      <c r="CP157"/>
      <c r="CQ157"/>
      <c r="CR157"/>
      <c r="CS157"/>
      <c r="CT157"/>
      <c r="CU157"/>
      <c r="CV157" s="160"/>
      <c r="CW157">
        <v>1</v>
      </c>
      <c r="CX157">
        <v>1</v>
      </c>
      <c r="CY157" s="165"/>
      <c r="CZ157" s="177">
        <f t="shared" si="208"/>
        <v>9.6000000000000002E-2</v>
      </c>
      <c r="DB157" s="151"/>
      <c r="DC157" s="76">
        <f t="shared" ca="1" si="171"/>
        <v>0.49915341261859481</v>
      </c>
      <c r="DD157">
        <f t="shared" si="209"/>
        <v>10</v>
      </c>
      <c r="DE157" s="129">
        <f t="shared" si="168"/>
        <v>39847</v>
      </c>
      <c r="DF157" s="161">
        <f t="shared" si="210"/>
        <v>0</v>
      </c>
      <c r="DG157" s="161">
        <f t="shared" si="211"/>
        <v>0</v>
      </c>
      <c r="DH157" s="161">
        <f t="shared" si="212"/>
        <v>0</v>
      </c>
      <c r="DI157" s="161">
        <f t="shared" si="213"/>
        <v>0</v>
      </c>
      <c r="DJ157" s="161">
        <f t="shared" si="214"/>
        <v>10.416666666666666</v>
      </c>
      <c r="DK157" s="161">
        <f t="shared" si="215"/>
        <v>10.416666666666666</v>
      </c>
      <c r="DL157" s="161">
        <f t="shared" si="216"/>
        <v>41.666666666666664</v>
      </c>
      <c r="DM157" s="161">
        <f t="shared" si="217"/>
        <v>31.25</v>
      </c>
      <c r="DN157" s="161">
        <f t="shared" si="218"/>
        <v>0</v>
      </c>
      <c r="DO157" s="161">
        <f t="shared" si="219"/>
        <v>0</v>
      </c>
      <c r="DP157" s="161">
        <f t="shared" si="220"/>
        <v>0</v>
      </c>
      <c r="DQ157" s="161">
        <f t="shared" si="221"/>
        <v>0</v>
      </c>
      <c r="DR157" s="161">
        <f t="shared" si="222"/>
        <v>0</v>
      </c>
      <c r="DS157" s="161">
        <f t="shared" si="223"/>
        <v>0</v>
      </c>
      <c r="DT157" s="161">
        <f t="shared" si="224"/>
        <v>0</v>
      </c>
      <c r="DU157" s="161">
        <f t="shared" si="225"/>
        <v>0</v>
      </c>
      <c r="DV157" s="161">
        <f t="shared" si="226"/>
        <v>0</v>
      </c>
      <c r="DW157" s="161">
        <f t="shared" si="227"/>
        <v>0</v>
      </c>
      <c r="DX157" s="161">
        <f t="shared" si="228"/>
        <v>0</v>
      </c>
      <c r="DY157" s="161">
        <f t="shared" si="229"/>
        <v>0</v>
      </c>
      <c r="DZ157" s="161">
        <f t="shared" si="230"/>
        <v>0</v>
      </c>
      <c r="EA157" s="161">
        <f t="shared" si="231"/>
        <v>0</v>
      </c>
      <c r="EB157" s="161">
        <f t="shared" si="232"/>
        <v>0</v>
      </c>
      <c r="EC157" s="161">
        <f t="shared" si="233"/>
        <v>0</v>
      </c>
      <c r="ED157" s="161">
        <f t="shared" si="234"/>
        <v>0</v>
      </c>
      <c r="EE157" s="161">
        <f t="shared" si="235"/>
        <v>0</v>
      </c>
      <c r="EF157" s="161">
        <f t="shared" si="236"/>
        <v>0</v>
      </c>
      <c r="EG157" s="161">
        <f t="shared" si="237"/>
        <v>0</v>
      </c>
      <c r="EH157" s="161">
        <f t="shared" si="238"/>
        <v>0</v>
      </c>
      <c r="EI157" s="161">
        <f t="shared" si="239"/>
        <v>0</v>
      </c>
      <c r="EJ157" s="161">
        <f t="shared" si="240"/>
        <v>0</v>
      </c>
      <c r="EK157" s="147">
        <f t="shared" si="172"/>
        <v>93.75</v>
      </c>
      <c r="EL157" s="149"/>
      <c r="EN157" s="151"/>
      <c r="EO157" s="151"/>
      <c r="EP157" s="139">
        <f t="shared" si="173"/>
        <v>0</v>
      </c>
      <c r="EQ157" s="139">
        <f t="shared" si="174"/>
        <v>0</v>
      </c>
      <c r="ER157" s="139">
        <f t="shared" si="175"/>
        <v>0</v>
      </c>
      <c r="ES157" s="139">
        <f t="shared" si="176"/>
        <v>0</v>
      </c>
      <c r="ET157" s="139">
        <f t="shared" si="177"/>
        <v>4.8450809197869589</v>
      </c>
      <c r="EU157" s="139">
        <f t="shared" si="178"/>
        <v>8.7853696509678922</v>
      </c>
      <c r="EV157" s="139">
        <f t="shared" si="179"/>
        <v>57.14739179736717</v>
      </c>
      <c r="EW157" s="139">
        <f t="shared" si="180"/>
        <v>64.655394413367091</v>
      </c>
      <c r="EX157" s="139">
        <f t="shared" si="181"/>
        <v>0</v>
      </c>
      <c r="EY157" s="139">
        <f t="shared" si="182"/>
        <v>0</v>
      </c>
      <c r="EZ157" s="139">
        <f t="shared" si="183"/>
        <v>0</v>
      </c>
      <c r="FA157" s="139">
        <f t="shared" si="184"/>
        <v>0</v>
      </c>
      <c r="FB157" s="139">
        <f t="shared" si="185"/>
        <v>0</v>
      </c>
      <c r="FC157" s="139">
        <f t="shared" si="186"/>
        <v>0</v>
      </c>
      <c r="FD157" s="139">
        <f t="shared" si="187"/>
        <v>0</v>
      </c>
      <c r="FE157" s="139">
        <f t="shared" si="188"/>
        <v>0</v>
      </c>
      <c r="FF157" s="139">
        <f t="shared" si="189"/>
        <v>0</v>
      </c>
      <c r="FG157" s="139">
        <f t="shared" si="190"/>
        <v>0</v>
      </c>
      <c r="FH157" s="139">
        <f t="shared" si="191"/>
        <v>0</v>
      </c>
      <c r="FI157" s="139">
        <f t="shared" si="192"/>
        <v>0</v>
      </c>
      <c r="FJ157" s="139">
        <f t="shared" si="193"/>
        <v>0</v>
      </c>
      <c r="FK157" s="139">
        <f t="shared" si="194"/>
        <v>0</v>
      </c>
      <c r="FL157" s="139">
        <f t="shared" si="195"/>
        <v>0</v>
      </c>
      <c r="FM157" s="139">
        <f t="shared" si="196"/>
        <v>0</v>
      </c>
      <c r="FN157" s="139">
        <f t="shared" si="197"/>
        <v>0</v>
      </c>
      <c r="FO157" s="139">
        <f t="shared" si="198"/>
        <v>0</v>
      </c>
      <c r="FP157" s="139">
        <f t="shared" si="199"/>
        <v>0</v>
      </c>
      <c r="FQ157" s="139">
        <f t="shared" si="200"/>
        <v>0</v>
      </c>
      <c r="FR157" s="139">
        <f t="shared" si="201"/>
        <v>0</v>
      </c>
      <c r="FS157" s="139">
        <f t="shared" si="202"/>
        <v>0</v>
      </c>
      <c r="FT157" s="139">
        <f t="shared" si="203"/>
        <v>0</v>
      </c>
      <c r="FU157" s="148">
        <f t="shared" si="204"/>
        <v>135.43323678148911</v>
      </c>
      <c r="FV157" s="149"/>
      <c r="FY157" s="211">
        <v>152</v>
      </c>
      <c r="FZ157">
        <v>129.52400629374927</v>
      </c>
      <c r="GA157">
        <v>187.09751145261058</v>
      </c>
      <c r="GB157">
        <v>56.581560280121884</v>
      </c>
      <c r="GC157">
        <v>26.223967970675474</v>
      </c>
      <c r="GD157">
        <v>33.135319282231883</v>
      </c>
      <c r="GE157">
        <v>107.76363321607984</v>
      </c>
      <c r="GF157">
        <v>138.79154297855393</v>
      </c>
      <c r="GG157">
        <v>104.11756382150526</v>
      </c>
      <c r="GH157">
        <v>130.51714199795424</v>
      </c>
      <c r="GI157">
        <v>108.95969666316485</v>
      </c>
      <c r="GJ157"/>
      <c r="GK157"/>
      <c r="GL157"/>
      <c r="GM157"/>
    </row>
    <row r="158" spans="1:195" s="7" customFormat="1">
      <c r="A158" s="128"/>
      <c r="B158" s="76">
        <f ca="1">IF(C158="", "", RAND())</f>
        <v>0.45411390974718113</v>
      </c>
      <c r="C158">
        <v>10</v>
      </c>
      <c r="D158">
        <v>39910</v>
      </c>
      <c r="E158">
        <v>0</v>
      </c>
      <c r="F158">
        <v>0</v>
      </c>
      <c r="G158">
        <v>208.33333333333334</v>
      </c>
      <c r="H158">
        <v>0</v>
      </c>
      <c r="I158">
        <v>0</v>
      </c>
      <c r="J158">
        <v>0</v>
      </c>
      <c r="K158">
        <v>52.083333333333336</v>
      </c>
      <c r="L158">
        <v>31.25</v>
      </c>
      <c r="M158">
        <v>20.833333333333332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291.24205452100642</v>
      </c>
      <c r="AO158">
        <v>148.22004740937081</v>
      </c>
      <c r="AP158">
        <v>548.31421609221889</v>
      </c>
      <c r="AQ158">
        <v>766.35579059740735</v>
      </c>
      <c r="AR158">
        <v>137.83309346318561</v>
      </c>
      <c r="AS158">
        <v>1361.7995330569547</v>
      </c>
      <c r="AT158">
        <v>70.350326351784176</v>
      </c>
      <c r="AU158">
        <v>40.630388233536706</v>
      </c>
      <c r="AV158"/>
      <c r="AW158"/>
      <c r="AX158" s="128"/>
      <c r="AY158" s="76">
        <f t="shared" ca="1" si="170"/>
        <v>0.46026016649432933</v>
      </c>
      <c r="AZ158">
        <v>1</v>
      </c>
      <c r="BA158" s="129">
        <f>IF(AZ158="", "",$C$11)</f>
        <v>39910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6</v>
      </c>
      <c r="BH158">
        <v>7</v>
      </c>
      <c r="BI158">
        <v>3</v>
      </c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 s="147"/>
      <c r="CH158" s="176"/>
      <c r="CJ158" s="128"/>
      <c r="CK158" s="76">
        <f t="shared" ca="1" si="205"/>
        <v>0.83540240400141075</v>
      </c>
      <c r="CL158" s="179">
        <f t="shared" si="206"/>
        <v>1</v>
      </c>
      <c r="CM158" s="180">
        <f t="shared" si="207"/>
        <v>39910</v>
      </c>
      <c r="CN158"/>
      <c r="CO158"/>
      <c r="CP158"/>
      <c r="CQ158"/>
      <c r="CR158"/>
      <c r="CS158"/>
      <c r="CT158"/>
      <c r="CU158"/>
      <c r="CV158" s="160"/>
      <c r="CW158">
        <v>1</v>
      </c>
      <c r="CX158">
        <v>1</v>
      </c>
      <c r="CY158" s="160"/>
      <c r="CZ158" s="177">
        <f t="shared" si="208"/>
        <v>9.6000000000000002E-2</v>
      </c>
      <c r="DB158" s="128"/>
      <c r="DC158" s="76">
        <f t="shared" ca="1" si="171"/>
        <v>0.3186237725709502</v>
      </c>
      <c r="DD158">
        <f t="shared" si="209"/>
        <v>1</v>
      </c>
      <c r="DE158" s="129">
        <f t="shared" ref="DE158:DE167" si="241">IF((DD158)="", "", $C$11)</f>
        <v>39910</v>
      </c>
      <c r="DF158" s="161">
        <f t="shared" si="210"/>
        <v>0</v>
      </c>
      <c r="DG158" s="161">
        <f t="shared" si="211"/>
        <v>0</v>
      </c>
      <c r="DH158" s="161">
        <f t="shared" si="212"/>
        <v>0</v>
      </c>
      <c r="DI158" s="161">
        <f t="shared" si="213"/>
        <v>0</v>
      </c>
      <c r="DJ158" s="161">
        <f t="shared" si="214"/>
        <v>0</v>
      </c>
      <c r="DK158" s="161">
        <f t="shared" si="215"/>
        <v>62.5</v>
      </c>
      <c r="DL158" s="161">
        <f t="shared" si="216"/>
        <v>72.916666666666671</v>
      </c>
      <c r="DM158" s="161">
        <f t="shared" si="217"/>
        <v>31.25</v>
      </c>
      <c r="DN158" s="161">
        <f t="shared" si="218"/>
        <v>0</v>
      </c>
      <c r="DO158" s="161">
        <f t="shared" si="219"/>
        <v>0</v>
      </c>
      <c r="DP158" s="161">
        <f t="shared" si="220"/>
        <v>0</v>
      </c>
      <c r="DQ158" s="161">
        <f t="shared" si="221"/>
        <v>0</v>
      </c>
      <c r="DR158" s="161">
        <f t="shared" si="222"/>
        <v>0</v>
      </c>
      <c r="DS158" s="161">
        <f t="shared" si="223"/>
        <v>0</v>
      </c>
      <c r="DT158" s="161">
        <f t="shared" si="224"/>
        <v>0</v>
      </c>
      <c r="DU158" s="161">
        <f t="shared" si="225"/>
        <v>0</v>
      </c>
      <c r="DV158" s="161">
        <f t="shared" si="226"/>
        <v>0</v>
      </c>
      <c r="DW158" s="161">
        <f t="shared" si="227"/>
        <v>0</v>
      </c>
      <c r="DX158" s="161">
        <f t="shared" si="228"/>
        <v>0</v>
      </c>
      <c r="DY158" s="161">
        <f t="shared" si="229"/>
        <v>0</v>
      </c>
      <c r="DZ158" s="161">
        <f t="shared" si="230"/>
        <v>0</v>
      </c>
      <c r="EA158" s="161">
        <f t="shared" si="231"/>
        <v>0</v>
      </c>
      <c r="EB158" s="161">
        <f t="shared" si="232"/>
        <v>0</v>
      </c>
      <c r="EC158" s="161">
        <f t="shared" si="233"/>
        <v>0</v>
      </c>
      <c r="ED158" s="161">
        <f t="shared" si="234"/>
        <v>0</v>
      </c>
      <c r="EE158" s="161">
        <f t="shared" si="235"/>
        <v>0</v>
      </c>
      <c r="EF158" s="161">
        <f t="shared" si="236"/>
        <v>0</v>
      </c>
      <c r="EG158" s="161">
        <f t="shared" si="237"/>
        <v>0</v>
      </c>
      <c r="EH158" s="161">
        <f t="shared" si="238"/>
        <v>0</v>
      </c>
      <c r="EI158" s="161">
        <f t="shared" si="239"/>
        <v>0</v>
      </c>
      <c r="EJ158" s="161">
        <f t="shared" si="240"/>
        <v>0</v>
      </c>
      <c r="EK158" s="147">
        <f t="shared" si="172"/>
        <v>166.66666666666669</v>
      </c>
      <c r="EL158" s="149"/>
      <c r="EN158" s="146"/>
      <c r="EO158" s="146"/>
      <c r="EP158" s="139">
        <f t="shared" si="173"/>
        <v>0</v>
      </c>
      <c r="EQ158" s="139">
        <f t="shared" si="174"/>
        <v>0</v>
      </c>
      <c r="ER158" s="139">
        <f t="shared" si="175"/>
        <v>0</v>
      </c>
      <c r="ES158" s="139">
        <f t="shared" si="176"/>
        <v>0</v>
      </c>
      <c r="ET158" s="139">
        <f t="shared" si="177"/>
        <v>0</v>
      </c>
      <c r="EU158" s="139">
        <f t="shared" si="178"/>
        <v>52.712217905807357</v>
      </c>
      <c r="EV158" s="139">
        <f t="shared" si="179"/>
        <v>100.00793564539256</v>
      </c>
      <c r="EW158" s="139">
        <f t="shared" si="180"/>
        <v>64.655394413367091</v>
      </c>
      <c r="EX158" s="139">
        <f t="shared" si="181"/>
        <v>0</v>
      </c>
      <c r="EY158" s="139">
        <f t="shared" si="182"/>
        <v>0</v>
      </c>
      <c r="EZ158" s="139">
        <f t="shared" si="183"/>
        <v>0</v>
      </c>
      <c r="FA158" s="139">
        <f t="shared" si="184"/>
        <v>0</v>
      </c>
      <c r="FB158" s="139">
        <f t="shared" si="185"/>
        <v>0</v>
      </c>
      <c r="FC158" s="139">
        <f t="shared" si="186"/>
        <v>0</v>
      </c>
      <c r="FD158" s="139">
        <f t="shared" si="187"/>
        <v>0</v>
      </c>
      <c r="FE158" s="139">
        <f t="shared" si="188"/>
        <v>0</v>
      </c>
      <c r="FF158" s="139">
        <f t="shared" si="189"/>
        <v>0</v>
      </c>
      <c r="FG158" s="139">
        <f t="shared" si="190"/>
        <v>0</v>
      </c>
      <c r="FH158" s="139">
        <f t="shared" si="191"/>
        <v>0</v>
      </c>
      <c r="FI158" s="139">
        <f t="shared" si="192"/>
        <v>0</v>
      </c>
      <c r="FJ158" s="139">
        <f t="shared" si="193"/>
        <v>0</v>
      </c>
      <c r="FK158" s="139">
        <f t="shared" si="194"/>
        <v>0</v>
      </c>
      <c r="FL158" s="139">
        <f t="shared" si="195"/>
        <v>0</v>
      </c>
      <c r="FM158" s="139">
        <f t="shared" si="196"/>
        <v>0</v>
      </c>
      <c r="FN158" s="139">
        <f t="shared" si="197"/>
        <v>0</v>
      </c>
      <c r="FO158" s="139">
        <f t="shared" si="198"/>
        <v>0</v>
      </c>
      <c r="FP158" s="139">
        <f t="shared" si="199"/>
        <v>0</v>
      </c>
      <c r="FQ158" s="139">
        <f t="shared" si="200"/>
        <v>0</v>
      </c>
      <c r="FR158" s="139">
        <f t="shared" si="201"/>
        <v>0</v>
      </c>
      <c r="FS158" s="139">
        <f t="shared" si="202"/>
        <v>0</v>
      </c>
      <c r="FT158" s="139">
        <f t="shared" si="203"/>
        <v>0</v>
      </c>
      <c r="FU158" s="148">
        <f t="shared" si="204"/>
        <v>217.37554796456703</v>
      </c>
      <c r="FV158" s="149"/>
      <c r="FY158" s="211">
        <v>153</v>
      </c>
      <c r="FZ158">
        <v>102.75590890395024</v>
      </c>
      <c r="GA158">
        <v>112.98628468869714</v>
      </c>
      <c r="GB158">
        <v>50.422444518080361</v>
      </c>
      <c r="GC158">
        <v>48.001454771070541</v>
      </c>
      <c r="GD158">
        <v>55.186933008582521</v>
      </c>
      <c r="GE158">
        <v>119.85825132678515</v>
      </c>
      <c r="GF158">
        <v>129.10595496721902</v>
      </c>
      <c r="GG158">
        <v>66.253795059888844</v>
      </c>
      <c r="GH158">
        <v>66.293734359648795</v>
      </c>
      <c r="GI158">
        <v>104.9871701293731</v>
      </c>
      <c r="GJ158"/>
      <c r="GK158"/>
      <c r="GL158"/>
      <c r="GM158"/>
    </row>
    <row r="159" spans="1:195" s="7" customFormat="1">
      <c r="A159" s="1"/>
      <c r="B159" s="76">
        <f ca="1">IF(C159="", "", RAND())</f>
        <v>0.97211406145336032</v>
      </c>
      <c r="C159">
        <v>2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262.7611903402838</v>
      </c>
      <c r="AO159">
        <v>127.26260308035464</v>
      </c>
      <c r="AP159">
        <v>510.86880510500748</v>
      </c>
      <c r="AQ159">
        <v>745.49288386086539</v>
      </c>
      <c r="AR159">
        <v>120.58881376055191</v>
      </c>
      <c r="AS159">
        <v>1292.6938805953905</v>
      </c>
      <c r="AT159">
        <v>59.41966040573385</v>
      </c>
      <c r="AU159">
        <v>97.423818218333963</v>
      </c>
      <c r="AV159"/>
      <c r="AW159"/>
      <c r="AX159" s="146"/>
      <c r="AY159" s="76">
        <f t="shared" ca="1" si="170"/>
        <v>0.46687777537584818</v>
      </c>
      <c r="AZ159">
        <v>2</v>
      </c>
      <c r="BA159" s="129">
        <f t="shared" ref="BA159:BA167" si="242">IF(AZ159="", "",$C$11)</f>
        <v>39910</v>
      </c>
      <c r="BB159">
        <v>0</v>
      </c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 s="147"/>
      <c r="CH159" s="176"/>
      <c r="CJ159" s="146"/>
      <c r="CK159" s="76">
        <f t="shared" ca="1" si="205"/>
        <v>0.32938943921113606</v>
      </c>
      <c r="CL159" s="179">
        <f t="shared" si="206"/>
        <v>2</v>
      </c>
      <c r="CM159" s="180">
        <f t="shared" si="207"/>
        <v>39910</v>
      </c>
      <c r="CN159">
        <v>0</v>
      </c>
      <c r="CO159"/>
      <c r="CP159"/>
      <c r="CQ159"/>
      <c r="CR159"/>
      <c r="CS159"/>
      <c r="CT159"/>
      <c r="CU159"/>
      <c r="CV159" s="160"/>
      <c r="CW159">
        <v>1</v>
      </c>
      <c r="CX159">
        <f>256/23</f>
        <v>11.130434782608695</v>
      </c>
      <c r="CY159" s="160"/>
      <c r="CZ159" s="177">
        <f t="shared" si="208"/>
        <v>9.6000000000000002E-2</v>
      </c>
      <c r="DB159" s="146"/>
      <c r="DC159" s="76">
        <f t="shared" ca="1" si="171"/>
        <v>9.9157231806739743E-2</v>
      </c>
      <c r="DD159">
        <f t="shared" si="209"/>
        <v>2</v>
      </c>
      <c r="DE159" s="129">
        <f t="shared" si="241"/>
        <v>39910</v>
      </c>
      <c r="DF159" s="161">
        <f t="shared" si="210"/>
        <v>0</v>
      </c>
      <c r="DG159" s="161">
        <f t="shared" si="211"/>
        <v>0</v>
      </c>
      <c r="DH159" s="161">
        <f t="shared" si="212"/>
        <v>0</v>
      </c>
      <c r="DI159" s="161">
        <f t="shared" si="213"/>
        <v>0</v>
      </c>
      <c r="DJ159" s="161">
        <f t="shared" si="214"/>
        <v>0</v>
      </c>
      <c r="DK159" s="161">
        <f t="shared" si="215"/>
        <v>0</v>
      </c>
      <c r="DL159" s="161">
        <f t="shared" si="216"/>
        <v>0</v>
      </c>
      <c r="DM159" s="161">
        <f t="shared" si="217"/>
        <v>0</v>
      </c>
      <c r="DN159" s="161">
        <f t="shared" si="218"/>
        <v>0</v>
      </c>
      <c r="DO159" s="161">
        <f t="shared" si="219"/>
        <v>0</v>
      </c>
      <c r="DP159" s="161">
        <f t="shared" si="220"/>
        <v>0</v>
      </c>
      <c r="DQ159" s="161">
        <f t="shared" si="221"/>
        <v>0</v>
      </c>
      <c r="DR159" s="161">
        <f t="shared" si="222"/>
        <v>0</v>
      </c>
      <c r="DS159" s="161">
        <f t="shared" si="223"/>
        <v>0</v>
      </c>
      <c r="DT159" s="161">
        <f t="shared" si="224"/>
        <v>0</v>
      </c>
      <c r="DU159" s="161">
        <f t="shared" si="225"/>
        <v>0</v>
      </c>
      <c r="DV159" s="161">
        <f t="shared" si="226"/>
        <v>0</v>
      </c>
      <c r="DW159" s="161">
        <f t="shared" si="227"/>
        <v>0</v>
      </c>
      <c r="DX159" s="161">
        <f t="shared" si="228"/>
        <v>0</v>
      </c>
      <c r="DY159" s="161">
        <f t="shared" si="229"/>
        <v>0</v>
      </c>
      <c r="DZ159" s="161">
        <f t="shared" si="230"/>
        <v>0</v>
      </c>
      <c r="EA159" s="161">
        <f t="shared" si="231"/>
        <v>0</v>
      </c>
      <c r="EB159" s="161">
        <f t="shared" si="232"/>
        <v>0</v>
      </c>
      <c r="EC159" s="161">
        <f t="shared" si="233"/>
        <v>0</v>
      </c>
      <c r="ED159" s="161">
        <f t="shared" si="234"/>
        <v>0</v>
      </c>
      <c r="EE159" s="161">
        <f t="shared" si="235"/>
        <v>0</v>
      </c>
      <c r="EF159" s="161">
        <f t="shared" si="236"/>
        <v>0</v>
      </c>
      <c r="EG159" s="161">
        <f t="shared" si="237"/>
        <v>0</v>
      </c>
      <c r="EH159" s="161">
        <f t="shared" si="238"/>
        <v>0</v>
      </c>
      <c r="EI159" s="161">
        <f t="shared" si="239"/>
        <v>0</v>
      </c>
      <c r="EJ159" s="161">
        <f t="shared" si="240"/>
        <v>0</v>
      </c>
      <c r="EK159" s="147">
        <f t="shared" si="172"/>
        <v>0</v>
      </c>
      <c r="EL159" s="149"/>
      <c r="EN159" s="146"/>
      <c r="EO159" s="146"/>
      <c r="EP159" s="139">
        <f t="shared" si="173"/>
        <v>0</v>
      </c>
      <c r="EQ159" s="139">
        <f t="shared" si="174"/>
        <v>0</v>
      </c>
      <c r="ER159" s="139">
        <f t="shared" si="175"/>
        <v>0</v>
      </c>
      <c r="ES159" s="139">
        <f t="shared" si="176"/>
        <v>0</v>
      </c>
      <c r="ET159" s="139">
        <f t="shared" si="177"/>
        <v>0</v>
      </c>
      <c r="EU159" s="139">
        <f t="shared" si="178"/>
        <v>0</v>
      </c>
      <c r="EV159" s="139">
        <f t="shared" si="179"/>
        <v>0</v>
      </c>
      <c r="EW159" s="139">
        <f t="shared" si="180"/>
        <v>0</v>
      </c>
      <c r="EX159" s="139">
        <f t="shared" si="181"/>
        <v>0</v>
      </c>
      <c r="EY159" s="139">
        <f t="shared" si="182"/>
        <v>0</v>
      </c>
      <c r="EZ159" s="139">
        <f t="shared" si="183"/>
        <v>0</v>
      </c>
      <c r="FA159" s="139">
        <f t="shared" si="184"/>
        <v>0</v>
      </c>
      <c r="FB159" s="139">
        <f t="shared" si="185"/>
        <v>0</v>
      </c>
      <c r="FC159" s="139">
        <f t="shared" si="186"/>
        <v>0</v>
      </c>
      <c r="FD159" s="139">
        <f t="shared" si="187"/>
        <v>0</v>
      </c>
      <c r="FE159" s="139">
        <f t="shared" si="188"/>
        <v>0</v>
      </c>
      <c r="FF159" s="139">
        <f t="shared" si="189"/>
        <v>0</v>
      </c>
      <c r="FG159" s="139">
        <f t="shared" si="190"/>
        <v>0</v>
      </c>
      <c r="FH159" s="139">
        <f t="shared" si="191"/>
        <v>0</v>
      </c>
      <c r="FI159" s="139">
        <f t="shared" si="192"/>
        <v>0</v>
      </c>
      <c r="FJ159" s="139">
        <f t="shared" si="193"/>
        <v>0</v>
      </c>
      <c r="FK159" s="139">
        <f t="shared" si="194"/>
        <v>0</v>
      </c>
      <c r="FL159" s="139">
        <f t="shared" si="195"/>
        <v>0</v>
      </c>
      <c r="FM159" s="139">
        <f t="shared" si="196"/>
        <v>0</v>
      </c>
      <c r="FN159" s="139">
        <f t="shared" si="197"/>
        <v>0</v>
      </c>
      <c r="FO159" s="139">
        <f t="shared" si="198"/>
        <v>0</v>
      </c>
      <c r="FP159" s="139">
        <f t="shared" si="199"/>
        <v>0</v>
      </c>
      <c r="FQ159" s="139">
        <f t="shared" si="200"/>
        <v>0</v>
      </c>
      <c r="FR159" s="139">
        <f t="shared" si="201"/>
        <v>0</v>
      </c>
      <c r="FS159" s="139">
        <f t="shared" si="202"/>
        <v>0</v>
      </c>
      <c r="FT159" s="139">
        <f t="shared" si="203"/>
        <v>0</v>
      </c>
      <c r="FU159" s="148">
        <f t="shared" si="204"/>
        <v>0</v>
      </c>
      <c r="FV159" s="149"/>
      <c r="FY159" s="211">
        <v>154</v>
      </c>
      <c r="FZ159">
        <v>134.44328262239182</v>
      </c>
      <c r="GA159">
        <v>188.06576570786433</v>
      </c>
      <c r="GB159">
        <v>57.016370805855431</v>
      </c>
      <c r="GC159">
        <v>42.10828938869583</v>
      </c>
      <c r="GD159">
        <v>43.725441798668847</v>
      </c>
      <c r="GE159">
        <v>97.922872186960532</v>
      </c>
      <c r="GF159">
        <v>118.71952593269081</v>
      </c>
      <c r="GG159">
        <v>71.882014582740069</v>
      </c>
      <c r="GH159">
        <v>75.57734454967769</v>
      </c>
      <c r="GI159">
        <v>102.66995538406643</v>
      </c>
      <c r="GJ159"/>
      <c r="GK159"/>
      <c r="GL159"/>
      <c r="GM159"/>
    </row>
    <row r="160" spans="1:195" s="7" customFormat="1">
      <c r="A160" s="1"/>
      <c r="B160" s="76">
        <f ca="1">IF(C160="", "", RAND())</f>
        <v>0.94693950330191967</v>
      </c>
      <c r="C160">
        <v>1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62.5</v>
      </c>
      <c r="K160">
        <v>72.916666666666671</v>
      </c>
      <c r="L160">
        <v>31.25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267.02750925226167</v>
      </c>
      <c r="AO160">
        <v>137.69700985541061</v>
      </c>
      <c r="AP160">
        <v>402.48635373068532</v>
      </c>
      <c r="AQ160">
        <v>790.50036479335779</v>
      </c>
      <c r="AR160">
        <v>130.15753268583157</v>
      </c>
      <c r="AS160">
        <v>1362.5180168110194</v>
      </c>
      <c r="AT160">
        <v>66.46458487188346</v>
      </c>
      <c r="AU160">
        <v>79.471376241888393</v>
      </c>
      <c r="AV160"/>
      <c r="AW160"/>
      <c r="AX160" s="146"/>
      <c r="AY160" s="76">
        <f t="shared" ca="1" si="170"/>
        <v>0.69684795226471952</v>
      </c>
      <c r="AZ160">
        <v>3</v>
      </c>
      <c r="BA160" s="129">
        <f t="shared" si="242"/>
        <v>39910</v>
      </c>
      <c r="BB160">
        <v>0</v>
      </c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 s="147"/>
      <c r="CH160" s="176"/>
      <c r="CJ160" s="146"/>
      <c r="CK160" s="76">
        <f t="shared" ca="1" si="205"/>
        <v>0.65611980743684439</v>
      </c>
      <c r="CL160" s="179">
        <f t="shared" si="206"/>
        <v>3</v>
      </c>
      <c r="CM160" s="180">
        <f t="shared" si="207"/>
        <v>39910</v>
      </c>
      <c r="CN160">
        <v>0</v>
      </c>
      <c r="CO160">
        <v>1</v>
      </c>
      <c r="CP160">
        <v>1</v>
      </c>
      <c r="CQ160"/>
      <c r="CR160"/>
      <c r="CS160"/>
      <c r="CT160"/>
      <c r="CU160"/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08"/>
        <v>9.6000000000000002E-2</v>
      </c>
      <c r="DB160" s="146"/>
      <c r="DC160" s="76">
        <f t="shared" ca="1" si="171"/>
        <v>0.76214798097853631</v>
      </c>
      <c r="DD160">
        <f t="shared" si="209"/>
        <v>3</v>
      </c>
      <c r="DE160" s="129">
        <f t="shared" si="241"/>
        <v>39910</v>
      </c>
      <c r="DF160" s="161">
        <f t="shared" si="210"/>
        <v>0</v>
      </c>
      <c r="DG160" s="161">
        <f t="shared" si="211"/>
        <v>86.805555555555557</v>
      </c>
      <c r="DH160" s="161">
        <f t="shared" si="212"/>
        <v>86.805555555555557</v>
      </c>
      <c r="DI160" s="161">
        <f t="shared" si="213"/>
        <v>0</v>
      </c>
      <c r="DJ160" s="161">
        <f t="shared" si="214"/>
        <v>0</v>
      </c>
      <c r="DK160" s="161">
        <f t="shared" si="215"/>
        <v>0</v>
      </c>
      <c r="DL160" s="161">
        <f t="shared" si="216"/>
        <v>0</v>
      </c>
      <c r="DM160" s="161">
        <f t="shared" si="217"/>
        <v>0</v>
      </c>
      <c r="DN160" s="161">
        <f t="shared" si="218"/>
        <v>0</v>
      </c>
      <c r="DO160" s="161">
        <f t="shared" si="219"/>
        <v>0</v>
      </c>
      <c r="DP160" s="161">
        <f t="shared" si="220"/>
        <v>0</v>
      </c>
      <c r="DQ160" s="161">
        <f t="shared" si="221"/>
        <v>0</v>
      </c>
      <c r="DR160" s="161">
        <f t="shared" si="222"/>
        <v>0</v>
      </c>
      <c r="DS160" s="161">
        <f t="shared" si="223"/>
        <v>0</v>
      </c>
      <c r="DT160" s="161">
        <f t="shared" si="224"/>
        <v>0</v>
      </c>
      <c r="DU160" s="161">
        <f t="shared" si="225"/>
        <v>0</v>
      </c>
      <c r="DV160" s="161">
        <f t="shared" si="226"/>
        <v>0</v>
      </c>
      <c r="DW160" s="161">
        <f t="shared" si="227"/>
        <v>0</v>
      </c>
      <c r="DX160" s="161">
        <f t="shared" si="228"/>
        <v>0</v>
      </c>
      <c r="DY160" s="161">
        <f t="shared" si="229"/>
        <v>0</v>
      </c>
      <c r="DZ160" s="161">
        <f t="shared" si="230"/>
        <v>0</v>
      </c>
      <c r="EA160" s="161">
        <f t="shared" si="231"/>
        <v>0</v>
      </c>
      <c r="EB160" s="161">
        <f t="shared" si="232"/>
        <v>0</v>
      </c>
      <c r="EC160" s="161">
        <f t="shared" si="233"/>
        <v>0</v>
      </c>
      <c r="ED160" s="161">
        <f t="shared" si="234"/>
        <v>0</v>
      </c>
      <c r="EE160" s="161">
        <f t="shared" si="235"/>
        <v>0</v>
      </c>
      <c r="EF160" s="161">
        <f t="shared" si="236"/>
        <v>0</v>
      </c>
      <c r="EG160" s="161">
        <f t="shared" si="237"/>
        <v>0</v>
      </c>
      <c r="EH160" s="161">
        <f t="shared" si="238"/>
        <v>0</v>
      </c>
      <c r="EI160" s="161">
        <f t="shared" si="239"/>
        <v>0</v>
      </c>
      <c r="EJ160" s="161">
        <f t="shared" si="240"/>
        <v>0</v>
      </c>
      <c r="EK160" s="147">
        <f t="shared" si="172"/>
        <v>173.61111111111111</v>
      </c>
      <c r="EL160" s="149"/>
      <c r="EN160" s="146"/>
      <c r="EO160" s="146"/>
      <c r="EP160" s="139">
        <f t="shared" si="173"/>
        <v>0</v>
      </c>
      <c r="EQ160" s="139">
        <f t="shared" si="174"/>
        <v>1.0009809027777778</v>
      </c>
      <c r="ER160" s="139">
        <f t="shared" si="175"/>
        <v>6.3573012310778907</v>
      </c>
      <c r="ES160" s="139">
        <f t="shared" si="176"/>
        <v>0</v>
      </c>
      <c r="ET160" s="139">
        <f t="shared" si="177"/>
        <v>0</v>
      </c>
      <c r="EU160" s="139">
        <f t="shared" si="178"/>
        <v>0</v>
      </c>
      <c r="EV160" s="139">
        <f t="shared" si="179"/>
        <v>0</v>
      </c>
      <c r="EW160" s="139">
        <f t="shared" si="180"/>
        <v>0</v>
      </c>
      <c r="EX160" s="139">
        <f t="shared" si="181"/>
        <v>0</v>
      </c>
      <c r="EY160" s="139">
        <f t="shared" si="182"/>
        <v>0</v>
      </c>
      <c r="EZ160" s="139">
        <f t="shared" si="183"/>
        <v>0</v>
      </c>
      <c r="FA160" s="139">
        <f t="shared" si="184"/>
        <v>0</v>
      </c>
      <c r="FB160" s="139">
        <f t="shared" si="185"/>
        <v>0</v>
      </c>
      <c r="FC160" s="139">
        <f t="shared" si="186"/>
        <v>0</v>
      </c>
      <c r="FD160" s="139">
        <f t="shared" si="187"/>
        <v>0</v>
      </c>
      <c r="FE160" s="139">
        <f t="shared" si="188"/>
        <v>0</v>
      </c>
      <c r="FF160" s="139">
        <f t="shared" si="189"/>
        <v>0</v>
      </c>
      <c r="FG160" s="139">
        <f t="shared" si="190"/>
        <v>0</v>
      </c>
      <c r="FH160" s="139">
        <f t="shared" si="191"/>
        <v>0</v>
      </c>
      <c r="FI160" s="139">
        <f t="shared" si="192"/>
        <v>0</v>
      </c>
      <c r="FJ160" s="139">
        <f t="shared" si="193"/>
        <v>0</v>
      </c>
      <c r="FK160" s="139">
        <f t="shared" si="194"/>
        <v>0</v>
      </c>
      <c r="FL160" s="139">
        <f t="shared" si="195"/>
        <v>0</v>
      </c>
      <c r="FM160" s="139">
        <f t="shared" si="196"/>
        <v>0</v>
      </c>
      <c r="FN160" s="139">
        <f t="shared" si="197"/>
        <v>0</v>
      </c>
      <c r="FO160" s="139">
        <f t="shared" si="198"/>
        <v>0</v>
      </c>
      <c r="FP160" s="139">
        <f t="shared" si="199"/>
        <v>0</v>
      </c>
      <c r="FQ160" s="139">
        <f t="shared" si="200"/>
        <v>0</v>
      </c>
      <c r="FR160" s="139">
        <f t="shared" si="201"/>
        <v>0</v>
      </c>
      <c r="FS160" s="139">
        <f t="shared" si="202"/>
        <v>0</v>
      </c>
      <c r="FT160" s="139">
        <f t="shared" si="203"/>
        <v>0</v>
      </c>
      <c r="FU160" s="148">
        <f t="shared" si="204"/>
        <v>7.3582821338556688</v>
      </c>
      <c r="FV160" s="149"/>
      <c r="FY160" s="211">
        <v>155</v>
      </c>
      <c r="FZ160">
        <v>98.697396195508944</v>
      </c>
      <c r="GA160">
        <v>162.90484479631075</v>
      </c>
      <c r="GB160">
        <v>64.68374698003845</v>
      </c>
      <c r="GC160">
        <v>50.768536216719831</v>
      </c>
      <c r="GD160">
        <v>51.620097759272312</v>
      </c>
      <c r="GE160">
        <v>69.511014407320801</v>
      </c>
      <c r="GF160">
        <v>71.494124503927878</v>
      </c>
      <c r="GG160">
        <v>48.667395300288078</v>
      </c>
      <c r="GH160">
        <v>16.117373676622698</v>
      </c>
      <c r="GI160">
        <v>83.976679000139882</v>
      </c>
      <c r="GJ160"/>
      <c r="GK160"/>
      <c r="GL160"/>
      <c r="GM160"/>
    </row>
    <row r="161" spans="1:195" s="7" customFormat="1">
      <c r="A161" s="1"/>
      <c r="B161" s="76">
        <f ca="1">IF(C161="", "", RAND())</f>
        <v>0.33271876466102857</v>
      </c>
      <c r="C161">
        <v>8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31.25</v>
      </c>
      <c r="K161">
        <v>41.666666666666664</v>
      </c>
      <c r="L161">
        <v>41.666666666666664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271.30559511253148</v>
      </c>
      <c r="AO161">
        <v>137.5876323789571</v>
      </c>
      <c r="AP161">
        <v>514.34959173456002</v>
      </c>
      <c r="AQ161">
        <v>800.31325083584238</v>
      </c>
      <c r="AR161">
        <v>128.69841063204851</v>
      </c>
      <c r="AS161">
        <v>1281.7325224978283</v>
      </c>
      <c r="AT161">
        <v>67.062795232196905</v>
      </c>
      <c r="AU161">
        <v>235.08640130485225</v>
      </c>
      <c r="AV161"/>
      <c r="AW161"/>
      <c r="AX161" s="146"/>
      <c r="AY161" s="76">
        <f t="shared" ca="1" si="170"/>
        <v>7.1518365828994179E-2</v>
      </c>
      <c r="AZ161">
        <v>4</v>
      </c>
      <c r="BA161" s="129">
        <f t="shared" si="242"/>
        <v>39910</v>
      </c>
      <c r="BB161">
        <v>0</v>
      </c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 s="147"/>
      <c r="CH161" s="176"/>
      <c r="CJ161" s="146"/>
      <c r="CK161" s="76">
        <f t="shared" ca="1" si="205"/>
        <v>0.99591775530635096</v>
      </c>
      <c r="CL161" s="179">
        <f t="shared" si="206"/>
        <v>4</v>
      </c>
      <c r="CM161" s="180">
        <f t="shared" si="207"/>
        <v>39910</v>
      </c>
      <c r="CN161">
        <v>0</v>
      </c>
      <c r="CO161"/>
      <c r="CP161"/>
      <c r="CQ161"/>
      <c r="CR161"/>
      <c r="CS161"/>
      <c r="CT161"/>
      <c r="CU161"/>
      <c r="CV161" s="160"/>
      <c r="CW161">
        <v>1</v>
      </c>
      <c r="CX161">
        <f>310/93</f>
        <v>3.3333333333333335</v>
      </c>
      <c r="CY161" s="160"/>
      <c r="CZ161" s="177">
        <f t="shared" si="208"/>
        <v>9.6000000000000002E-2</v>
      </c>
      <c r="DB161" s="146"/>
      <c r="DC161" s="76">
        <f t="shared" ca="1" si="171"/>
        <v>0.23229933273831804</v>
      </c>
      <c r="DD161">
        <f t="shared" si="209"/>
        <v>4</v>
      </c>
      <c r="DE161" s="129">
        <f t="shared" si="241"/>
        <v>39910</v>
      </c>
      <c r="DF161" s="161">
        <f t="shared" si="210"/>
        <v>0</v>
      </c>
      <c r="DG161" s="161">
        <f t="shared" si="211"/>
        <v>0</v>
      </c>
      <c r="DH161" s="161">
        <f t="shared" si="212"/>
        <v>0</v>
      </c>
      <c r="DI161" s="161">
        <f t="shared" si="213"/>
        <v>0</v>
      </c>
      <c r="DJ161" s="161">
        <f t="shared" si="214"/>
        <v>0</v>
      </c>
      <c r="DK161" s="161">
        <f t="shared" si="215"/>
        <v>0</v>
      </c>
      <c r="DL161" s="161">
        <f t="shared" si="216"/>
        <v>0</v>
      </c>
      <c r="DM161" s="161">
        <f t="shared" si="217"/>
        <v>0</v>
      </c>
      <c r="DN161" s="161">
        <f t="shared" si="218"/>
        <v>0</v>
      </c>
      <c r="DO161" s="161">
        <f t="shared" si="219"/>
        <v>0</v>
      </c>
      <c r="DP161" s="161">
        <f t="shared" si="220"/>
        <v>0</v>
      </c>
      <c r="DQ161" s="161">
        <f t="shared" si="221"/>
        <v>0</v>
      </c>
      <c r="DR161" s="161">
        <f t="shared" si="222"/>
        <v>0</v>
      </c>
      <c r="DS161" s="161">
        <f t="shared" si="223"/>
        <v>0</v>
      </c>
      <c r="DT161" s="161">
        <f t="shared" si="224"/>
        <v>0</v>
      </c>
      <c r="DU161" s="161">
        <f t="shared" si="225"/>
        <v>0</v>
      </c>
      <c r="DV161" s="161">
        <f t="shared" si="226"/>
        <v>0</v>
      </c>
      <c r="DW161" s="161">
        <f t="shared" si="227"/>
        <v>0</v>
      </c>
      <c r="DX161" s="161">
        <f t="shared" si="228"/>
        <v>0</v>
      </c>
      <c r="DY161" s="161">
        <f t="shared" si="229"/>
        <v>0</v>
      </c>
      <c r="DZ161" s="161">
        <f t="shared" si="230"/>
        <v>0</v>
      </c>
      <c r="EA161" s="161">
        <f t="shared" si="231"/>
        <v>0</v>
      </c>
      <c r="EB161" s="161">
        <f t="shared" si="232"/>
        <v>0</v>
      </c>
      <c r="EC161" s="161">
        <f t="shared" si="233"/>
        <v>0</v>
      </c>
      <c r="ED161" s="161">
        <f t="shared" si="234"/>
        <v>0</v>
      </c>
      <c r="EE161" s="161">
        <f t="shared" si="235"/>
        <v>0</v>
      </c>
      <c r="EF161" s="161">
        <f t="shared" si="236"/>
        <v>0</v>
      </c>
      <c r="EG161" s="161">
        <f t="shared" si="237"/>
        <v>0</v>
      </c>
      <c r="EH161" s="161">
        <f t="shared" si="238"/>
        <v>0</v>
      </c>
      <c r="EI161" s="161">
        <f t="shared" si="239"/>
        <v>0</v>
      </c>
      <c r="EJ161" s="161">
        <f t="shared" si="240"/>
        <v>0</v>
      </c>
      <c r="EK161" s="147">
        <f t="shared" si="172"/>
        <v>0</v>
      </c>
      <c r="EL161" s="149"/>
      <c r="EN161" s="146"/>
      <c r="EO161" s="146"/>
      <c r="EP161" s="139">
        <f t="shared" si="173"/>
        <v>0</v>
      </c>
      <c r="EQ161" s="139">
        <f t="shared" si="174"/>
        <v>0</v>
      </c>
      <c r="ER161" s="139">
        <f t="shared" si="175"/>
        <v>0</v>
      </c>
      <c r="ES161" s="139">
        <f t="shared" si="176"/>
        <v>0</v>
      </c>
      <c r="ET161" s="139">
        <f t="shared" si="177"/>
        <v>0</v>
      </c>
      <c r="EU161" s="139">
        <f t="shared" si="178"/>
        <v>0</v>
      </c>
      <c r="EV161" s="139">
        <f t="shared" si="179"/>
        <v>0</v>
      </c>
      <c r="EW161" s="139">
        <f t="shared" si="180"/>
        <v>0</v>
      </c>
      <c r="EX161" s="139">
        <f t="shared" si="181"/>
        <v>0</v>
      </c>
      <c r="EY161" s="139">
        <f t="shared" si="182"/>
        <v>0</v>
      </c>
      <c r="EZ161" s="139">
        <f t="shared" si="183"/>
        <v>0</v>
      </c>
      <c r="FA161" s="139">
        <f t="shared" si="184"/>
        <v>0</v>
      </c>
      <c r="FB161" s="139">
        <f t="shared" si="185"/>
        <v>0</v>
      </c>
      <c r="FC161" s="139">
        <f t="shared" si="186"/>
        <v>0</v>
      </c>
      <c r="FD161" s="139">
        <f t="shared" si="187"/>
        <v>0</v>
      </c>
      <c r="FE161" s="139">
        <f t="shared" si="188"/>
        <v>0</v>
      </c>
      <c r="FF161" s="139">
        <f t="shared" si="189"/>
        <v>0</v>
      </c>
      <c r="FG161" s="139">
        <f t="shared" si="190"/>
        <v>0</v>
      </c>
      <c r="FH161" s="139">
        <f t="shared" si="191"/>
        <v>0</v>
      </c>
      <c r="FI161" s="139">
        <f t="shared" si="192"/>
        <v>0</v>
      </c>
      <c r="FJ161" s="139">
        <f t="shared" si="193"/>
        <v>0</v>
      </c>
      <c r="FK161" s="139">
        <f t="shared" si="194"/>
        <v>0</v>
      </c>
      <c r="FL161" s="139">
        <f t="shared" si="195"/>
        <v>0</v>
      </c>
      <c r="FM161" s="139">
        <f t="shared" si="196"/>
        <v>0</v>
      </c>
      <c r="FN161" s="139">
        <f t="shared" si="197"/>
        <v>0</v>
      </c>
      <c r="FO161" s="139">
        <f t="shared" si="198"/>
        <v>0</v>
      </c>
      <c r="FP161" s="139">
        <f t="shared" si="199"/>
        <v>0</v>
      </c>
      <c r="FQ161" s="139">
        <f t="shared" si="200"/>
        <v>0</v>
      </c>
      <c r="FR161" s="139">
        <f t="shared" si="201"/>
        <v>0</v>
      </c>
      <c r="FS161" s="139">
        <f t="shared" si="202"/>
        <v>0</v>
      </c>
      <c r="FT161" s="139">
        <f t="shared" si="203"/>
        <v>0</v>
      </c>
      <c r="FU161" s="148">
        <f t="shared" si="204"/>
        <v>0</v>
      </c>
      <c r="FV161" s="149"/>
      <c r="FY161" s="211">
        <v>156</v>
      </c>
      <c r="FZ161">
        <v>142.88134900272965</v>
      </c>
      <c r="GA161">
        <v>159.00558171621137</v>
      </c>
      <c r="GB161">
        <v>52.036544683137571</v>
      </c>
      <c r="GC161">
        <v>50.607140458200689</v>
      </c>
      <c r="GD161">
        <v>43.353305800066352</v>
      </c>
      <c r="GE161">
        <v>80.84450346930619</v>
      </c>
      <c r="GF161">
        <v>106.23525497108903</v>
      </c>
      <c r="GG161">
        <v>56.610072732177557</v>
      </c>
      <c r="GH161">
        <v>47.610746250975389</v>
      </c>
      <c r="GI161">
        <v>94.359740847277294</v>
      </c>
      <c r="GJ161"/>
      <c r="GK161"/>
      <c r="GL161"/>
      <c r="GM161"/>
    </row>
    <row r="162" spans="1:195" s="7" customFormat="1">
      <c r="A162" s="1"/>
      <c r="B162" s="76">
        <f ca="1">IF(C162="", "", RAND())</f>
        <v>0.15661918583414902</v>
      </c>
      <c r="C162">
        <v>5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262.01836211767801</v>
      </c>
      <c r="AO162">
        <v>157.3373864693929</v>
      </c>
      <c r="AP162">
        <v>632.32472910690831</v>
      </c>
      <c r="AQ162">
        <v>853.35574370718075</v>
      </c>
      <c r="AR162">
        <v>147.27715703434865</v>
      </c>
      <c r="AS162">
        <v>1435.7219426687304</v>
      </c>
      <c r="AT162">
        <v>75.050305467691061</v>
      </c>
      <c r="AU162">
        <v>155.61007365790306</v>
      </c>
      <c r="AV162"/>
      <c r="AW162"/>
      <c r="AX162" s="146"/>
      <c r="AY162" s="76">
        <f t="shared" ca="1" si="170"/>
        <v>0.40956508970955596</v>
      </c>
      <c r="AZ162">
        <v>5</v>
      </c>
      <c r="BA162" s="129">
        <f t="shared" si="242"/>
        <v>39910</v>
      </c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 s="147"/>
      <c r="CH162" s="176"/>
      <c r="CJ162" s="146"/>
      <c r="CK162" s="76">
        <f t="shared" ca="1" si="205"/>
        <v>2.0060419607508706E-2</v>
      </c>
      <c r="CL162" s="179">
        <f t="shared" si="206"/>
        <v>5</v>
      </c>
      <c r="CM162" s="180">
        <f t="shared" si="207"/>
        <v>39910</v>
      </c>
      <c r="CN162"/>
      <c r="CO162"/>
      <c r="CP162"/>
      <c r="CQ162"/>
      <c r="CR162"/>
      <c r="CS162"/>
      <c r="CT162"/>
      <c r="CU162"/>
      <c r="CV162" s="160"/>
      <c r="CW162">
        <v>1</v>
      </c>
      <c r="CX162">
        <v>1</v>
      </c>
      <c r="CY162" s="160"/>
      <c r="CZ162" s="177">
        <f t="shared" si="208"/>
        <v>9.6000000000000002E-2</v>
      </c>
      <c r="DB162" s="146"/>
      <c r="DC162" s="76">
        <f t="shared" ca="1" si="171"/>
        <v>0.52897869128187569</v>
      </c>
      <c r="DD162">
        <f t="shared" si="209"/>
        <v>5</v>
      </c>
      <c r="DE162" s="129">
        <f t="shared" si="241"/>
        <v>39910</v>
      </c>
      <c r="DF162" s="161">
        <f t="shared" si="210"/>
        <v>0</v>
      </c>
      <c r="DG162" s="161">
        <f t="shared" si="211"/>
        <v>0</v>
      </c>
      <c r="DH162" s="161">
        <f t="shared" si="212"/>
        <v>0</v>
      </c>
      <c r="DI162" s="161">
        <f t="shared" si="213"/>
        <v>0</v>
      </c>
      <c r="DJ162" s="161">
        <f t="shared" si="214"/>
        <v>0</v>
      </c>
      <c r="DK162" s="161">
        <f t="shared" si="215"/>
        <v>0</v>
      </c>
      <c r="DL162" s="161">
        <f t="shared" si="216"/>
        <v>0</v>
      </c>
      <c r="DM162" s="161">
        <f t="shared" si="217"/>
        <v>0</v>
      </c>
      <c r="DN162" s="161">
        <f t="shared" si="218"/>
        <v>0</v>
      </c>
      <c r="DO162" s="161">
        <f t="shared" si="219"/>
        <v>0</v>
      </c>
      <c r="DP162" s="161">
        <f t="shared" si="220"/>
        <v>0</v>
      </c>
      <c r="DQ162" s="161">
        <f t="shared" si="221"/>
        <v>0</v>
      </c>
      <c r="DR162" s="161">
        <f t="shared" si="222"/>
        <v>0</v>
      </c>
      <c r="DS162" s="161">
        <f t="shared" si="223"/>
        <v>0</v>
      </c>
      <c r="DT162" s="161">
        <f t="shared" si="224"/>
        <v>0</v>
      </c>
      <c r="DU162" s="161">
        <f t="shared" si="225"/>
        <v>0</v>
      </c>
      <c r="DV162" s="161">
        <f t="shared" si="226"/>
        <v>0</v>
      </c>
      <c r="DW162" s="161">
        <f t="shared" si="227"/>
        <v>0</v>
      </c>
      <c r="DX162" s="161">
        <f t="shared" si="228"/>
        <v>0</v>
      </c>
      <c r="DY162" s="161">
        <f t="shared" si="229"/>
        <v>0</v>
      </c>
      <c r="DZ162" s="161">
        <f t="shared" si="230"/>
        <v>0</v>
      </c>
      <c r="EA162" s="161">
        <f t="shared" si="231"/>
        <v>0</v>
      </c>
      <c r="EB162" s="161">
        <f t="shared" si="232"/>
        <v>0</v>
      </c>
      <c r="EC162" s="161">
        <f t="shared" si="233"/>
        <v>0</v>
      </c>
      <c r="ED162" s="161">
        <f t="shared" si="234"/>
        <v>0</v>
      </c>
      <c r="EE162" s="161">
        <f t="shared" si="235"/>
        <v>0</v>
      </c>
      <c r="EF162" s="161">
        <f t="shared" si="236"/>
        <v>0</v>
      </c>
      <c r="EG162" s="161">
        <f t="shared" si="237"/>
        <v>0</v>
      </c>
      <c r="EH162" s="161">
        <f t="shared" si="238"/>
        <v>0</v>
      </c>
      <c r="EI162" s="161">
        <f t="shared" si="239"/>
        <v>0</v>
      </c>
      <c r="EJ162" s="161">
        <f t="shared" si="240"/>
        <v>0</v>
      </c>
      <c r="EK162" s="147">
        <f t="shared" si="172"/>
        <v>0</v>
      </c>
      <c r="EL162" s="149"/>
      <c r="EN162" s="146"/>
      <c r="EO162" s="146"/>
      <c r="EP162" s="139">
        <f t="shared" si="173"/>
        <v>0</v>
      </c>
      <c r="EQ162" s="139">
        <f t="shared" si="174"/>
        <v>0</v>
      </c>
      <c r="ER162" s="139">
        <f t="shared" si="175"/>
        <v>0</v>
      </c>
      <c r="ES162" s="139">
        <f t="shared" si="176"/>
        <v>0</v>
      </c>
      <c r="ET162" s="139">
        <f t="shared" si="177"/>
        <v>0</v>
      </c>
      <c r="EU162" s="139">
        <f t="shared" si="178"/>
        <v>0</v>
      </c>
      <c r="EV162" s="139">
        <f t="shared" si="179"/>
        <v>0</v>
      </c>
      <c r="EW162" s="139">
        <f t="shared" si="180"/>
        <v>0</v>
      </c>
      <c r="EX162" s="139">
        <f t="shared" si="181"/>
        <v>0</v>
      </c>
      <c r="EY162" s="139">
        <f t="shared" si="182"/>
        <v>0</v>
      </c>
      <c r="EZ162" s="139">
        <f t="shared" si="183"/>
        <v>0</v>
      </c>
      <c r="FA162" s="139">
        <f t="shared" si="184"/>
        <v>0</v>
      </c>
      <c r="FB162" s="139">
        <f t="shared" si="185"/>
        <v>0</v>
      </c>
      <c r="FC162" s="139">
        <f t="shared" si="186"/>
        <v>0</v>
      </c>
      <c r="FD162" s="139">
        <f t="shared" si="187"/>
        <v>0</v>
      </c>
      <c r="FE162" s="139">
        <f t="shared" si="188"/>
        <v>0</v>
      </c>
      <c r="FF162" s="139">
        <f t="shared" si="189"/>
        <v>0</v>
      </c>
      <c r="FG162" s="139">
        <f t="shared" si="190"/>
        <v>0</v>
      </c>
      <c r="FH162" s="139">
        <f t="shared" si="191"/>
        <v>0</v>
      </c>
      <c r="FI162" s="139">
        <f t="shared" si="192"/>
        <v>0</v>
      </c>
      <c r="FJ162" s="139">
        <f t="shared" si="193"/>
        <v>0</v>
      </c>
      <c r="FK162" s="139">
        <f t="shared" si="194"/>
        <v>0</v>
      </c>
      <c r="FL162" s="139">
        <f t="shared" si="195"/>
        <v>0</v>
      </c>
      <c r="FM162" s="139">
        <f t="shared" si="196"/>
        <v>0</v>
      </c>
      <c r="FN162" s="139">
        <f t="shared" si="197"/>
        <v>0</v>
      </c>
      <c r="FO162" s="139">
        <f t="shared" si="198"/>
        <v>0</v>
      </c>
      <c r="FP162" s="139">
        <f t="shared" si="199"/>
        <v>0</v>
      </c>
      <c r="FQ162" s="139">
        <f t="shared" si="200"/>
        <v>0</v>
      </c>
      <c r="FR162" s="139">
        <f t="shared" si="201"/>
        <v>0</v>
      </c>
      <c r="FS162" s="139">
        <f t="shared" si="202"/>
        <v>0</v>
      </c>
      <c r="FT162" s="139">
        <f t="shared" si="203"/>
        <v>0</v>
      </c>
      <c r="FU162" s="148">
        <f t="shared" si="204"/>
        <v>0</v>
      </c>
      <c r="FV162" s="149"/>
      <c r="FY162" s="211">
        <v>157</v>
      </c>
      <c r="FZ162">
        <v>115.25348043440142</v>
      </c>
      <c r="GA162">
        <v>97.834749788704045</v>
      </c>
      <c r="GB162">
        <v>21.765198711805748</v>
      </c>
      <c r="GC162">
        <v>41.507349321503462</v>
      </c>
      <c r="GD162">
        <v>59.276233554785541</v>
      </c>
      <c r="GE162">
        <v>105.60739779504723</v>
      </c>
      <c r="GF162">
        <v>105.85797788043605</v>
      </c>
      <c r="GG162">
        <v>73.173648597768505</v>
      </c>
      <c r="GH162">
        <v>55.084905899010877</v>
      </c>
      <c r="GI162">
        <v>94.829489719643846</v>
      </c>
      <c r="GJ162"/>
      <c r="GK162"/>
      <c r="GL162"/>
      <c r="GM162"/>
    </row>
    <row r="163" spans="1:195" s="7" customFormat="1">
      <c r="A163" s="1"/>
      <c r="B163" s="76">
        <f ca="1">IF(C163="", "", RAND())</f>
        <v>3.531236370734403E-2</v>
      </c>
      <c r="C163">
        <v>7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215.84697936864433</v>
      </c>
      <c r="AO163">
        <v>121.69191182423347</v>
      </c>
      <c r="AP163">
        <v>608.85588957249695</v>
      </c>
      <c r="AQ163">
        <v>718.99871838980096</v>
      </c>
      <c r="AR163">
        <v>115.70981009235739</v>
      </c>
      <c r="AS163">
        <v>1266.6534698245978</v>
      </c>
      <c r="AT163">
        <v>63.387692496881165</v>
      </c>
      <c r="AU163">
        <v>52.798103184367335</v>
      </c>
      <c r="AV163"/>
      <c r="AW163"/>
      <c r="AX163" s="146"/>
      <c r="AY163" s="76">
        <f t="shared" ca="1" si="170"/>
        <v>0.82533909206623068</v>
      </c>
      <c r="AZ163">
        <v>6</v>
      </c>
      <c r="BA163" s="129">
        <f t="shared" si="242"/>
        <v>39910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1</v>
      </c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 s="147"/>
      <c r="CH163" s="176"/>
      <c r="CJ163" s="146"/>
      <c r="CK163" s="76">
        <f t="shared" ca="1" si="205"/>
        <v>2.4036464153302628E-2</v>
      </c>
      <c r="CL163" s="179">
        <f t="shared" si="206"/>
        <v>6</v>
      </c>
      <c r="CM163" s="180">
        <f t="shared" si="207"/>
        <v>39910</v>
      </c>
      <c r="CN163"/>
      <c r="CO163"/>
      <c r="CP163"/>
      <c r="CQ163"/>
      <c r="CR163"/>
      <c r="CS163"/>
      <c r="CT163"/>
      <c r="CU163"/>
      <c r="CV163" s="160"/>
      <c r="CW163">
        <v>1</v>
      </c>
      <c r="CX163">
        <v>1</v>
      </c>
      <c r="CY163" s="160"/>
      <c r="CZ163" s="177">
        <f t="shared" si="208"/>
        <v>9.6000000000000002E-2</v>
      </c>
      <c r="DB163" s="146"/>
      <c r="DC163" s="76">
        <f t="shared" ca="1" si="171"/>
        <v>0.67438859696019016</v>
      </c>
      <c r="DD163">
        <f t="shared" si="209"/>
        <v>6</v>
      </c>
      <c r="DE163" s="129">
        <f t="shared" si="241"/>
        <v>39910</v>
      </c>
      <c r="DF163" s="161">
        <f t="shared" si="210"/>
        <v>0</v>
      </c>
      <c r="DG163" s="161">
        <f t="shared" si="211"/>
        <v>0</v>
      </c>
      <c r="DH163" s="161">
        <f t="shared" si="212"/>
        <v>0</v>
      </c>
      <c r="DI163" s="161">
        <f t="shared" si="213"/>
        <v>0</v>
      </c>
      <c r="DJ163" s="161">
        <f t="shared" si="214"/>
        <v>0</v>
      </c>
      <c r="DK163" s="161">
        <f t="shared" si="215"/>
        <v>10.416666666666666</v>
      </c>
      <c r="DL163" s="161">
        <f t="shared" si="216"/>
        <v>0</v>
      </c>
      <c r="DM163" s="161">
        <f t="shared" si="217"/>
        <v>0</v>
      </c>
      <c r="DN163" s="161">
        <f t="shared" si="218"/>
        <v>0</v>
      </c>
      <c r="DO163" s="161">
        <f t="shared" si="219"/>
        <v>0</v>
      </c>
      <c r="DP163" s="161">
        <f t="shared" si="220"/>
        <v>0</v>
      </c>
      <c r="DQ163" s="161">
        <f t="shared" si="221"/>
        <v>0</v>
      </c>
      <c r="DR163" s="161">
        <f t="shared" si="222"/>
        <v>0</v>
      </c>
      <c r="DS163" s="161">
        <f t="shared" si="223"/>
        <v>0</v>
      </c>
      <c r="DT163" s="161">
        <f t="shared" si="224"/>
        <v>0</v>
      </c>
      <c r="DU163" s="161">
        <f t="shared" si="225"/>
        <v>0</v>
      </c>
      <c r="DV163" s="161">
        <f t="shared" si="226"/>
        <v>0</v>
      </c>
      <c r="DW163" s="161">
        <f t="shared" si="227"/>
        <v>0</v>
      </c>
      <c r="DX163" s="161">
        <f t="shared" si="228"/>
        <v>0</v>
      </c>
      <c r="DY163" s="161">
        <f t="shared" si="229"/>
        <v>0</v>
      </c>
      <c r="DZ163" s="161">
        <f t="shared" si="230"/>
        <v>0</v>
      </c>
      <c r="EA163" s="161">
        <f t="shared" si="231"/>
        <v>0</v>
      </c>
      <c r="EB163" s="161">
        <f t="shared" si="232"/>
        <v>0</v>
      </c>
      <c r="EC163" s="161">
        <f t="shared" si="233"/>
        <v>0</v>
      </c>
      <c r="ED163" s="161">
        <f t="shared" si="234"/>
        <v>0</v>
      </c>
      <c r="EE163" s="161">
        <f t="shared" si="235"/>
        <v>0</v>
      </c>
      <c r="EF163" s="161">
        <f t="shared" si="236"/>
        <v>0</v>
      </c>
      <c r="EG163" s="161">
        <f t="shared" si="237"/>
        <v>0</v>
      </c>
      <c r="EH163" s="161">
        <f t="shared" si="238"/>
        <v>0</v>
      </c>
      <c r="EI163" s="161">
        <f t="shared" si="239"/>
        <v>0</v>
      </c>
      <c r="EJ163" s="161">
        <f t="shared" si="240"/>
        <v>0</v>
      </c>
      <c r="EK163" s="147">
        <f t="shared" si="172"/>
        <v>10.416666666666666</v>
      </c>
      <c r="EL163" s="149"/>
      <c r="EN163" s="146"/>
      <c r="EO163" s="146"/>
      <c r="EP163" s="139">
        <f t="shared" si="173"/>
        <v>0</v>
      </c>
      <c r="EQ163" s="139">
        <f t="shared" si="174"/>
        <v>0</v>
      </c>
      <c r="ER163" s="139">
        <f t="shared" si="175"/>
        <v>0</v>
      </c>
      <c r="ES163" s="139">
        <f t="shared" si="176"/>
        <v>0</v>
      </c>
      <c r="ET163" s="139">
        <f t="shared" si="177"/>
        <v>0</v>
      </c>
      <c r="EU163" s="139">
        <f t="shared" si="178"/>
        <v>8.7853696509678922</v>
      </c>
      <c r="EV163" s="139">
        <f t="shared" si="179"/>
        <v>0</v>
      </c>
      <c r="EW163" s="139">
        <f t="shared" si="180"/>
        <v>0</v>
      </c>
      <c r="EX163" s="139">
        <f t="shared" si="181"/>
        <v>0</v>
      </c>
      <c r="EY163" s="139">
        <f t="shared" si="182"/>
        <v>0</v>
      </c>
      <c r="EZ163" s="139">
        <f t="shared" si="183"/>
        <v>0</v>
      </c>
      <c r="FA163" s="139">
        <f t="shared" si="184"/>
        <v>0</v>
      </c>
      <c r="FB163" s="139">
        <f t="shared" si="185"/>
        <v>0</v>
      </c>
      <c r="FC163" s="139">
        <f t="shared" si="186"/>
        <v>0</v>
      </c>
      <c r="FD163" s="139">
        <f t="shared" si="187"/>
        <v>0</v>
      </c>
      <c r="FE163" s="139">
        <f t="shared" si="188"/>
        <v>0</v>
      </c>
      <c r="FF163" s="139">
        <f t="shared" si="189"/>
        <v>0</v>
      </c>
      <c r="FG163" s="139">
        <f t="shared" si="190"/>
        <v>0</v>
      </c>
      <c r="FH163" s="139">
        <f t="shared" si="191"/>
        <v>0</v>
      </c>
      <c r="FI163" s="139">
        <f t="shared" si="192"/>
        <v>0</v>
      </c>
      <c r="FJ163" s="139">
        <f t="shared" si="193"/>
        <v>0</v>
      </c>
      <c r="FK163" s="139">
        <f t="shared" si="194"/>
        <v>0</v>
      </c>
      <c r="FL163" s="139">
        <f t="shared" si="195"/>
        <v>0</v>
      </c>
      <c r="FM163" s="139">
        <f t="shared" si="196"/>
        <v>0</v>
      </c>
      <c r="FN163" s="139">
        <f t="shared" si="197"/>
        <v>0</v>
      </c>
      <c r="FO163" s="139">
        <f t="shared" si="198"/>
        <v>0</v>
      </c>
      <c r="FP163" s="139">
        <f t="shared" si="199"/>
        <v>0</v>
      </c>
      <c r="FQ163" s="139">
        <f t="shared" si="200"/>
        <v>0</v>
      </c>
      <c r="FR163" s="139">
        <f t="shared" si="201"/>
        <v>0</v>
      </c>
      <c r="FS163" s="139">
        <f t="shared" si="202"/>
        <v>0</v>
      </c>
      <c r="FT163" s="139">
        <f t="shared" si="203"/>
        <v>0</v>
      </c>
      <c r="FU163" s="148">
        <f t="shared" si="204"/>
        <v>8.7853696509678922</v>
      </c>
      <c r="FV163" s="149"/>
      <c r="FY163" s="211">
        <v>158</v>
      </c>
      <c r="FZ163">
        <v>90.798916580635961</v>
      </c>
      <c r="GA163">
        <v>130.0723800371731</v>
      </c>
      <c r="GB163">
        <v>49.215386294224409</v>
      </c>
      <c r="GC163">
        <v>41.625252081355782</v>
      </c>
      <c r="GD163">
        <v>44.030958392417475</v>
      </c>
      <c r="GE163">
        <v>88.472485494025591</v>
      </c>
      <c r="GF163">
        <v>125.80837733058108</v>
      </c>
      <c r="GG163">
        <v>85.175268604903948</v>
      </c>
      <c r="GH163">
        <v>58.228250496375146</v>
      </c>
      <c r="GI163">
        <v>93.49350260257745</v>
      </c>
      <c r="GJ163"/>
      <c r="GK163"/>
      <c r="GL163"/>
      <c r="GM163"/>
    </row>
    <row r="164" spans="1:195" s="7" customFormat="1">
      <c r="A164" s="1"/>
      <c r="B164" s="76">
        <f ca="1">IF(C164="", "", RAND())</f>
        <v>0.93202811197543789</v>
      </c>
      <c r="C164">
        <v>6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10.416666666666666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240.7348678405705</v>
      </c>
      <c r="AO164">
        <v>138.76900552067974</v>
      </c>
      <c r="AP164">
        <v>643.07994295803883</v>
      </c>
      <c r="AQ164">
        <v>763.98960838836877</v>
      </c>
      <c r="AR164">
        <v>129.70810362017852</v>
      </c>
      <c r="AS164">
        <v>1251.6481507183571</v>
      </c>
      <c r="AT164">
        <v>66.87770247638791</v>
      </c>
      <c r="AU164">
        <v>267.46270323601891</v>
      </c>
      <c r="AV164"/>
      <c r="AW164"/>
      <c r="AX164" s="146"/>
      <c r="AY164" s="76">
        <f t="shared" ca="1" si="170"/>
        <v>0.27488652297345162</v>
      </c>
      <c r="AZ164">
        <v>7</v>
      </c>
      <c r="BA164" s="129">
        <f t="shared" si="242"/>
        <v>39910</v>
      </c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 s="147"/>
      <c r="CH164" s="176"/>
      <c r="CJ164" s="146"/>
      <c r="CK164" s="76">
        <f t="shared" ca="1" si="205"/>
        <v>0.67015511523198446</v>
      </c>
      <c r="CL164" s="179">
        <f t="shared" si="206"/>
        <v>7</v>
      </c>
      <c r="CM164" s="180">
        <f t="shared" si="207"/>
        <v>39910</v>
      </c>
      <c r="CN164"/>
      <c r="CO164"/>
      <c r="CP164"/>
      <c r="CQ164"/>
      <c r="CR164"/>
      <c r="CS164"/>
      <c r="CT164"/>
      <c r="CU164"/>
      <c r="CV164" s="160"/>
      <c r="CW164">
        <v>1</v>
      </c>
      <c r="CX164">
        <v>1</v>
      </c>
      <c r="CY164" s="165"/>
      <c r="CZ164" s="177">
        <f t="shared" si="208"/>
        <v>9.6000000000000002E-2</v>
      </c>
      <c r="DB164" s="146"/>
      <c r="DC164" s="76">
        <f t="shared" ca="1" si="171"/>
        <v>0.30688261489263269</v>
      </c>
      <c r="DD164">
        <f t="shared" si="209"/>
        <v>7</v>
      </c>
      <c r="DE164" s="129">
        <f t="shared" si="241"/>
        <v>39910</v>
      </c>
      <c r="DF164" s="161">
        <f t="shared" si="210"/>
        <v>0</v>
      </c>
      <c r="DG164" s="161">
        <f t="shared" si="211"/>
        <v>0</v>
      </c>
      <c r="DH164" s="161">
        <f t="shared" si="212"/>
        <v>0</v>
      </c>
      <c r="DI164" s="161">
        <f t="shared" si="213"/>
        <v>0</v>
      </c>
      <c r="DJ164" s="161">
        <f t="shared" si="214"/>
        <v>0</v>
      </c>
      <c r="DK164" s="161">
        <f t="shared" si="215"/>
        <v>0</v>
      </c>
      <c r="DL164" s="161">
        <f t="shared" si="216"/>
        <v>0</v>
      </c>
      <c r="DM164" s="161">
        <f t="shared" si="217"/>
        <v>0</v>
      </c>
      <c r="DN164" s="161">
        <f t="shared" si="218"/>
        <v>0</v>
      </c>
      <c r="DO164" s="161">
        <f t="shared" si="219"/>
        <v>0</v>
      </c>
      <c r="DP164" s="161">
        <f t="shared" si="220"/>
        <v>0</v>
      </c>
      <c r="DQ164" s="161">
        <f t="shared" si="221"/>
        <v>0</v>
      </c>
      <c r="DR164" s="161">
        <f t="shared" si="222"/>
        <v>0</v>
      </c>
      <c r="DS164" s="161">
        <f t="shared" si="223"/>
        <v>0</v>
      </c>
      <c r="DT164" s="161">
        <f t="shared" si="224"/>
        <v>0</v>
      </c>
      <c r="DU164" s="161">
        <f t="shared" si="225"/>
        <v>0</v>
      </c>
      <c r="DV164" s="161">
        <f t="shared" si="226"/>
        <v>0</v>
      </c>
      <c r="DW164" s="161">
        <f t="shared" si="227"/>
        <v>0</v>
      </c>
      <c r="DX164" s="161">
        <f t="shared" si="228"/>
        <v>0</v>
      </c>
      <c r="DY164" s="161">
        <f t="shared" si="229"/>
        <v>0</v>
      </c>
      <c r="DZ164" s="161">
        <f t="shared" si="230"/>
        <v>0</v>
      </c>
      <c r="EA164" s="161">
        <f t="shared" si="231"/>
        <v>0</v>
      </c>
      <c r="EB164" s="161">
        <f t="shared" si="232"/>
        <v>0</v>
      </c>
      <c r="EC164" s="161">
        <f t="shared" si="233"/>
        <v>0</v>
      </c>
      <c r="ED164" s="161">
        <f t="shared" si="234"/>
        <v>0</v>
      </c>
      <c r="EE164" s="161">
        <f t="shared" si="235"/>
        <v>0</v>
      </c>
      <c r="EF164" s="161">
        <f t="shared" si="236"/>
        <v>0</v>
      </c>
      <c r="EG164" s="161">
        <f t="shared" si="237"/>
        <v>0</v>
      </c>
      <c r="EH164" s="161">
        <f t="shared" si="238"/>
        <v>0</v>
      </c>
      <c r="EI164" s="161">
        <f t="shared" si="239"/>
        <v>0</v>
      </c>
      <c r="EJ164" s="161">
        <f t="shared" si="240"/>
        <v>0</v>
      </c>
      <c r="EK164" s="147">
        <f t="shared" si="172"/>
        <v>0</v>
      </c>
      <c r="EL164" s="149"/>
      <c r="EN164" s="146"/>
      <c r="EO164" s="146"/>
      <c r="EP164" s="139">
        <f t="shared" si="173"/>
        <v>0</v>
      </c>
      <c r="EQ164" s="139">
        <f t="shared" si="174"/>
        <v>0</v>
      </c>
      <c r="ER164" s="139">
        <f t="shared" si="175"/>
        <v>0</v>
      </c>
      <c r="ES164" s="139">
        <f t="shared" si="176"/>
        <v>0</v>
      </c>
      <c r="ET164" s="139">
        <f t="shared" si="177"/>
        <v>0</v>
      </c>
      <c r="EU164" s="139">
        <f t="shared" si="178"/>
        <v>0</v>
      </c>
      <c r="EV164" s="139">
        <f t="shared" si="179"/>
        <v>0</v>
      </c>
      <c r="EW164" s="139">
        <f t="shared" si="180"/>
        <v>0</v>
      </c>
      <c r="EX164" s="139">
        <f t="shared" si="181"/>
        <v>0</v>
      </c>
      <c r="EY164" s="139">
        <f t="shared" si="182"/>
        <v>0</v>
      </c>
      <c r="EZ164" s="139">
        <f t="shared" si="183"/>
        <v>0</v>
      </c>
      <c r="FA164" s="139">
        <f t="shared" si="184"/>
        <v>0</v>
      </c>
      <c r="FB164" s="139">
        <f t="shared" si="185"/>
        <v>0</v>
      </c>
      <c r="FC164" s="139">
        <f t="shared" si="186"/>
        <v>0</v>
      </c>
      <c r="FD164" s="139">
        <f t="shared" si="187"/>
        <v>0</v>
      </c>
      <c r="FE164" s="139">
        <f t="shared" si="188"/>
        <v>0</v>
      </c>
      <c r="FF164" s="139">
        <f t="shared" si="189"/>
        <v>0</v>
      </c>
      <c r="FG164" s="139">
        <f t="shared" si="190"/>
        <v>0</v>
      </c>
      <c r="FH164" s="139">
        <f t="shared" si="191"/>
        <v>0</v>
      </c>
      <c r="FI164" s="139">
        <f t="shared" si="192"/>
        <v>0</v>
      </c>
      <c r="FJ164" s="139">
        <f t="shared" si="193"/>
        <v>0</v>
      </c>
      <c r="FK164" s="139">
        <f t="shared" si="194"/>
        <v>0</v>
      </c>
      <c r="FL164" s="139">
        <f t="shared" si="195"/>
        <v>0</v>
      </c>
      <c r="FM164" s="139">
        <f t="shared" si="196"/>
        <v>0</v>
      </c>
      <c r="FN164" s="139">
        <f t="shared" si="197"/>
        <v>0</v>
      </c>
      <c r="FO164" s="139">
        <f t="shared" si="198"/>
        <v>0</v>
      </c>
      <c r="FP164" s="139">
        <f t="shared" si="199"/>
        <v>0</v>
      </c>
      <c r="FQ164" s="139">
        <f t="shared" si="200"/>
        <v>0</v>
      </c>
      <c r="FR164" s="139">
        <f t="shared" si="201"/>
        <v>0</v>
      </c>
      <c r="FS164" s="139">
        <f t="shared" si="202"/>
        <v>0</v>
      </c>
      <c r="FT164" s="139">
        <f t="shared" si="203"/>
        <v>0</v>
      </c>
      <c r="FU164" s="148">
        <f t="shared" si="204"/>
        <v>0</v>
      </c>
      <c r="FV164" s="149"/>
      <c r="FY164" s="211">
        <v>159</v>
      </c>
      <c r="FZ164">
        <v>102.71830751222097</v>
      </c>
      <c r="GA164">
        <v>151.36992094097891</v>
      </c>
      <c r="GB164">
        <v>67.230593479774825</v>
      </c>
      <c r="GC164">
        <v>45.484179233852167</v>
      </c>
      <c r="GD164">
        <v>45.693051789325828</v>
      </c>
      <c r="GE164">
        <v>72.717049261660904</v>
      </c>
      <c r="GF164">
        <v>80.722157580801181</v>
      </c>
      <c r="GG164">
        <v>91.496183744205709</v>
      </c>
      <c r="GH164">
        <v>87.951538727507739</v>
      </c>
      <c r="GI164">
        <v>95.430551250937768</v>
      </c>
      <c r="GJ164"/>
      <c r="GK164"/>
      <c r="GL164"/>
      <c r="GM164"/>
    </row>
    <row r="165" spans="1:195" s="7" customFormat="1">
      <c r="A165" s="1"/>
      <c r="B165" s="76">
        <f ca="1">IF(C165="", "", RAND())</f>
        <v>0.11400313766060699</v>
      </c>
      <c r="C165">
        <v>3</v>
      </c>
      <c r="D165">
        <v>39910</v>
      </c>
      <c r="E165">
        <v>0</v>
      </c>
      <c r="F165">
        <v>86.805555555555557</v>
      </c>
      <c r="G165">
        <v>86.805555555555557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253.66090889314006</v>
      </c>
      <c r="AO165">
        <v>138.11889314343637</v>
      </c>
      <c r="AP165">
        <v>527.44689097327512</v>
      </c>
      <c r="AQ165">
        <v>760.24560234599971</v>
      </c>
      <c r="AR165">
        <v>128.63239475805889</v>
      </c>
      <c r="AS165">
        <v>1346.5330211449573</v>
      </c>
      <c r="AT165">
        <v>66.130058478563839</v>
      </c>
      <c r="AU165">
        <v>-10.435799600798894</v>
      </c>
      <c r="AV165"/>
      <c r="AW165"/>
      <c r="AX165" s="146"/>
      <c r="AY165" s="76">
        <f t="shared" ca="1" si="170"/>
        <v>0.41407920686871069</v>
      </c>
      <c r="AZ165">
        <v>8</v>
      </c>
      <c r="BA165" s="129">
        <f t="shared" si="242"/>
        <v>39910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3</v>
      </c>
      <c r="BH165">
        <v>4</v>
      </c>
      <c r="BI165">
        <v>4</v>
      </c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 s="147"/>
      <c r="CH165" s="176"/>
      <c r="CJ165" s="146"/>
      <c r="CK165" s="76">
        <f t="shared" ca="1" si="205"/>
        <v>0.35820461807824855</v>
      </c>
      <c r="CL165" s="179">
        <f t="shared" si="206"/>
        <v>8</v>
      </c>
      <c r="CM165" s="180">
        <f t="shared" si="207"/>
        <v>39910</v>
      </c>
      <c r="CN165"/>
      <c r="CO165"/>
      <c r="CP165"/>
      <c r="CQ165"/>
      <c r="CR165"/>
      <c r="CS165"/>
      <c r="CT165"/>
      <c r="CU165"/>
      <c r="CV165" s="160"/>
      <c r="CW165">
        <v>1</v>
      </c>
      <c r="CX165">
        <v>1</v>
      </c>
      <c r="CY165" s="165"/>
      <c r="CZ165" s="177">
        <f t="shared" si="208"/>
        <v>9.6000000000000002E-2</v>
      </c>
      <c r="DB165" s="146"/>
      <c r="DC165" s="76">
        <f t="shared" ca="1" si="171"/>
        <v>0.56800262650440958</v>
      </c>
      <c r="DD165">
        <f t="shared" si="209"/>
        <v>8</v>
      </c>
      <c r="DE165" s="129">
        <f t="shared" si="241"/>
        <v>39910</v>
      </c>
      <c r="DF165" s="161">
        <f t="shared" si="210"/>
        <v>0</v>
      </c>
      <c r="DG165" s="161">
        <f t="shared" si="211"/>
        <v>0</v>
      </c>
      <c r="DH165" s="161">
        <f t="shared" si="212"/>
        <v>0</v>
      </c>
      <c r="DI165" s="161">
        <f t="shared" si="213"/>
        <v>0</v>
      </c>
      <c r="DJ165" s="161">
        <f t="shared" si="214"/>
        <v>0</v>
      </c>
      <c r="DK165" s="161">
        <f t="shared" si="215"/>
        <v>31.25</v>
      </c>
      <c r="DL165" s="161">
        <f t="shared" si="216"/>
        <v>41.666666666666664</v>
      </c>
      <c r="DM165" s="161">
        <f t="shared" si="217"/>
        <v>41.666666666666664</v>
      </c>
      <c r="DN165" s="161">
        <f t="shared" si="218"/>
        <v>0</v>
      </c>
      <c r="DO165" s="161">
        <f t="shared" si="219"/>
        <v>0</v>
      </c>
      <c r="DP165" s="161">
        <f t="shared" si="220"/>
        <v>0</v>
      </c>
      <c r="DQ165" s="161">
        <f t="shared" si="221"/>
        <v>0</v>
      </c>
      <c r="DR165" s="161">
        <f t="shared" si="222"/>
        <v>0</v>
      </c>
      <c r="DS165" s="161">
        <f t="shared" si="223"/>
        <v>0</v>
      </c>
      <c r="DT165" s="161">
        <f t="shared" si="224"/>
        <v>0</v>
      </c>
      <c r="DU165" s="161">
        <f t="shared" si="225"/>
        <v>0</v>
      </c>
      <c r="DV165" s="161">
        <f t="shared" si="226"/>
        <v>0</v>
      </c>
      <c r="DW165" s="161">
        <f t="shared" si="227"/>
        <v>0</v>
      </c>
      <c r="DX165" s="161">
        <f t="shared" si="228"/>
        <v>0</v>
      </c>
      <c r="DY165" s="161">
        <f t="shared" si="229"/>
        <v>0</v>
      </c>
      <c r="DZ165" s="161">
        <f t="shared" si="230"/>
        <v>0</v>
      </c>
      <c r="EA165" s="161">
        <f t="shared" si="231"/>
        <v>0</v>
      </c>
      <c r="EB165" s="161">
        <f t="shared" si="232"/>
        <v>0</v>
      </c>
      <c r="EC165" s="161">
        <f t="shared" si="233"/>
        <v>0</v>
      </c>
      <c r="ED165" s="161">
        <f t="shared" si="234"/>
        <v>0</v>
      </c>
      <c r="EE165" s="161">
        <f t="shared" si="235"/>
        <v>0</v>
      </c>
      <c r="EF165" s="161">
        <f t="shared" si="236"/>
        <v>0</v>
      </c>
      <c r="EG165" s="161">
        <f t="shared" si="237"/>
        <v>0</v>
      </c>
      <c r="EH165" s="161">
        <f t="shared" si="238"/>
        <v>0</v>
      </c>
      <c r="EI165" s="161">
        <f t="shared" si="239"/>
        <v>0</v>
      </c>
      <c r="EJ165" s="161">
        <f t="shared" si="240"/>
        <v>0</v>
      </c>
      <c r="EK165" s="147">
        <f t="shared" si="172"/>
        <v>114.58333333333331</v>
      </c>
      <c r="EL165" s="149"/>
      <c r="EN165" s="146"/>
      <c r="EO165" s="146"/>
      <c r="EP165" s="139">
        <f t="shared" si="173"/>
        <v>0</v>
      </c>
      <c r="EQ165" s="139">
        <f t="shared" si="174"/>
        <v>0</v>
      </c>
      <c r="ER165" s="139">
        <f t="shared" si="175"/>
        <v>0</v>
      </c>
      <c r="ES165" s="139">
        <f t="shared" si="176"/>
        <v>0</v>
      </c>
      <c r="ET165" s="139">
        <f t="shared" si="177"/>
        <v>0</v>
      </c>
      <c r="EU165" s="139">
        <f t="shared" si="178"/>
        <v>26.356108952903678</v>
      </c>
      <c r="EV165" s="139">
        <f t="shared" si="179"/>
        <v>57.14739179736717</v>
      </c>
      <c r="EW165" s="139">
        <f t="shared" si="180"/>
        <v>86.207192551156126</v>
      </c>
      <c r="EX165" s="139">
        <f t="shared" si="181"/>
        <v>0</v>
      </c>
      <c r="EY165" s="139">
        <f t="shared" si="182"/>
        <v>0</v>
      </c>
      <c r="EZ165" s="139">
        <f t="shared" si="183"/>
        <v>0</v>
      </c>
      <c r="FA165" s="139">
        <f t="shared" si="184"/>
        <v>0</v>
      </c>
      <c r="FB165" s="139">
        <f t="shared" si="185"/>
        <v>0</v>
      </c>
      <c r="FC165" s="139">
        <f t="shared" si="186"/>
        <v>0</v>
      </c>
      <c r="FD165" s="139">
        <f t="shared" si="187"/>
        <v>0</v>
      </c>
      <c r="FE165" s="139">
        <f t="shared" si="188"/>
        <v>0</v>
      </c>
      <c r="FF165" s="139">
        <f t="shared" si="189"/>
        <v>0</v>
      </c>
      <c r="FG165" s="139">
        <f t="shared" si="190"/>
        <v>0</v>
      </c>
      <c r="FH165" s="139">
        <f t="shared" si="191"/>
        <v>0</v>
      </c>
      <c r="FI165" s="139">
        <f t="shared" si="192"/>
        <v>0</v>
      </c>
      <c r="FJ165" s="139">
        <f t="shared" si="193"/>
        <v>0</v>
      </c>
      <c r="FK165" s="139">
        <f t="shared" si="194"/>
        <v>0</v>
      </c>
      <c r="FL165" s="139">
        <f t="shared" si="195"/>
        <v>0</v>
      </c>
      <c r="FM165" s="139">
        <f t="shared" si="196"/>
        <v>0</v>
      </c>
      <c r="FN165" s="139">
        <f t="shared" si="197"/>
        <v>0</v>
      </c>
      <c r="FO165" s="139">
        <f t="shared" si="198"/>
        <v>0</v>
      </c>
      <c r="FP165" s="139">
        <f t="shared" si="199"/>
        <v>0</v>
      </c>
      <c r="FQ165" s="139">
        <f t="shared" si="200"/>
        <v>0</v>
      </c>
      <c r="FR165" s="139">
        <f t="shared" si="201"/>
        <v>0</v>
      </c>
      <c r="FS165" s="139">
        <f t="shared" si="202"/>
        <v>0</v>
      </c>
      <c r="FT165" s="139">
        <f t="shared" si="203"/>
        <v>0</v>
      </c>
      <c r="FU165" s="148">
        <f t="shared" si="204"/>
        <v>169.71069330142697</v>
      </c>
      <c r="FV165" s="149"/>
      <c r="FY165" s="211">
        <v>160</v>
      </c>
      <c r="FZ165">
        <v>122.38517119792355</v>
      </c>
      <c r="GA165">
        <v>141.87202823968968</v>
      </c>
      <c r="GB165">
        <v>47.836326434644562</v>
      </c>
      <c r="GC165">
        <v>41.228999000753738</v>
      </c>
      <c r="GD165">
        <v>30.218149763273527</v>
      </c>
      <c r="GE165">
        <v>50.474852402632408</v>
      </c>
      <c r="GF165">
        <v>77.263409032332746</v>
      </c>
      <c r="GG165">
        <v>70.821124496945941</v>
      </c>
      <c r="GH165">
        <v>90.295443030483938</v>
      </c>
      <c r="GI165">
        <v>82.133343599072163</v>
      </c>
      <c r="GJ165"/>
      <c r="GK165"/>
      <c r="GL165"/>
      <c r="GM165"/>
    </row>
    <row r="166" spans="1:195" s="7" customFormat="1">
      <c r="A166" s="1"/>
      <c r="B166" s="76">
        <f ca="1">IF(C166="", "", RAND())</f>
        <v>0.43737153212869906</v>
      </c>
      <c r="C166">
        <v>9</v>
      </c>
      <c r="D166">
        <v>39910</v>
      </c>
      <c r="E166">
        <v>0</v>
      </c>
      <c r="F166">
        <v>202.54629629629628</v>
      </c>
      <c r="G166">
        <v>202.54629629629628</v>
      </c>
      <c r="H166">
        <v>0</v>
      </c>
      <c r="I166">
        <v>0</v>
      </c>
      <c r="J166">
        <v>0</v>
      </c>
      <c r="K166">
        <v>0</v>
      </c>
      <c r="L166">
        <v>171.875</v>
      </c>
      <c r="M166">
        <v>68.75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321.09290668234792</v>
      </c>
      <c r="AO166">
        <v>166.14613631013066</v>
      </c>
      <c r="AP166">
        <v>759.44088604166518</v>
      </c>
      <c r="AQ166">
        <v>883.17864365741957</v>
      </c>
      <c r="AR166">
        <v>155.49482965517365</v>
      </c>
      <c r="AS166">
        <v>1619.6748807935292</v>
      </c>
      <c r="AT166">
        <v>77.246777958317708</v>
      </c>
      <c r="AU166">
        <v>-6.9130863262858924</v>
      </c>
      <c r="AV166"/>
      <c r="AW166"/>
      <c r="AX166" s="146"/>
      <c r="AY166" s="76">
        <f t="shared" ca="1" si="170"/>
        <v>0.96756283168979684</v>
      </c>
      <c r="AZ166">
        <v>9</v>
      </c>
      <c r="BA166" s="129">
        <f t="shared" si="242"/>
        <v>39910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5</v>
      </c>
      <c r="BJ166">
        <v>2</v>
      </c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 s="147"/>
      <c r="CH166" s="176"/>
      <c r="CJ166" s="146"/>
      <c r="CK166" s="76">
        <f t="shared" ca="1" si="205"/>
        <v>0.2472639785069477</v>
      </c>
      <c r="CL166" s="179">
        <f t="shared" si="206"/>
        <v>9</v>
      </c>
      <c r="CM166" s="180">
        <f t="shared" si="207"/>
        <v>39910</v>
      </c>
      <c r="CN166">
        <v>0</v>
      </c>
      <c r="CO166">
        <v>2</v>
      </c>
      <c r="CP166">
        <v>2</v>
      </c>
      <c r="CQ166"/>
      <c r="CR166"/>
      <c r="CS166"/>
      <c r="CT166"/>
      <c r="CU166"/>
      <c r="CV166" s="160"/>
      <c r="CW166">
        <f>33/10</f>
        <v>3.3</v>
      </c>
      <c r="CX166">
        <f>350/36</f>
        <v>9.7222222222222214</v>
      </c>
      <c r="CY166" s="165"/>
      <c r="CZ166" s="177">
        <f t="shared" si="208"/>
        <v>9.6000000000000002E-2</v>
      </c>
      <c r="DB166" s="146"/>
      <c r="DC166" s="76">
        <f t="shared" ca="1" si="171"/>
        <v>0.88146757080943527</v>
      </c>
      <c r="DD166">
        <f t="shared" si="209"/>
        <v>9</v>
      </c>
      <c r="DE166" s="129">
        <f t="shared" si="241"/>
        <v>39910</v>
      </c>
      <c r="DF166" s="161">
        <f t="shared" si="210"/>
        <v>0</v>
      </c>
      <c r="DG166" s="161">
        <f t="shared" si="211"/>
        <v>202.54629629629628</v>
      </c>
      <c r="DH166" s="161">
        <f t="shared" si="212"/>
        <v>202.54629629629628</v>
      </c>
      <c r="DI166" s="161">
        <f t="shared" si="213"/>
        <v>0</v>
      </c>
      <c r="DJ166" s="161">
        <f t="shared" si="214"/>
        <v>0</v>
      </c>
      <c r="DK166" s="161">
        <f t="shared" si="215"/>
        <v>0</v>
      </c>
      <c r="DL166" s="161">
        <f t="shared" si="216"/>
        <v>0</v>
      </c>
      <c r="DM166" s="161">
        <f t="shared" si="217"/>
        <v>171.875</v>
      </c>
      <c r="DN166" s="161">
        <f t="shared" si="218"/>
        <v>68.75</v>
      </c>
      <c r="DO166" s="161">
        <f t="shared" si="219"/>
        <v>0</v>
      </c>
      <c r="DP166" s="161">
        <f t="shared" si="220"/>
        <v>0</v>
      </c>
      <c r="DQ166" s="161">
        <f t="shared" si="221"/>
        <v>0</v>
      </c>
      <c r="DR166" s="161">
        <f t="shared" si="222"/>
        <v>0</v>
      </c>
      <c r="DS166" s="161">
        <f t="shared" si="223"/>
        <v>0</v>
      </c>
      <c r="DT166" s="161">
        <f t="shared" si="224"/>
        <v>0</v>
      </c>
      <c r="DU166" s="161">
        <f t="shared" si="225"/>
        <v>0</v>
      </c>
      <c r="DV166" s="161">
        <f t="shared" si="226"/>
        <v>0</v>
      </c>
      <c r="DW166" s="161">
        <f t="shared" si="227"/>
        <v>0</v>
      </c>
      <c r="DX166" s="161">
        <f t="shared" si="228"/>
        <v>0</v>
      </c>
      <c r="DY166" s="161">
        <f t="shared" si="229"/>
        <v>0</v>
      </c>
      <c r="DZ166" s="161">
        <f t="shared" si="230"/>
        <v>0</v>
      </c>
      <c r="EA166" s="161">
        <f t="shared" si="231"/>
        <v>0</v>
      </c>
      <c r="EB166" s="161">
        <f t="shared" si="232"/>
        <v>0</v>
      </c>
      <c r="EC166" s="161">
        <f t="shared" si="233"/>
        <v>0</v>
      </c>
      <c r="ED166" s="161">
        <f t="shared" si="234"/>
        <v>0</v>
      </c>
      <c r="EE166" s="161">
        <f t="shared" si="235"/>
        <v>0</v>
      </c>
      <c r="EF166" s="161">
        <f t="shared" si="236"/>
        <v>0</v>
      </c>
      <c r="EG166" s="161">
        <f t="shared" si="237"/>
        <v>0</v>
      </c>
      <c r="EH166" s="161">
        <f t="shared" si="238"/>
        <v>0</v>
      </c>
      <c r="EI166" s="161">
        <f t="shared" si="239"/>
        <v>0</v>
      </c>
      <c r="EJ166" s="161">
        <f t="shared" si="240"/>
        <v>0</v>
      </c>
      <c r="EK166" s="147">
        <f t="shared" si="172"/>
        <v>645.71759259259261</v>
      </c>
      <c r="EL166" s="149"/>
      <c r="EN166" s="146"/>
      <c r="EO166" s="146"/>
      <c r="EP166" s="139">
        <f t="shared" si="173"/>
        <v>0</v>
      </c>
      <c r="EQ166" s="139">
        <f t="shared" si="174"/>
        <v>2.3356221064814813</v>
      </c>
      <c r="ER166" s="139">
        <f t="shared" si="175"/>
        <v>14.833702872515076</v>
      </c>
      <c r="ES166" s="139">
        <f t="shared" si="176"/>
        <v>0</v>
      </c>
      <c r="ET166" s="139">
        <f t="shared" si="177"/>
        <v>0</v>
      </c>
      <c r="EU166" s="139">
        <f t="shared" si="178"/>
        <v>0</v>
      </c>
      <c r="EV166" s="139">
        <f t="shared" si="179"/>
        <v>0</v>
      </c>
      <c r="EW166" s="139">
        <f t="shared" si="180"/>
        <v>355.60466927351905</v>
      </c>
      <c r="EX166" s="139">
        <f t="shared" si="181"/>
        <v>203.09160359571152</v>
      </c>
      <c r="EY166" s="139">
        <f t="shared" si="182"/>
        <v>0</v>
      </c>
      <c r="EZ166" s="139">
        <f t="shared" si="183"/>
        <v>0</v>
      </c>
      <c r="FA166" s="139">
        <f t="shared" si="184"/>
        <v>0</v>
      </c>
      <c r="FB166" s="139">
        <f t="shared" si="185"/>
        <v>0</v>
      </c>
      <c r="FC166" s="139">
        <f t="shared" si="186"/>
        <v>0</v>
      </c>
      <c r="FD166" s="139">
        <f t="shared" si="187"/>
        <v>0</v>
      </c>
      <c r="FE166" s="139">
        <f t="shared" si="188"/>
        <v>0</v>
      </c>
      <c r="FF166" s="139">
        <f t="shared" si="189"/>
        <v>0</v>
      </c>
      <c r="FG166" s="139">
        <f t="shared" si="190"/>
        <v>0</v>
      </c>
      <c r="FH166" s="139">
        <f t="shared" si="191"/>
        <v>0</v>
      </c>
      <c r="FI166" s="139">
        <f t="shared" si="192"/>
        <v>0</v>
      </c>
      <c r="FJ166" s="139">
        <f t="shared" si="193"/>
        <v>0</v>
      </c>
      <c r="FK166" s="139">
        <f t="shared" si="194"/>
        <v>0</v>
      </c>
      <c r="FL166" s="139">
        <f t="shared" si="195"/>
        <v>0</v>
      </c>
      <c r="FM166" s="139">
        <f t="shared" si="196"/>
        <v>0</v>
      </c>
      <c r="FN166" s="139">
        <f t="shared" si="197"/>
        <v>0</v>
      </c>
      <c r="FO166" s="139">
        <f t="shared" si="198"/>
        <v>0</v>
      </c>
      <c r="FP166" s="139">
        <f t="shared" si="199"/>
        <v>0</v>
      </c>
      <c r="FQ166" s="139">
        <f t="shared" si="200"/>
        <v>0</v>
      </c>
      <c r="FR166" s="139">
        <f t="shared" si="201"/>
        <v>0</v>
      </c>
      <c r="FS166" s="139">
        <f t="shared" si="202"/>
        <v>0</v>
      </c>
      <c r="FT166" s="139">
        <f t="shared" si="203"/>
        <v>0</v>
      </c>
      <c r="FU166" s="148">
        <f t="shared" si="204"/>
        <v>575.86559784822714</v>
      </c>
      <c r="FV166" s="149"/>
      <c r="FY166" s="211">
        <v>161</v>
      </c>
      <c r="FZ166">
        <v>115.72434499395615</v>
      </c>
      <c r="GA166">
        <v>140.08798404490685</v>
      </c>
      <c r="GB166">
        <v>50.788199005827657</v>
      </c>
      <c r="GC166">
        <v>48.474949963917922</v>
      </c>
      <c r="GD166">
        <v>37.675091485324479</v>
      </c>
      <c r="GE166">
        <v>55.452769107181268</v>
      </c>
      <c r="GF166">
        <v>78.416827253356303</v>
      </c>
      <c r="GG166">
        <v>73.240704981333778</v>
      </c>
      <c r="GH166">
        <v>69.285522799066584</v>
      </c>
      <c r="GI166">
        <v>83.18326883957937</v>
      </c>
      <c r="GJ166"/>
      <c r="GK166"/>
      <c r="GL166"/>
      <c r="GM166"/>
    </row>
    <row r="167" spans="1:195" s="7" customFormat="1">
      <c r="A167" s="1"/>
      <c r="B167" s="76">
        <f ca="1">IF(C167="", "", RAND())</f>
        <v>0.90110379636482385</v>
      </c>
      <c r="C167">
        <v>4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288.57248144161144</v>
      </c>
      <c r="AO167">
        <v>139.98912669370267</v>
      </c>
      <c r="AP167">
        <v>677.65043294496013</v>
      </c>
      <c r="AQ167">
        <v>756.85211231420658</v>
      </c>
      <c r="AR167">
        <v>133.59499125793965</v>
      </c>
      <c r="AS167">
        <v>1221.8270817695532</v>
      </c>
      <c r="AT167">
        <v>66.279801271092055</v>
      </c>
      <c r="AU167">
        <v>335.07497238743514</v>
      </c>
      <c r="AV167"/>
      <c r="AW167"/>
      <c r="AX167" s="146"/>
      <c r="AY167" s="76">
        <f t="shared" ca="1" si="170"/>
        <v>0.87742894306546226</v>
      </c>
      <c r="AZ167">
        <v>10</v>
      </c>
      <c r="BA167" s="129">
        <f t="shared" si="242"/>
        <v>39910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5</v>
      </c>
      <c r="BI167">
        <v>3</v>
      </c>
      <c r="BJ167">
        <v>2</v>
      </c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 s="147"/>
      <c r="CH167" s="176"/>
      <c r="CJ167" s="146"/>
      <c r="CK167" s="76">
        <f t="shared" ca="1" si="205"/>
        <v>0.85626608435966256</v>
      </c>
      <c r="CL167" s="179">
        <f t="shared" si="206"/>
        <v>10</v>
      </c>
      <c r="CM167" s="180">
        <f t="shared" si="207"/>
        <v>39910</v>
      </c>
      <c r="CN167">
        <v>0</v>
      </c>
      <c r="CO167">
        <v>0</v>
      </c>
      <c r="CP167">
        <v>2</v>
      </c>
      <c r="CQ167"/>
      <c r="CR167"/>
      <c r="CS167"/>
      <c r="CT167"/>
      <c r="CU167"/>
      <c r="CV167" s="160"/>
      <c r="CW167">
        <v>1</v>
      </c>
      <c r="CX167">
        <f>350/35</f>
        <v>10</v>
      </c>
      <c r="CY167" s="165"/>
      <c r="CZ167" s="177">
        <f t="shared" si="208"/>
        <v>9.6000000000000002E-2</v>
      </c>
      <c r="DB167" s="146"/>
      <c r="DC167" s="76">
        <f t="shared" ca="1" si="171"/>
        <v>0.71909868069969551</v>
      </c>
      <c r="DD167">
        <f t="shared" si="209"/>
        <v>10</v>
      </c>
      <c r="DE167" s="129">
        <f t="shared" si="241"/>
        <v>39910</v>
      </c>
      <c r="DF167" s="161">
        <f t="shared" si="210"/>
        <v>0</v>
      </c>
      <c r="DG167" s="161">
        <f t="shared" si="211"/>
        <v>0</v>
      </c>
      <c r="DH167" s="161">
        <f t="shared" si="212"/>
        <v>208.33333333333334</v>
      </c>
      <c r="DI167" s="161">
        <f t="shared" si="213"/>
        <v>0</v>
      </c>
      <c r="DJ167" s="161">
        <f t="shared" si="214"/>
        <v>0</v>
      </c>
      <c r="DK167" s="161">
        <f t="shared" si="215"/>
        <v>0</v>
      </c>
      <c r="DL167" s="161">
        <f t="shared" si="216"/>
        <v>52.083333333333336</v>
      </c>
      <c r="DM167" s="161">
        <f t="shared" si="217"/>
        <v>31.25</v>
      </c>
      <c r="DN167" s="161">
        <f t="shared" si="218"/>
        <v>20.833333333333332</v>
      </c>
      <c r="DO167" s="161">
        <f t="shared" si="219"/>
        <v>0</v>
      </c>
      <c r="DP167" s="161">
        <f t="shared" si="220"/>
        <v>0</v>
      </c>
      <c r="DQ167" s="161">
        <f t="shared" si="221"/>
        <v>0</v>
      </c>
      <c r="DR167" s="161">
        <f t="shared" si="222"/>
        <v>0</v>
      </c>
      <c r="DS167" s="161">
        <f t="shared" si="223"/>
        <v>0</v>
      </c>
      <c r="DT167" s="161">
        <f t="shared" si="224"/>
        <v>0</v>
      </c>
      <c r="DU167" s="161">
        <f t="shared" si="225"/>
        <v>0</v>
      </c>
      <c r="DV167" s="161">
        <f t="shared" si="226"/>
        <v>0</v>
      </c>
      <c r="DW167" s="161">
        <f t="shared" si="227"/>
        <v>0</v>
      </c>
      <c r="DX167" s="161">
        <f t="shared" si="228"/>
        <v>0</v>
      </c>
      <c r="DY167" s="161">
        <f t="shared" si="229"/>
        <v>0</v>
      </c>
      <c r="DZ167" s="161">
        <f t="shared" si="230"/>
        <v>0</v>
      </c>
      <c r="EA167" s="161">
        <f t="shared" si="231"/>
        <v>0</v>
      </c>
      <c r="EB167" s="161">
        <f t="shared" si="232"/>
        <v>0</v>
      </c>
      <c r="EC167" s="161">
        <f t="shared" si="233"/>
        <v>0</v>
      </c>
      <c r="ED167" s="161">
        <f t="shared" si="234"/>
        <v>0</v>
      </c>
      <c r="EE167" s="161">
        <f t="shared" si="235"/>
        <v>0</v>
      </c>
      <c r="EF167" s="161">
        <f t="shared" si="236"/>
        <v>0</v>
      </c>
      <c r="EG167" s="161">
        <f t="shared" si="237"/>
        <v>0</v>
      </c>
      <c r="EH167" s="161">
        <f t="shared" si="238"/>
        <v>0</v>
      </c>
      <c r="EI167" s="161">
        <f t="shared" si="239"/>
        <v>0</v>
      </c>
      <c r="EJ167" s="161">
        <f t="shared" si="240"/>
        <v>0</v>
      </c>
      <c r="EK167" s="147">
        <f t="shared" si="172"/>
        <v>312.5</v>
      </c>
      <c r="EL167" s="149"/>
      <c r="EN167" s="146"/>
      <c r="EO167" s="146"/>
      <c r="EP167" s="139">
        <f t="shared" si="173"/>
        <v>0</v>
      </c>
      <c r="EQ167" s="139">
        <f t="shared" si="174"/>
        <v>0</v>
      </c>
      <c r="ER167" s="139">
        <f t="shared" si="175"/>
        <v>15.257522954586937</v>
      </c>
      <c r="ES167" s="139">
        <f t="shared" si="176"/>
        <v>0</v>
      </c>
      <c r="ET167" s="139">
        <f t="shared" si="177"/>
        <v>0</v>
      </c>
      <c r="EU167" s="139">
        <f t="shared" si="178"/>
        <v>0</v>
      </c>
      <c r="EV167" s="139">
        <f t="shared" si="179"/>
        <v>71.434239746708968</v>
      </c>
      <c r="EW167" s="139">
        <f t="shared" si="180"/>
        <v>64.655394413367091</v>
      </c>
      <c r="EX167" s="139">
        <f t="shared" si="181"/>
        <v>61.542910180518639</v>
      </c>
      <c r="EY167" s="139">
        <f t="shared" si="182"/>
        <v>0</v>
      </c>
      <c r="EZ167" s="139">
        <f t="shared" si="183"/>
        <v>0</v>
      </c>
      <c r="FA167" s="139">
        <f t="shared" si="184"/>
        <v>0</v>
      </c>
      <c r="FB167" s="139">
        <f t="shared" si="185"/>
        <v>0</v>
      </c>
      <c r="FC167" s="139">
        <f t="shared" si="186"/>
        <v>0</v>
      </c>
      <c r="FD167" s="139">
        <f t="shared" si="187"/>
        <v>0</v>
      </c>
      <c r="FE167" s="139">
        <f t="shared" si="188"/>
        <v>0</v>
      </c>
      <c r="FF167" s="139">
        <f t="shared" si="189"/>
        <v>0</v>
      </c>
      <c r="FG167" s="139">
        <f t="shared" si="190"/>
        <v>0</v>
      </c>
      <c r="FH167" s="139">
        <f t="shared" si="191"/>
        <v>0</v>
      </c>
      <c r="FI167" s="139">
        <f t="shared" si="192"/>
        <v>0</v>
      </c>
      <c r="FJ167" s="139">
        <f t="shared" si="193"/>
        <v>0</v>
      </c>
      <c r="FK167" s="139">
        <f t="shared" si="194"/>
        <v>0</v>
      </c>
      <c r="FL167" s="139">
        <f t="shared" si="195"/>
        <v>0</v>
      </c>
      <c r="FM167" s="139">
        <f t="shared" si="196"/>
        <v>0</v>
      </c>
      <c r="FN167" s="139">
        <f t="shared" si="197"/>
        <v>0</v>
      </c>
      <c r="FO167" s="139">
        <f t="shared" si="198"/>
        <v>0</v>
      </c>
      <c r="FP167" s="139">
        <f t="shared" si="199"/>
        <v>0</v>
      </c>
      <c r="FQ167" s="139">
        <f t="shared" si="200"/>
        <v>0</v>
      </c>
      <c r="FR167" s="139">
        <f t="shared" si="201"/>
        <v>0</v>
      </c>
      <c r="FS167" s="139">
        <f t="shared" si="202"/>
        <v>0</v>
      </c>
      <c r="FT167" s="139">
        <f t="shared" si="203"/>
        <v>0</v>
      </c>
      <c r="FU167" s="148">
        <f t="shared" si="204"/>
        <v>212.89006729518164</v>
      </c>
      <c r="FV167" s="149"/>
      <c r="FY167" s="211">
        <v>162</v>
      </c>
      <c r="FZ167">
        <v>129.65398531944572</v>
      </c>
      <c r="GA167">
        <v>124.26933739036487</v>
      </c>
      <c r="GB167">
        <v>40.214318145086509</v>
      </c>
      <c r="GC167">
        <v>47.399449427268209</v>
      </c>
      <c r="GD167">
        <v>39.721840617726706</v>
      </c>
      <c r="GE167">
        <v>52.129845263303295</v>
      </c>
      <c r="GF167">
        <v>75.36150448456111</v>
      </c>
      <c r="GG167">
        <v>81.12996134976386</v>
      </c>
      <c r="GH167">
        <v>80.338680099857783</v>
      </c>
      <c r="GI167">
        <v>85.292571645976722</v>
      </c>
      <c r="GJ167"/>
      <c r="GK167"/>
      <c r="GL167"/>
      <c r="GM167"/>
    </row>
    <row r="168" spans="1:195" s="7" customFormat="1">
      <c r="A168" s="128"/>
      <c r="B168" s="76">
        <f ca="1">IF(C168="", "", RAND())</f>
        <v>0.91606541596976343</v>
      </c>
      <c r="C168">
        <v>6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265.80142200547829</v>
      </c>
      <c r="AO168">
        <v>179.09653738436495</v>
      </c>
      <c r="AP168">
        <v>855.56172900945091</v>
      </c>
      <c r="AQ168">
        <v>1022.7119439566471</v>
      </c>
      <c r="AR168">
        <v>167.72226638220121</v>
      </c>
      <c r="AS168">
        <v>1556.3747144865008</v>
      </c>
      <c r="AT168">
        <v>96.33383590125959</v>
      </c>
      <c r="AU168">
        <v>197.3243948518643</v>
      </c>
      <c r="AV168"/>
      <c r="AW168"/>
      <c r="AX168" s="128"/>
      <c r="AY168" s="76">
        <f t="shared" ca="1" si="170"/>
        <v>0.92844960349721628</v>
      </c>
      <c r="AZ168">
        <v>1</v>
      </c>
      <c r="BA168" s="129">
        <f>IF(AZ168="", "",$C$12)</f>
        <v>39949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1</v>
      </c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 s="147"/>
      <c r="CH168" s="176"/>
      <c r="CJ168" s="128"/>
      <c r="CK168" s="76">
        <f t="shared" ca="1" si="205"/>
        <v>0.65920823137246098</v>
      </c>
      <c r="CL168" s="179">
        <f t="shared" si="206"/>
        <v>1</v>
      </c>
      <c r="CM168" s="180">
        <f t="shared" si="207"/>
        <v>39949</v>
      </c>
      <c r="CN168">
        <v>0</v>
      </c>
      <c r="CO168"/>
      <c r="CP168"/>
      <c r="CQ168"/>
      <c r="CR168"/>
      <c r="CS168"/>
      <c r="CT168"/>
      <c r="CU168"/>
      <c r="CV168" s="160"/>
      <c r="CW168">
        <v>1</v>
      </c>
      <c r="CX168">
        <f>325/83</f>
        <v>3.9156626506024095</v>
      </c>
      <c r="CY168" s="160"/>
      <c r="CZ168" s="177">
        <f t="shared" si="208"/>
        <v>9.6000000000000002E-2</v>
      </c>
      <c r="DB168" s="128"/>
      <c r="DC168" s="76">
        <f t="shared" ca="1" si="171"/>
        <v>0.58004313476140812</v>
      </c>
      <c r="DD168">
        <f t="shared" si="209"/>
        <v>1</v>
      </c>
      <c r="DE168" s="129">
        <f t="shared" ref="DE168:DE177" si="243">IF((DD168)="", "", $C$12)</f>
        <v>39949</v>
      </c>
      <c r="DF168" s="161">
        <f t="shared" si="210"/>
        <v>0</v>
      </c>
      <c r="DG168" s="161">
        <f t="shared" si="211"/>
        <v>0</v>
      </c>
      <c r="DH168" s="161">
        <f t="shared" si="212"/>
        <v>0</v>
      </c>
      <c r="DI168" s="161">
        <f t="shared" si="213"/>
        <v>0</v>
      </c>
      <c r="DJ168" s="161">
        <f t="shared" si="214"/>
        <v>0</v>
      </c>
      <c r="DK168" s="161">
        <f t="shared" si="215"/>
        <v>10.416666666666666</v>
      </c>
      <c r="DL168" s="161">
        <f t="shared" si="216"/>
        <v>0</v>
      </c>
      <c r="DM168" s="161">
        <f t="shared" si="217"/>
        <v>0</v>
      </c>
      <c r="DN168" s="161">
        <f t="shared" si="218"/>
        <v>0</v>
      </c>
      <c r="DO168" s="161">
        <f t="shared" si="219"/>
        <v>0</v>
      </c>
      <c r="DP168" s="161">
        <f t="shared" si="220"/>
        <v>0</v>
      </c>
      <c r="DQ168" s="161">
        <f t="shared" si="221"/>
        <v>0</v>
      </c>
      <c r="DR168" s="161">
        <f t="shared" si="222"/>
        <v>0</v>
      </c>
      <c r="DS168" s="161">
        <f t="shared" si="223"/>
        <v>0</v>
      </c>
      <c r="DT168" s="161">
        <f t="shared" si="224"/>
        <v>0</v>
      </c>
      <c r="DU168" s="161">
        <f t="shared" si="225"/>
        <v>0</v>
      </c>
      <c r="DV168" s="161">
        <f t="shared" si="226"/>
        <v>0</v>
      </c>
      <c r="DW168" s="161">
        <f t="shared" si="227"/>
        <v>0</v>
      </c>
      <c r="DX168" s="161">
        <f t="shared" si="228"/>
        <v>0</v>
      </c>
      <c r="DY168" s="161">
        <f t="shared" si="229"/>
        <v>0</v>
      </c>
      <c r="DZ168" s="161">
        <f t="shared" si="230"/>
        <v>0</v>
      </c>
      <c r="EA168" s="161">
        <f t="shared" si="231"/>
        <v>0</v>
      </c>
      <c r="EB168" s="161">
        <f t="shared" si="232"/>
        <v>0</v>
      </c>
      <c r="EC168" s="161">
        <f t="shared" si="233"/>
        <v>0</v>
      </c>
      <c r="ED168" s="161">
        <f t="shared" si="234"/>
        <v>0</v>
      </c>
      <c r="EE168" s="161">
        <f t="shared" si="235"/>
        <v>0</v>
      </c>
      <c r="EF168" s="161">
        <f t="shared" si="236"/>
        <v>0</v>
      </c>
      <c r="EG168" s="161">
        <f t="shared" si="237"/>
        <v>0</v>
      </c>
      <c r="EH168" s="161">
        <f t="shared" si="238"/>
        <v>0</v>
      </c>
      <c r="EI168" s="161">
        <f t="shared" si="239"/>
        <v>0</v>
      </c>
      <c r="EJ168" s="161">
        <f t="shared" si="240"/>
        <v>0</v>
      </c>
      <c r="EK168" s="147">
        <f t="shared" si="172"/>
        <v>10.416666666666666</v>
      </c>
      <c r="EL168" s="149"/>
      <c r="EN168" s="146"/>
      <c r="EO168" s="146"/>
      <c r="EP168" s="139">
        <f t="shared" si="173"/>
        <v>0</v>
      </c>
      <c r="EQ168" s="139">
        <f t="shared" si="174"/>
        <v>0</v>
      </c>
      <c r="ER168" s="139">
        <f t="shared" si="175"/>
        <v>0</v>
      </c>
      <c r="ES168" s="139">
        <f t="shared" si="176"/>
        <v>0</v>
      </c>
      <c r="ET168" s="139">
        <f t="shared" si="177"/>
        <v>0</v>
      </c>
      <c r="EU168" s="139">
        <f t="shared" si="178"/>
        <v>8.7853696509678922</v>
      </c>
      <c r="EV168" s="139">
        <f t="shared" si="179"/>
        <v>0</v>
      </c>
      <c r="EW168" s="139">
        <f t="shared" si="180"/>
        <v>0</v>
      </c>
      <c r="EX168" s="139">
        <f t="shared" si="181"/>
        <v>0</v>
      </c>
      <c r="EY168" s="139">
        <f t="shared" si="182"/>
        <v>0</v>
      </c>
      <c r="EZ168" s="139">
        <f t="shared" si="183"/>
        <v>0</v>
      </c>
      <c r="FA168" s="139">
        <f t="shared" si="184"/>
        <v>0</v>
      </c>
      <c r="FB168" s="139">
        <f t="shared" si="185"/>
        <v>0</v>
      </c>
      <c r="FC168" s="139">
        <f t="shared" si="186"/>
        <v>0</v>
      </c>
      <c r="FD168" s="139">
        <f t="shared" si="187"/>
        <v>0</v>
      </c>
      <c r="FE168" s="139">
        <f t="shared" si="188"/>
        <v>0</v>
      </c>
      <c r="FF168" s="139">
        <f t="shared" si="189"/>
        <v>0</v>
      </c>
      <c r="FG168" s="139">
        <f t="shared" si="190"/>
        <v>0</v>
      </c>
      <c r="FH168" s="139">
        <f t="shared" si="191"/>
        <v>0</v>
      </c>
      <c r="FI168" s="139">
        <f t="shared" si="192"/>
        <v>0</v>
      </c>
      <c r="FJ168" s="139">
        <f t="shared" si="193"/>
        <v>0</v>
      </c>
      <c r="FK168" s="139">
        <f t="shared" si="194"/>
        <v>0</v>
      </c>
      <c r="FL168" s="139">
        <f t="shared" si="195"/>
        <v>0</v>
      </c>
      <c r="FM168" s="139">
        <f t="shared" si="196"/>
        <v>0</v>
      </c>
      <c r="FN168" s="139">
        <f t="shared" si="197"/>
        <v>0</v>
      </c>
      <c r="FO168" s="139">
        <f t="shared" si="198"/>
        <v>0</v>
      </c>
      <c r="FP168" s="139">
        <f t="shared" si="199"/>
        <v>0</v>
      </c>
      <c r="FQ168" s="139">
        <f t="shared" si="200"/>
        <v>0</v>
      </c>
      <c r="FR168" s="139">
        <f t="shared" si="201"/>
        <v>0</v>
      </c>
      <c r="FS168" s="139">
        <f t="shared" si="202"/>
        <v>0</v>
      </c>
      <c r="FT168" s="139">
        <f t="shared" si="203"/>
        <v>0</v>
      </c>
      <c r="FU168" s="148">
        <f t="shared" si="204"/>
        <v>8.7853696509678922</v>
      </c>
      <c r="FV168" s="149"/>
      <c r="FY168" s="211">
        <v>163</v>
      </c>
      <c r="FZ168">
        <v>107.5785753675523</v>
      </c>
      <c r="GA168">
        <v>128.90781038832259</v>
      </c>
      <c r="GB168">
        <v>41.166616260083302</v>
      </c>
      <c r="GC168">
        <v>38.612769796348779</v>
      </c>
      <c r="GD168">
        <v>49.655443822158666</v>
      </c>
      <c r="GE168">
        <v>82.683037631641781</v>
      </c>
      <c r="GF168">
        <v>83.511918977141647</v>
      </c>
      <c r="GG168">
        <v>72.914897279794062</v>
      </c>
      <c r="GH168">
        <v>75.075054406998817</v>
      </c>
      <c r="GI168">
        <v>89.788510911248608</v>
      </c>
      <c r="GJ168"/>
      <c r="GK168"/>
      <c r="GL168"/>
      <c r="GM168"/>
    </row>
    <row r="169" spans="1:195" s="7" customFormat="1">
      <c r="A169" s="1"/>
      <c r="B169" s="76">
        <f ca="1">IF(C169="", "", RAND())</f>
        <v>0.40681370683725149</v>
      </c>
      <c r="C169">
        <v>7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10.416666666666666</v>
      </c>
      <c r="K169">
        <v>31.25</v>
      </c>
      <c r="L169">
        <v>0</v>
      </c>
      <c r="M169">
        <v>72.916666666666671</v>
      </c>
      <c r="N169">
        <v>62.5</v>
      </c>
      <c r="O169">
        <v>20.833333333333332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300.65667828675925</v>
      </c>
      <c r="AO169">
        <v>168.47431004205288</v>
      </c>
      <c r="AP169">
        <v>713.45406179632062</v>
      </c>
      <c r="AQ169">
        <v>855.8519317332956</v>
      </c>
      <c r="AR169">
        <v>158.8675442456717</v>
      </c>
      <c r="AS169">
        <v>1506.9637263230929</v>
      </c>
      <c r="AT169">
        <v>76.615659057327989</v>
      </c>
      <c r="AU169">
        <v>213.06152404922645</v>
      </c>
      <c r="AV169"/>
      <c r="AW169"/>
      <c r="AX169" s="146"/>
      <c r="AY169" s="76">
        <f t="shared" ca="1" si="170"/>
        <v>0.35831245473415407</v>
      </c>
      <c r="AZ169">
        <v>2</v>
      </c>
      <c r="BA169" s="129">
        <f t="shared" ref="BA169:BA177" si="244">IF(AZ169="", "",$C$12)</f>
        <v>39949</v>
      </c>
      <c r="BB169">
        <v>0</v>
      </c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 s="147"/>
      <c r="CH169" s="176"/>
      <c r="CJ169" s="146"/>
      <c r="CK169" s="76">
        <f t="shared" ca="1" si="205"/>
        <v>0.79021069191394311</v>
      </c>
      <c r="CL169" s="179">
        <f t="shared" si="206"/>
        <v>2</v>
      </c>
      <c r="CM169" s="180">
        <f t="shared" si="207"/>
        <v>39949</v>
      </c>
      <c r="CN169"/>
      <c r="CO169"/>
      <c r="CP169"/>
      <c r="CQ169"/>
      <c r="CR169"/>
      <c r="CS169"/>
      <c r="CT169"/>
      <c r="CU169"/>
      <c r="CV169" s="160"/>
      <c r="CW169">
        <v>1</v>
      </c>
      <c r="CX169">
        <v>1</v>
      </c>
      <c r="CY169" s="160"/>
      <c r="CZ169" s="177">
        <f t="shared" si="208"/>
        <v>9.6000000000000002E-2</v>
      </c>
      <c r="DB169" s="146"/>
      <c r="DC169" s="76">
        <f t="shared" ca="1" si="171"/>
        <v>0.22124910646770268</v>
      </c>
      <c r="DD169">
        <f t="shared" si="209"/>
        <v>2</v>
      </c>
      <c r="DE169" s="129">
        <f t="shared" si="243"/>
        <v>39949</v>
      </c>
      <c r="DF169" s="161">
        <f t="shared" si="210"/>
        <v>0</v>
      </c>
      <c r="DG169" s="161">
        <f t="shared" si="211"/>
        <v>0</v>
      </c>
      <c r="DH169" s="161">
        <f t="shared" si="212"/>
        <v>0</v>
      </c>
      <c r="DI169" s="161">
        <f t="shared" si="213"/>
        <v>0</v>
      </c>
      <c r="DJ169" s="161">
        <f t="shared" si="214"/>
        <v>0</v>
      </c>
      <c r="DK169" s="161">
        <f t="shared" si="215"/>
        <v>0</v>
      </c>
      <c r="DL169" s="161">
        <f t="shared" si="216"/>
        <v>0</v>
      </c>
      <c r="DM169" s="161">
        <f t="shared" si="217"/>
        <v>0</v>
      </c>
      <c r="DN169" s="161">
        <f t="shared" si="218"/>
        <v>0</v>
      </c>
      <c r="DO169" s="161">
        <f t="shared" si="219"/>
        <v>0</v>
      </c>
      <c r="DP169" s="161">
        <f t="shared" si="220"/>
        <v>0</v>
      </c>
      <c r="DQ169" s="161">
        <f t="shared" si="221"/>
        <v>0</v>
      </c>
      <c r="DR169" s="161">
        <f t="shared" si="222"/>
        <v>0</v>
      </c>
      <c r="DS169" s="161">
        <f t="shared" si="223"/>
        <v>0</v>
      </c>
      <c r="DT169" s="161">
        <f t="shared" si="224"/>
        <v>0</v>
      </c>
      <c r="DU169" s="161">
        <f t="shared" si="225"/>
        <v>0</v>
      </c>
      <c r="DV169" s="161">
        <f t="shared" si="226"/>
        <v>0</v>
      </c>
      <c r="DW169" s="161">
        <f t="shared" si="227"/>
        <v>0</v>
      </c>
      <c r="DX169" s="161">
        <f t="shared" si="228"/>
        <v>0</v>
      </c>
      <c r="DY169" s="161">
        <f t="shared" si="229"/>
        <v>0</v>
      </c>
      <c r="DZ169" s="161">
        <f t="shared" si="230"/>
        <v>0</v>
      </c>
      <c r="EA169" s="161">
        <f t="shared" si="231"/>
        <v>0</v>
      </c>
      <c r="EB169" s="161">
        <f t="shared" si="232"/>
        <v>0</v>
      </c>
      <c r="EC169" s="161">
        <f t="shared" si="233"/>
        <v>0</v>
      </c>
      <c r="ED169" s="161">
        <f t="shared" si="234"/>
        <v>0</v>
      </c>
      <c r="EE169" s="161">
        <f t="shared" si="235"/>
        <v>0</v>
      </c>
      <c r="EF169" s="161">
        <f t="shared" si="236"/>
        <v>0</v>
      </c>
      <c r="EG169" s="161">
        <f t="shared" si="237"/>
        <v>0</v>
      </c>
      <c r="EH169" s="161">
        <f t="shared" si="238"/>
        <v>0</v>
      </c>
      <c r="EI169" s="161">
        <f t="shared" si="239"/>
        <v>0</v>
      </c>
      <c r="EJ169" s="161">
        <f t="shared" si="240"/>
        <v>0</v>
      </c>
      <c r="EK169" s="147">
        <f t="shared" si="172"/>
        <v>0</v>
      </c>
      <c r="EL169" s="149"/>
      <c r="EN169" s="146"/>
      <c r="EO169" s="146"/>
      <c r="EP169" s="139">
        <f t="shared" si="173"/>
        <v>0</v>
      </c>
      <c r="EQ169" s="139">
        <f t="shared" si="174"/>
        <v>0</v>
      </c>
      <c r="ER169" s="139">
        <f t="shared" si="175"/>
        <v>0</v>
      </c>
      <c r="ES169" s="139">
        <f t="shared" si="176"/>
        <v>0</v>
      </c>
      <c r="ET169" s="139">
        <f t="shared" si="177"/>
        <v>0</v>
      </c>
      <c r="EU169" s="139">
        <f t="shared" si="178"/>
        <v>0</v>
      </c>
      <c r="EV169" s="139">
        <f t="shared" si="179"/>
        <v>0</v>
      </c>
      <c r="EW169" s="139">
        <f t="shared" si="180"/>
        <v>0</v>
      </c>
      <c r="EX169" s="139">
        <f t="shared" si="181"/>
        <v>0</v>
      </c>
      <c r="EY169" s="139">
        <f t="shared" si="182"/>
        <v>0</v>
      </c>
      <c r="EZ169" s="139">
        <f t="shared" si="183"/>
        <v>0</v>
      </c>
      <c r="FA169" s="139">
        <f t="shared" si="184"/>
        <v>0</v>
      </c>
      <c r="FB169" s="139">
        <f t="shared" si="185"/>
        <v>0</v>
      </c>
      <c r="FC169" s="139">
        <f t="shared" si="186"/>
        <v>0</v>
      </c>
      <c r="FD169" s="139">
        <f t="shared" si="187"/>
        <v>0</v>
      </c>
      <c r="FE169" s="139">
        <f t="shared" si="188"/>
        <v>0</v>
      </c>
      <c r="FF169" s="139">
        <f t="shared" si="189"/>
        <v>0</v>
      </c>
      <c r="FG169" s="139">
        <f t="shared" si="190"/>
        <v>0</v>
      </c>
      <c r="FH169" s="139">
        <f t="shared" si="191"/>
        <v>0</v>
      </c>
      <c r="FI169" s="139">
        <f t="shared" si="192"/>
        <v>0</v>
      </c>
      <c r="FJ169" s="139">
        <f t="shared" si="193"/>
        <v>0</v>
      </c>
      <c r="FK169" s="139">
        <f t="shared" si="194"/>
        <v>0</v>
      </c>
      <c r="FL169" s="139">
        <f t="shared" si="195"/>
        <v>0</v>
      </c>
      <c r="FM169" s="139">
        <f t="shared" si="196"/>
        <v>0</v>
      </c>
      <c r="FN169" s="139">
        <f t="shared" si="197"/>
        <v>0</v>
      </c>
      <c r="FO169" s="139">
        <f t="shared" si="198"/>
        <v>0</v>
      </c>
      <c r="FP169" s="139">
        <f t="shared" si="199"/>
        <v>0</v>
      </c>
      <c r="FQ169" s="139">
        <f t="shared" si="200"/>
        <v>0</v>
      </c>
      <c r="FR169" s="139">
        <f t="shared" si="201"/>
        <v>0</v>
      </c>
      <c r="FS169" s="139">
        <f t="shared" si="202"/>
        <v>0</v>
      </c>
      <c r="FT169" s="139">
        <f t="shared" si="203"/>
        <v>0</v>
      </c>
      <c r="FU169" s="148">
        <f t="shared" si="204"/>
        <v>0</v>
      </c>
      <c r="FV169" s="149"/>
      <c r="FY169" s="211">
        <v>164</v>
      </c>
      <c r="FZ169">
        <v>106.80811558431878</v>
      </c>
      <c r="GA169">
        <v>153.49781376115195</v>
      </c>
      <c r="GB169">
        <v>52.541117447685998</v>
      </c>
      <c r="GC169">
        <v>30.005111278710562</v>
      </c>
      <c r="GD169">
        <v>48.780255784647117</v>
      </c>
      <c r="GE169">
        <v>93.721874995740791</v>
      </c>
      <c r="GF169">
        <v>50.682010310997633</v>
      </c>
      <c r="GG169">
        <v>28.877116283483794</v>
      </c>
      <c r="GH169">
        <v>40.429449321522739</v>
      </c>
      <c r="GI169">
        <v>78.805256711232659</v>
      </c>
      <c r="GJ169"/>
      <c r="GK169"/>
      <c r="GL169"/>
      <c r="GM169"/>
    </row>
    <row r="170" spans="1:195" s="7" customFormat="1">
      <c r="A170" s="1"/>
      <c r="B170" s="76">
        <f ca="1">IF(C170="", "", RAND())</f>
        <v>0.76330989675797412</v>
      </c>
      <c r="C170">
        <v>5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20.833333333333332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263.57884509916272</v>
      </c>
      <c r="AO170">
        <v>167.23530262315074</v>
      </c>
      <c r="AP170">
        <v>638.96492407801372</v>
      </c>
      <c r="AQ170">
        <v>932.13086295961182</v>
      </c>
      <c r="AR170">
        <v>155.81452594395111</v>
      </c>
      <c r="AS170">
        <v>1579.754029572779</v>
      </c>
      <c r="AT170">
        <v>79.829171220363563</v>
      </c>
      <c r="AU170">
        <v>149.05168118737103</v>
      </c>
      <c r="AV170"/>
      <c r="AW170"/>
      <c r="AX170" s="146"/>
      <c r="AY170" s="76">
        <f t="shared" ca="1" si="170"/>
        <v>0.78302521343678055</v>
      </c>
      <c r="AZ170">
        <v>3</v>
      </c>
      <c r="BA170" s="129">
        <f t="shared" si="244"/>
        <v>39949</v>
      </c>
      <c r="BB170">
        <v>0</v>
      </c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 s="147"/>
      <c r="CH170" s="176"/>
      <c r="CJ170" s="146"/>
      <c r="CK170" s="76">
        <f t="shared" ca="1" si="205"/>
        <v>0.93713060368650813</v>
      </c>
      <c r="CL170" s="179">
        <f t="shared" si="206"/>
        <v>3</v>
      </c>
      <c r="CM170" s="180">
        <f t="shared" si="207"/>
        <v>39949</v>
      </c>
      <c r="CN170">
        <v>0</v>
      </c>
      <c r="CO170"/>
      <c r="CP170"/>
      <c r="CQ170"/>
      <c r="CR170"/>
      <c r="CS170"/>
      <c r="CT170"/>
      <c r="CU170"/>
      <c r="CV170" s="160"/>
      <c r="CW170">
        <v>1</v>
      </c>
      <c r="CX170">
        <f>350/45</f>
        <v>7.7777777777777777</v>
      </c>
      <c r="CY170" s="160"/>
      <c r="CZ170" s="177">
        <f t="shared" si="208"/>
        <v>9.6000000000000002E-2</v>
      </c>
      <c r="DB170" s="146"/>
      <c r="DC170" s="76">
        <f t="shared" ca="1" si="171"/>
        <v>0.5442062844196407</v>
      </c>
      <c r="DD170">
        <f t="shared" si="209"/>
        <v>3</v>
      </c>
      <c r="DE170" s="129">
        <f t="shared" si="243"/>
        <v>39949</v>
      </c>
      <c r="DF170" s="161">
        <f t="shared" si="210"/>
        <v>0</v>
      </c>
      <c r="DG170" s="161">
        <f t="shared" si="211"/>
        <v>0</v>
      </c>
      <c r="DH170" s="161">
        <f t="shared" si="212"/>
        <v>0</v>
      </c>
      <c r="DI170" s="161">
        <f t="shared" si="213"/>
        <v>0</v>
      </c>
      <c r="DJ170" s="161">
        <f t="shared" si="214"/>
        <v>0</v>
      </c>
      <c r="DK170" s="161">
        <f t="shared" si="215"/>
        <v>0</v>
      </c>
      <c r="DL170" s="161">
        <f t="shared" si="216"/>
        <v>0</v>
      </c>
      <c r="DM170" s="161">
        <f t="shared" si="217"/>
        <v>0</v>
      </c>
      <c r="DN170" s="161">
        <f t="shared" si="218"/>
        <v>0</v>
      </c>
      <c r="DO170" s="161">
        <f t="shared" si="219"/>
        <v>0</v>
      </c>
      <c r="DP170" s="161">
        <f t="shared" si="220"/>
        <v>0</v>
      </c>
      <c r="DQ170" s="161">
        <f t="shared" si="221"/>
        <v>0</v>
      </c>
      <c r="DR170" s="161">
        <f t="shared" si="222"/>
        <v>0</v>
      </c>
      <c r="DS170" s="161">
        <f t="shared" si="223"/>
        <v>0</v>
      </c>
      <c r="DT170" s="161">
        <f t="shared" si="224"/>
        <v>0</v>
      </c>
      <c r="DU170" s="161">
        <f t="shared" si="225"/>
        <v>0</v>
      </c>
      <c r="DV170" s="161">
        <f t="shared" si="226"/>
        <v>0</v>
      </c>
      <c r="DW170" s="161">
        <f t="shared" si="227"/>
        <v>0</v>
      </c>
      <c r="DX170" s="161">
        <f t="shared" si="228"/>
        <v>0</v>
      </c>
      <c r="DY170" s="161">
        <f t="shared" si="229"/>
        <v>0</v>
      </c>
      <c r="DZ170" s="161">
        <f t="shared" si="230"/>
        <v>0</v>
      </c>
      <c r="EA170" s="161">
        <f t="shared" si="231"/>
        <v>0</v>
      </c>
      <c r="EB170" s="161">
        <f t="shared" si="232"/>
        <v>0</v>
      </c>
      <c r="EC170" s="161">
        <f t="shared" si="233"/>
        <v>0</v>
      </c>
      <c r="ED170" s="161">
        <f t="shared" si="234"/>
        <v>0</v>
      </c>
      <c r="EE170" s="161">
        <f t="shared" si="235"/>
        <v>0</v>
      </c>
      <c r="EF170" s="161">
        <f t="shared" si="236"/>
        <v>0</v>
      </c>
      <c r="EG170" s="161">
        <f t="shared" si="237"/>
        <v>0</v>
      </c>
      <c r="EH170" s="161">
        <f t="shared" si="238"/>
        <v>0</v>
      </c>
      <c r="EI170" s="161">
        <f t="shared" si="239"/>
        <v>0</v>
      </c>
      <c r="EJ170" s="161">
        <f t="shared" si="240"/>
        <v>0</v>
      </c>
      <c r="EK170" s="147">
        <f t="shared" si="172"/>
        <v>0</v>
      </c>
      <c r="EL170" s="149"/>
      <c r="EN170" s="146"/>
      <c r="EO170" s="146"/>
      <c r="EP170" s="139">
        <f t="shared" si="173"/>
        <v>0</v>
      </c>
      <c r="EQ170" s="139">
        <f t="shared" si="174"/>
        <v>0</v>
      </c>
      <c r="ER170" s="139">
        <f t="shared" si="175"/>
        <v>0</v>
      </c>
      <c r="ES170" s="139">
        <f t="shared" si="176"/>
        <v>0</v>
      </c>
      <c r="ET170" s="139">
        <f t="shared" si="177"/>
        <v>0</v>
      </c>
      <c r="EU170" s="139">
        <f t="shared" si="178"/>
        <v>0</v>
      </c>
      <c r="EV170" s="139">
        <f t="shared" si="179"/>
        <v>0</v>
      </c>
      <c r="EW170" s="139">
        <f t="shared" si="180"/>
        <v>0</v>
      </c>
      <c r="EX170" s="139">
        <f t="shared" si="181"/>
        <v>0</v>
      </c>
      <c r="EY170" s="139">
        <f t="shared" si="182"/>
        <v>0</v>
      </c>
      <c r="EZ170" s="139">
        <f t="shared" si="183"/>
        <v>0</v>
      </c>
      <c r="FA170" s="139">
        <f t="shared" si="184"/>
        <v>0</v>
      </c>
      <c r="FB170" s="139">
        <f t="shared" si="185"/>
        <v>0</v>
      </c>
      <c r="FC170" s="139">
        <f t="shared" si="186"/>
        <v>0</v>
      </c>
      <c r="FD170" s="139">
        <f t="shared" si="187"/>
        <v>0</v>
      </c>
      <c r="FE170" s="139">
        <f t="shared" si="188"/>
        <v>0</v>
      </c>
      <c r="FF170" s="139">
        <f t="shared" si="189"/>
        <v>0</v>
      </c>
      <c r="FG170" s="139">
        <f t="shared" si="190"/>
        <v>0</v>
      </c>
      <c r="FH170" s="139">
        <f t="shared" si="191"/>
        <v>0</v>
      </c>
      <c r="FI170" s="139">
        <f t="shared" si="192"/>
        <v>0</v>
      </c>
      <c r="FJ170" s="139">
        <f t="shared" si="193"/>
        <v>0</v>
      </c>
      <c r="FK170" s="139">
        <f t="shared" si="194"/>
        <v>0</v>
      </c>
      <c r="FL170" s="139">
        <f t="shared" si="195"/>
        <v>0</v>
      </c>
      <c r="FM170" s="139">
        <f t="shared" si="196"/>
        <v>0</v>
      </c>
      <c r="FN170" s="139">
        <f t="shared" si="197"/>
        <v>0</v>
      </c>
      <c r="FO170" s="139">
        <f t="shared" si="198"/>
        <v>0</v>
      </c>
      <c r="FP170" s="139">
        <f t="shared" si="199"/>
        <v>0</v>
      </c>
      <c r="FQ170" s="139">
        <f t="shared" si="200"/>
        <v>0</v>
      </c>
      <c r="FR170" s="139">
        <f t="shared" si="201"/>
        <v>0</v>
      </c>
      <c r="FS170" s="139">
        <f t="shared" si="202"/>
        <v>0</v>
      </c>
      <c r="FT170" s="139">
        <f t="shared" si="203"/>
        <v>0</v>
      </c>
      <c r="FU170" s="148">
        <f t="shared" si="204"/>
        <v>0</v>
      </c>
      <c r="FV170" s="149"/>
      <c r="FY170" s="211">
        <v>165</v>
      </c>
      <c r="FZ170">
        <v>90.828029167733547</v>
      </c>
      <c r="GA170">
        <v>128.03603342407578</v>
      </c>
      <c r="GB170">
        <v>58.346007189482542</v>
      </c>
      <c r="GC170">
        <v>48.921112893560334</v>
      </c>
      <c r="GD170">
        <v>51.134122703904438</v>
      </c>
      <c r="GE170">
        <v>112.30346980458104</v>
      </c>
      <c r="GF170">
        <v>126.7081539566822</v>
      </c>
      <c r="GG170">
        <v>77.017443842860885</v>
      </c>
      <c r="GH170">
        <v>89.244800923466585</v>
      </c>
      <c r="GI170">
        <v>106.53048827415503</v>
      </c>
      <c r="GJ170"/>
      <c r="GK170"/>
      <c r="GL170"/>
      <c r="GM170"/>
    </row>
    <row r="171" spans="1:195" s="7" customFormat="1">
      <c r="A171" s="1"/>
      <c r="B171" s="76">
        <f ca="1">IF(C171="", "", RAND())</f>
        <v>0.24273501470988723</v>
      </c>
      <c r="C171">
        <v>8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20.833333333333332</v>
      </c>
      <c r="K171">
        <v>52.083333333333336</v>
      </c>
      <c r="L171">
        <v>114.58333333333333</v>
      </c>
      <c r="M171">
        <v>72.916666666666671</v>
      </c>
      <c r="N171">
        <v>20.833333333333332</v>
      </c>
      <c r="O171">
        <v>10.416666666666666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281.58681185173009</v>
      </c>
      <c r="AO171">
        <v>133.95744227791218</v>
      </c>
      <c r="AP171">
        <v>547.88466489571044</v>
      </c>
      <c r="AQ171">
        <v>718.4412088361496</v>
      </c>
      <c r="AR171">
        <v>124.70518152805701</v>
      </c>
      <c r="AS171">
        <v>1360.1166447299695</v>
      </c>
      <c r="AT171">
        <v>58.344266943643184</v>
      </c>
      <c r="AU171">
        <v>271.84409042386994</v>
      </c>
      <c r="AV171"/>
      <c r="AW171"/>
      <c r="AX171" s="146"/>
      <c r="AY171" s="76">
        <f t="shared" ca="1" si="170"/>
        <v>0.40176215586899611</v>
      </c>
      <c r="AZ171">
        <v>4</v>
      </c>
      <c r="BA171" s="129">
        <f t="shared" si="244"/>
        <v>39949</v>
      </c>
      <c r="BB171">
        <v>0</v>
      </c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 s="147"/>
      <c r="CH171" s="176"/>
      <c r="CJ171" s="146"/>
      <c r="CK171" s="76">
        <f t="shared" ca="1" si="205"/>
        <v>0.30329268899263884</v>
      </c>
      <c r="CL171" s="179">
        <f t="shared" si="206"/>
        <v>4</v>
      </c>
      <c r="CM171" s="180">
        <f t="shared" si="207"/>
        <v>39949</v>
      </c>
      <c r="CN171">
        <v>0</v>
      </c>
      <c r="CO171"/>
      <c r="CP171"/>
      <c r="CQ171"/>
      <c r="CR171"/>
      <c r="CS171"/>
      <c r="CT171"/>
      <c r="CU171"/>
      <c r="CV171" s="160"/>
      <c r="CW171">
        <v>1</v>
      </c>
      <c r="CX171">
        <f>320/73</f>
        <v>4.3835616438356162</v>
      </c>
      <c r="CY171" s="160"/>
      <c r="CZ171" s="177">
        <f t="shared" si="208"/>
        <v>9.6000000000000002E-2</v>
      </c>
      <c r="DB171" s="146"/>
      <c r="DC171" s="76">
        <f t="shared" ca="1" si="171"/>
        <v>0.21851715502139335</v>
      </c>
      <c r="DD171">
        <f t="shared" si="209"/>
        <v>4</v>
      </c>
      <c r="DE171" s="129">
        <f t="shared" si="243"/>
        <v>39949</v>
      </c>
      <c r="DF171" s="161">
        <f t="shared" si="210"/>
        <v>0</v>
      </c>
      <c r="DG171" s="161">
        <f t="shared" si="211"/>
        <v>0</v>
      </c>
      <c r="DH171" s="161">
        <f t="shared" si="212"/>
        <v>0</v>
      </c>
      <c r="DI171" s="161">
        <f t="shared" si="213"/>
        <v>0</v>
      </c>
      <c r="DJ171" s="161">
        <f t="shared" si="214"/>
        <v>0</v>
      </c>
      <c r="DK171" s="161">
        <f t="shared" si="215"/>
        <v>0</v>
      </c>
      <c r="DL171" s="161">
        <f t="shared" si="216"/>
        <v>0</v>
      </c>
      <c r="DM171" s="161">
        <f t="shared" si="217"/>
        <v>0</v>
      </c>
      <c r="DN171" s="161">
        <f t="shared" si="218"/>
        <v>0</v>
      </c>
      <c r="DO171" s="161">
        <f t="shared" si="219"/>
        <v>0</v>
      </c>
      <c r="DP171" s="161">
        <f t="shared" si="220"/>
        <v>0</v>
      </c>
      <c r="DQ171" s="161">
        <f t="shared" si="221"/>
        <v>0</v>
      </c>
      <c r="DR171" s="161">
        <f t="shared" si="222"/>
        <v>0</v>
      </c>
      <c r="DS171" s="161">
        <f t="shared" si="223"/>
        <v>0</v>
      </c>
      <c r="DT171" s="161">
        <f t="shared" si="224"/>
        <v>0</v>
      </c>
      <c r="DU171" s="161">
        <f t="shared" si="225"/>
        <v>0</v>
      </c>
      <c r="DV171" s="161">
        <f t="shared" si="226"/>
        <v>0</v>
      </c>
      <c r="DW171" s="161">
        <f t="shared" si="227"/>
        <v>0</v>
      </c>
      <c r="DX171" s="161">
        <f t="shared" si="228"/>
        <v>0</v>
      </c>
      <c r="DY171" s="161">
        <f t="shared" si="229"/>
        <v>0</v>
      </c>
      <c r="DZ171" s="161">
        <f t="shared" si="230"/>
        <v>0</v>
      </c>
      <c r="EA171" s="161">
        <f t="shared" si="231"/>
        <v>0</v>
      </c>
      <c r="EB171" s="161">
        <f t="shared" si="232"/>
        <v>0</v>
      </c>
      <c r="EC171" s="161">
        <f t="shared" si="233"/>
        <v>0</v>
      </c>
      <c r="ED171" s="161">
        <f t="shared" si="234"/>
        <v>0</v>
      </c>
      <c r="EE171" s="161">
        <f t="shared" si="235"/>
        <v>0</v>
      </c>
      <c r="EF171" s="161">
        <f t="shared" si="236"/>
        <v>0</v>
      </c>
      <c r="EG171" s="161">
        <f t="shared" si="237"/>
        <v>0</v>
      </c>
      <c r="EH171" s="161">
        <f t="shared" si="238"/>
        <v>0</v>
      </c>
      <c r="EI171" s="161">
        <f t="shared" si="239"/>
        <v>0</v>
      </c>
      <c r="EJ171" s="161">
        <f t="shared" si="240"/>
        <v>0</v>
      </c>
      <c r="EK171" s="147">
        <f t="shared" si="172"/>
        <v>0</v>
      </c>
      <c r="EL171" s="149"/>
      <c r="EN171" s="146"/>
      <c r="EO171" s="146"/>
      <c r="EP171" s="139">
        <f t="shared" si="173"/>
        <v>0</v>
      </c>
      <c r="EQ171" s="139">
        <f t="shared" si="174"/>
        <v>0</v>
      </c>
      <c r="ER171" s="139">
        <f t="shared" si="175"/>
        <v>0</v>
      </c>
      <c r="ES171" s="139">
        <f t="shared" si="176"/>
        <v>0</v>
      </c>
      <c r="ET171" s="139">
        <f t="shared" si="177"/>
        <v>0</v>
      </c>
      <c r="EU171" s="139">
        <f t="shared" si="178"/>
        <v>0</v>
      </c>
      <c r="EV171" s="139">
        <f t="shared" si="179"/>
        <v>0</v>
      </c>
      <c r="EW171" s="139">
        <f t="shared" si="180"/>
        <v>0</v>
      </c>
      <c r="EX171" s="139">
        <f t="shared" si="181"/>
        <v>0</v>
      </c>
      <c r="EY171" s="139">
        <f t="shared" si="182"/>
        <v>0</v>
      </c>
      <c r="EZ171" s="139">
        <f t="shared" si="183"/>
        <v>0</v>
      </c>
      <c r="FA171" s="139">
        <f t="shared" si="184"/>
        <v>0</v>
      </c>
      <c r="FB171" s="139">
        <f t="shared" si="185"/>
        <v>0</v>
      </c>
      <c r="FC171" s="139">
        <f t="shared" si="186"/>
        <v>0</v>
      </c>
      <c r="FD171" s="139">
        <f t="shared" si="187"/>
        <v>0</v>
      </c>
      <c r="FE171" s="139">
        <f t="shared" si="188"/>
        <v>0</v>
      </c>
      <c r="FF171" s="139">
        <f t="shared" si="189"/>
        <v>0</v>
      </c>
      <c r="FG171" s="139">
        <f t="shared" si="190"/>
        <v>0</v>
      </c>
      <c r="FH171" s="139">
        <f t="shared" si="191"/>
        <v>0</v>
      </c>
      <c r="FI171" s="139">
        <f t="shared" si="192"/>
        <v>0</v>
      </c>
      <c r="FJ171" s="139">
        <f t="shared" si="193"/>
        <v>0</v>
      </c>
      <c r="FK171" s="139">
        <f t="shared" si="194"/>
        <v>0</v>
      </c>
      <c r="FL171" s="139">
        <f t="shared" si="195"/>
        <v>0</v>
      </c>
      <c r="FM171" s="139">
        <f t="shared" si="196"/>
        <v>0</v>
      </c>
      <c r="FN171" s="139">
        <f t="shared" si="197"/>
        <v>0</v>
      </c>
      <c r="FO171" s="139">
        <f t="shared" si="198"/>
        <v>0</v>
      </c>
      <c r="FP171" s="139">
        <f t="shared" si="199"/>
        <v>0</v>
      </c>
      <c r="FQ171" s="139">
        <f t="shared" si="200"/>
        <v>0</v>
      </c>
      <c r="FR171" s="139">
        <f t="shared" si="201"/>
        <v>0</v>
      </c>
      <c r="FS171" s="139">
        <f t="shared" si="202"/>
        <v>0</v>
      </c>
      <c r="FT171" s="139">
        <f t="shared" si="203"/>
        <v>0</v>
      </c>
      <c r="FU171" s="148">
        <f t="shared" si="204"/>
        <v>0</v>
      </c>
      <c r="FV171" s="149"/>
      <c r="FY171" s="211">
        <v>166</v>
      </c>
      <c r="FZ171">
        <v>133.78638510662012</v>
      </c>
      <c r="GA171">
        <v>155.81641639123669</v>
      </c>
      <c r="GB171">
        <v>41.375654571868509</v>
      </c>
      <c r="GC171">
        <v>43.045163236098887</v>
      </c>
      <c r="GD171">
        <v>50.684291894125678</v>
      </c>
      <c r="GE171">
        <v>76.898806718909384</v>
      </c>
      <c r="GF171">
        <v>77.102823091096099</v>
      </c>
      <c r="GG171">
        <v>59.622736869601141</v>
      </c>
      <c r="GH171">
        <v>65.918713427457035</v>
      </c>
      <c r="GI171">
        <v>91.317941310898249</v>
      </c>
      <c r="GJ171"/>
      <c r="GK171"/>
      <c r="GL171"/>
      <c r="GM171"/>
    </row>
    <row r="172" spans="1:195" s="7" customFormat="1">
      <c r="A172" s="1"/>
      <c r="B172" s="76">
        <f ca="1">IF(C172="", "", RAND())</f>
        <v>0.89539164585073339</v>
      </c>
      <c r="C172">
        <v>3</v>
      </c>
      <c r="D172">
        <v>39949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245.02688150798636</v>
      </c>
      <c r="AO172">
        <v>149.34472243557161</v>
      </c>
      <c r="AP172">
        <v>571.34978731728029</v>
      </c>
      <c r="AQ172">
        <v>833.54423993117098</v>
      </c>
      <c r="AR172">
        <v>141.04068164768589</v>
      </c>
      <c r="AS172">
        <v>1510.8207541625491</v>
      </c>
      <c r="AT172">
        <v>73.205473781941876</v>
      </c>
      <c r="AU172">
        <v>159.9036398204631</v>
      </c>
      <c r="AV172"/>
      <c r="AW172"/>
      <c r="AX172" s="146"/>
      <c r="AY172" s="76">
        <f t="shared" ca="1" si="170"/>
        <v>0.38456563422440304</v>
      </c>
      <c r="AZ172">
        <v>5</v>
      </c>
      <c r="BA172" s="129">
        <f t="shared" si="244"/>
        <v>39949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2</v>
      </c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 s="147"/>
      <c r="CH172" s="176"/>
      <c r="CJ172" s="146"/>
      <c r="CK172" s="76">
        <f t="shared" ca="1" si="205"/>
        <v>2.3861313947402429E-2</v>
      </c>
      <c r="CL172" s="179">
        <f t="shared" si="206"/>
        <v>5</v>
      </c>
      <c r="CM172" s="180">
        <f t="shared" si="207"/>
        <v>39949</v>
      </c>
      <c r="CN172"/>
      <c r="CO172"/>
      <c r="CP172"/>
      <c r="CQ172"/>
      <c r="CR172"/>
      <c r="CS172"/>
      <c r="CT172"/>
      <c r="CU172"/>
      <c r="CV172" s="160"/>
      <c r="CW172">
        <v>1</v>
      </c>
      <c r="CX172">
        <v>1</v>
      </c>
      <c r="CY172" s="160"/>
      <c r="CZ172" s="177">
        <f t="shared" si="208"/>
        <v>9.6000000000000002E-2</v>
      </c>
      <c r="DB172" s="146"/>
      <c r="DC172" s="76">
        <f t="shared" ca="1" si="171"/>
        <v>0.68171062809707705</v>
      </c>
      <c r="DD172">
        <f t="shared" si="209"/>
        <v>5</v>
      </c>
      <c r="DE172" s="129">
        <f t="shared" si="243"/>
        <v>39949</v>
      </c>
      <c r="DF172" s="161">
        <f t="shared" si="210"/>
        <v>0</v>
      </c>
      <c r="DG172" s="161">
        <f t="shared" si="211"/>
        <v>0</v>
      </c>
      <c r="DH172" s="161">
        <f t="shared" si="212"/>
        <v>0</v>
      </c>
      <c r="DI172" s="161">
        <f t="shared" si="213"/>
        <v>0</v>
      </c>
      <c r="DJ172" s="161">
        <f t="shared" si="214"/>
        <v>0</v>
      </c>
      <c r="DK172" s="161">
        <f t="shared" si="215"/>
        <v>0</v>
      </c>
      <c r="DL172" s="161">
        <f t="shared" si="216"/>
        <v>0</v>
      </c>
      <c r="DM172" s="161">
        <f t="shared" si="217"/>
        <v>0</v>
      </c>
      <c r="DN172" s="161">
        <f t="shared" si="218"/>
        <v>0</v>
      </c>
      <c r="DO172" s="161">
        <f t="shared" si="219"/>
        <v>0</v>
      </c>
      <c r="DP172" s="161">
        <f t="shared" si="220"/>
        <v>20.833333333333332</v>
      </c>
      <c r="DQ172" s="161">
        <f t="shared" si="221"/>
        <v>0</v>
      </c>
      <c r="DR172" s="161">
        <f t="shared" si="222"/>
        <v>0</v>
      </c>
      <c r="DS172" s="161">
        <f t="shared" si="223"/>
        <v>0</v>
      </c>
      <c r="DT172" s="161">
        <f t="shared" si="224"/>
        <v>0</v>
      </c>
      <c r="DU172" s="161">
        <f t="shared" si="225"/>
        <v>0</v>
      </c>
      <c r="DV172" s="161">
        <f t="shared" si="226"/>
        <v>0</v>
      </c>
      <c r="DW172" s="161">
        <f t="shared" si="227"/>
        <v>0</v>
      </c>
      <c r="DX172" s="161">
        <f t="shared" si="228"/>
        <v>0</v>
      </c>
      <c r="DY172" s="161">
        <f t="shared" si="229"/>
        <v>0</v>
      </c>
      <c r="DZ172" s="161">
        <f t="shared" si="230"/>
        <v>0</v>
      </c>
      <c r="EA172" s="161">
        <f t="shared" si="231"/>
        <v>0</v>
      </c>
      <c r="EB172" s="161">
        <f t="shared" si="232"/>
        <v>0</v>
      </c>
      <c r="EC172" s="161">
        <f t="shared" si="233"/>
        <v>0</v>
      </c>
      <c r="ED172" s="161">
        <f t="shared" si="234"/>
        <v>0</v>
      </c>
      <c r="EE172" s="161">
        <f t="shared" si="235"/>
        <v>0</v>
      </c>
      <c r="EF172" s="161">
        <f t="shared" si="236"/>
        <v>0</v>
      </c>
      <c r="EG172" s="161">
        <f t="shared" si="237"/>
        <v>0</v>
      </c>
      <c r="EH172" s="161">
        <f t="shared" si="238"/>
        <v>0</v>
      </c>
      <c r="EI172" s="161">
        <f t="shared" si="239"/>
        <v>0</v>
      </c>
      <c r="EJ172" s="161">
        <f t="shared" si="240"/>
        <v>0</v>
      </c>
      <c r="EK172" s="147">
        <f t="shared" si="172"/>
        <v>20.833333333333332</v>
      </c>
      <c r="EL172" s="149"/>
      <c r="EN172" s="146"/>
      <c r="EO172" s="146"/>
      <c r="EP172" s="139">
        <f t="shared" si="173"/>
        <v>0</v>
      </c>
      <c r="EQ172" s="139">
        <f t="shared" si="174"/>
        <v>0</v>
      </c>
      <c r="ER172" s="139">
        <f t="shared" si="175"/>
        <v>0</v>
      </c>
      <c r="ES172" s="139">
        <f t="shared" si="176"/>
        <v>0</v>
      </c>
      <c r="ET172" s="139">
        <f t="shared" si="177"/>
        <v>0</v>
      </c>
      <c r="EU172" s="139">
        <f t="shared" si="178"/>
        <v>0</v>
      </c>
      <c r="EV172" s="139">
        <f t="shared" si="179"/>
        <v>0</v>
      </c>
      <c r="EW172" s="139">
        <f t="shared" si="180"/>
        <v>0</v>
      </c>
      <c r="EX172" s="139">
        <f t="shared" si="181"/>
        <v>0</v>
      </c>
      <c r="EY172" s="139">
        <f t="shared" si="182"/>
        <v>0</v>
      </c>
      <c r="EZ172" s="139">
        <f t="shared" si="183"/>
        <v>111.59302069116853</v>
      </c>
      <c r="FA172" s="139">
        <f t="shared" si="184"/>
        <v>0</v>
      </c>
      <c r="FB172" s="139">
        <f t="shared" si="185"/>
        <v>0</v>
      </c>
      <c r="FC172" s="139">
        <f t="shared" si="186"/>
        <v>0</v>
      </c>
      <c r="FD172" s="139">
        <f t="shared" si="187"/>
        <v>0</v>
      </c>
      <c r="FE172" s="139">
        <f t="shared" si="188"/>
        <v>0</v>
      </c>
      <c r="FF172" s="139">
        <f t="shared" si="189"/>
        <v>0</v>
      </c>
      <c r="FG172" s="139">
        <f t="shared" si="190"/>
        <v>0</v>
      </c>
      <c r="FH172" s="139">
        <f t="shared" si="191"/>
        <v>0</v>
      </c>
      <c r="FI172" s="139">
        <f t="shared" si="192"/>
        <v>0</v>
      </c>
      <c r="FJ172" s="139">
        <f t="shared" si="193"/>
        <v>0</v>
      </c>
      <c r="FK172" s="139">
        <f t="shared" si="194"/>
        <v>0</v>
      </c>
      <c r="FL172" s="139">
        <f t="shared" si="195"/>
        <v>0</v>
      </c>
      <c r="FM172" s="139">
        <f t="shared" si="196"/>
        <v>0</v>
      </c>
      <c r="FN172" s="139">
        <f t="shared" si="197"/>
        <v>0</v>
      </c>
      <c r="FO172" s="139">
        <f t="shared" si="198"/>
        <v>0</v>
      </c>
      <c r="FP172" s="139">
        <f t="shared" si="199"/>
        <v>0</v>
      </c>
      <c r="FQ172" s="139">
        <f t="shared" si="200"/>
        <v>0</v>
      </c>
      <c r="FR172" s="139">
        <f t="shared" si="201"/>
        <v>0</v>
      </c>
      <c r="FS172" s="139">
        <f t="shared" si="202"/>
        <v>0</v>
      </c>
      <c r="FT172" s="139">
        <f t="shared" si="203"/>
        <v>0</v>
      </c>
      <c r="FU172" s="148">
        <f t="shared" si="204"/>
        <v>111.59302069116853</v>
      </c>
      <c r="FV172" s="149"/>
      <c r="FY172" s="211">
        <v>167</v>
      </c>
      <c r="FZ172">
        <v>102.1761964562283</v>
      </c>
      <c r="GA172">
        <v>129.77556936936119</v>
      </c>
      <c r="GB172">
        <v>49.60811792113482</v>
      </c>
      <c r="GC172">
        <v>38.918306692537179</v>
      </c>
      <c r="GD172">
        <v>38.738125207640209</v>
      </c>
      <c r="GE172">
        <v>81.291805249358703</v>
      </c>
      <c r="GF172">
        <v>114.59853143597985</v>
      </c>
      <c r="GG172">
        <v>64.951710371733583</v>
      </c>
      <c r="GH172">
        <v>42.246976519583129</v>
      </c>
      <c r="GI172">
        <v>86.870697052805639</v>
      </c>
      <c r="GJ172"/>
      <c r="GK172"/>
      <c r="GL172"/>
      <c r="GM172"/>
    </row>
    <row r="173" spans="1:195" s="7" customFormat="1">
      <c r="A173" s="1"/>
      <c r="B173" s="76">
        <f ca="1">IF(C173="", "", RAND())</f>
        <v>0.22056326769168333</v>
      </c>
      <c r="C173">
        <v>9</v>
      </c>
      <c r="D173">
        <v>39949</v>
      </c>
      <c r="E173">
        <v>0</v>
      </c>
      <c r="F173">
        <v>0</v>
      </c>
      <c r="G173">
        <v>0</v>
      </c>
      <c r="H173">
        <v>10.416666666666666</v>
      </c>
      <c r="I173">
        <v>10.416666666666666</v>
      </c>
      <c r="J173">
        <v>0</v>
      </c>
      <c r="K173">
        <v>10.416666666666666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260.77862824216231</v>
      </c>
      <c r="AO173">
        <v>151.02092508155664</v>
      </c>
      <c r="AP173">
        <v>743.57216074817757</v>
      </c>
      <c r="AQ173">
        <v>770.1904317031067</v>
      </c>
      <c r="AR173">
        <v>142.44699380664693</v>
      </c>
      <c r="AS173">
        <v>1477.6981767555735</v>
      </c>
      <c r="AT173">
        <v>73.691984017210032</v>
      </c>
      <c r="AU173">
        <v>493.02201000565765</v>
      </c>
      <c r="AV173"/>
      <c r="AW173"/>
      <c r="AX173" s="146"/>
      <c r="AY173" s="76">
        <f t="shared" ca="1" si="170"/>
        <v>0.17006111116331768</v>
      </c>
      <c r="AZ173">
        <v>6</v>
      </c>
      <c r="BA173" s="129">
        <f t="shared" si="244"/>
        <v>39949</v>
      </c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 s="147"/>
      <c r="CH173" s="176"/>
      <c r="CJ173" s="146"/>
      <c r="CK173" s="76">
        <f t="shared" ca="1" si="205"/>
        <v>0.14324714995945698</v>
      </c>
      <c r="CL173" s="179">
        <f t="shared" si="206"/>
        <v>6</v>
      </c>
      <c r="CM173" s="180">
        <f t="shared" si="207"/>
        <v>39949</v>
      </c>
      <c r="CN173"/>
      <c r="CO173"/>
      <c r="CP173"/>
      <c r="CQ173"/>
      <c r="CR173"/>
      <c r="CS173"/>
      <c r="CT173"/>
      <c r="CU173"/>
      <c r="CV173" s="160"/>
      <c r="CW173">
        <v>1</v>
      </c>
      <c r="CX173">
        <v>1</v>
      </c>
      <c r="CY173" s="160"/>
      <c r="CZ173" s="177">
        <f t="shared" si="208"/>
        <v>9.6000000000000002E-2</v>
      </c>
      <c r="DB173" s="146"/>
      <c r="DC173" s="76">
        <f t="shared" ca="1" si="171"/>
        <v>0.54347961368900255</v>
      </c>
      <c r="DD173">
        <f t="shared" si="209"/>
        <v>6</v>
      </c>
      <c r="DE173" s="129">
        <f t="shared" si="243"/>
        <v>39949</v>
      </c>
      <c r="DF173" s="161">
        <f t="shared" si="210"/>
        <v>0</v>
      </c>
      <c r="DG173" s="161">
        <f t="shared" si="211"/>
        <v>0</v>
      </c>
      <c r="DH173" s="161">
        <f t="shared" si="212"/>
        <v>0</v>
      </c>
      <c r="DI173" s="161">
        <f t="shared" si="213"/>
        <v>0</v>
      </c>
      <c r="DJ173" s="161">
        <f t="shared" si="214"/>
        <v>0</v>
      </c>
      <c r="DK173" s="161">
        <f t="shared" si="215"/>
        <v>0</v>
      </c>
      <c r="DL173" s="161">
        <f t="shared" si="216"/>
        <v>0</v>
      </c>
      <c r="DM173" s="161">
        <f t="shared" si="217"/>
        <v>0</v>
      </c>
      <c r="DN173" s="161">
        <f t="shared" si="218"/>
        <v>0</v>
      </c>
      <c r="DO173" s="161">
        <f t="shared" si="219"/>
        <v>0</v>
      </c>
      <c r="DP173" s="161">
        <f t="shared" si="220"/>
        <v>0</v>
      </c>
      <c r="DQ173" s="161">
        <f t="shared" si="221"/>
        <v>0</v>
      </c>
      <c r="DR173" s="161">
        <f t="shared" si="222"/>
        <v>0</v>
      </c>
      <c r="DS173" s="161">
        <f t="shared" si="223"/>
        <v>0</v>
      </c>
      <c r="DT173" s="161">
        <f t="shared" si="224"/>
        <v>0</v>
      </c>
      <c r="DU173" s="161">
        <f t="shared" si="225"/>
        <v>0</v>
      </c>
      <c r="DV173" s="161">
        <f t="shared" si="226"/>
        <v>0</v>
      </c>
      <c r="DW173" s="161">
        <f t="shared" si="227"/>
        <v>0</v>
      </c>
      <c r="DX173" s="161">
        <f t="shared" si="228"/>
        <v>0</v>
      </c>
      <c r="DY173" s="161">
        <f t="shared" si="229"/>
        <v>0</v>
      </c>
      <c r="DZ173" s="161">
        <f t="shared" si="230"/>
        <v>0</v>
      </c>
      <c r="EA173" s="161">
        <f t="shared" si="231"/>
        <v>0</v>
      </c>
      <c r="EB173" s="161">
        <f t="shared" si="232"/>
        <v>0</v>
      </c>
      <c r="EC173" s="161">
        <f t="shared" si="233"/>
        <v>0</v>
      </c>
      <c r="ED173" s="161">
        <f t="shared" si="234"/>
        <v>0</v>
      </c>
      <c r="EE173" s="161">
        <f t="shared" si="235"/>
        <v>0</v>
      </c>
      <c r="EF173" s="161">
        <f t="shared" si="236"/>
        <v>0</v>
      </c>
      <c r="EG173" s="161">
        <f t="shared" si="237"/>
        <v>0</v>
      </c>
      <c r="EH173" s="161">
        <f t="shared" si="238"/>
        <v>0</v>
      </c>
      <c r="EI173" s="161">
        <f t="shared" si="239"/>
        <v>0</v>
      </c>
      <c r="EJ173" s="161">
        <f t="shared" si="240"/>
        <v>0</v>
      </c>
      <c r="EK173" s="147">
        <f t="shared" si="172"/>
        <v>0</v>
      </c>
      <c r="EL173" s="149"/>
      <c r="EN173" s="146"/>
      <c r="EO173" s="146"/>
      <c r="EP173" s="139">
        <f t="shared" si="173"/>
        <v>0</v>
      </c>
      <c r="EQ173" s="139">
        <f t="shared" si="174"/>
        <v>0</v>
      </c>
      <c r="ER173" s="139">
        <f t="shared" si="175"/>
        <v>0</v>
      </c>
      <c r="ES173" s="139">
        <f t="shared" si="176"/>
        <v>0</v>
      </c>
      <c r="ET173" s="139">
        <f t="shared" si="177"/>
        <v>0</v>
      </c>
      <c r="EU173" s="139">
        <f t="shared" si="178"/>
        <v>0</v>
      </c>
      <c r="EV173" s="139">
        <f t="shared" si="179"/>
        <v>0</v>
      </c>
      <c r="EW173" s="139">
        <f t="shared" si="180"/>
        <v>0</v>
      </c>
      <c r="EX173" s="139">
        <f t="shared" si="181"/>
        <v>0</v>
      </c>
      <c r="EY173" s="139">
        <f t="shared" si="182"/>
        <v>0</v>
      </c>
      <c r="EZ173" s="139">
        <f t="shared" si="183"/>
        <v>0</v>
      </c>
      <c r="FA173" s="139">
        <f t="shared" si="184"/>
        <v>0</v>
      </c>
      <c r="FB173" s="139">
        <f t="shared" si="185"/>
        <v>0</v>
      </c>
      <c r="FC173" s="139">
        <f t="shared" si="186"/>
        <v>0</v>
      </c>
      <c r="FD173" s="139">
        <f t="shared" si="187"/>
        <v>0</v>
      </c>
      <c r="FE173" s="139">
        <f t="shared" si="188"/>
        <v>0</v>
      </c>
      <c r="FF173" s="139">
        <f t="shared" si="189"/>
        <v>0</v>
      </c>
      <c r="FG173" s="139">
        <f t="shared" si="190"/>
        <v>0</v>
      </c>
      <c r="FH173" s="139">
        <f t="shared" si="191"/>
        <v>0</v>
      </c>
      <c r="FI173" s="139">
        <f t="shared" si="192"/>
        <v>0</v>
      </c>
      <c r="FJ173" s="139">
        <f t="shared" si="193"/>
        <v>0</v>
      </c>
      <c r="FK173" s="139">
        <f t="shared" si="194"/>
        <v>0</v>
      </c>
      <c r="FL173" s="139">
        <f t="shared" si="195"/>
        <v>0</v>
      </c>
      <c r="FM173" s="139">
        <f t="shared" si="196"/>
        <v>0</v>
      </c>
      <c r="FN173" s="139">
        <f t="shared" si="197"/>
        <v>0</v>
      </c>
      <c r="FO173" s="139">
        <f t="shared" si="198"/>
        <v>0</v>
      </c>
      <c r="FP173" s="139">
        <f t="shared" si="199"/>
        <v>0</v>
      </c>
      <c r="FQ173" s="139">
        <f t="shared" si="200"/>
        <v>0</v>
      </c>
      <c r="FR173" s="139">
        <f t="shared" si="201"/>
        <v>0</v>
      </c>
      <c r="FS173" s="139">
        <f t="shared" si="202"/>
        <v>0</v>
      </c>
      <c r="FT173" s="139">
        <f t="shared" si="203"/>
        <v>0</v>
      </c>
      <c r="FU173" s="148">
        <f t="shared" si="204"/>
        <v>0</v>
      </c>
      <c r="FV173" s="149"/>
      <c r="FY173" s="211">
        <v>168</v>
      </c>
      <c r="FZ173">
        <v>124.68595777767865</v>
      </c>
      <c r="GA173">
        <v>162.29530689514763</v>
      </c>
      <c r="GB173">
        <v>62.198237256342225</v>
      </c>
      <c r="GC173">
        <v>47.88559133614838</v>
      </c>
      <c r="GD173">
        <v>36.736438774925659</v>
      </c>
      <c r="GE173">
        <v>80.24191512177444</v>
      </c>
      <c r="GF173">
        <v>122.77320123883092</v>
      </c>
      <c r="GG173">
        <v>24.553918713269759</v>
      </c>
      <c r="GH173">
        <v>9.0605738010444412</v>
      </c>
      <c r="GI173">
        <v>88.174162414060874</v>
      </c>
      <c r="GJ173"/>
      <c r="GK173"/>
      <c r="GL173"/>
      <c r="GM173"/>
    </row>
    <row r="174" spans="1:195" s="7" customFormat="1">
      <c r="A174" s="1"/>
      <c r="B174" s="76">
        <f ca="1">IF(C174="", "", RAND())</f>
        <v>0.11561810002432815</v>
      </c>
      <c r="C174">
        <v>4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263.82534541755564</v>
      </c>
      <c r="AO174">
        <v>151.08710169102906</v>
      </c>
      <c r="AP174">
        <v>622.66612352007235</v>
      </c>
      <c r="AQ174">
        <v>806.92077791426993</v>
      </c>
      <c r="AR174">
        <v>140.63752319703661</v>
      </c>
      <c r="AS174">
        <v>1377.5729490084557</v>
      </c>
      <c r="AT174">
        <v>69.336437867889771</v>
      </c>
      <c r="AU174">
        <v>211.65138925158618</v>
      </c>
      <c r="AV174"/>
      <c r="AW174"/>
      <c r="AX174" s="146"/>
      <c r="AY174" s="76">
        <f t="shared" ca="1" si="170"/>
        <v>0.45187064415245914</v>
      </c>
      <c r="AZ174">
        <v>7</v>
      </c>
      <c r="BA174" s="129">
        <f t="shared" si="244"/>
        <v>39949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1</v>
      </c>
      <c r="BH174">
        <v>3</v>
      </c>
      <c r="BI174">
        <v>0</v>
      </c>
      <c r="BJ174">
        <v>7</v>
      </c>
      <c r="BK174">
        <v>6</v>
      </c>
      <c r="BL174">
        <v>2</v>
      </c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 s="147"/>
      <c r="CH174" s="176"/>
      <c r="CJ174" s="146"/>
      <c r="CK174" s="76">
        <f t="shared" ca="1" si="205"/>
        <v>0.62105830117473282</v>
      </c>
      <c r="CL174" s="179">
        <f t="shared" si="206"/>
        <v>7</v>
      </c>
      <c r="CM174" s="180">
        <f t="shared" si="207"/>
        <v>39949</v>
      </c>
      <c r="CN174"/>
      <c r="CO174"/>
      <c r="CP174"/>
      <c r="CQ174"/>
      <c r="CR174"/>
      <c r="CS174"/>
      <c r="CT174"/>
      <c r="CU174"/>
      <c r="CV174" s="160"/>
      <c r="CW174">
        <v>1</v>
      </c>
      <c r="CX174">
        <v>1</v>
      </c>
      <c r="CY174" s="165"/>
      <c r="CZ174" s="177">
        <f t="shared" si="208"/>
        <v>9.6000000000000002E-2</v>
      </c>
      <c r="DB174" s="146"/>
      <c r="DC174" s="76">
        <f t="shared" ca="1" si="171"/>
        <v>0.25970589449829884</v>
      </c>
      <c r="DD174">
        <f t="shared" si="209"/>
        <v>7</v>
      </c>
      <c r="DE174" s="129">
        <f t="shared" si="243"/>
        <v>39949</v>
      </c>
      <c r="DF174" s="161">
        <f t="shared" si="210"/>
        <v>0</v>
      </c>
      <c r="DG174" s="161">
        <f t="shared" si="211"/>
        <v>0</v>
      </c>
      <c r="DH174" s="161">
        <f t="shared" si="212"/>
        <v>0</v>
      </c>
      <c r="DI174" s="161">
        <f t="shared" si="213"/>
        <v>0</v>
      </c>
      <c r="DJ174" s="161">
        <f t="shared" si="214"/>
        <v>0</v>
      </c>
      <c r="DK174" s="161">
        <f t="shared" si="215"/>
        <v>10.416666666666666</v>
      </c>
      <c r="DL174" s="161">
        <f t="shared" si="216"/>
        <v>31.25</v>
      </c>
      <c r="DM174" s="161">
        <f t="shared" si="217"/>
        <v>0</v>
      </c>
      <c r="DN174" s="161">
        <f t="shared" si="218"/>
        <v>72.916666666666671</v>
      </c>
      <c r="DO174" s="161">
        <f t="shared" si="219"/>
        <v>62.5</v>
      </c>
      <c r="DP174" s="161">
        <f t="shared" si="220"/>
        <v>20.833333333333332</v>
      </c>
      <c r="DQ174" s="161">
        <f t="shared" si="221"/>
        <v>0</v>
      </c>
      <c r="DR174" s="161">
        <f t="shared" si="222"/>
        <v>0</v>
      </c>
      <c r="DS174" s="161">
        <f t="shared" si="223"/>
        <v>0</v>
      </c>
      <c r="DT174" s="161">
        <f t="shared" si="224"/>
        <v>0</v>
      </c>
      <c r="DU174" s="161">
        <f t="shared" si="225"/>
        <v>0</v>
      </c>
      <c r="DV174" s="161">
        <f t="shared" si="226"/>
        <v>0</v>
      </c>
      <c r="DW174" s="161">
        <f t="shared" si="227"/>
        <v>0</v>
      </c>
      <c r="DX174" s="161">
        <f t="shared" si="228"/>
        <v>0</v>
      </c>
      <c r="DY174" s="161">
        <f t="shared" si="229"/>
        <v>0</v>
      </c>
      <c r="DZ174" s="161">
        <f t="shared" si="230"/>
        <v>0</v>
      </c>
      <c r="EA174" s="161">
        <f t="shared" si="231"/>
        <v>0</v>
      </c>
      <c r="EB174" s="161">
        <f t="shared" si="232"/>
        <v>0</v>
      </c>
      <c r="EC174" s="161">
        <f t="shared" si="233"/>
        <v>0</v>
      </c>
      <c r="ED174" s="161">
        <f t="shared" si="234"/>
        <v>0</v>
      </c>
      <c r="EE174" s="161">
        <f t="shared" si="235"/>
        <v>0</v>
      </c>
      <c r="EF174" s="161">
        <f t="shared" si="236"/>
        <v>0</v>
      </c>
      <c r="EG174" s="161">
        <f t="shared" si="237"/>
        <v>0</v>
      </c>
      <c r="EH174" s="161">
        <f t="shared" si="238"/>
        <v>0</v>
      </c>
      <c r="EI174" s="161">
        <f t="shared" si="239"/>
        <v>0</v>
      </c>
      <c r="EJ174" s="161">
        <f t="shared" si="240"/>
        <v>0</v>
      </c>
      <c r="EK174" s="147">
        <f t="shared" si="172"/>
        <v>197.91666666666669</v>
      </c>
      <c r="EL174" s="149"/>
      <c r="EN174" s="146"/>
      <c r="EO174" s="146"/>
      <c r="EP174" s="139">
        <f t="shared" si="173"/>
        <v>0</v>
      </c>
      <c r="EQ174" s="139">
        <f t="shared" si="174"/>
        <v>0</v>
      </c>
      <c r="ER174" s="139">
        <f t="shared" si="175"/>
        <v>0</v>
      </c>
      <c r="ES174" s="139">
        <f t="shared" si="176"/>
        <v>0</v>
      </c>
      <c r="ET174" s="139">
        <f t="shared" si="177"/>
        <v>0</v>
      </c>
      <c r="EU174" s="139">
        <f t="shared" si="178"/>
        <v>8.7853696509678922</v>
      </c>
      <c r="EV174" s="139">
        <f t="shared" si="179"/>
        <v>42.86054384802538</v>
      </c>
      <c r="EW174" s="139">
        <f t="shared" si="180"/>
        <v>0</v>
      </c>
      <c r="EX174" s="139">
        <f t="shared" si="181"/>
        <v>215.40018563181528</v>
      </c>
      <c r="EY174" s="139">
        <f t="shared" si="182"/>
        <v>252.76856387767421</v>
      </c>
      <c r="EZ174" s="139">
        <f t="shared" si="183"/>
        <v>111.59302069116853</v>
      </c>
      <c r="FA174" s="139">
        <f t="shared" si="184"/>
        <v>0</v>
      </c>
      <c r="FB174" s="139">
        <f t="shared" si="185"/>
        <v>0</v>
      </c>
      <c r="FC174" s="139">
        <f t="shared" si="186"/>
        <v>0</v>
      </c>
      <c r="FD174" s="139">
        <f t="shared" si="187"/>
        <v>0</v>
      </c>
      <c r="FE174" s="139">
        <f t="shared" si="188"/>
        <v>0</v>
      </c>
      <c r="FF174" s="139">
        <f t="shared" si="189"/>
        <v>0</v>
      </c>
      <c r="FG174" s="139">
        <f t="shared" si="190"/>
        <v>0</v>
      </c>
      <c r="FH174" s="139">
        <f t="shared" si="191"/>
        <v>0</v>
      </c>
      <c r="FI174" s="139">
        <f t="shared" si="192"/>
        <v>0</v>
      </c>
      <c r="FJ174" s="139">
        <f t="shared" si="193"/>
        <v>0</v>
      </c>
      <c r="FK174" s="139">
        <f t="shared" si="194"/>
        <v>0</v>
      </c>
      <c r="FL174" s="139">
        <f t="shared" si="195"/>
        <v>0</v>
      </c>
      <c r="FM174" s="139">
        <f t="shared" si="196"/>
        <v>0</v>
      </c>
      <c r="FN174" s="139">
        <f t="shared" si="197"/>
        <v>0</v>
      </c>
      <c r="FO174" s="139">
        <f t="shared" si="198"/>
        <v>0</v>
      </c>
      <c r="FP174" s="139">
        <f t="shared" si="199"/>
        <v>0</v>
      </c>
      <c r="FQ174" s="139">
        <f t="shared" si="200"/>
        <v>0</v>
      </c>
      <c r="FR174" s="139">
        <f t="shared" si="201"/>
        <v>0</v>
      </c>
      <c r="FS174" s="139">
        <f t="shared" si="202"/>
        <v>0</v>
      </c>
      <c r="FT174" s="139">
        <f t="shared" si="203"/>
        <v>0</v>
      </c>
      <c r="FU174" s="148">
        <f t="shared" si="204"/>
        <v>631.40768369965122</v>
      </c>
      <c r="FV174" s="149"/>
      <c r="FY174" s="211">
        <v>169</v>
      </c>
      <c r="FZ174">
        <v>122.72034529521633</v>
      </c>
      <c r="GA174">
        <v>156.92445199374239</v>
      </c>
      <c r="GB174">
        <v>48.950552791634323</v>
      </c>
      <c r="GC174">
        <v>37.872413302655943</v>
      </c>
      <c r="GD174">
        <v>43.672806899480037</v>
      </c>
      <c r="GE174">
        <v>73.351984948025134</v>
      </c>
      <c r="GF174">
        <v>80.554076243182038</v>
      </c>
      <c r="GG174">
        <v>51.709240785453282</v>
      </c>
      <c r="GH174">
        <v>34.833199255768193</v>
      </c>
      <c r="GI174">
        <v>83.294137836981591</v>
      </c>
      <c r="GJ174"/>
      <c r="GK174"/>
      <c r="GL174"/>
      <c r="GM174"/>
    </row>
    <row r="175" spans="1:195" s="7" customFormat="1">
      <c r="A175" s="1"/>
      <c r="B175" s="76">
        <f ca="1">IF(C175="", "", RAND())</f>
        <v>0.3126412753778276</v>
      </c>
      <c r="C175">
        <v>2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295.1960580018233</v>
      </c>
      <c r="AO175">
        <v>153.26165024861922</v>
      </c>
      <c r="AP175">
        <v>583.05989784144288</v>
      </c>
      <c r="AQ175">
        <v>840.81353352126609</v>
      </c>
      <c r="AR175">
        <v>144.28619707055927</v>
      </c>
      <c r="AS175">
        <v>1542.628832057748</v>
      </c>
      <c r="AT175">
        <v>71.437603895570291</v>
      </c>
      <c r="AU175">
        <v>396.54200030671518</v>
      </c>
      <c r="AV175"/>
      <c r="AW175"/>
      <c r="AX175" s="146"/>
      <c r="AY175" s="76">
        <f t="shared" ca="1" si="170"/>
        <v>0.54811547416375017</v>
      </c>
      <c r="AZ175">
        <v>8</v>
      </c>
      <c r="BA175" s="129">
        <f t="shared" si="244"/>
        <v>39949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2</v>
      </c>
      <c r="BH175">
        <v>5</v>
      </c>
      <c r="BI175">
        <v>11</v>
      </c>
      <c r="BJ175">
        <v>7</v>
      </c>
      <c r="BK175">
        <v>2</v>
      </c>
      <c r="BL175">
        <v>1</v>
      </c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 s="147"/>
      <c r="CH175" s="176"/>
      <c r="CJ175" s="146"/>
      <c r="CK175" s="76">
        <f t="shared" ca="1" si="205"/>
        <v>0.71607667723483126</v>
      </c>
      <c r="CL175" s="179">
        <f t="shared" si="206"/>
        <v>8</v>
      </c>
      <c r="CM175" s="180">
        <f t="shared" si="207"/>
        <v>39949</v>
      </c>
      <c r="CN175"/>
      <c r="CO175"/>
      <c r="CP175"/>
      <c r="CQ175"/>
      <c r="CR175"/>
      <c r="CS175"/>
      <c r="CT175"/>
      <c r="CU175"/>
      <c r="CV175" s="160"/>
      <c r="CW175">
        <v>1</v>
      </c>
      <c r="CX175">
        <v>1</v>
      </c>
      <c r="CY175" s="165"/>
      <c r="CZ175" s="177">
        <f t="shared" si="208"/>
        <v>9.6000000000000002E-2</v>
      </c>
      <c r="DB175" s="146"/>
      <c r="DC175" s="76">
        <f t="shared" ca="1" si="171"/>
        <v>0.55893479992921247</v>
      </c>
      <c r="DD175">
        <f t="shared" si="209"/>
        <v>8</v>
      </c>
      <c r="DE175" s="129">
        <f t="shared" si="243"/>
        <v>39949</v>
      </c>
      <c r="DF175" s="161">
        <f t="shared" si="210"/>
        <v>0</v>
      </c>
      <c r="DG175" s="161">
        <f t="shared" si="211"/>
        <v>0</v>
      </c>
      <c r="DH175" s="161">
        <f t="shared" si="212"/>
        <v>0</v>
      </c>
      <c r="DI175" s="161">
        <f t="shared" si="213"/>
        <v>0</v>
      </c>
      <c r="DJ175" s="161">
        <f t="shared" si="214"/>
        <v>0</v>
      </c>
      <c r="DK175" s="161">
        <f t="shared" si="215"/>
        <v>20.833333333333332</v>
      </c>
      <c r="DL175" s="161">
        <f t="shared" si="216"/>
        <v>52.083333333333336</v>
      </c>
      <c r="DM175" s="161">
        <f t="shared" si="217"/>
        <v>114.58333333333333</v>
      </c>
      <c r="DN175" s="161">
        <f t="shared" si="218"/>
        <v>72.916666666666671</v>
      </c>
      <c r="DO175" s="161">
        <f t="shared" si="219"/>
        <v>20.833333333333332</v>
      </c>
      <c r="DP175" s="161">
        <f t="shared" si="220"/>
        <v>10.416666666666666</v>
      </c>
      <c r="DQ175" s="161">
        <f t="shared" si="221"/>
        <v>0</v>
      </c>
      <c r="DR175" s="161">
        <f t="shared" si="222"/>
        <v>0</v>
      </c>
      <c r="DS175" s="161">
        <f t="shared" si="223"/>
        <v>0</v>
      </c>
      <c r="DT175" s="161">
        <f t="shared" si="224"/>
        <v>0</v>
      </c>
      <c r="DU175" s="161">
        <f t="shared" si="225"/>
        <v>0</v>
      </c>
      <c r="DV175" s="161">
        <f t="shared" si="226"/>
        <v>0</v>
      </c>
      <c r="DW175" s="161">
        <f t="shared" si="227"/>
        <v>0</v>
      </c>
      <c r="DX175" s="161">
        <f t="shared" si="228"/>
        <v>0</v>
      </c>
      <c r="DY175" s="161">
        <f t="shared" si="229"/>
        <v>0</v>
      </c>
      <c r="DZ175" s="161">
        <f t="shared" si="230"/>
        <v>0</v>
      </c>
      <c r="EA175" s="161">
        <f t="shared" si="231"/>
        <v>0</v>
      </c>
      <c r="EB175" s="161">
        <f t="shared" si="232"/>
        <v>0</v>
      </c>
      <c r="EC175" s="161">
        <f t="shared" si="233"/>
        <v>0</v>
      </c>
      <c r="ED175" s="161">
        <f t="shared" si="234"/>
        <v>0</v>
      </c>
      <c r="EE175" s="161">
        <f t="shared" si="235"/>
        <v>0</v>
      </c>
      <c r="EF175" s="161">
        <f t="shared" si="236"/>
        <v>0</v>
      </c>
      <c r="EG175" s="161">
        <f t="shared" si="237"/>
        <v>0</v>
      </c>
      <c r="EH175" s="161">
        <f t="shared" si="238"/>
        <v>0</v>
      </c>
      <c r="EI175" s="161">
        <f t="shared" si="239"/>
        <v>0</v>
      </c>
      <c r="EJ175" s="161">
        <f t="shared" si="240"/>
        <v>0</v>
      </c>
      <c r="EK175" s="147">
        <f t="shared" si="172"/>
        <v>291.66666666666669</v>
      </c>
      <c r="EL175" s="149"/>
      <c r="EN175" s="146"/>
      <c r="EO175" s="146"/>
      <c r="EP175" s="139">
        <f t="shared" si="173"/>
        <v>0</v>
      </c>
      <c r="EQ175" s="139">
        <f t="shared" si="174"/>
        <v>0</v>
      </c>
      <c r="ER175" s="139">
        <f t="shared" si="175"/>
        <v>0</v>
      </c>
      <c r="ES175" s="139">
        <f t="shared" si="176"/>
        <v>0</v>
      </c>
      <c r="ET175" s="139">
        <f t="shared" si="177"/>
        <v>0</v>
      </c>
      <c r="EU175" s="139">
        <f t="shared" si="178"/>
        <v>17.570739301935784</v>
      </c>
      <c r="EV175" s="139">
        <f t="shared" si="179"/>
        <v>71.434239746708968</v>
      </c>
      <c r="EW175" s="139">
        <f t="shared" si="180"/>
        <v>237.06977951567933</v>
      </c>
      <c r="EX175" s="139">
        <f t="shared" si="181"/>
        <v>215.40018563181528</v>
      </c>
      <c r="EY175" s="139">
        <f t="shared" si="182"/>
        <v>84.256187959224732</v>
      </c>
      <c r="EZ175" s="139">
        <f t="shared" si="183"/>
        <v>55.796510345584267</v>
      </c>
      <c r="FA175" s="139">
        <f t="shared" si="184"/>
        <v>0</v>
      </c>
      <c r="FB175" s="139">
        <f t="shared" si="185"/>
        <v>0</v>
      </c>
      <c r="FC175" s="139">
        <f t="shared" si="186"/>
        <v>0</v>
      </c>
      <c r="FD175" s="139">
        <f t="shared" si="187"/>
        <v>0</v>
      </c>
      <c r="FE175" s="139">
        <f t="shared" si="188"/>
        <v>0</v>
      </c>
      <c r="FF175" s="139">
        <f t="shared" si="189"/>
        <v>0</v>
      </c>
      <c r="FG175" s="139">
        <f t="shared" si="190"/>
        <v>0</v>
      </c>
      <c r="FH175" s="139">
        <f t="shared" si="191"/>
        <v>0</v>
      </c>
      <c r="FI175" s="139">
        <f t="shared" si="192"/>
        <v>0</v>
      </c>
      <c r="FJ175" s="139">
        <f t="shared" si="193"/>
        <v>0</v>
      </c>
      <c r="FK175" s="139">
        <f t="shared" si="194"/>
        <v>0</v>
      </c>
      <c r="FL175" s="139">
        <f t="shared" si="195"/>
        <v>0</v>
      </c>
      <c r="FM175" s="139">
        <f t="shared" si="196"/>
        <v>0</v>
      </c>
      <c r="FN175" s="139">
        <f t="shared" si="197"/>
        <v>0</v>
      </c>
      <c r="FO175" s="139">
        <f t="shared" si="198"/>
        <v>0</v>
      </c>
      <c r="FP175" s="139">
        <f t="shared" si="199"/>
        <v>0</v>
      </c>
      <c r="FQ175" s="139">
        <f t="shared" si="200"/>
        <v>0</v>
      </c>
      <c r="FR175" s="139">
        <f t="shared" si="201"/>
        <v>0</v>
      </c>
      <c r="FS175" s="139">
        <f t="shared" si="202"/>
        <v>0</v>
      </c>
      <c r="FT175" s="139">
        <f t="shared" si="203"/>
        <v>0</v>
      </c>
      <c r="FU175" s="148">
        <f t="shared" si="204"/>
        <v>681.52764250094833</v>
      </c>
      <c r="FV175" s="149"/>
      <c r="FY175" s="211">
        <v>170</v>
      </c>
      <c r="FZ175">
        <v>87.369688561114415</v>
      </c>
      <c r="GA175">
        <v>170.05647731121721</v>
      </c>
      <c r="GB175">
        <v>53.193540015982222</v>
      </c>
      <c r="GC175">
        <v>38.530706638753195</v>
      </c>
      <c r="GD175">
        <v>27.984465240057915</v>
      </c>
      <c r="GE175">
        <v>39.270579227382257</v>
      </c>
      <c r="GF175">
        <v>93.859798758647415</v>
      </c>
      <c r="GG175">
        <v>60.400553295378231</v>
      </c>
      <c r="GH175">
        <v>46.060392410299769</v>
      </c>
      <c r="GI175">
        <v>73.609129320870366</v>
      </c>
      <c r="GJ175"/>
      <c r="GK175"/>
      <c r="GL175"/>
      <c r="GM175"/>
    </row>
    <row r="176" spans="1:195" s="7" customFormat="1">
      <c r="A176" s="1"/>
      <c r="B176" s="76">
        <f ca="1">IF(C176="", "", RAND())</f>
        <v>0.87585238129705889</v>
      </c>
      <c r="C176">
        <v>1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10.416666666666666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225.89956372028217</v>
      </c>
      <c r="AO176">
        <v>130.58516100311877</v>
      </c>
      <c r="AP176">
        <v>601.87889741881975</v>
      </c>
      <c r="AQ176">
        <v>754.52884719775227</v>
      </c>
      <c r="AR176">
        <v>124.61460499884623</v>
      </c>
      <c r="AS176">
        <v>1224.9949784542919</v>
      </c>
      <c r="AT176">
        <v>65.825526838265588</v>
      </c>
      <c r="AU176">
        <v>81.577856517412954</v>
      </c>
      <c r="AV176"/>
      <c r="AW176"/>
      <c r="AX176" s="146"/>
      <c r="AY176" s="76">
        <f t="shared" ca="1" si="170"/>
        <v>0.66943604079737473</v>
      </c>
      <c r="AZ176">
        <v>9</v>
      </c>
      <c r="BA176" s="129">
        <f t="shared" si="244"/>
        <v>39949</v>
      </c>
      <c r="BB176">
        <v>0</v>
      </c>
      <c r="BC176">
        <v>0</v>
      </c>
      <c r="BD176">
        <v>0</v>
      </c>
      <c r="BE176">
        <v>1</v>
      </c>
      <c r="BF176">
        <v>1</v>
      </c>
      <c r="BG176">
        <v>0</v>
      </c>
      <c r="BH176">
        <v>1</v>
      </c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 s="147"/>
      <c r="CH176" s="176"/>
      <c r="CJ176" s="146"/>
      <c r="CK176" s="76">
        <f t="shared" ca="1" si="205"/>
        <v>0.62544965675322484</v>
      </c>
      <c r="CL176" s="179">
        <f t="shared" si="206"/>
        <v>9</v>
      </c>
      <c r="CM176" s="180">
        <f t="shared" si="207"/>
        <v>39949</v>
      </c>
      <c r="CN176"/>
      <c r="CO176"/>
      <c r="CP176"/>
      <c r="CQ176"/>
      <c r="CR176"/>
      <c r="CS176"/>
      <c r="CT176"/>
      <c r="CU176"/>
      <c r="CV176" s="160"/>
      <c r="CW176">
        <v>1</v>
      </c>
      <c r="CX176">
        <v>1</v>
      </c>
      <c r="CY176" s="165"/>
      <c r="CZ176" s="177">
        <f t="shared" si="208"/>
        <v>9.6000000000000002E-2</v>
      </c>
      <c r="DB176" s="146"/>
      <c r="DC176" s="76">
        <f t="shared" ca="1" si="171"/>
        <v>0.39804032275218759</v>
      </c>
      <c r="DD176">
        <f t="shared" si="209"/>
        <v>9</v>
      </c>
      <c r="DE176" s="129">
        <f t="shared" si="243"/>
        <v>39949</v>
      </c>
      <c r="DF176" s="161">
        <f t="shared" si="210"/>
        <v>0</v>
      </c>
      <c r="DG176" s="161">
        <f t="shared" si="211"/>
        <v>0</v>
      </c>
      <c r="DH176" s="161">
        <f t="shared" si="212"/>
        <v>0</v>
      </c>
      <c r="DI176" s="161">
        <f t="shared" si="213"/>
        <v>10.416666666666666</v>
      </c>
      <c r="DJ176" s="161">
        <f t="shared" si="214"/>
        <v>10.416666666666666</v>
      </c>
      <c r="DK176" s="161">
        <f t="shared" si="215"/>
        <v>0</v>
      </c>
      <c r="DL176" s="161">
        <f t="shared" si="216"/>
        <v>10.416666666666666</v>
      </c>
      <c r="DM176" s="161">
        <f t="shared" si="217"/>
        <v>0</v>
      </c>
      <c r="DN176" s="161">
        <f t="shared" si="218"/>
        <v>0</v>
      </c>
      <c r="DO176" s="161">
        <f t="shared" si="219"/>
        <v>0</v>
      </c>
      <c r="DP176" s="161">
        <f t="shared" si="220"/>
        <v>0</v>
      </c>
      <c r="DQ176" s="161">
        <f t="shared" si="221"/>
        <v>0</v>
      </c>
      <c r="DR176" s="161">
        <f t="shared" si="222"/>
        <v>0</v>
      </c>
      <c r="DS176" s="161">
        <f t="shared" si="223"/>
        <v>0</v>
      </c>
      <c r="DT176" s="161">
        <f t="shared" si="224"/>
        <v>0</v>
      </c>
      <c r="DU176" s="161">
        <f t="shared" si="225"/>
        <v>0</v>
      </c>
      <c r="DV176" s="161">
        <f t="shared" si="226"/>
        <v>0</v>
      </c>
      <c r="DW176" s="161">
        <f t="shared" si="227"/>
        <v>0</v>
      </c>
      <c r="DX176" s="161">
        <f t="shared" si="228"/>
        <v>0</v>
      </c>
      <c r="DY176" s="161">
        <f t="shared" si="229"/>
        <v>0</v>
      </c>
      <c r="DZ176" s="161">
        <f t="shared" si="230"/>
        <v>0</v>
      </c>
      <c r="EA176" s="161">
        <f t="shared" si="231"/>
        <v>0</v>
      </c>
      <c r="EB176" s="161">
        <f t="shared" si="232"/>
        <v>0</v>
      </c>
      <c r="EC176" s="161">
        <f t="shared" si="233"/>
        <v>0</v>
      </c>
      <c r="ED176" s="161">
        <f t="shared" si="234"/>
        <v>0</v>
      </c>
      <c r="EE176" s="161">
        <f t="shared" si="235"/>
        <v>0</v>
      </c>
      <c r="EF176" s="161">
        <f t="shared" si="236"/>
        <v>0</v>
      </c>
      <c r="EG176" s="161">
        <f t="shared" si="237"/>
        <v>0</v>
      </c>
      <c r="EH176" s="161">
        <f t="shared" si="238"/>
        <v>0</v>
      </c>
      <c r="EI176" s="161">
        <f t="shared" si="239"/>
        <v>0</v>
      </c>
      <c r="EJ176" s="161">
        <f t="shared" si="240"/>
        <v>0</v>
      </c>
      <c r="EK176" s="147">
        <f t="shared" si="172"/>
        <v>31.25</v>
      </c>
      <c r="EL176" s="149"/>
      <c r="EN176" s="146"/>
      <c r="EO176" s="146"/>
      <c r="EP176" s="139">
        <f t="shared" si="173"/>
        <v>0</v>
      </c>
      <c r="EQ176" s="139">
        <f t="shared" si="174"/>
        <v>0</v>
      </c>
      <c r="ER176" s="139">
        <f t="shared" si="175"/>
        <v>0</v>
      </c>
      <c r="ES176" s="139">
        <f t="shared" si="176"/>
        <v>2.2495177494926182</v>
      </c>
      <c r="ET176" s="139">
        <f t="shared" si="177"/>
        <v>4.8450809197869589</v>
      </c>
      <c r="EU176" s="139">
        <f t="shared" si="178"/>
        <v>0</v>
      </c>
      <c r="EV176" s="139">
        <f t="shared" si="179"/>
        <v>14.286847949341793</v>
      </c>
      <c r="EW176" s="139">
        <f t="shared" si="180"/>
        <v>0</v>
      </c>
      <c r="EX176" s="139">
        <f t="shared" si="181"/>
        <v>0</v>
      </c>
      <c r="EY176" s="139">
        <f t="shared" si="182"/>
        <v>0</v>
      </c>
      <c r="EZ176" s="139">
        <f t="shared" si="183"/>
        <v>0</v>
      </c>
      <c r="FA176" s="139">
        <f t="shared" si="184"/>
        <v>0</v>
      </c>
      <c r="FB176" s="139">
        <f t="shared" si="185"/>
        <v>0</v>
      </c>
      <c r="FC176" s="139">
        <f t="shared" si="186"/>
        <v>0</v>
      </c>
      <c r="FD176" s="139">
        <f t="shared" si="187"/>
        <v>0</v>
      </c>
      <c r="FE176" s="139">
        <f t="shared" si="188"/>
        <v>0</v>
      </c>
      <c r="FF176" s="139">
        <f t="shared" si="189"/>
        <v>0</v>
      </c>
      <c r="FG176" s="139">
        <f t="shared" si="190"/>
        <v>0</v>
      </c>
      <c r="FH176" s="139">
        <f t="shared" si="191"/>
        <v>0</v>
      </c>
      <c r="FI176" s="139">
        <f t="shared" si="192"/>
        <v>0</v>
      </c>
      <c r="FJ176" s="139">
        <f t="shared" si="193"/>
        <v>0</v>
      </c>
      <c r="FK176" s="139">
        <f t="shared" si="194"/>
        <v>0</v>
      </c>
      <c r="FL176" s="139">
        <f t="shared" si="195"/>
        <v>0</v>
      </c>
      <c r="FM176" s="139">
        <f t="shared" si="196"/>
        <v>0</v>
      </c>
      <c r="FN176" s="139">
        <f t="shared" si="197"/>
        <v>0</v>
      </c>
      <c r="FO176" s="139">
        <f t="shared" si="198"/>
        <v>0</v>
      </c>
      <c r="FP176" s="139">
        <f t="shared" si="199"/>
        <v>0</v>
      </c>
      <c r="FQ176" s="139">
        <f t="shared" si="200"/>
        <v>0</v>
      </c>
      <c r="FR176" s="139">
        <f t="shared" si="201"/>
        <v>0</v>
      </c>
      <c r="FS176" s="139">
        <f t="shared" si="202"/>
        <v>0</v>
      </c>
      <c r="FT176" s="139">
        <f t="shared" si="203"/>
        <v>0</v>
      </c>
      <c r="FU176" s="148">
        <f t="shared" si="204"/>
        <v>21.381446618621368</v>
      </c>
      <c r="FV176" s="149"/>
      <c r="FY176" s="211">
        <v>171</v>
      </c>
      <c r="FZ176">
        <v>129.76026184476908</v>
      </c>
      <c r="GA176">
        <v>144.53578618456174</v>
      </c>
      <c r="GB176">
        <v>53.676102428676757</v>
      </c>
      <c r="GC176">
        <v>48.091003825481124</v>
      </c>
      <c r="GD176">
        <v>46.933699649311201</v>
      </c>
      <c r="GE176">
        <v>85.248327462695514</v>
      </c>
      <c r="GF176">
        <v>85.96033572785997</v>
      </c>
      <c r="GG176">
        <v>46.028166806426242</v>
      </c>
      <c r="GH176">
        <v>64.794044825234621</v>
      </c>
      <c r="GI176">
        <v>93.390294641298681</v>
      </c>
      <c r="GJ176"/>
      <c r="GK176"/>
      <c r="GL176"/>
      <c r="GM176"/>
    </row>
    <row r="177" spans="1:195" s="7" customFormat="1">
      <c r="A177" s="1"/>
      <c r="B177" s="76">
        <f ca="1">IF(C177="", "", RAND())</f>
        <v>5.4396273838063891E-2</v>
      </c>
      <c r="C177">
        <v>10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228.85737654893904</v>
      </c>
      <c r="AO177">
        <v>132.41676327407785</v>
      </c>
      <c r="AP177">
        <v>445.94908421691628</v>
      </c>
      <c r="AQ177">
        <v>752.32966247445029</v>
      </c>
      <c r="AR177">
        <v>124.483330132616</v>
      </c>
      <c r="AS177">
        <v>1347.8081437026731</v>
      </c>
      <c r="AT177">
        <v>63.583785418573683</v>
      </c>
      <c r="AU177">
        <v>106.69770386477113</v>
      </c>
      <c r="AV177"/>
      <c r="AW177"/>
      <c r="AX177" s="146"/>
      <c r="AY177" s="76">
        <f t="shared" ca="1" si="170"/>
        <v>0.13664875027419843</v>
      </c>
      <c r="AZ177">
        <v>10</v>
      </c>
      <c r="BA177" s="129">
        <f t="shared" si="244"/>
        <v>39949</v>
      </c>
      <c r="BB177">
        <v>0</v>
      </c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 s="147"/>
      <c r="CH177" s="176"/>
      <c r="CJ177" s="146"/>
      <c r="CK177" s="76">
        <f t="shared" ca="1" si="205"/>
        <v>0.2123523367078981</v>
      </c>
      <c r="CL177" s="179">
        <f t="shared" si="206"/>
        <v>10</v>
      </c>
      <c r="CM177" s="180">
        <f t="shared" si="207"/>
        <v>39949</v>
      </c>
      <c r="CN177">
        <v>0</v>
      </c>
      <c r="CO177"/>
      <c r="CP177"/>
      <c r="CQ177"/>
      <c r="CR177"/>
      <c r="CS177"/>
      <c r="CT177"/>
      <c r="CU177"/>
      <c r="CV177" s="160"/>
      <c r="CW177">
        <v>1</v>
      </c>
      <c r="CX177">
        <f>500/87</f>
        <v>5.7471264367816088</v>
      </c>
      <c r="CY177" s="165"/>
      <c r="CZ177" s="177">
        <f t="shared" si="208"/>
        <v>9.6000000000000002E-2</v>
      </c>
      <c r="DB177" s="146"/>
      <c r="DC177" s="76">
        <f t="shared" ca="1" si="171"/>
        <v>0.66768864412875306</v>
      </c>
      <c r="DD177">
        <f t="shared" si="209"/>
        <v>10</v>
      </c>
      <c r="DE177" s="129">
        <f t="shared" si="243"/>
        <v>39949</v>
      </c>
      <c r="DF177" s="161">
        <f t="shared" si="210"/>
        <v>0</v>
      </c>
      <c r="DG177" s="161">
        <f t="shared" si="211"/>
        <v>0</v>
      </c>
      <c r="DH177" s="161">
        <f t="shared" si="212"/>
        <v>0</v>
      </c>
      <c r="DI177" s="161">
        <f t="shared" si="213"/>
        <v>0</v>
      </c>
      <c r="DJ177" s="161">
        <f t="shared" si="214"/>
        <v>0</v>
      </c>
      <c r="DK177" s="161">
        <f t="shared" si="215"/>
        <v>0</v>
      </c>
      <c r="DL177" s="161">
        <f t="shared" si="216"/>
        <v>0</v>
      </c>
      <c r="DM177" s="161">
        <f t="shared" si="217"/>
        <v>0</v>
      </c>
      <c r="DN177" s="161">
        <f t="shared" si="218"/>
        <v>0</v>
      </c>
      <c r="DO177" s="161">
        <f t="shared" si="219"/>
        <v>0</v>
      </c>
      <c r="DP177" s="161">
        <f t="shared" si="220"/>
        <v>0</v>
      </c>
      <c r="DQ177" s="161">
        <f t="shared" si="221"/>
        <v>0</v>
      </c>
      <c r="DR177" s="161">
        <f t="shared" si="222"/>
        <v>0</v>
      </c>
      <c r="DS177" s="161">
        <f t="shared" si="223"/>
        <v>0</v>
      </c>
      <c r="DT177" s="161">
        <f t="shared" si="224"/>
        <v>0</v>
      </c>
      <c r="DU177" s="161">
        <f t="shared" si="225"/>
        <v>0</v>
      </c>
      <c r="DV177" s="161">
        <f t="shared" si="226"/>
        <v>0</v>
      </c>
      <c r="DW177" s="161">
        <f t="shared" si="227"/>
        <v>0</v>
      </c>
      <c r="DX177" s="161">
        <f t="shared" si="228"/>
        <v>0</v>
      </c>
      <c r="DY177" s="161">
        <f t="shared" si="229"/>
        <v>0</v>
      </c>
      <c r="DZ177" s="161">
        <f t="shared" si="230"/>
        <v>0</v>
      </c>
      <c r="EA177" s="161">
        <f t="shared" si="231"/>
        <v>0</v>
      </c>
      <c r="EB177" s="161">
        <f t="shared" si="232"/>
        <v>0</v>
      </c>
      <c r="EC177" s="161">
        <f t="shared" si="233"/>
        <v>0</v>
      </c>
      <c r="ED177" s="161">
        <f t="shared" si="234"/>
        <v>0</v>
      </c>
      <c r="EE177" s="161">
        <f t="shared" si="235"/>
        <v>0</v>
      </c>
      <c r="EF177" s="161">
        <f t="shared" si="236"/>
        <v>0</v>
      </c>
      <c r="EG177" s="161">
        <f t="shared" si="237"/>
        <v>0</v>
      </c>
      <c r="EH177" s="161">
        <f t="shared" si="238"/>
        <v>0</v>
      </c>
      <c r="EI177" s="161">
        <f t="shared" si="239"/>
        <v>0</v>
      </c>
      <c r="EJ177" s="161">
        <f t="shared" si="240"/>
        <v>0</v>
      </c>
      <c r="EK177" s="147">
        <f t="shared" si="172"/>
        <v>0</v>
      </c>
      <c r="EL177" s="149"/>
      <c r="EN177" s="146"/>
      <c r="EO177" s="146"/>
      <c r="EP177" s="139">
        <f t="shared" si="173"/>
        <v>0</v>
      </c>
      <c r="EQ177" s="139">
        <f t="shared" si="174"/>
        <v>0</v>
      </c>
      <c r="ER177" s="139">
        <f t="shared" si="175"/>
        <v>0</v>
      </c>
      <c r="ES177" s="139">
        <f t="shared" si="176"/>
        <v>0</v>
      </c>
      <c r="ET177" s="139">
        <f t="shared" si="177"/>
        <v>0</v>
      </c>
      <c r="EU177" s="139">
        <f t="shared" si="178"/>
        <v>0</v>
      </c>
      <c r="EV177" s="139">
        <f t="shared" si="179"/>
        <v>0</v>
      </c>
      <c r="EW177" s="139">
        <f t="shared" si="180"/>
        <v>0</v>
      </c>
      <c r="EX177" s="139">
        <f t="shared" si="181"/>
        <v>0</v>
      </c>
      <c r="EY177" s="139">
        <f t="shared" si="182"/>
        <v>0</v>
      </c>
      <c r="EZ177" s="139">
        <f t="shared" si="183"/>
        <v>0</v>
      </c>
      <c r="FA177" s="139">
        <f t="shared" si="184"/>
        <v>0</v>
      </c>
      <c r="FB177" s="139">
        <f t="shared" si="185"/>
        <v>0</v>
      </c>
      <c r="FC177" s="139">
        <f t="shared" si="186"/>
        <v>0</v>
      </c>
      <c r="FD177" s="139">
        <f t="shared" si="187"/>
        <v>0</v>
      </c>
      <c r="FE177" s="139">
        <f t="shared" si="188"/>
        <v>0</v>
      </c>
      <c r="FF177" s="139">
        <f t="shared" si="189"/>
        <v>0</v>
      </c>
      <c r="FG177" s="139">
        <f t="shared" si="190"/>
        <v>0</v>
      </c>
      <c r="FH177" s="139">
        <f t="shared" si="191"/>
        <v>0</v>
      </c>
      <c r="FI177" s="139">
        <f t="shared" si="192"/>
        <v>0</v>
      </c>
      <c r="FJ177" s="139">
        <f t="shared" si="193"/>
        <v>0</v>
      </c>
      <c r="FK177" s="139">
        <f t="shared" si="194"/>
        <v>0</v>
      </c>
      <c r="FL177" s="139">
        <f t="shared" si="195"/>
        <v>0</v>
      </c>
      <c r="FM177" s="139">
        <f t="shared" si="196"/>
        <v>0</v>
      </c>
      <c r="FN177" s="139">
        <f t="shared" si="197"/>
        <v>0</v>
      </c>
      <c r="FO177" s="139">
        <f t="shared" si="198"/>
        <v>0</v>
      </c>
      <c r="FP177" s="139">
        <f t="shared" si="199"/>
        <v>0</v>
      </c>
      <c r="FQ177" s="139">
        <f t="shared" si="200"/>
        <v>0</v>
      </c>
      <c r="FR177" s="139">
        <f t="shared" si="201"/>
        <v>0</v>
      </c>
      <c r="FS177" s="139">
        <f t="shared" si="202"/>
        <v>0</v>
      </c>
      <c r="FT177" s="139">
        <f t="shared" si="203"/>
        <v>0</v>
      </c>
      <c r="FU177" s="148">
        <f t="shared" si="204"/>
        <v>0</v>
      </c>
      <c r="FV177" s="149"/>
      <c r="FY177" s="211">
        <v>172</v>
      </c>
      <c r="FZ177">
        <v>117.86134355433984</v>
      </c>
      <c r="GA177">
        <v>149.9624177198055</v>
      </c>
      <c r="GB177">
        <v>59.846794136595761</v>
      </c>
      <c r="GC177">
        <v>47.982587498822213</v>
      </c>
      <c r="GD177">
        <v>32.566422171593317</v>
      </c>
      <c r="GE177">
        <v>66.690917811627756</v>
      </c>
      <c r="GF177">
        <v>103.80587500192406</v>
      </c>
      <c r="GG177">
        <v>60.422844038703381</v>
      </c>
      <c r="GH177">
        <v>84.980375241332837</v>
      </c>
      <c r="GI177">
        <v>91.847423709747034</v>
      </c>
      <c r="GJ177"/>
      <c r="GK177"/>
      <c r="GL177"/>
      <c r="GM177"/>
    </row>
    <row r="178" spans="1:195" s="7" customFormat="1">
      <c r="A178" s="128"/>
      <c r="B178" s="76">
        <f ca="1">IF(C178="", "", RAND())</f>
        <v>0.67087028590330289</v>
      </c>
      <c r="C178">
        <v>10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10.416666666666666</v>
      </c>
      <c r="N178">
        <v>10.416666666666666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246.35825983811088</v>
      </c>
      <c r="AO178">
        <v>134.48373099812119</v>
      </c>
      <c r="AP178">
        <v>538.16956270639469</v>
      </c>
      <c r="AQ178">
        <v>755.51149374335489</v>
      </c>
      <c r="AR178">
        <v>128.47714981234455</v>
      </c>
      <c r="AS178">
        <v>1333.5808399699133</v>
      </c>
      <c r="AT178">
        <v>66.877882548565239</v>
      </c>
      <c r="AU178">
        <v>224.65735586023607</v>
      </c>
      <c r="AV178"/>
      <c r="AW178"/>
      <c r="AX178" s="128"/>
      <c r="AY178" s="76">
        <f t="shared" ca="1" si="170"/>
        <v>0.94113047796380034</v>
      </c>
      <c r="AZ178">
        <v>1</v>
      </c>
      <c r="BA178" s="129">
        <f>IF(AZ178="", "",$C$13)</f>
        <v>39987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1</v>
      </c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 s="147"/>
      <c r="CH178" s="176"/>
      <c r="CJ178" s="128"/>
      <c r="CK178" s="76">
        <f t="shared" ca="1" si="205"/>
        <v>4.3188796391320672E-2</v>
      </c>
      <c r="CL178" s="179">
        <f t="shared" si="206"/>
        <v>1</v>
      </c>
      <c r="CM178" s="180">
        <f t="shared" si="207"/>
        <v>39987</v>
      </c>
      <c r="CN178">
        <v>0</v>
      </c>
      <c r="CO178">
        <v>0</v>
      </c>
      <c r="CP178">
        <v>1</v>
      </c>
      <c r="CQ178">
        <v>2</v>
      </c>
      <c r="CR178">
        <v>0</v>
      </c>
      <c r="CS178">
        <v>1</v>
      </c>
      <c r="CT178"/>
      <c r="CU178"/>
      <c r="CV178" s="160"/>
      <c r="CW178">
        <v>1</v>
      </c>
      <c r="CX178">
        <f>350/47</f>
        <v>7.4468085106382977</v>
      </c>
      <c r="CY178" s="160"/>
      <c r="CZ178" s="177">
        <f t="shared" si="208"/>
        <v>9.6000000000000002E-2</v>
      </c>
      <c r="DB178" s="128"/>
      <c r="DC178" s="76">
        <f t="shared" ca="1" si="171"/>
        <v>0.77289033260846129</v>
      </c>
      <c r="DD178">
        <f t="shared" si="209"/>
        <v>1</v>
      </c>
      <c r="DE178" s="129">
        <f t="shared" ref="DE178:DE187" si="245">IF((DD178)="", "", $C$13)</f>
        <v>39987</v>
      </c>
      <c r="DF178" s="161">
        <f t="shared" si="210"/>
        <v>0</v>
      </c>
      <c r="DG178" s="161">
        <f t="shared" si="211"/>
        <v>0</v>
      </c>
      <c r="DH178" s="161">
        <f t="shared" si="212"/>
        <v>77.570921985815602</v>
      </c>
      <c r="DI178" s="161">
        <f t="shared" si="213"/>
        <v>155.1418439716312</v>
      </c>
      <c r="DJ178" s="161">
        <f t="shared" si="214"/>
        <v>0</v>
      </c>
      <c r="DK178" s="161">
        <f t="shared" si="215"/>
        <v>77.570921985815602</v>
      </c>
      <c r="DL178" s="161">
        <f t="shared" si="216"/>
        <v>10.416666666666666</v>
      </c>
      <c r="DM178" s="161">
        <f t="shared" si="217"/>
        <v>0</v>
      </c>
      <c r="DN178" s="161">
        <f t="shared" si="218"/>
        <v>0</v>
      </c>
      <c r="DO178" s="161">
        <f t="shared" si="219"/>
        <v>0</v>
      </c>
      <c r="DP178" s="161">
        <f t="shared" si="220"/>
        <v>0</v>
      </c>
      <c r="DQ178" s="161">
        <f t="shared" si="221"/>
        <v>0</v>
      </c>
      <c r="DR178" s="161">
        <f t="shared" si="222"/>
        <v>0</v>
      </c>
      <c r="DS178" s="161">
        <f t="shared" si="223"/>
        <v>0</v>
      </c>
      <c r="DT178" s="161">
        <f t="shared" si="224"/>
        <v>0</v>
      </c>
      <c r="DU178" s="161">
        <f t="shared" si="225"/>
        <v>0</v>
      </c>
      <c r="DV178" s="161">
        <f t="shared" si="226"/>
        <v>0</v>
      </c>
      <c r="DW178" s="161">
        <f t="shared" si="227"/>
        <v>0</v>
      </c>
      <c r="DX178" s="161">
        <f t="shared" si="228"/>
        <v>0</v>
      </c>
      <c r="DY178" s="161">
        <f t="shared" si="229"/>
        <v>0</v>
      </c>
      <c r="DZ178" s="161">
        <f t="shared" si="230"/>
        <v>0</v>
      </c>
      <c r="EA178" s="161">
        <f t="shared" si="231"/>
        <v>0</v>
      </c>
      <c r="EB178" s="161">
        <f t="shared" si="232"/>
        <v>0</v>
      </c>
      <c r="EC178" s="161">
        <f t="shared" si="233"/>
        <v>0</v>
      </c>
      <c r="ED178" s="161">
        <f t="shared" si="234"/>
        <v>0</v>
      </c>
      <c r="EE178" s="161">
        <f t="shared" si="235"/>
        <v>0</v>
      </c>
      <c r="EF178" s="161">
        <f t="shared" si="236"/>
        <v>0</v>
      </c>
      <c r="EG178" s="161">
        <f t="shared" si="237"/>
        <v>0</v>
      </c>
      <c r="EH178" s="161">
        <f t="shared" si="238"/>
        <v>0</v>
      </c>
      <c r="EI178" s="161">
        <f t="shared" si="239"/>
        <v>0</v>
      </c>
      <c r="EJ178" s="161">
        <f t="shared" si="240"/>
        <v>0</v>
      </c>
      <c r="EK178" s="147">
        <f t="shared" si="172"/>
        <v>320.70035460992909</v>
      </c>
      <c r="EL178" s="149"/>
      <c r="EN178" s="146"/>
      <c r="EO178" s="146"/>
      <c r="EP178" s="139">
        <f t="shared" si="173"/>
        <v>0</v>
      </c>
      <c r="EQ178" s="139">
        <f t="shared" si="174"/>
        <v>0</v>
      </c>
      <c r="ER178" s="139">
        <f t="shared" si="175"/>
        <v>5.6809925894738598</v>
      </c>
      <c r="ES178" s="139">
        <f t="shared" si="176"/>
        <v>33.503455843507076</v>
      </c>
      <c r="ET178" s="139">
        <f t="shared" si="177"/>
        <v>0</v>
      </c>
      <c r="EU178" s="139">
        <f t="shared" si="178"/>
        <v>65.422965485931115</v>
      </c>
      <c r="EV178" s="139">
        <f t="shared" si="179"/>
        <v>14.286847949341793</v>
      </c>
      <c r="EW178" s="139">
        <f t="shared" si="180"/>
        <v>0</v>
      </c>
      <c r="EX178" s="139">
        <f t="shared" si="181"/>
        <v>0</v>
      </c>
      <c r="EY178" s="139">
        <f t="shared" si="182"/>
        <v>0</v>
      </c>
      <c r="EZ178" s="139">
        <f t="shared" si="183"/>
        <v>0</v>
      </c>
      <c r="FA178" s="139">
        <f t="shared" si="184"/>
        <v>0</v>
      </c>
      <c r="FB178" s="139">
        <f t="shared" si="185"/>
        <v>0</v>
      </c>
      <c r="FC178" s="139">
        <f t="shared" si="186"/>
        <v>0</v>
      </c>
      <c r="FD178" s="139">
        <f t="shared" si="187"/>
        <v>0</v>
      </c>
      <c r="FE178" s="139">
        <f t="shared" si="188"/>
        <v>0</v>
      </c>
      <c r="FF178" s="139">
        <f t="shared" si="189"/>
        <v>0</v>
      </c>
      <c r="FG178" s="139">
        <f t="shared" si="190"/>
        <v>0</v>
      </c>
      <c r="FH178" s="139">
        <f t="shared" si="191"/>
        <v>0</v>
      </c>
      <c r="FI178" s="139">
        <f t="shared" si="192"/>
        <v>0</v>
      </c>
      <c r="FJ178" s="139">
        <f t="shared" si="193"/>
        <v>0</v>
      </c>
      <c r="FK178" s="139">
        <f t="shared" si="194"/>
        <v>0</v>
      </c>
      <c r="FL178" s="139">
        <f t="shared" si="195"/>
        <v>0</v>
      </c>
      <c r="FM178" s="139">
        <f t="shared" si="196"/>
        <v>0</v>
      </c>
      <c r="FN178" s="139">
        <f t="shared" si="197"/>
        <v>0</v>
      </c>
      <c r="FO178" s="139">
        <f t="shared" si="198"/>
        <v>0</v>
      </c>
      <c r="FP178" s="139">
        <f t="shared" si="199"/>
        <v>0</v>
      </c>
      <c r="FQ178" s="139">
        <f t="shared" si="200"/>
        <v>0</v>
      </c>
      <c r="FR178" s="139">
        <f t="shared" si="201"/>
        <v>0</v>
      </c>
      <c r="FS178" s="139">
        <f t="shared" si="202"/>
        <v>0</v>
      </c>
      <c r="FT178" s="139">
        <f t="shared" si="203"/>
        <v>0</v>
      </c>
      <c r="FU178" s="148">
        <f t="shared" si="204"/>
        <v>118.89426186825384</v>
      </c>
      <c r="FV178" s="149"/>
      <c r="FY178" s="211">
        <v>173</v>
      </c>
      <c r="FZ178">
        <v>121.23103341119941</v>
      </c>
      <c r="GA178">
        <v>122.51209051558838</v>
      </c>
      <c r="GB178">
        <v>35.992874698729665</v>
      </c>
      <c r="GC178">
        <v>36.587313227743643</v>
      </c>
      <c r="GD178">
        <v>37.829759733790013</v>
      </c>
      <c r="GE178">
        <v>72.757586981352361</v>
      </c>
      <c r="GF178">
        <v>102.87054732290241</v>
      </c>
      <c r="GG178">
        <v>91.052734423331671</v>
      </c>
      <c r="GH178">
        <v>89.982859762298773</v>
      </c>
      <c r="GI178">
        <v>89.687868365725961</v>
      </c>
      <c r="GJ178"/>
      <c r="GK178"/>
      <c r="GL178"/>
      <c r="GM178"/>
    </row>
    <row r="179" spans="1:195" s="7" customFormat="1">
      <c r="A179" s="1"/>
      <c r="B179" s="76">
        <f ca="1">IF(C179="", "", RAND())</f>
        <v>0.226447241597586</v>
      </c>
      <c r="C179">
        <v>8</v>
      </c>
      <c r="D179">
        <v>39987</v>
      </c>
      <c r="E179">
        <v>0</v>
      </c>
      <c r="F179">
        <v>0</v>
      </c>
      <c r="G179">
        <v>0</v>
      </c>
      <c r="H179">
        <v>56.089743589743591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230.19190327800499</v>
      </c>
      <c r="AO179">
        <v>139.89627509121402</v>
      </c>
      <c r="AP179">
        <v>466.75478680425073</v>
      </c>
      <c r="AQ179">
        <v>769.89463484129067</v>
      </c>
      <c r="AR179">
        <v>133.84712561755663</v>
      </c>
      <c r="AS179">
        <v>1391.5475078116851</v>
      </c>
      <c r="AT179">
        <v>70.51046487487406</v>
      </c>
      <c r="AU179">
        <v>50.058595761004284</v>
      </c>
      <c r="AV179"/>
      <c r="AW179"/>
      <c r="AX179" s="146"/>
      <c r="AY179" s="76">
        <f t="shared" ca="1" si="170"/>
        <v>0.27980212630187662</v>
      </c>
      <c r="AZ179">
        <v>2</v>
      </c>
      <c r="BA179" s="129">
        <f t="shared" ref="BA179:BA187" si="246">IF(AZ179="", "",$C$13)</f>
        <v>39987</v>
      </c>
      <c r="BB179">
        <v>0</v>
      </c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 s="147"/>
      <c r="CH179" s="176"/>
      <c r="CJ179" s="146"/>
      <c r="CK179" s="76">
        <f t="shared" ca="1" si="205"/>
        <v>0.68129976999607944</v>
      </c>
      <c r="CL179" s="179">
        <f t="shared" si="206"/>
        <v>2</v>
      </c>
      <c r="CM179" s="180">
        <f t="shared" si="207"/>
        <v>39987</v>
      </c>
      <c r="CN179">
        <v>0</v>
      </c>
      <c r="CO179">
        <v>0</v>
      </c>
      <c r="CP179">
        <v>0</v>
      </c>
      <c r="CQ179">
        <v>1</v>
      </c>
      <c r="CR179"/>
      <c r="CS179"/>
      <c r="CT179"/>
      <c r="CU179"/>
      <c r="CV179" s="160"/>
      <c r="CW179">
        <v>1</v>
      </c>
      <c r="CX179">
        <f>355/64</f>
        <v>5.546875</v>
      </c>
      <c r="CY179" s="160"/>
      <c r="CZ179" s="177">
        <f t="shared" si="208"/>
        <v>9.6000000000000002E-2</v>
      </c>
      <c r="DB179" s="146"/>
      <c r="DC179" s="76">
        <f t="shared" ca="1" si="171"/>
        <v>0.82861492753123756</v>
      </c>
      <c r="DD179">
        <f t="shared" si="209"/>
        <v>2</v>
      </c>
      <c r="DE179" s="129">
        <f t="shared" si="245"/>
        <v>39987</v>
      </c>
      <c r="DF179" s="161">
        <f t="shared" si="210"/>
        <v>0</v>
      </c>
      <c r="DG179" s="161">
        <f t="shared" si="211"/>
        <v>0</v>
      </c>
      <c r="DH179" s="161">
        <f t="shared" si="212"/>
        <v>0</v>
      </c>
      <c r="DI179" s="161">
        <f t="shared" si="213"/>
        <v>57.779947916666664</v>
      </c>
      <c r="DJ179" s="161">
        <f t="shared" si="214"/>
        <v>0</v>
      </c>
      <c r="DK179" s="161">
        <f t="shared" si="215"/>
        <v>0</v>
      </c>
      <c r="DL179" s="161">
        <f t="shared" si="216"/>
        <v>0</v>
      </c>
      <c r="DM179" s="161">
        <f t="shared" si="217"/>
        <v>0</v>
      </c>
      <c r="DN179" s="161">
        <f t="shared" si="218"/>
        <v>0</v>
      </c>
      <c r="DO179" s="161">
        <f t="shared" si="219"/>
        <v>0</v>
      </c>
      <c r="DP179" s="161">
        <f t="shared" si="220"/>
        <v>0</v>
      </c>
      <c r="DQ179" s="161">
        <f t="shared" si="221"/>
        <v>0</v>
      </c>
      <c r="DR179" s="161">
        <f t="shared" si="222"/>
        <v>0</v>
      </c>
      <c r="DS179" s="161">
        <f t="shared" si="223"/>
        <v>0</v>
      </c>
      <c r="DT179" s="161">
        <f t="shared" si="224"/>
        <v>0</v>
      </c>
      <c r="DU179" s="161">
        <f t="shared" si="225"/>
        <v>0</v>
      </c>
      <c r="DV179" s="161">
        <f t="shared" si="226"/>
        <v>0</v>
      </c>
      <c r="DW179" s="161">
        <f t="shared" si="227"/>
        <v>0</v>
      </c>
      <c r="DX179" s="161">
        <f t="shared" si="228"/>
        <v>0</v>
      </c>
      <c r="DY179" s="161">
        <f t="shared" si="229"/>
        <v>0</v>
      </c>
      <c r="DZ179" s="161">
        <f t="shared" si="230"/>
        <v>0</v>
      </c>
      <c r="EA179" s="161">
        <f t="shared" si="231"/>
        <v>0</v>
      </c>
      <c r="EB179" s="161">
        <f t="shared" si="232"/>
        <v>0</v>
      </c>
      <c r="EC179" s="161">
        <f t="shared" si="233"/>
        <v>0</v>
      </c>
      <c r="ED179" s="161">
        <f t="shared" si="234"/>
        <v>0</v>
      </c>
      <c r="EE179" s="161">
        <f t="shared" si="235"/>
        <v>0</v>
      </c>
      <c r="EF179" s="161">
        <f t="shared" si="236"/>
        <v>0</v>
      </c>
      <c r="EG179" s="161">
        <f t="shared" si="237"/>
        <v>0</v>
      </c>
      <c r="EH179" s="161">
        <f t="shared" si="238"/>
        <v>0</v>
      </c>
      <c r="EI179" s="161">
        <f t="shared" si="239"/>
        <v>0</v>
      </c>
      <c r="EJ179" s="161">
        <f t="shared" si="240"/>
        <v>0</v>
      </c>
      <c r="EK179" s="147">
        <f t="shared" si="172"/>
        <v>57.779947916666664</v>
      </c>
      <c r="EL179" s="149"/>
      <c r="EN179" s="146"/>
      <c r="EO179" s="146"/>
      <c r="EP179" s="139">
        <f t="shared" si="173"/>
        <v>0</v>
      </c>
      <c r="EQ179" s="139">
        <f t="shared" si="174"/>
        <v>0</v>
      </c>
      <c r="ER179" s="139">
        <f t="shared" si="175"/>
        <v>0</v>
      </c>
      <c r="ES179" s="139">
        <f t="shared" si="176"/>
        <v>12.477793766716866</v>
      </c>
      <c r="ET179" s="139">
        <f t="shared" si="177"/>
        <v>0</v>
      </c>
      <c r="EU179" s="139">
        <f t="shared" si="178"/>
        <v>0</v>
      </c>
      <c r="EV179" s="139">
        <f t="shared" si="179"/>
        <v>0</v>
      </c>
      <c r="EW179" s="139">
        <f t="shared" si="180"/>
        <v>0</v>
      </c>
      <c r="EX179" s="139">
        <f t="shared" si="181"/>
        <v>0</v>
      </c>
      <c r="EY179" s="139">
        <f t="shared" si="182"/>
        <v>0</v>
      </c>
      <c r="EZ179" s="139">
        <f t="shared" si="183"/>
        <v>0</v>
      </c>
      <c r="FA179" s="139">
        <f t="shared" si="184"/>
        <v>0</v>
      </c>
      <c r="FB179" s="139">
        <f t="shared" si="185"/>
        <v>0</v>
      </c>
      <c r="FC179" s="139">
        <f t="shared" si="186"/>
        <v>0</v>
      </c>
      <c r="FD179" s="139">
        <f t="shared" si="187"/>
        <v>0</v>
      </c>
      <c r="FE179" s="139">
        <f t="shared" si="188"/>
        <v>0</v>
      </c>
      <c r="FF179" s="139">
        <f t="shared" si="189"/>
        <v>0</v>
      </c>
      <c r="FG179" s="139">
        <f t="shared" si="190"/>
        <v>0</v>
      </c>
      <c r="FH179" s="139">
        <f t="shared" si="191"/>
        <v>0</v>
      </c>
      <c r="FI179" s="139">
        <f t="shared" si="192"/>
        <v>0</v>
      </c>
      <c r="FJ179" s="139">
        <f t="shared" si="193"/>
        <v>0</v>
      </c>
      <c r="FK179" s="139">
        <f t="shared" si="194"/>
        <v>0</v>
      </c>
      <c r="FL179" s="139">
        <f t="shared" si="195"/>
        <v>0</v>
      </c>
      <c r="FM179" s="139">
        <f t="shared" si="196"/>
        <v>0</v>
      </c>
      <c r="FN179" s="139">
        <f t="shared" si="197"/>
        <v>0</v>
      </c>
      <c r="FO179" s="139">
        <f t="shared" si="198"/>
        <v>0</v>
      </c>
      <c r="FP179" s="139">
        <f t="shared" si="199"/>
        <v>0</v>
      </c>
      <c r="FQ179" s="139">
        <f t="shared" si="200"/>
        <v>0</v>
      </c>
      <c r="FR179" s="139">
        <f t="shared" si="201"/>
        <v>0</v>
      </c>
      <c r="FS179" s="139">
        <f t="shared" si="202"/>
        <v>0</v>
      </c>
      <c r="FT179" s="139">
        <f t="shared" si="203"/>
        <v>0</v>
      </c>
      <c r="FU179" s="148">
        <f t="shared" si="204"/>
        <v>12.477793766716866</v>
      </c>
      <c r="FV179" s="149"/>
      <c r="FY179" s="211">
        <v>174</v>
      </c>
      <c r="FZ179">
        <v>104.80781087807415</v>
      </c>
      <c r="GA179">
        <v>177.60332628978159</v>
      </c>
      <c r="GB179">
        <v>66.236819851646246</v>
      </c>
      <c r="GC179">
        <v>41.171406919965527</v>
      </c>
      <c r="GD179">
        <v>35.050478454235424</v>
      </c>
      <c r="GE179">
        <v>72.153551682928978</v>
      </c>
      <c r="GF179">
        <v>114.06811534686049</v>
      </c>
      <c r="GG179">
        <v>71.967490194319282</v>
      </c>
      <c r="GH179">
        <v>70.406975064119081</v>
      </c>
      <c r="GI179">
        <v>93.254938866820723</v>
      </c>
      <c r="GJ179"/>
      <c r="GK179"/>
      <c r="GL179"/>
      <c r="GM179"/>
    </row>
    <row r="180" spans="1:195" s="7" customFormat="1">
      <c r="A180" s="1"/>
      <c r="B180" s="76">
        <f ca="1">IF(C180="", "", RAND())</f>
        <v>0.64384591684507875</v>
      </c>
      <c r="C180">
        <v>3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251.10637303032303</v>
      </c>
      <c r="AO180">
        <v>123.30970440044874</v>
      </c>
      <c r="AP180">
        <v>555.0976709945262</v>
      </c>
      <c r="AQ180">
        <v>684.14812147949215</v>
      </c>
      <c r="AR180">
        <v>116.80022977911852</v>
      </c>
      <c r="AS180">
        <v>1148.7660222049662</v>
      </c>
      <c r="AT180">
        <v>60.65486704502257</v>
      </c>
      <c r="AU180">
        <v>215.09028686573021</v>
      </c>
      <c r="AV180"/>
      <c r="AW180"/>
      <c r="AX180" s="146"/>
      <c r="AY180" s="76">
        <f t="shared" ca="1" si="170"/>
        <v>0.43818274750238562</v>
      </c>
      <c r="AZ180">
        <v>3</v>
      </c>
      <c r="BA180" s="129">
        <f t="shared" si="246"/>
        <v>39987</v>
      </c>
      <c r="BB180">
        <v>0</v>
      </c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 s="147"/>
      <c r="CH180" s="176"/>
      <c r="CJ180" s="146"/>
      <c r="CK180" s="76">
        <f t="shared" ca="1" si="205"/>
        <v>0.60100616329319578</v>
      </c>
      <c r="CL180" s="179">
        <f t="shared" si="206"/>
        <v>3</v>
      </c>
      <c r="CM180" s="180">
        <f t="shared" si="207"/>
        <v>39987</v>
      </c>
      <c r="CN180">
        <v>0</v>
      </c>
      <c r="CO180"/>
      <c r="CP180"/>
      <c r="CQ180"/>
      <c r="CR180"/>
      <c r="CS180"/>
      <c r="CT180"/>
      <c r="CU180"/>
      <c r="CV180" s="160"/>
      <c r="CW180">
        <v>1</v>
      </c>
      <c r="CX180">
        <f>350/54</f>
        <v>6.4814814814814818</v>
      </c>
      <c r="CY180" s="160"/>
      <c r="CZ180" s="177">
        <f t="shared" si="208"/>
        <v>9.6000000000000002E-2</v>
      </c>
      <c r="DB180" s="146"/>
      <c r="DC180" s="76">
        <f t="shared" ca="1" si="171"/>
        <v>0.22924175690915582</v>
      </c>
      <c r="DD180">
        <f t="shared" si="209"/>
        <v>3</v>
      </c>
      <c r="DE180" s="129">
        <f t="shared" si="245"/>
        <v>39987</v>
      </c>
      <c r="DF180" s="161">
        <f t="shared" si="210"/>
        <v>0</v>
      </c>
      <c r="DG180" s="161">
        <f t="shared" si="211"/>
        <v>0</v>
      </c>
      <c r="DH180" s="161">
        <f t="shared" si="212"/>
        <v>0</v>
      </c>
      <c r="DI180" s="161">
        <f t="shared" si="213"/>
        <v>0</v>
      </c>
      <c r="DJ180" s="161">
        <f t="shared" si="214"/>
        <v>0</v>
      </c>
      <c r="DK180" s="161">
        <f t="shared" si="215"/>
        <v>0</v>
      </c>
      <c r="DL180" s="161">
        <f t="shared" si="216"/>
        <v>0</v>
      </c>
      <c r="DM180" s="161">
        <f t="shared" si="217"/>
        <v>0</v>
      </c>
      <c r="DN180" s="161">
        <f t="shared" si="218"/>
        <v>0</v>
      </c>
      <c r="DO180" s="161">
        <f t="shared" si="219"/>
        <v>0</v>
      </c>
      <c r="DP180" s="161">
        <f t="shared" si="220"/>
        <v>0</v>
      </c>
      <c r="DQ180" s="161">
        <f t="shared" si="221"/>
        <v>0</v>
      </c>
      <c r="DR180" s="161">
        <f t="shared" si="222"/>
        <v>0</v>
      </c>
      <c r="DS180" s="161">
        <f t="shared" si="223"/>
        <v>0</v>
      </c>
      <c r="DT180" s="161">
        <f t="shared" si="224"/>
        <v>0</v>
      </c>
      <c r="DU180" s="161">
        <f t="shared" si="225"/>
        <v>0</v>
      </c>
      <c r="DV180" s="161">
        <f t="shared" si="226"/>
        <v>0</v>
      </c>
      <c r="DW180" s="161">
        <f t="shared" si="227"/>
        <v>0</v>
      </c>
      <c r="DX180" s="161">
        <f t="shared" si="228"/>
        <v>0</v>
      </c>
      <c r="DY180" s="161">
        <f t="shared" si="229"/>
        <v>0</v>
      </c>
      <c r="DZ180" s="161">
        <f t="shared" si="230"/>
        <v>0</v>
      </c>
      <c r="EA180" s="161">
        <f t="shared" si="231"/>
        <v>0</v>
      </c>
      <c r="EB180" s="161">
        <f t="shared" si="232"/>
        <v>0</v>
      </c>
      <c r="EC180" s="161">
        <f t="shared" si="233"/>
        <v>0</v>
      </c>
      <c r="ED180" s="161">
        <f t="shared" si="234"/>
        <v>0</v>
      </c>
      <c r="EE180" s="161">
        <f t="shared" si="235"/>
        <v>0</v>
      </c>
      <c r="EF180" s="161">
        <f t="shared" si="236"/>
        <v>0</v>
      </c>
      <c r="EG180" s="161">
        <f t="shared" si="237"/>
        <v>0</v>
      </c>
      <c r="EH180" s="161">
        <f t="shared" si="238"/>
        <v>0</v>
      </c>
      <c r="EI180" s="161">
        <f t="shared" si="239"/>
        <v>0</v>
      </c>
      <c r="EJ180" s="161">
        <f t="shared" si="240"/>
        <v>0</v>
      </c>
      <c r="EK180" s="147">
        <f t="shared" si="172"/>
        <v>0</v>
      </c>
      <c r="EL180" s="149"/>
      <c r="EN180" s="146"/>
      <c r="EO180" s="146"/>
      <c r="EP180" s="139">
        <f t="shared" si="173"/>
        <v>0</v>
      </c>
      <c r="EQ180" s="139">
        <f t="shared" si="174"/>
        <v>0</v>
      </c>
      <c r="ER180" s="139">
        <f t="shared" si="175"/>
        <v>0</v>
      </c>
      <c r="ES180" s="139">
        <f t="shared" si="176"/>
        <v>0</v>
      </c>
      <c r="ET180" s="139">
        <f t="shared" si="177"/>
        <v>0</v>
      </c>
      <c r="EU180" s="139">
        <f t="shared" si="178"/>
        <v>0</v>
      </c>
      <c r="EV180" s="139">
        <f t="shared" si="179"/>
        <v>0</v>
      </c>
      <c r="EW180" s="139">
        <f t="shared" si="180"/>
        <v>0</v>
      </c>
      <c r="EX180" s="139">
        <f t="shared" si="181"/>
        <v>0</v>
      </c>
      <c r="EY180" s="139">
        <f t="shared" si="182"/>
        <v>0</v>
      </c>
      <c r="EZ180" s="139">
        <f t="shared" si="183"/>
        <v>0</v>
      </c>
      <c r="FA180" s="139">
        <f t="shared" si="184"/>
        <v>0</v>
      </c>
      <c r="FB180" s="139">
        <f t="shared" si="185"/>
        <v>0</v>
      </c>
      <c r="FC180" s="139">
        <f t="shared" si="186"/>
        <v>0</v>
      </c>
      <c r="FD180" s="139">
        <f t="shared" si="187"/>
        <v>0</v>
      </c>
      <c r="FE180" s="139">
        <f t="shared" si="188"/>
        <v>0</v>
      </c>
      <c r="FF180" s="139">
        <f t="shared" si="189"/>
        <v>0</v>
      </c>
      <c r="FG180" s="139">
        <f t="shared" si="190"/>
        <v>0</v>
      </c>
      <c r="FH180" s="139">
        <f t="shared" si="191"/>
        <v>0</v>
      </c>
      <c r="FI180" s="139">
        <f t="shared" si="192"/>
        <v>0</v>
      </c>
      <c r="FJ180" s="139">
        <f t="shared" si="193"/>
        <v>0</v>
      </c>
      <c r="FK180" s="139">
        <f t="shared" si="194"/>
        <v>0</v>
      </c>
      <c r="FL180" s="139">
        <f t="shared" si="195"/>
        <v>0</v>
      </c>
      <c r="FM180" s="139">
        <f t="shared" si="196"/>
        <v>0</v>
      </c>
      <c r="FN180" s="139">
        <f t="shared" si="197"/>
        <v>0</v>
      </c>
      <c r="FO180" s="139">
        <f t="shared" si="198"/>
        <v>0</v>
      </c>
      <c r="FP180" s="139">
        <f t="shared" si="199"/>
        <v>0</v>
      </c>
      <c r="FQ180" s="139">
        <f t="shared" si="200"/>
        <v>0</v>
      </c>
      <c r="FR180" s="139">
        <f t="shared" si="201"/>
        <v>0</v>
      </c>
      <c r="FS180" s="139">
        <f t="shared" si="202"/>
        <v>0</v>
      </c>
      <c r="FT180" s="139">
        <f t="shared" si="203"/>
        <v>0</v>
      </c>
      <c r="FU180" s="148">
        <f t="shared" si="204"/>
        <v>0</v>
      </c>
      <c r="FV180" s="149"/>
      <c r="FY180" s="211">
        <v>175</v>
      </c>
      <c r="FZ180">
        <v>117.32754232326346</v>
      </c>
      <c r="GA180">
        <v>178.01086429749947</v>
      </c>
      <c r="GB180">
        <v>51.675005866306861</v>
      </c>
      <c r="GC180">
        <v>39.47654946933271</v>
      </c>
      <c r="GD180">
        <v>51.745783268064358</v>
      </c>
      <c r="GE180">
        <v>102.83478867153913</v>
      </c>
      <c r="GF180">
        <v>106.51917784118058</v>
      </c>
      <c r="GG180">
        <v>61.365939518365003</v>
      </c>
      <c r="GH180">
        <v>66.219387547305303</v>
      </c>
      <c r="GI180">
        <v>100.25842282180699</v>
      </c>
      <c r="GJ180"/>
      <c r="GK180"/>
      <c r="GL180"/>
      <c r="GM180"/>
    </row>
    <row r="181" spans="1:195" s="7" customFormat="1">
      <c r="A181" s="1"/>
      <c r="B181" s="76">
        <f ca="1">IF(C181="", "", RAND())</f>
        <v>0.64902233858290259</v>
      </c>
      <c r="C181">
        <v>9</v>
      </c>
      <c r="D181">
        <v>39987</v>
      </c>
      <c r="E181">
        <v>0</v>
      </c>
      <c r="F181">
        <v>0</v>
      </c>
      <c r="G181">
        <v>0</v>
      </c>
      <c r="H181">
        <v>70.112179487179489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273.91096261951969</v>
      </c>
      <c r="AO181">
        <v>173.50166352121715</v>
      </c>
      <c r="AP181">
        <v>901.50113789945999</v>
      </c>
      <c r="AQ181">
        <v>889.06966218050229</v>
      </c>
      <c r="AR181">
        <v>162.38046006039525</v>
      </c>
      <c r="AS181">
        <v>1757.7967363083796</v>
      </c>
      <c r="AT181">
        <v>86.14817746125614</v>
      </c>
      <c r="AU181">
        <v>323.4777927331105</v>
      </c>
      <c r="AV181"/>
      <c r="AW181"/>
      <c r="AX181" s="146"/>
      <c r="AY181" s="76">
        <f t="shared" ca="1" si="170"/>
        <v>0.21976433489466274</v>
      </c>
      <c r="AZ181">
        <v>4</v>
      </c>
      <c r="BA181" s="129">
        <f t="shared" si="246"/>
        <v>39987</v>
      </c>
      <c r="BB181">
        <v>0</v>
      </c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 s="147"/>
      <c r="CH181" s="176"/>
      <c r="CJ181" s="146"/>
      <c r="CK181" s="76">
        <f t="shared" ca="1" si="205"/>
        <v>0.20470898970525475</v>
      </c>
      <c r="CL181" s="179">
        <f t="shared" si="206"/>
        <v>4</v>
      </c>
      <c r="CM181" s="180">
        <f t="shared" si="207"/>
        <v>39987</v>
      </c>
      <c r="CN181">
        <v>0</v>
      </c>
      <c r="CO181"/>
      <c r="CP181"/>
      <c r="CQ181"/>
      <c r="CR181"/>
      <c r="CS181"/>
      <c r="CT181"/>
      <c r="CU181"/>
      <c r="CV181" s="160"/>
      <c r="CW181">
        <v>1</v>
      </c>
      <c r="CX181">
        <f>350/41</f>
        <v>8.536585365853659</v>
      </c>
      <c r="CY181" s="160"/>
      <c r="CZ181" s="177">
        <f t="shared" si="208"/>
        <v>9.6000000000000002E-2</v>
      </c>
      <c r="DB181" s="146"/>
      <c r="DC181" s="76">
        <f t="shared" ca="1" si="171"/>
        <v>4.4823890908589625E-2</v>
      </c>
      <c r="DD181">
        <f t="shared" si="209"/>
        <v>4</v>
      </c>
      <c r="DE181" s="129">
        <f t="shared" si="245"/>
        <v>39987</v>
      </c>
      <c r="DF181" s="161">
        <f t="shared" si="210"/>
        <v>0</v>
      </c>
      <c r="DG181" s="161">
        <f t="shared" si="211"/>
        <v>0</v>
      </c>
      <c r="DH181" s="161">
        <f t="shared" si="212"/>
        <v>0</v>
      </c>
      <c r="DI181" s="161">
        <f t="shared" si="213"/>
        <v>0</v>
      </c>
      <c r="DJ181" s="161">
        <f t="shared" si="214"/>
        <v>0</v>
      </c>
      <c r="DK181" s="161">
        <f t="shared" si="215"/>
        <v>0</v>
      </c>
      <c r="DL181" s="161">
        <f t="shared" si="216"/>
        <v>0</v>
      </c>
      <c r="DM181" s="161">
        <f t="shared" si="217"/>
        <v>0</v>
      </c>
      <c r="DN181" s="161">
        <f t="shared" si="218"/>
        <v>0</v>
      </c>
      <c r="DO181" s="161">
        <f t="shared" si="219"/>
        <v>0</v>
      </c>
      <c r="DP181" s="161">
        <f t="shared" si="220"/>
        <v>0</v>
      </c>
      <c r="DQ181" s="161">
        <f t="shared" si="221"/>
        <v>0</v>
      </c>
      <c r="DR181" s="161">
        <f t="shared" si="222"/>
        <v>0</v>
      </c>
      <c r="DS181" s="161">
        <f t="shared" si="223"/>
        <v>0</v>
      </c>
      <c r="DT181" s="161">
        <f t="shared" si="224"/>
        <v>0</v>
      </c>
      <c r="DU181" s="161">
        <f t="shared" si="225"/>
        <v>0</v>
      </c>
      <c r="DV181" s="161">
        <f t="shared" si="226"/>
        <v>0</v>
      </c>
      <c r="DW181" s="161">
        <f t="shared" si="227"/>
        <v>0</v>
      </c>
      <c r="DX181" s="161">
        <f t="shared" si="228"/>
        <v>0</v>
      </c>
      <c r="DY181" s="161">
        <f t="shared" si="229"/>
        <v>0</v>
      </c>
      <c r="DZ181" s="161">
        <f t="shared" si="230"/>
        <v>0</v>
      </c>
      <c r="EA181" s="161">
        <f t="shared" si="231"/>
        <v>0</v>
      </c>
      <c r="EB181" s="161">
        <f t="shared" si="232"/>
        <v>0</v>
      </c>
      <c r="EC181" s="161">
        <f t="shared" si="233"/>
        <v>0</v>
      </c>
      <c r="ED181" s="161">
        <f t="shared" si="234"/>
        <v>0</v>
      </c>
      <c r="EE181" s="161">
        <f t="shared" si="235"/>
        <v>0</v>
      </c>
      <c r="EF181" s="161">
        <f t="shared" si="236"/>
        <v>0</v>
      </c>
      <c r="EG181" s="161">
        <f t="shared" si="237"/>
        <v>0</v>
      </c>
      <c r="EH181" s="161">
        <f t="shared" si="238"/>
        <v>0</v>
      </c>
      <c r="EI181" s="161">
        <f t="shared" si="239"/>
        <v>0</v>
      </c>
      <c r="EJ181" s="161">
        <f t="shared" si="240"/>
        <v>0</v>
      </c>
      <c r="EK181" s="147">
        <f t="shared" si="172"/>
        <v>0</v>
      </c>
      <c r="EL181" s="149"/>
      <c r="EN181" s="146"/>
      <c r="EO181" s="146"/>
      <c r="EP181" s="139">
        <f t="shared" si="173"/>
        <v>0</v>
      </c>
      <c r="EQ181" s="139">
        <f t="shared" si="174"/>
        <v>0</v>
      </c>
      <c r="ER181" s="139">
        <f t="shared" si="175"/>
        <v>0</v>
      </c>
      <c r="ES181" s="139">
        <f t="shared" si="176"/>
        <v>0</v>
      </c>
      <c r="ET181" s="139">
        <f t="shared" si="177"/>
        <v>0</v>
      </c>
      <c r="EU181" s="139">
        <f t="shared" si="178"/>
        <v>0</v>
      </c>
      <c r="EV181" s="139">
        <f t="shared" si="179"/>
        <v>0</v>
      </c>
      <c r="EW181" s="139">
        <f t="shared" si="180"/>
        <v>0</v>
      </c>
      <c r="EX181" s="139">
        <f t="shared" si="181"/>
        <v>0</v>
      </c>
      <c r="EY181" s="139">
        <f t="shared" si="182"/>
        <v>0</v>
      </c>
      <c r="EZ181" s="139">
        <f t="shared" si="183"/>
        <v>0</v>
      </c>
      <c r="FA181" s="139">
        <f t="shared" si="184"/>
        <v>0</v>
      </c>
      <c r="FB181" s="139">
        <f t="shared" si="185"/>
        <v>0</v>
      </c>
      <c r="FC181" s="139">
        <f t="shared" si="186"/>
        <v>0</v>
      </c>
      <c r="FD181" s="139">
        <f t="shared" si="187"/>
        <v>0</v>
      </c>
      <c r="FE181" s="139">
        <f t="shared" si="188"/>
        <v>0</v>
      </c>
      <c r="FF181" s="139">
        <f t="shared" si="189"/>
        <v>0</v>
      </c>
      <c r="FG181" s="139">
        <f t="shared" si="190"/>
        <v>0</v>
      </c>
      <c r="FH181" s="139">
        <f t="shared" si="191"/>
        <v>0</v>
      </c>
      <c r="FI181" s="139">
        <f t="shared" si="192"/>
        <v>0</v>
      </c>
      <c r="FJ181" s="139">
        <f t="shared" si="193"/>
        <v>0</v>
      </c>
      <c r="FK181" s="139">
        <f t="shared" si="194"/>
        <v>0</v>
      </c>
      <c r="FL181" s="139">
        <f t="shared" si="195"/>
        <v>0</v>
      </c>
      <c r="FM181" s="139">
        <f t="shared" si="196"/>
        <v>0</v>
      </c>
      <c r="FN181" s="139">
        <f t="shared" si="197"/>
        <v>0</v>
      </c>
      <c r="FO181" s="139">
        <f t="shared" si="198"/>
        <v>0</v>
      </c>
      <c r="FP181" s="139">
        <f t="shared" si="199"/>
        <v>0</v>
      </c>
      <c r="FQ181" s="139">
        <f t="shared" si="200"/>
        <v>0</v>
      </c>
      <c r="FR181" s="139">
        <f t="shared" si="201"/>
        <v>0</v>
      </c>
      <c r="FS181" s="139">
        <f t="shared" si="202"/>
        <v>0</v>
      </c>
      <c r="FT181" s="139">
        <f t="shared" si="203"/>
        <v>0</v>
      </c>
      <c r="FU181" s="148">
        <f t="shared" si="204"/>
        <v>0</v>
      </c>
      <c r="FV181" s="149"/>
      <c r="FY181" s="211">
        <v>176</v>
      </c>
      <c r="FZ181">
        <v>114.09402436462858</v>
      </c>
      <c r="GA181">
        <v>141.33777075921114</v>
      </c>
      <c r="GB181">
        <v>59.634753667574344</v>
      </c>
      <c r="GC181">
        <v>44.170383681570151</v>
      </c>
      <c r="GD181">
        <v>65.400300929702425</v>
      </c>
      <c r="GE181">
        <v>119.69153527353761</v>
      </c>
      <c r="GF181">
        <v>64.305320841356234</v>
      </c>
      <c r="GG181">
        <v>99.690625594567848</v>
      </c>
      <c r="GH181">
        <v>134.72291185686623</v>
      </c>
      <c r="GI181">
        <v>110.63819683401951</v>
      </c>
      <c r="GJ181"/>
      <c r="GK181"/>
      <c r="GL181"/>
      <c r="GM181"/>
    </row>
    <row r="182" spans="1:195" s="7" customFormat="1">
      <c r="A182" s="1"/>
      <c r="B182" s="76">
        <f ca="1">IF(C182="", "", RAND())</f>
        <v>0.14772320734786426</v>
      </c>
      <c r="C182">
        <v>7</v>
      </c>
      <c r="D182">
        <v>39987</v>
      </c>
      <c r="E182">
        <v>0</v>
      </c>
      <c r="F182">
        <v>0</v>
      </c>
      <c r="G182">
        <v>0</v>
      </c>
      <c r="H182">
        <v>71.486928104575156</v>
      </c>
      <c r="I182">
        <v>0</v>
      </c>
      <c r="J182">
        <v>0</v>
      </c>
      <c r="K182">
        <v>0</v>
      </c>
      <c r="L182">
        <v>10.416666666666666</v>
      </c>
      <c r="M182">
        <v>10.416666666666666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283.64060630555679</v>
      </c>
      <c r="AO182">
        <v>142.91277535480492</v>
      </c>
      <c r="AP182">
        <v>555.20547970638563</v>
      </c>
      <c r="AQ182">
        <v>795.56893261791186</v>
      </c>
      <c r="AR182">
        <v>136.60311034986515</v>
      </c>
      <c r="AS182">
        <v>1552.9002367489641</v>
      </c>
      <c r="AT182">
        <v>67.708662025518876</v>
      </c>
      <c r="AU182">
        <v>-58.305040101315996</v>
      </c>
      <c r="AV182"/>
      <c r="AW182"/>
      <c r="AX182" s="146"/>
      <c r="AY182" s="76">
        <f t="shared" ca="1" si="170"/>
        <v>0.72629126085525808</v>
      </c>
      <c r="AZ182">
        <v>5</v>
      </c>
      <c r="BA182" s="129">
        <f t="shared" si="246"/>
        <v>39987</v>
      </c>
      <c r="BB182">
        <v>0</v>
      </c>
      <c r="BC182">
        <v>0</v>
      </c>
      <c r="BD182">
        <v>0</v>
      </c>
      <c r="BE182">
        <v>1</v>
      </c>
      <c r="BF182">
        <v>0</v>
      </c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 s="147"/>
      <c r="CH182" s="176"/>
      <c r="CJ182" s="146"/>
      <c r="CK182" s="76">
        <f t="shared" ca="1" si="205"/>
        <v>0.69318838293111207</v>
      </c>
      <c r="CL182" s="179">
        <f t="shared" si="206"/>
        <v>5</v>
      </c>
      <c r="CM182" s="180">
        <f t="shared" si="207"/>
        <v>39987</v>
      </c>
      <c r="CN182">
        <v>0</v>
      </c>
      <c r="CO182"/>
      <c r="CP182"/>
      <c r="CQ182"/>
      <c r="CR182"/>
      <c r="CS182"/>
      <c r="CT182"/>
      <c r="CU182"/>
      <c r="CV182" s="160"/>
      <c r="CW182">
        <v>1</v>
      </c>
      <c r="CX182">
        <f>350/60</f>
        <v>5.833333333333333</v>
      </c>
      <c r="CY182" s="160"/>
      <c r="CZ182" s="177">
        <f t="shared" si="208"/>
        <v>9.6000000000000002E-2</v>
      </c>
      <c r="DB182" s="146"/>
      <c r="DC182" s="76">
        <f t="shared" ca="1" si="171"/>
        <v>4.0372946588005831E-2</v>
      </c>
      <c r="DD182">
        <f t="shared" si="209"/>
        <v>5</v>
      </c>
      <c r="DE182" s="129">
        <f t="shared" si="245"/>
        <v>39987</v>
      </c>
      <c r="DF182" s="161">
        <f t="shared" si="210"/>
        <v>0</v>
      </c>
      <c r="DG182" s="161">
        <f t="shared" si="211"/>
        <v>0</v>
      </c>
      <c r="DH182" s="161">
        <f t="shared" si="212"/>
        <v>0</v>
      </c>
      <c r="DI182" s="161">
        <f t="shared" si="213"/>
        <v>10.416666666666666</v>
      </c>
      <c r="DJ182" s="161">
        <f t="shared" si="214"/>
        <v>0</v>
      </c>
      <c r="DK182" s="161">
        <f t="shared" si="215"/>
        <v>0</v>
      </c>
      <c r="DL182" s="161">
        <f t="shared" si="216"/>
        <v>0</v>
      </c>
      <c r="DM182" s="161">
        <f t="shared" si="217"/>
        <v>0</v>
      </c>
      <c r="DN182" s="161">
        <f t="shared" si="218"/>
        <v>0</v>
      </c>
      <c r="DO182" s="161">
        <f t="shared" si="219"/>
        <v>0</v>
      </c>
      <c r="DP182" s="161">
        <f t="shared" si="220"/>
        <v>0</v>
      </c>
      <c r="DQ182" s="161">
        <f t="shared" si="221"/>
        <v>0</v>
      </c>
      <c r="DR182" s="161">
        <f t="shared" si="222"/>
        <v>0</v>
      </c>
      <c r="DS182" s="161">
        <f t="shared" si="223"/>
        <v>0</v>
      </c>
      <c r="DT182" s="161">
        <f t="shared" si="224"/>
        <v>0</v>
      </c>
      <c r="DU182" s="161">
        <f t="shared" si="225"/>
        <v>0</v>
      </c>
      <c r="DV182" s="161">
        <f t="shared" si="226"/>
        <v>0</v>
      </c>
      <c r="DW182" s="161">
        <f t="shared" si="227"/>
        <v>0</v>
      </c>
      <c r="DX182" s="161">
        <f t="shared" si="228"/>
        <v>0</v>
      </c>
      <c r="DY182" s="161">
        <f t="shared" si="229"/>
        <v>0</v>
      </c>
      <c r="DZ182" s="161">
        <f t="shared" si="230"/>
        <v>0</v>
      </c>
      <c r="EA182" s="161">
        <f t="shared" si="231"/>
        <v>0</v>
      </c>
      <c r="EB182" s="161">
        <f t="shared" si="232"/>
        <v>0</v>
      </c>
      <c r="EC182" s="161">
        <f t="shared" si="233"/>
        <v>0</v>
      </c>
      <c r="ED182" s="161">
        <f t="shared" si="234"/>
        <v>0</v>
      </c>
      <c r="EE182" s="161">
        <f t="shared" si="235"/>
        <v>0</v>
      </c>
      <c r="EF182" s="161">
        <f t="shared" si="236"/>
        <v>0</v>
      </c>
      <c r="EG182" s="161">
        <f t="shared" si="237"/>
        <v>0</v>
      </c>
      <c r="EH182" s="161">
        <f t="shared" si="238"/>
        <v>0</v>
      </c>
      <c r="EI182" s="161">
        <f t="shared" si="239"/>
        <v>0</v>
      </c>
      <c r="EJ182" s="161">
        <f t="shared" si="240"/>
        <v>0</v>
      </c>
      <c r="EK182" s="147">
        <f t="shared" si="172"/>
        <v>10.416666666666666</v>
      </c>
      <c r="EL182" s="149"/>
      <c r="EN182" s="146"/>
      <c r="EO182" s="146"/>
      <c r="EP182" s="139">
        <f t="shared" si="173"/>
        <v>0</v>
      </c>
      <c r="EQ182" s="139">
        <f t="shared" si="174"/>
        <v>0</v>
      </c>
      <c r="ER182" s="139">
        <f t="shared" si="175"/>
        <v>0</v>
      </c>
      <c r="ES182" s="139">
        <f t="shared" si="176"/>
        <v>2.2495177494926182</v>
      </c>
      <c r="ET182" s="139">
        <f t="shared" si="177"/>
        <v>0</v>
      </c>
      <c r="EU182" s="139">
        <f t="shared" si="178"/>
        <v>0</v>
      </c>
      <c r="EV182" s="139">
        <f t="shared" si="179"/>
        <v>0</v>
      </c>
      <c r="EW182" s="139">
        <f t="shared" si="180"/>
        <v>0</v>
      </c>
      <c r="EX182" s="139">
        <f t="shared" si="181"/>
        <v>0</v>
      </c>
      <c r="EY182" s="139">
        <f t="shared" si="182"/>
        <v>0</v>
      </c>
      <c r="EZ182" s="139">
        <f t="shared" si="183"/>
        <v>0</v>
      </c>
      <c r="FA182" s="139">
        <f t="shared" si="184"/>
        <v>0</v>
      </c>
      <c r="FB182" s="139">
        <f t="shared" si="185"/>
        <v>0</v>
      </c>
      <c r="FC182" s="139">
        <f t="shared" si="186"/>
        <v>0</v>
      </c>
      <c r="FD182" s="139">
        <f t="shared" si="187"/>
        <v>0</v>
      </c>
      <c r="FE182" s="139">
        <f t="shared" si="188"/>
        <v>0</v>
      </c>
      <c r="FF182" s="139">
        <f t="shared" si="189"/>
        <v>0</v>
      </c>
      <c r="FG182" s="139">
        <f t="shared" si="190"/>
        <v>0</v>
      </c>
      <c r="FH182" s="139">
        <f t="shared" si="191"/>
        <v>0</v>
      </c>
      <c r="FI182" s="139">
        <f t="shared" si="192"/>
        <v>0</v>
      </c>
      <c r="FJ182" s="139">
        <f t="shared" si="193"/>
        <v>0</v>
      </c>
      <c r="FK182" s="139">
        <f t="shared" si="194"/>
        <v>0</v>
      </c>
      <c r="FL182" s="139">
        <f t="shared" si="195"/>
        <v>0</v>
      </c>
      <c r="FM182" s="139">
        <f t="shared" si="196"/>
        <v>0</v>
      </c>
      <c r="FN182" s="139">
        <f t="shared" si="197"/>
        <v>0</v>
      </c>
      <c r="FO182" s="139">
        <f t="shared" si="198"/>
        <v>0</v>
      </c>
      <c r="FP182" s="139">
        <f t="shared" si="199"/>
        <v>0</v>
      </c>
      <c r="FQ182" s="139">
        <f t="shared" si="200"/>
        <v>0</v>
      </c>
      <c r="FR182" s="139">
        <f t="shared" si="201"/>
        <v>0</v>
      </c>
      <c r="FS182" s="139">
        <f t="shared" si="202"/>
        <v>0</v>
      </c>
      <c r="FT182" s="139">
        <f t="shared" si="203"/>
        <v>0</v>
      </c>
      <c r="FU182" s="148">
        <f t="shared" si="204"/>
        <v>2.2495177494926182</v>
      </c>
      <c r="FV182" s="149"/>
      <c r="FY182" s="211">
        <v>177</v>
      </c>
      <c r="FZ182">
        <v>111.42454131420888</v>
      </c>
      <c r="GA182">
        <v>136.04375927394176</v>
      </c>
      <c r="GB182">
        <v>61.796826332181681</v>
      </c>
      <c r="GC182">
        <v>40.677934729860695</v>
      </c>
      <c r="GD182">
        <v>40.033064485130446</v>
      </c>
      <c r="GE182">
        <v>107.47960991547566</v>
      </c>
      <c r="GF182">
        <v>159.53005640062204</v>
      </c>
      <c r="GG182">
        <v>118.65701391040274</v>
      </c>
      <c r="GH182">
        <v>97.763448761323843</v>
      </c>
      <c r="GI182">
        <v>111.32446237774109</v>
      </c>
      <c r="GJ182"/>
      <c r="GK182"/>
      <c r="GL182"/>
      <c r="GM182"/>
    </row>
    <row r="183" spans="1:195" s="7" customFormat="1">
      <c r="A183" s="1"/>
      <c r="B183" s="76">
        <f ca="1">IF(C183="", "", RAND())</f>
        <v>0.11167624259460052</v>
      </c>
      <c r="C183">
        <v>6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10.416666666666666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234.58249796883942</v>
      </c>
      <c r="AO183">
        <v>139.51954427532519</v>
      </c>
      <c r="AP183">
        <v>607.79743505247029</v>
      </c>
      <c r="AQ183">
        <v>749.17603627636254</v>
      </c>
      <c r="AR183">
        <v>131.26193982443633</v>
      </c>
      <c r="AS183">
        <v>1223.0326979503902</v>
      </c>
      <c r="AT183">
        <v>65.170128069779622</v>
      </c>
      <c r="AU183">
        <v>274.38253883544127</v>
      </c>
      <c r="AV183"/>
      <c r="AW183"/>
      <c r="AX183" s="146"/>
      <c r="AY183" s="76">
        <f t="shared" ca="1" si="170"/>
        <v>0.18347818294815088</v>
      </c>
      <c r="AZ183">
        <v>6</v>
      </c>
      <c r="BA183" s="129">
        <f t="shared" si="246"/>
        <v>39987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1</v>
      </c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 s="147"/>
      <c r="CH183" s="176"/>
      <c r="CJ183" s="146"/>
      <c r="CK183" s="76">
        <f t="shared" ca="1" si="205"/>
        <v>0.58596378115529957</v>
      </c>
      <c r="CL183" s="179">
        <f t="shared" si="206"/>
        <v>6</v>
      </c>
      <c r="CM183" s="180">
        <f t="shared" si="207"/>
        <v>39987</v>
      </c>
      <c r="CN183">
        <v>0</v>
      </c>
      <c r="CO183"/>
      <c r="CP183"/>
      <c r="CQ183"/>
      <c r="CR183"/>
      <c r="CS183"/>
      <c r="CT183"/>
      <c r="CU183"/>
      <c r="CV183" s="160"/>
      <c r="CW183">
        <v>1</v>
      </c>
      <c r="CX183">
        <f>350/50</f>
        <v>7</v>
      </c>
      <c r="CY183" s="160"/>
      <c r="CZ183" s="177">
        <f t="shared" si="208"/>
        <v>9.6000000000000002E-2</v>
      </c>
      <c r="DB183" s="146"/>
      <c r="DC183" s="76">
        <f t="shared" ca="1" si="171"/>
        <v>0.88086622016162974</v>
      </c>
      <c r="DD183">
        <f t="shared" si="209"/>
        <v>6</v>
      </c>
      <c r="DE183" s="129">
        <f t="shared" si="245"/>
        <v>39987</v>
      </c>
      <c r="DF183" s="161">
        <f t="shared" si="210"/>
        <v>0</v>
      </c>
      <c r="DG183" s="161">
        <f t="shared" si="211"/>
        <v>0</v>
      </c>
      <c r="DH183" s="161">
        <f t="shared" si="212"/>
        <v>0</v>
      </c>
      <c r="DI183" s="161">
        <f t="shared" si="213"/>
        <v>0</v>
      </c>
      <c r="DJ183" s="161">
        <f t="shared" si="214"/>
        <v>0</v>
      </c>
      <c r="DK183" s="161">
        <f t="shared" si="215"/>
        <v>0</v>
      </c>
      <c r="DL183" s="161">
        <f t="shared" si="216"/>
        <v>0</v>
      </c>
      <c r="DM183" s="161">
        <f t="shared" si="217"/>
        <v>0</v>
      </c>
      <c r="DN183" s="161">
        <f t="shared" si="218"/>
        <v>10.416666666666666</v>
      </c>
      <c r="DO183" s="161">
        <f t="shared" si="219"/>
        <v>0</v>
      </c>
      <c r="DP183" s="161">
        <f t="shared" si="220"/>
        <v>0</v>
      </c>
      <c r="DQ183" s="161">
        <f t="shared" si="221"/>
        <v>0</v>
      </c>
      <c r="DR183" s="161">
        <f t="shared" si="222"/>
        <v>0</v>
      </c>
      <c r="DS183" s="161">
        <f t="shared" si="223"/>
        <v>0</v>
      </c>
      <c r="DT183" s="161">
        <f t="shared" si="224"/>
        <v>0</v>
      </c>
      <c r="DU183" s="161">
        <f t="shared" si="225"/>
        <v>0</v>
      </c>
      <c r="DV183" s="161">
        <f t="shared" si="226"/>
        <v>0</v>
      </c>
      <c r="DW183" s="161">
        <f t="shared" si="227"/>
        <v>0</v>
      </c>
      <c r="DX183" s="161">
        <f t="shared" si="228"/>
        <v>0</v>
      </c>
      <c r="DY183" s="161">
        <f t="shared" si="229"/>
        <v>0</v>
      </c>
      <c r="DZ183" s="161">
        <f t="shared" si="230"/>
        <v>0</v>
      </c>
      <c r="EA183" s="161">
        <f t="shared" si="231"/>
        <v>0</v>
      </c>
      <c r="EB183" s="161">
        <f t="shared" si="232"/>
        <v>0</v>
      </c>
      <c r="EC183" s="161">
        <f t="shared" si="233"/>
        <v>0</v>
      </c>
      <c r="ED183" s="161">
        <f t="shared" si="234"/>
        <v>0</v>
      </c>
      <c r="EE183" s="161">
        <f t="shared" si="235"/>
        <v>0</v>
      </c>
      <c r="EF183" s="161">
        <f t="shared" si="236"/>
        <v>0</v>
      </c>
      <c r="EG183" s="161">
        <f t="shared" si="237"/>
        <v>0</v>
      </c>
      <c r="EH183" s="161">
        <f t="shared" si="238"/>
        <v>0</v>
      </c>
      <c r="EI183" s="161">
        <f t="shared" si="239"/>
        <v>0</v>
      </c>
      <c r="EJ183" s="161">
        <f t="shared" si="240"/>
        <v>0</v>
      </c>
      <c r="EK183" s="147">
        <f t="shared" si="172"/>
        <v>10.416666666666666</v>
      </c>
      <c r="EL183" s="149"/>
      <c r="EN183" s="146"/>
      <c r="EO183" s="146"/>
      <c r="EP183" s="139">
        <f t="shared" si="173"/>
        <v>0</v>
      </c>
      <c r="EQ183" s="139">
        <f t="shared" si="174"/>
        <v>0</v>
      </c>
      <c r="ER183" s="139">
        <f t="shared" si="175"/>
        <v>0</v>
      </c>
      <c r="ES183" s="139">
        <f t="shared" si="176"/>
        <v>0</v>
      </c>
      <c r="ET183" s="139">
        <f t="shared" si="177"/>
        <v>0</v>
      </c>
      <c r="EU183" s="139">
        <f t="shared" si="178"/>
        <v>0</v>
      </c>
      <c r="EV183" s="139">
        <f t="shared" si="179"/>
        <v>0</v>
      </c>
      <c r="EW183" s="139">
        <f t="shared" si="180"/>
        <v>0</v>
      </c>
      <c r="EX183" s="139">
        <f t="shared" si="181"/>
        <v>30.77145509025932</v>
      </c>
      <c r="EY183" s="139">
        <f t="shared" si="182"/>
        <v>0</v>
      </c>
      <c r="EZ183" s="139">
        <f t="shared" si="183"/>
        <v>0</v>
      </c>
      <c r="FA183" s="139">
        <f t="shared" si="184"/>
        <v>0</v>
      </c>
      <c r="FB183" s="139">
        <f t="shared" si="185"/>
        <v>0</v>
      </c>
      <c r="FC183" s="139">
        <f t="shared" si="186"/>
        <v>0</v>
      </c>
      <c r="FD183" s="139">
        <f t="shared" si="187"/>
        <v>0</v>
      </c>
      <c r="FE183" s="139">
        <f t="shared" si="188"/>
        <v>0</v>
      </c>
      <c r="FF183" s="139">
        <f t="shared" si="189"/>
        <v>0</v>
      </c>
      <c r="FG183" s="139">
        <f t="shared" si="190"/>
        <v>0</v>
      </c>
      <c r="FH183" s="139">
        <f t="shared" si="191"/>
        <v>0</v>
      </c>
      <c r="FI183" s="139">
        <f t="shared" si="192"/>
        <v>0</v>
      </c>
      <c r="FJ183" s="139">
        <f t="shared" si="193"/>
        <v>0</v>
      </c>
      <c r="FK183" s="139">
        <f t="shared" si="194"/>
        <v>0</v>
      </c>
      <c r="FL183" s="139">
        <f t="shared" si="195"/>
        <v>0</v>
      </c>
      <c r="FM183" s="139">
        <f t="shared" si="196"/>
        <v>0</v>
      </c>
      <c r="FN183" s="139">
        <f t="shared" si="197"/>
        <v>0</v>
      </c>
      <c r="FO183" s="139">
        <f t="shared" si="198"/>
        <v>0</v>
      </c>
      <c r="FP183" s="139">
        <f t="shared" si="199"/>
        <v>0</v>
      </c>
      <c r="FQ183" s="139">
        <f t="shared" si="200"/>
        <v>0</v>
      </c>
      <c r="FR183" s="139">
        <f t="shared" si="201"/>
        <v>0</v>
      </c>
      <c r="FS183" s="139">
        <f t="shared" si="202"/>
        <v>0</v>
      </c>
      <c r="FT183" s="139">
        <f t="shared" si="203"/>
        <v>0</v>
      </c>
      <c r="FU183" s="148">
        <f t="shared" si="204"/>
        <v>30.77145509025932</v>
      </c>
      <c r="FV183" s="149"/>
      <c r="FY183" s="211">
        <v>178</v>
      </c>
      <c r="FZ183">
        <v>83.226721648453776</v>
      </c>
      <c r="GA183">
        <v>128.42084145055236</v>
      </c>
      <c r="GB183">
        <v>56.937070628351961</v>
      </c>
      <c r="GC183">
        <v>43.102467678428084</v>
      </c>
      <c r="GD183">
        <v>39.256572520421479</v>
      </c>
      <c r="GE183">
        <v>65.911539465684868</v>
      </c>
      <c r="GF183">
        <v>72.772766664095272</v>
      </c>
      <c r="GG183">
        <v>67.234275968636425</v>
      </c>
      <c r="GH183">
        <v>77.617792824645633</v>
      </c>
      <c r="GI183">
        <v>82.362085286049322</v>
      </c>
      <c r="GJ183"/>
      <c r="GK183"/>
      <c r="GL183"/>
      <c r="GM183"/>
    </row>
    <row r="184" spans="1:195" s="7" customFormat="1">
      <c r="A184" s="1"/>
      <c r="B184" s="76">
        <f ca="1">IF(C184="", "", RAND())</f>
        <v>0.64485972587471441</v>
      </c>
      <c r="C184">
        <v>4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238.68264571388985</v>
      </c>
      <c r="AO184">
        <v>139.25743665172703</v>
      </c>
      <c r="AP184">
        <v>455.92112267853554</v>
      </c>
      <c r="AQ184">
        <v>758.60530332922303</v>
      </c>
      <c r="AR184">
        <v>132.83232084960613</v>
      </c>
      <c r="AS184">
        <v>1345.1347701726002</v>
      </c>
      <c r="AT184">
        <v>62.98905679091871</v>
      </c>
      <c r="AU184">
        <v>78.542994828004637</v>
      </c>
      <c r="AV184"/>
      <c r="AW184"/>
      <c r="AX184" s="146"/>
      <c r="AY184" s="76">
        <f t="shared" ca="1" si="170"/>
        <v>0.4887571781831781</v>
      </c>
      <c r="AZ184">
        <v>7</v>
      </c>
      <c r="BA184" s="129">
        <f t="shared" si="246"/>
        <v>39987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1</v>
      </c>
      <c r="BJ184">
        <v>1</v>
      </c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 s="147"/>
      <c r="CH184" s="176"/>
      <c r="CJ184" s="146"/>
      <c r="CK184" s="76">
        <f t="shared" ca="1" si="205"/>
        <v>0.22779628189124979</v>
      </c>
      <c r="CL184" s="179">
        <f t="shared" si="206"/>
        <v>7</v>
      </c>
      <c r="CM184" s="180">
        <f t="shared" si="207"/>
        <v>39987</v>
      </c>
      <c r="CN184">
        <v>0</v>
      </c>
      <c r="CO184">
        <v>0</v>
      </c>
      <c r="CP184">
        <v>0</v>
      </c>
      <c r="CQ184">
        <v>1</v>
      </c>
      <c r="CR184"/>
      <c r="CS184"/>
      <c r="CT184"/>
      <c r="CU184"/>
      <c r="CV184" s="160"/>
      <c r="CW184">
        <v>1</v>
      </c>
      <c r="CX184">
        <f>350/51</f>
        <v>6.8627450980392153</v>
      </c>
      <c r="CY184" s="165"/>
      <c r="CZ184" s="177">
        <f t="shared" si="208"/>
        <v>9.6000000000000002E-2</v>
      </c>
      <c r="DB184" s="146"/>
      <c r="DC184" s="76">
        <f t="shared" ca="1" si="171"/>
        <v>4.0327903528494247E-3</v>
      </c>
      <c r="DD184">
        <f t="shared" si="209"/>
        <v>7</v>
      </c>
      <c r="DE184" s="129">
        <f t="shared" si="245"/>
        <v>39987</v>
      </c>
      <c r="DF184" s="161">
        <f t="shared" si="210"/>
        <v>0</v>
      </c>
      <c r="DG184" s="161">
        <f t="shared" si="211"/>
        <v>0</v>
      </c>
      <c r="DH184" s="161">
        <f t="shared" si="212"/>
        <v>0</v>
      </c>
      <c r="DI184" s="161">
        <f t="shared" si="213"/>
        <v>71.486928104575156</v>
      </c>
      <c r="DJ184" s="161">
        <f t="shared" si="214"/>
        <v>0</v>
      </c>
      <c r="DK184" s="161">
        <f t="shared" si="215"/>
        <v>0</v>
      </c>
      <c r="DL184" s="161">
        <f t="shared" si="216"/>
        <v>0</v>
      </c>
      <c r="DM184" s="161">
        <f t="shared" si="217"/>
        <v>10.416666666666666</v>
      </c>
      <c r="DN184" s="161">
        <f t="shared" si="218"/>
        <v>10.416666666666666</v>
      </c>
      <c r="DO184" s="161">
        <f t="shared" si="219"/>
        <v>0</v>
      </c>
      <c r="DP184" s="161">
        <f t="shared" si="220"/>
        <v>0</v>
      </c>
      <c r="DQ184" s="161">
        <f t="shared" si="221"/>
        <v>0</v>
      </c>
      <c r="DR184" s="161">
        <f t="shared" si="222"/>
        <v>0</v>
      </c>
      <c r="DS184" s="161">
        <f t="shared" si="223"/>
        <v>0</v>
      </c>
      <c r="DT184" s="161">
        <f t="shared" si="224"/>
        <v>0</v>
      </c>
      <c r="DU184" s="161">
        <f t="shared" si="225"/>
        <v>0</v>
      </c>
      <c r="DV184" s="161">
        <f t="shared" si="226"/>
        <v>0</v>
      </c>
      <c r="DW184" s="161">
        <f t="shared" si="227"/>
        <v>0</v>
      </c>
      <c r="DX184" s="161">
        <f t="shared" si="228"/>
        <v>0</v>
      </c>
      <c r="DY184" s="161">
        <f t="shared" si="229"/>
        <v>0</v>
      </c>
      <c r="DZ184" s="161">
        <f t="shared" si="230"/>
        <v>0</v>
      </c>
      <c r="EA184" s="161">
        <f t="shared" si="231"/>
        <v>0</v>
      </c>
      <c r="EB184" s="161">
        <f t="shared" si="232"/>
        <v>0</v>
      </c>
      <c r="EC184" s="161">
        <f t="shared" si="233"/>
        <v>0</v>
      </c>
      <c r="ED184" s="161">
        <f t="shared" si="234"/>
        <v>0</v>
      </c>
      <c r="EE184" s="161">
        <f t="shared" si="235"/>
        <v>0</v>
      </c>
      <c r="EF184" s="161">
        <f t="shared" si="236"/>
        <v>0</v>
      </c>
      <c r="EG184" s="161">
        <f t="shared" si="237"/>
        <v>0</v>
      </c>
      <c r="EH184" s="161">
        <f t="shared" si="238"/>
        <v>0</v>
      </c>
      <c r="EI184" s="161">
        <f t="shared" si="239"/>
        <v>0</v>
      </c>
      <c r="EJ184" s="161">
        <f t="shared" si="240"/>
        <v>0</v>
      </c>
      <c r="EK184" s="147">
        <f t="shared" ref="EK184:EK207" si="247">IF(DF184="", "", SUM(DF184:EJ184))</f>
        <v>92.320261437908499</v>
      </c>
      <c r="EL184" s="149"/>
      <c r="EN184" s="146"/>
      <c r="EO184" s="146"/>
      <c r="EP184" s="139">
        <f t="shared" ref="EP184:EP207" si="248">IF(DF184="", "", DF184*G$36)</f>
        <v>0</v>
      </c>
      <c r="EQ184" s="139">
        <f t="shared" ref="EQ184:EQ207" si="249">IF(DG184="", "", DG184*H$36)</f>
        <v>0</v>
      </c>
      <c r="ER184" s="139">
        <f t="shared" ref="ER184:ER207" si="250">IF(DH184="", "", DH184*I$36)</f>
        <v>0</v>
      </c>
      <c r="ES184" s="139">
        <f t="shared" ref="ES184:ES207" si="251">IF(DI184="", "", DI184*J$36)</f>
        <v>15.437866908282672</v>
      </c>
      <c r="ET184" s="139">
        <f t="shared" ref="ET184:ET207" si="252">IF(DJ184="", "", DJ184*K$36)</f>
        <v>0</v>
      </c>
      <c r="EU184" s="139">
        <f t="shared" ref="EU184:EU207" si="253">IF(DK184="", "", DK184*L$36)</f>
        <v>0</v>
      </c>
      <c r="EV184" s="139">
        <f t="shared" ref="EV184:EV207" si="254">IF(DL184="", "", DL184*M$36)</f>
        <v>0</v>
      </c>
      <c r="EW184" s="139">
        <f t="shared" ref="EW184:EW207" si="255">IF(DM184="", "", DM184*N$36)</f>
        <v>21.551798137789032</v>
      </c>
      <c r="EX184" s="139">
        <f t="shared" ref="EX184:EX207" si="256">IF(DN184="", "", DN184*O$36)</f>
        <v>30.77145509025932</v>
      </c>
      <c r="EY184" s="139">
        <f t="shared" ref="EY184:EY207" si="257">IF(DO184="", "", DO184*P$36)</f>
        <v>0</v>
      </c>
      <c r="EZ184" s="139">
        <f t="shared" ref="EZ184:EZ207" si="258">IF(DP184="", "", DP184*Q$36)</f>
        <v>0</v>
      </c>
      <c r="FA184" s="139">
        <f t="shared" ref="FA184:FA207" si="259">IF(DQ184="", "", DQ184*R$36)</f>
        <v>0</v>
      </c>
      <c r="FB184" s="139">
        <f t="shared" ref="FB184:FB207" si="260">IF(DR184="", "", DR184*S$36)</f>
        <v>0</v>
      </c>
      <c r="FC184" s="139">
        <f t="shared" ref="FC184:FC207" si="261">IF(DS184="", "", DS184*T$36)</f>
        <v>0</v>
      </c>
      <c r="FD184" s="139">
        <f t="shared" ref="FD184:FD207" si="262">IF(DT184="", "", DT184*U$36)</f>
        <v>0</v>
      </c>
      <c r="FE184" s="139">
        <f t="shared" ref="FE184:FE207" si="263">IF(DU184="", "", DU184*V$36)</f>
        <v>0</v>
      </c>
      <c r="FF184" s="139">
        <f t="shared" ref="FF184:FF207" si="264">IF(DV184="", "", DV184*W$36)</f>
        <v>0</v>
      </c>
      <c r="FG184" s="139">
        <f t="shared" ref="FG184:FG207" si="265">IF(DW184="", "", DW184*X$36)</f>
        <v>0</v>
      </c>
      <c r="FH184" s="139">
        <f t="shared" ref="FH184:FH207" si="266">IF(DX184="", "", DX184*Y$36)</f>
        <v>0</v>
      </c>
      <c r="FI184" s="139">
        <f t="shared" ref="FI184:FI207" si="267">IF(DY184="", "", DY184*Z$36)</f>
        <v>0</v>
      </c>
      <c r="FJ184" s="139">
        <f t="shared" ref="FJ184:FJ207" si="268">IF(DZ184="", "", DZ184*AA$36)</f>
        <v>0</v>
      </c>
      <c r="FK184" s="139">
        <f t="shared" ref="FK184:FK207" si="269">IF(EA184="", "", EA184*AB$36)</f>
        <v>0</v>
      </c>
      <c r="FL184" s="139">
        <f t="shared" ref="FL184:FL207" si="270">IF(EB184="", "", EB184*AC$36)</f>
        <v>0</v>
      </c>
      <c r="FM184" s="139">
        <f t="shared" ref="FM184:FM207" si="271">IF(EC184="", "", EC184*AD$36)</f>
        <v>0</v>
      </c>
      <c r="FN184" s="139">
        <f t="shared" ref="FN184:FN207" si="272">IF(ED184="", "", ED184*AE$36)</f>
        <v>0</v>
      </c>
      <c r="FO184" s="139">
        <f t="shared" ref="FO184:FO207" si="273">IF(EE184="", "", EE184*AF$36)</f>
        <v>0</v>
      </c>
      <c r="FP184" s="139">
        <f t="shared" ref="FP184:FP207" si="274">IF(EF184="", "", EF184*AG$36)</f>
        <v>0</v>
      </c>
      <c r="FQ184" s="139">
        <f t="shared" ref="FQ184:FQ207" si="275">IF(EG184="", "", EG184*AH$36)</f>
        <v>0</v>
      </c>
      <c r="FR184" s="139">
        <f t="shared" ref="FR184:FR207" si="276">IF(EH184="", "", EH184*AI$36)</f>
        <v>0</v>
      </c>
      <c r="FS184" s="139">
        <f t="shared" ref="FS184:FS207" si="277">IF(EI184="", "", EI184*AJ$36)</f>
        <v>0</v>
      </c>
      <c r="FT184" s="139">
        <f t="shared" ref="FT184:FT207" si="278">IF(EJ184="", "", EJ184*AK$36)</f>
        <v>0</v>
      </c>
      <c r="FU184" s="148">
        <f t="shared" ref="FU184:FU207" si="279">IF(EP184="","",SUM(EP184:FT184))</f>
        <v>67.76112013633103</v>
      </c>
      <c r="FV184" s="149"/>
      <c r="FY184" s="211">
        <v>179</v>
      </c>
      <c r="FZ184">
        <v>97.931175499589401</v>
      </c>
      <c r="GA184">
        <v>126.03466510318513</v>
      </c>
      <c r="GB184">
        <v>54.707296586998176</v>
      </c>
      <c r="GC184">
        <v>30.037644388254733</v>
      </c>
      <c r="GD184">
        <v>43.978838257301113</v>
      </c>
      <c r="GE184">
        <v>83.168168963107632</v>
      </c>
      <c r="GF184">
        <v>72.454293890083363</v>
      </c>
      <c r="GG184">
        <v>59.402659526676949</v>
      </c>
      <c r="GH184">
        <v>42.018620887204449</v>
      </c>
      <c r="GI184">
        <v>79.78864162756409</v>
      </c>
      <c r="GJ184"/>
      <c r="GK184"/>
      <c r="GL184"/>
      <c r="GM184"/>
    </row>
    <row r="185" spans="1:195" s="7" customFormat="1">
      <c r="A185" s="1"/>
      <c r="B185" s="76">
        <f ca="1">IF(C185="", "", RAND())</f>
        <v>9.2902886213064306E-4</v>
      </c>
      <c r="C185">
        <v>1</v>
      </c>
      <c r="D185">
        <v>39987</v>
      </c>
      <c r="E185">
        <v>0</v>
      </c>
      <c r="F185">
        <v>0</v>
      </c>
      <c r="G185">
        <v>77.570921985815602</v>
      </c>
      <c r="H185">
        <v>155.1418439716312</v>
      </c>
      <c r="I185">
        <v>0</v>
      </c>
      <c r="J185">
        <v>77.570921985815602</v>
      </c>
      <c r="K185">
        <v>10.416666666666666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268.32056439937429</v>
      </c>
      <c r="AO185">
        <v>132.45307049793979</v>
      </c>
      <c r="AP185">
        <v>515.79873330855992</v>
      </c>
      <c r="AQ185">
        <v>733.88320935213926</v>
      </c>
      <c r="AR185">
        <v>125.07993222638889</v>
      </c>
      <c r="AS185">
        <v>1198.2717705646303</v>
      </c>
      <c r="AT185">
        <v>60.075947582501016</v>
      </c>
      <c r="AU185">
        <v>113.38663877230763</v>
      </c>
      <c r="AV185"/>
      <c r="AW185"/>
      <c r="AX185" s="146"/>
      <c r="AY185" s="76">
        <f t="shared" ca="1" si="170"/>
        <v>0.46861188255589115</v>
      </c>
      <c r="AZ185">
        <v>8</v>
      </c>
      <c r="BA185" s="129">
        <f t="shared" si="246"/>
        <v>39987</v>
      </c>
      <c r="BB185">
        <v>0</v>
      </c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 s="147"/>
      <c r="CH185" s="176"/>
      <c r="CJ185" s="146"/>
      <c r="CK185" s="76">
        <f t="shared" ca="1" si="205"/>
        <v>7.2506454577771606E-2</v>
      </c>
      <c r="CL185" s="179">
        <f t="shared" si="206"/>
        <v>8</v>
      </c>
      <c r="CM185" s="180">
        <f t="shared" si="207"/>
        <v>39987</v>
      </c>
      <c r="CN185">
        <v>0</v>
      </c>
      <c r="CO185">
        <v>0</v>
      </c>
      <c r="CP185">
        <v>0</v>
      </c>
      <c r="CQ185">
        <v>1</v>
      </c>
      <c r="CR185"/>
      <c r="CS185"/>
      <c r="CT185"/>
      <c r="CU185"/>
      <c r="CV185" s="160"/>
      <c r="CW185">
        <v>1</v>
      </c>
      <c r="CX185">
        <f>350/65</f>
        <v>5.384615384615385</v>
      </c>
      <c r="CY185" s="165"/>
      <c r="CZ185" s="177">
        <f t="shared" si="208"/>
        <v>9.6000000000000002E-2</v>
      </c>
      <c r="DB185" s="146"/>
      <c r="DC185" s="76">
        <f t="shared" ca="1" si="171"/>
        <v>0.81371612236781798</v>
      </c>
      <c r="DD185">
        <f t="shared" si="209"/>
        <v>8</v>
      </c>
      <c r="DE185" s="129">
        <f t="shared" si="245"/>
        <v>39987</v>
      </c>
      <c r="DF185" s="161">
        <f t="shared" si="210"/>
        <v>0</v>
      </c>
      <c r="DG185" s="161">
        <f t="shared" si="211"/>
        <v>0</v>
      </c>
      <c r="DH185" s="161">
        <f t="shared" si="212"/>
        <v>0</v>
      </c>
      <c r="DI185" s="161">
        <f t="shared" si="213"/>
        <v>56.089743589743591</v>
      </c>
      <c r="DJ185" s="161">
        <f t="shared" si="214"/>
        <v>0</v>
      </c>
      <c r="DK185" s="161">
        <f t="shared" si="215"/>
        <v>0</v>
      </c>
      <c r="DL185" s="161">
        <f t="shared" si="216"/>
        <v>0</v>
      </c>
      <c r="DM185" s="161">
        <f t="shared" si="217"/>
        <v>0</v>
      </c>
      <c r="DN185" s="161">
        <f t="shared" si="218"/>
        <v>0</v>
      </c>
      <c r="DO185" s="161">
        <f t="shared" si="219"/>
        <v>0</v>
      </c>
      <c r="DP185" s="161">
        <f t="shared" si="220"/>
        <v>0</v>
      </c>
      <c r="DQ185" s="161">
        <f t="shared" si="221"/>
        <v>0</v>
      </c>
      <c r="DR185" s="161">
        <f t="shared" si="222"/>
        <v>0</v>
      </c>
      <c r="DS185" s="161">
        <f t="shared" si="223"/>
        <v>0</v>
      </c>
      <c r="DT185" s="161">
        <f t="shared" si="224"/>
        <v>0</v>
      </c>
      <c r="DU185" s="161">
        <f t="shared" si="225"/>
        <v>0</v>
      </c>
      <c r="DV185" s="161">
        <f t="shared" si="226"/>
        <v>0</v>
      </c>
      <c r="DW185" s="161">
        <f t="shared" si="227"/>
        <v>0</v>
      </c>
      <c r="DX185" s="161">
        <f t="shared" si="228"/>
        <v>0</v>
      </c>
      <c r="DY185" s="161">
        <f t="shared" si="229"/>
        <v>0</v>
      </c>
      <c r="DZ185" s="161">
        <f t="shared" si="230"/>
        <v>0</v>
      </c>
      <c r="EA185" s="161">
        <f t="shared" si="231"/>
        <v>0</v>
      </c>
      <c r="EB185" s="161">
        <f t="shared" si="232"/>
        <v>0</v>
      </c>
      <c r="EC185" s="161">
        <f t="shared" si="233"/>
        <v>0</v>
      </c>
      <c r="ED185" s="161">
        <f t="shared" si="234"/>
        <v>0</v>
      </c>
      <c r="EE185" s="161">
        <f t="shared" si="235"/>
        <v>0</v>
      </c>
      <c r="EF185" s="161">
        <f t="shared" si="236"/>
        <v>0</v>
      </c>
      <c r="EG185" s="161">
        <f t="shared" si="237"/>
        <v>0</v>
      </c>
      <c r="EH185" s="161">
        <f t="shared" si="238"/>
        <v>0</v>
      </c>
      <c r="EI185" s="161">
        <f t="shared" si="239"/>
        <v>0</v>
      </c>
      <c r="EJ185" s="161">
        <f t="shared" si="240"/>
        <v>0</v>
      </c>
      <c r="EK185" s="147">
        <f t="shared" si="247"/>
        <v>56.089743589743591</v>
      </c>
      <c r="EL185" s="149"/>
      <c r="EN185" s="146"/>
      <c r="EO185" s="146"/>
      <c r="EP185" s="139">
        <f t="shared" si="248"/>
        <v>0</v>
      </c>
      <c r="EQ185" s="139">
        <f t="shared" si="249"/>
        <v>0</v>
      </c>
      <c r="ER185" s="139">
        <f t="shared" si="250"/>
        <v>0</v>
      </c>
      <c r="ES185" s="139">
        <f t="shared" si="251"/>
        <v>12.11278788188333</v>
      </c>
      <c r="ET185" s="139">
        <f t="shared" si="252"/>
        <v>0</v>
      </c>
      <c r="EU185" s="139">
        <f t="shared" si="253"/>
        <v>0</v>
      </c>
      <c r="EV185" s="139">
        <f t="shared" si="254"/>
        <v>0</v>
      </c>
      <c r="EW185" s="139">
        <f t="shared" si="255"/>
        <v>0</v>
      </c>
      <c r="EX185" s="139">
        <f t="shared" si="256"/>
        <v>0</v>
      </c>
      <c r="EY185" s="139">
        <f t="shared" si="257"/>
        <v>0</v>
      </c>
      <c r="EZ185" s="139">
        <f t="shared" si="258"/>
        <v>0</v>
      </c>
      <c r="FA185" s="139">
        <f t="shared" si="259"/>
        <v>0</v>
      </c>
      <c r="FB185" s="139">
        <f t="shared" si="260"/>
        <v>0</v>
      </c>
      <c r="FC185" s="139">
        <f t="shared" si="261"/>
        <v>0</v>
      </c>
      <c r="FD185" s="139">
        <f t="shared" si="262"/>
        <v>0</v>
      </c>
      <c r="FE185" s="139">
        <f t="shared" si="263"/>
        <v>0</v>
      </c>
      <c r="FF185" s="139">
        <f t="shared" si="264"/>
        <v>0</v>
      </c>
      <c r="FG185" s="139">
        <f t="shared" si="265"/>
        <v>0</v>
      </c>
      <c r="FH185" s="139">
        <f t="shared" si="266"/>
        <v>0</v>
      </c>
      <c r="FI185" s="139">
        <f t="shared" si="267"/>
        <v>0</v>
      </c>
      <c r="FJ185" s="139">
        <f t="shared" si="268"/>
        <v>0</v>
      </c>
      <c r="FK185" s="139">
        <f t="shared" si="269"/>
        <v>0</v>
      </c>
      <c r="FL185" s="139">
        <f t="shared" si="270"/>
        <v>0</v>
      </c>
      <c r="FM185" s="139">
        <f t="shared" si="271"/>
        <v>0</v>
      </c>
      <c r="FN185" s="139">
        <f t="shared" si="272"/>
        <v>0</v>
      </c>
      <c r="FO185" s="139">
        <f t="shared" si="273"/>
        <v>0</v>
      </c>
      <c r="FP185" s="139">
        <f t="shared" si="274"/>
        <v>0</v>
      </c>
      <c r="FQ185" s="139">
        <f t="shared" si="275"/>
        <v>0</v>
      </c>
      <c r="FR185" s="139">
        <f t="shared" si="276"/>
        <v>0</v>
      </c>
      <c r="FS185" s="139">
        <f t="shared" si="277"/>
        <v>0</v>
      </c>
      <c r="FT185" s="139">
        <f t="shared" si="278"/>
        <v>0</v>
      </c>
      <c r="FU185" s="148">
        <f t="shared" si="279"/>
        <v>12.11278788188333</v>
      </c>
      <c r="FV185" s="149"/>
      <c r="FY185" s="211">
        <v>180</v>
      </c>
      <c r="FZ185">
        <v>91.435045381586292</v>
      </c>
      <c r="GA185">
        <v>146.09760883332279</v>
      </c>
      <c r="GB185">
        <v>52.772178678262101</v>
      </c>
      <c r="GC185">
        <v>45.329695932561911</v>
      </c>
      <c r="GD185">
        <v>34.93401500093502</v>
      </c>
      <c r="GE185">
        <v>54.241868639734165</v>
      </c>
      <c r="GF185">
        <v>83.80282098399141</v>
      </c>
      <c r="GG185">
        <v>26.442835461490247</v>
      </c>
      <c r="GH185">
        <v>21.788729124249038</v>
      </c>
      <c r="GI185">
        <v>72.995921825465871</v>
      </c>
      <c r="GJ185"/>
      <c r="GK185"/>
      <c r="GL185"/>
      <c r="GM185"/>
    </row>
    <row r="186" spans="1:195" s="7" customFormat="1">
      <c r="A186" s="1"/>
      <c r="B186" s="76">
        <f ca="1">IF(C186="", "", RAND())</f>
        <v>9.3968243589846567E-2</v>
      </c>
      <c r="C186">
        <v>5</v>
      </c>
      <c r="D186">
        <v>39987</v>
      </c>
      <c r="E186">
        <v>0</v>
      </c>
      <c r="F186">
        <v>0</v>
      </c>
      <c r="G186">
        <v>0</v>
      </c>
      <c r="H186">
        <v>10.416666666666666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237.65229742434411</v>
      </c>
      <c r="AO186">
        <v>118.70955444198735</v>
      </c>
      <c r="AP186">
        <v>559.32586139342584</v>
      </c>
      <c r="AQ186">
        <v>690.33533077970299</v>
      </c>
      <c r="AR186">
        <v>110.93821799954395</v>
      </c>
      <c r="AS186">
        <v>1088.1511453271853</v>
      </c>
      <c r="AT186">
        <v>56.339725379391417</v>
      </c>
      <c r="AU186">
        <v>30.195202719923536</v>
      </c>
      <c r="AV186"/>
      <c r="AW186"/>
      <c r="AX186" s="146"/>
      <c r="AY186" s="76">
        <f t="shared" ca="1" si="170"/>
        <v>0.55009799498490297</v>
      </c>
      <c r="AZ186">
        <v>9</v>
      </c>
      <c r="BA186" s="129">
        <f t="shared" si="246"/>
        <v>39987</v>
      </c>
      <c r="BB186">
        <v>0</v>
      </c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 s="147"/>
      <c r="CH186" s="176"/>
      <c r="CJ186" s="146"/>
      <c r="CK186" s="76">
        <f t="shared" ca="1" si="205"/>
        <v>0.70879897974137496</v>
      </c>
      <c r="CL186" s="179">
        <f t="shared" si="206"/>
        <v>9</v>
      </c>
      <c r="CM186" s="180">
        <f t="shared" si="207"/>
        <v>39987</v>
      </c>
      <c r="CN186">
        <v>0</v>
      </c>
      <c r="CO186">
        <v>0</v>
      </c>
      <c r="CP186">
        <v>0</v>
      </c>
      <c r="CQ186">
        <v>1</v>
      </c>
      <c r="CR186"/>
      <c r="CS186"/>
      <c r="CT186"/>
      <c r="CU186"/>
      <c r="CV186" s="160"/>
      <c r="CW186">
        <v>1</v>
      </c>
      <c r="CX186">
        <f>350/52</f>
        <v>6.7307692307692308</v>
      </c>
      <c r="CY186" s="165"/>
      <c r="CZ186" s="177">
        <f t="shared" si="208"/>
        <v>9.6000000000000002E-2</v>
      </c>
      <c r="DB186" s="146"/>
      <c r="DC186" s="76">
        <f t="shared" ca="1" si="171"/>
        <v>0.18346111563524614</v>
      </c>
      <c r="DD186">
        <f t="shared" si="209"/>
        <v>9</v>
      </c>
      <c r="DE186" s="129">
        <f t="shared" si="245"/>
        <v>39987</v>
      </c>
      <c r="DF186" s="161">
        <f t="shared" si="210"/>
        <v>0</v>
      </c>
      <c r="DG186" s="161">
        <f t="shared" si="211"/>
        <v>0</v>
      </c>
      <c r="DH186" s="161">
        <f t="shared" si="212"/>
        <v>0</v>
      </c>
      <c r="DI186" s="161">
        <f t="shared" si="213"/>
        <v>70.112179487179489</v>
      </c>
      <c r="DJ186" s="161">
        <f t="shared" si="214"/>
        <v>0</v>
      </c>
      <c r="DK186" s="161">
        <f t="shared" si="215"/>
        <v>0</v>
      </c>
      <c r="DL186" s="161">
        <f t="shared" si="216"/>
        <v>0</v>
      </c>
      <c r="DM186" s="161">
        <f t="shared" si="217"/>
        <v>0</v>
      </c>
      <c r="DN186" s="161">
        <f t="shared" si="218"/>
        <v>0</v>
      </c>
      <c r="DO186" s="161">
        <f t="shared" si="219"/>
        <v>0</v>
      </c>
      <c r="DP186" s="161">
        <f t="shared" si="220"/>
        <v>0</v>
      </c>
      <c r="DQ186" s="161">
        <f t="shared" si="221"/>
        <v>0</v>
      </c>
      <c r="DR186" s="161">
        <f t="shared" si="222"/>
        <v>0</v>
      </c>
      <c r="DS186" s="161">
        <f t="shared" si="223"/>
        <v>0</v>
      </c>
      <c r="DT186" s="161">
        <f t="shared" si="224"/>
        <v>0</v>
      </c>
      <c r="DU186" s="161">
        <f t="shared" si="225"/>
        <v>0</v>
      </c>
      <c r="DV186" s="161">
        <f t="shared" si="226"/>
        <v>0</v>
      </c>
      <c r="DW186" s="161">
        <f t="shared" si="227"/>
        <v>0</v>
      </c>
      <c r="DX186" s="161">
        <f t="shared" si="228"/>
        <v>0</v>
      </c>
      <c r="DY186" s="161">
        <f t="shared" si="229"/>
        <v>0</v>
      </c>
      <c r="DZ186" s="161">
        <f t="shared" si="230"/>
        <v>0</v>
      </c>
      <c r="EA186" s="161">
        <f t="shared" si="231"/>
        <v>0</v>
      </c>
      <c r="EB186" s="161">
        <f t="shared" si="232"/>
        <v>0</v>
      </c>
      <c r="EC186" s="161">
        <f t="shared" si="233"/>
        <v>0</v>
      </c>
      <c r="ED186" s="161">
        <f t="shared" si="234"/>
        <v>0</v>
      </c>
      <c r="EE186" s="161">
        <f t="shared" si="235"/>
        <v>0</v>
      </c>
      <c r="EF186" s="161">
        <f t="shared" si="236"/>
        <v>0</v>
      </c>
      <c r="EG186" s="161">
        <f t="shared" si="237"/>
        <v>0</v>
      </c>
      <c r="EH186" s="161">
        <f t="shared" si="238"/>
        <v>0</v>
      </c>
      <c r="EI186" s="161">
        <f t="shared" si="239"/>
        <v>0</v>
      </c>
      <c r="EJ186" s="161">
        <f t="shared" si="240"/>
        <v>0</v>
      </c>
      <c r="EK186" s="147">
        <f t="shared" si="247"/>
        <v>70.112179487179489</v>
      </c>
      <c r="EL186" s="149"/>
      <c r="EN186" s="146"/>
      <c r="EO186" s="146"/>
      <c r="EP186" s="139">
        <f t="shared" si="248"/>
        <v>0</v>
      </c>
      <c r="EQ186" s="139">
        <f t="shared" si="249"/>
        <v>0</v>
      </c>
      <c r="ER186" s="139">
        <f t="shared" si="250"/>
        <v>0</v>
      </c>
      <c r="ES186" s="139">
        <f t="shared" si="251"/>
        <v>15.140984852354162</v>
      </c>
      <c r="ET186" s="139">
        <f t="shared" si="252"/>
        <v>0</v>
      </c>
      <c r="EU186" s="139">
        <f t="shared" si="253"/>
        <v>0</v>
      </c>
      <c r="EV186" s="139">
        <f t="shared" si="254"/>
        <v>0</v>
      </c>
      <c r="EW186" s="139">
        <f t="shared" si="255"/>
        <v>0</v>
      </c>
      <c r="EX186" s="139">
        <f t="shared" si="256"/>
        <v>0</v>
      </c>
      <c r="EY186" s="139">
        <f t="shared" si="257"/>
        <v>0</v>
      </c>
      <c r="EZ186" s="139">
        <f t="shared" si="258"/>
        <v>0</v>
      </c>
      <c r="FA186" s="139">
        <f t="shared" si="259"/>
        <v>0</v>
      </c>
      <c r="FB186" s="139">
        <f t="shared" si="260"/>
        <v>0</v>
      </c>
      <c r="FC186" s="139">
        <f t="shared" si="261"/>
        <v>0</v>
      </c>
      <c r="FD186" s="139">
        <f t="shared" si="262"/>
        <v>0</v>
      </c>
      <c r="FE186" s="139">
        <f t="shared" si="263"/>
        <v>0</v>
      </c>
      <c r="FF186" s="139">
        <f t="shared" si="264"/>
        <v>0</v>
      </c>
      <c r="FG186" s="139">
        <f t="shared" si="265"/>
        <v>0</v>
      </c>
      <c r="FH186" s="139">
        <f t="shared" si="266"/>
        <v>0</v>
      </c>
      <c r="FI186" s="139">
        <f t="shared" si="267"/>
        <v>0</v>
      </c>
      <c r="FJ186" s="139">
        <f t="shared" si="268"/>
        <v>0</v>
      </c>
      <c r="FK186" s="139">
        <f t="shared" si="269"/>
        <v>0</v>
      </c>
      <c r="FL186" s="139">
        <f t="shared" si="270"/>
        <v>0</v>
      </c>
      <c r="FM186" s="139">
        <f t="shared" si="271"/>
        <v>0</v>
      </c>
      <c r="FN186" s="139">
        <f t="shared" si="272"/>
        <v>0</v>
      </c>
      <c r="FO186" s="139">
        <f t="shared" si="273"/>
        <v>0</v>
      </c>
      <c r="FP186" s="139">
        <f t="shared" si="274"/>
        <v>0</v>
      </c>
      <c r="FQ186" s="139">
        <f t="shared" si="275"/>
        <v>0</v>
      </c>
      <c r="FR186" s="139">
        <f t="shared" si="276"/>
        <v>0</v>
      </c>
      <c r="FS186" s="139">
        <f t="shared" si="277"/>
        <v>0</v>
      </c>
      <c r="FT186" s="139">
        <f t="shared" si="278"/>
        <v>0</v>
      </c>
      <c r="FU186" s="148">
        <f t="shared" si="279"/>
        <v>15.140984852354162</v>
      </c>
      <c r="FV186" s="149"/>
      <c r="FY186" s="211">
        <v>181</v>
      </c>
      <c r="FZ186">
        <v>130.4436528404587</v>
      </c>
      <c r="GA186">
        <v>137.07657084775249</v>
      </c>
      <c r="GB186">
        <v>58.249130893941604</v>
      </c>
      <c r="GC186">
        <v>40.418484950121986</v>
      </c>
      <c r="GD186">
        <v>35.886612232204726</v>
      </c>
      <c r="GE186">
        <v>70.604897804754344</v>
      </c>
      <c r="GF186">
        <v>65.83896833459157</v>
      </c>
      <c r="GG186">
        <v>66.882826338576606</v>
      </c>
      <c r="GH186">
        <v>95.762532196300896</v>
      </c>
      <c r="GI186">
        <v>87.099630181734454</v>
      </c>
      <c r="GJ186"/>
      <c r="GK186"/>
      <c r="GL186"/>
      <c r="GM186"/>
    </row>
    <row r="187" spans="1:195" s="7" customFormat="1">
      <c r="A187" s="1"/>
      <c r="B187" s="76">
        <f ca="1">IF(C187="", "", RAND())</f>
        <v>0.36335997410671972</v>
      </c>
      <c r="C187">
        <v>2</v>
      </c>
      <c r="D187">
        <v>39987</v>
      </c>
      <c r="E187">
        <v>0</v>
      </c>
      <c r="F187">
        <v>0</v>
      </c>
      <c r="G187">
        <v>0</v>
      </c>
      <c r="H187">
        <v>57.779947916666664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312.11525372640335</v>
      </c>
      <c r="AO187">
        <v>145.80826343629997</v>
      </c>
      <c r="AP187">
        <v>657.45125233928763</v>
      </c>
      <c r="AQ187">
        <v>798.41802339631499</v>
      </c>
      <c r="AR187">
        <v>139.91991597278079</v>
      </c>
      <c r="AS187">
        <v>1347.2832024881525</v>
      </c>
      <c r="AT187">
        <v>68.878621166648983</v>
      </c>
      <c r="AU187">
        <v>57.125761843671363</v>
      </c>
      <c r="AV187"/>
      <c r="AW187"/>
      <c r="AX187" s="146"/>
      <c r="AY187" s="76">
        <f t="shared" ca="1" si="170"/>
        <v>0.29907130968261342</v>
      </c>
      <c r="AZ187">
        <v>10</v>
      </c>
      <c r="BA187" s="129">
        <f t="shared" si="246"/>
        <v>39987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1</v>
      </c>
      <c r="BK187">
        <v>1</v>
      </c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 s="147"/>
      <c r="CH187" s="176"/>
      <c r="CJ187" s="146"/>
      <c r="CK187" s="76">
        <f t="shared" ca="1" si="205"/>
        <v>0.60576815961780461</v>
      </c>
      <c r="CL187" s="179">
        <f t="shared" si="206"/>
        <v>10</v>
      </c>
      <c r="CM187" s="180">
        <f t="shared" si="207"/>
        <v>39987</v>
      </c>
      <c r="CN187">
        <v>0</v>
      </c>
      <c r="CO187"/>
      <c r="CP187"/>
      <c r="CQ187"/>
      <c r="CR187"/>
      <c r="CS187"/>
      <c r="CT187"/>
      <c r="CU187"/>
      <c r="CV187" s="160"/>
      <c r="CW187">
        <v>1</v>
      </c>
      <c r="CX187">
        <f>350/73</f>
        <v>4.7945205479452051</v>
      </c>
      <c r="CY187" s="165"/>
      <c r="CZ187" s="177">
        <f t="shared" si="208"/>
        <v>9.6000000000000002E-2</v>
      </c>
      <c r="DB187" s="146"/>
      <c r="DC187" s="76">
        <f t="shared" ca="1" si="171"/>
        <v>0.33663154353049851</v>
      </c>
      <c r="DD187">
        <f t="shared" si="209"/>
        <v>10</v>
      </c>
      <c r="DE187" s="129">
        <f t="shared" si="245"/>
        <v>39987</v>
      </c>
      <c r="DF187" s="161">
        <f t="shared" si="210"/>
        <v>0</v>
      </c>
      <c r="DG187" s="161">
        <f t="shared" si="211"/>
        <v>0</v>
      </c>
      <c r="DH187" s="161">
        <f t="shared" si="212"/>
        <v>0</v>
      </c>
      <c r="DI187" s="161">
        <f t="shared" si="213"/>
        <v>0</v>
      </c>
      <c r="DJ187" s="161">
        <f t="shared" si="214"/>
        <v>0</v>
      </c>
      <c r="DK187" s="161">
        <f t="shared" si="215"/>
        <v>0</v>
      </c>
      <c r="DL187" s="161">
        <f t="shared" si="216"/>
        <v>0</v>
      </c>
      <c r="DM187" s="161">
        <f t="shared" si="217"/>
        <v>0</v>
      </c>
      <c r="DN187" s="161">
        <f t="shared" si="218"/>
        <v>10.416666666666666</v>
      </c>
      <c r="DO187" s="161">
        <f t="shared" si="219"/>
        <v>10.416666666666666</v>
      </c>
      <c r="DP187" s="161">
        <f t="shared" si="220"/>
        <v>0</v>
      </c>
      <c r="DQ187" s="161">
        <f t="shared" si="221"/>
        <v>0</v>
      </c>
      <c r="DR187" s="161">
        <f t="shared" si="222"/>
        <v>0</v>
      </c>
      <c r="DS187" s="161">
        <f t="shared" si="223"/>
        <v>0</v>
      </c>
      <c r="DT187" s="161">
        <f t="shared" si="224"/>
        <v>0</v>
      </c>
      <c r="DU187" s="161">
        <f t="shared" si="225"/>
        <v>0</v>
      </c>
      <c r="DV187" s="161">
        <f t="shared" si="226"/>
        <v>0</v>
      </c>
      <c r="DW187" s="161">
        <f t="shared" si="227"/>
        <v>0</v>
      </c>
      <c r="DX187" s="161">
        <f t="shared" si="228"/>
        <v>0</v>
      </c>
      <c r="DY187" s="161">
        <f t="shared" si="229"/>
        <v>0</v>
      </c>
      <c r="DZ187" s="161">
        <f t="shared" si="230"/>
        <v>0</v>
      </c>
      <c r="EA187" s="161">
        <f t="shared" si="231"/>
        <v>0</v>
      </c>
      <c r="EB187" s="161">
        <f t="shared" si="232"/>
        <v>0</v>
      </c>
      <c r="EC187" s="161">
        <f t="shared" si="233"/>
        <v>0</v>
      </c>
      <c r="ED187" s="161">
        <f t="shared" si="234"/>
        <v>0</v>
      </c>
      <c r="EE187" s="161">
        <f t="shared" si="235"/>
        <v>0</v>
      </c>
      <c r="EF187" s="161">
        <f t="shared" si="236"/>
        <v>0</v>
      </c>
      <c r="EG187" s="161">
        <f t="shared" si="237"/>
        <v>0</v>
      </c>
      <c r="EH187" s="161">
        <f t="shared" si="238"/>
        <v>0</v>
      </c>
      <c r="EI187" s="161">
        <f t="shared" si="239"/>
        <v>0</v>
      </c>
      <c r="EJ187" s="161">
        <f t="shared" si="240"/>
        <v>0</v>
      </c>
      <c r="EK187" s="147">
        <f t="shared" si="247"/>
        <v>20.833333333333332</v>
      </c>
      <c r="EL187" s="149"/>
      <c r="EN187" s="146"/>
      <c r="EO187" s="146"/>
      <c r="EP187" s="139">
        <f t="shared" si="248"/>
        <v>0</v>
      </c>
      <c r="EQ187" s="139">
        <f t="shared" si="249"/>
        <v>0</v>
      </c>
      <c r="ER187" s="139">
        <f t="shared" si="250"/>
        <v>0</v>
      </c>
      <c r="ES187" s="139">
        <f t="shared" si="251"/>
        <v>0</v>
      </c>
      <c r="ET187" s="139">
        <f t="shared" si="252"/>
        <v>0</v>
      </c>
      <c r="EU187" s="139">
        <f t="shared" si="253"/>
        <v>0</v>
      </c>
      <c r="EV187" s="139">
        <f t="shared" si="254"/>
        <v>0</v>
      </c>
      <c r="EW187" s="139">
        <f t="shared" si="255"/>
        <v>0</v>
      </c>
      <c r="EX187" s="139">
        <f t="shared" si="256"/>
        <v>30.77145509025932</v>
      </c>
      <c r="EY187" s="139">
        <f t="shared" si="257"/>
        <v>42.128093979612366</v>
      </c>
      <c r="EZ187" s="139">
        <f t="shared" si="258"/>
        <v>0</v>
      </c>
      <c r="FA187" s="139">
        <f t="shared" si="259"/>
        <v>0</v>
      </c>
      <c r="FB187" s="139">
        <f t="shared" si="260"/>
        <v>0</v>
      </c>
      <c r="FC187" s="139">
        <f t="shared" si="261"/>
        <v>0</v>
      </c>
      <c r="FD187" s="139">
        <f t="shared" si="262"/>
        <v>0</v>
      </c>
      <c r="FE187" s="139">
        <f t="shared" si="263"/>
        <v>0</v>
      </c>
      <c r="FF187" s="139">
        <f t="shared" si="264"/>
        <v>0</v>
      </c>
      <c r="FG187" s="139">
        <f t="shared" si="265"/>
        <v>0</v>
      </c>
      <c r="FH187" s="139">
        <f t="shared" si="266"/>
        <v>0</v>
      </c>
      <c r="FI187" s="139">
        <f t="shared" si="267"/>
        <v>0</v>
      </c>
      <c r="FJ187" s="139">
        <f t="shared" si="268"/>
        <v>0</v>
      </c>
      <c r="FK187" s="139">
        <f t="shared" si="269"/>
        <v>0</v>
      </c>
      <c r="FL187" s="139">
        <f t="shared" si="270"/>
        <v>0</v>
      </c>
      <c r="FM187" s="139">
        <f t="shared" si="271"/>
        <v>0</v>
      </c>
      <c r="FN187" s="139">
        <f t="shared" si="272"/>
        <v>0</v>
      </c>
      <c r="FO187" s="139">
        <f t="shared" si="273"/>
        <v>0</v>
      </c>
      <c r="FP187" s="139">
        <f t="shared" si="274"/>
        <v>0</v>
      </c>
      <c r="FQ187" s="139">
        <f t="shared" si="275"/>
        <v>0</v>
      </c>
      <c r="FR187" s="139">
        <f t="shared" si="276"/>
        <v>0</v>
      </c>
      <c r="FS187" s="139">
        <f t="shared" si="277"/>
        <v>0</v>
      </c>
      <c r="FT187" s="139">
        <f t="shared" si="278"/>
        <v>0</v>
      </c>
      <c r="FU187" s="148">
        <f t="shared" si="279"/>
        <v>72.899549069871682</v>
      </c>
      <c r="FV187" s="149"/>
      <c r="FY187" s="211">
        <v>182</v>
      </c>
      <c r="FZ187">
        <v>100.88531061077639</v>
      </c>
      <c r="GA187">
        <v>126.66838481198843</v>
      </c>
      <c r="GB187">
        <v>37.412219034293727</v>
      </c>
      <c r="GC187">
        <v>37.818051345687735</v>
      </c>
      <c r="GD187">
        <v>28.793840384187249</v>
      </c>
      <c r="GE187">
        <v>50.140992664949408</v>
      </c>
      <c r="GF187">
        <v>62.697168632347179</v>
      </c>
      <c r="GG187">
        <v>10.142882095308384</v>
      </c>
      <c r="GH187">
        <v>21.79777433649091</v>
      </c>
      <c r="GI187">
        <v>60.35743757224045</v>
      </c>
      <c r="GJ187"/>
      <c r="GK187"/>
      <c r="GL187"/>
      <c r="GM187"/>
    </row>
    <row r="188" spans="1:195" s="7" customFormat="1">
      <c r="A188" s="128"/>
      <c r="B188" s="76" t="str">
        <f ca="1">IF(C188="", "", RAND())</f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237.22875483544266</v>
      </c>
      <c r="AO188">
        <v>146.07514164452309</v>
      </c>
      <c r="AP188">
        <v>685.5079192548003</v>
      </c>
      <c r="AQ188">
        <v>815.96700088449165</v>
      </c>
      <c r="AR188">
        <v>139.30050429147158</v>
      </c>
      <c r="AS188">
        <v>1396.4354060932162</v>
      </c>
      <c r="AT188">
        <v>74.298086402182875</v>
      </c>
      <c r="AU188">
        <v>43.480089672059236</v>
      </c>
      <c r="AV188"/>
      <c r="AW188"/>
      <c r="AX188" s="128"/>
      <c r="AY188" s="76" t="str">
        <f t="shared" ca="1" si="170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5"/>
        <v/>
      </c>
      <c r="CL188" s="179" t="str">
        <f t="shared" si="206"/>
        <v/>
      </c>
      <c r="CM188" s="180" t="str">
        <f t="shared" si="207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08"/>
        <v/>
      </c>
      <c r="DB188" s="128"/>
      <c r="DC188" s="76" t="str">
        <f t="shared" ca="1" si="171"/>
        <v/>
      </c>
      <c r="DD188" t="str">
        <f t="shared" si="209"/>
        <v/>
      </c>
      <c r="DE188" s="129" t="str">
        <f t="shared" ref="DE188:DE197" si="280">IF((DD188)="", "", $C$14)</f>
        <v/>
      </c>
      <c r="DF188" s="161" t="str">
        <f t="shared" ref="DF188:DF207" si="281">IF($AZ188="", "", ((BB188*$CW188)+(CN188*$CX188))/$CZ188)</f>
        <v/>
      </c>
      <c r="DG188" s="161" t="str">
        <f t="shared" ref="DG188:DG207" si="282">IF($AZ188="", "", ((BC188*$CW188)+(CO188*$CX188))/$CZ188)</f>
        <v/>
      </c>
      <c r="DH188" s="161" t="str">
        <f t="shared" ref="DH188:DH207" si="283">IF($AZ188="", "", ((BD188*$CW188)+(CP188*$CX188))/$CZ188)</f>
        <v/>
      </c>
      <c r="DI188" s="161" t="str">
        <f t="shared" ref="DI188:DI207" si="284">IF($AZ188="", "", ((BE188*$CW188)+(CQ188*$CX188))/$CZ188)</f>
        <v/>
      </c>
      <c r="DJ188" s="161" t="str">
        <f t="shared" ref="DJ188:DJ207" si="285">IF($AZ188="", "", ((BF188*$CW188)+(CR188*$CX188))/$CZ188)</f>
        <v/>
      </c>
      <c r="DK188" s="161" t="str">
        <f t="shared" ref="DK188:DK207" si="286">IF($AZ188="", "", ((BG188*$CW188)+(CS188*$CX188))/$CZ188)</f>
        <v/>
      </c>
      <c r="DL188" s="161" t="str">
        <f t="shared" ref="DL188:DL207" si="287">IF($AZ188="", "", ((BH188*$CW188)+(CT188*$CX188))/$CZ188)</f>
        <v/>
      </c>
      <c r="DM188" s="161" t="str">
        <f t="shared" ref="DM188:DM207" si="288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89">IF($AZ188="", "", (BK187*$CW188)/$CZ188)</f>
        <v/>
      </c>
      <c r="DP188" s="161" t="str">
        <f t="shared" ref="DP188:DP193" si="290">IF($AZ188="", "", (BL187*$CW188)/$CZ188)</f>
        <v/>
      </c>
      <c r="DQ188" s="161" t="str">
        <f t="shared" ref="DQ188:DQ193" si="291">IF($AZ188="", "", (BM187*$CW188)/$CZ188)</f>
        <v/>
      </c>
      <c r="DR188" s="161" t="str">
        <f t="shared" ref="DR188:DR193" si="292">IF($AZ188="", "", (BN187*$CW188)/$CZ188)</f>
        <v/>
      </c>
      <c r="DS188" s="161" t="str">
        <f t="shared" ref="DS188:DS193" si="293">IF($AZ188="", "", (BO187*$CW188)/$CZ188)</f>
        <v/>
      </c>
      <c r="DT188" s="161" t="str">
        <f t="shared" ref="DT188:DT193" si="294">IF($AZ188="", "", (BP187*$CW188)/$CZ188)</f>
        <v/>
      </c>
      <c r="DU188" s="161" t="str">
        <f t="shared" ref="DU188:DU193" si="295">IF($AZ188="", "", (BQ187*$CW188)/$CZ188)</f>
        <v/>
      </c>
      <c r="DV188" s="161" t="str">
        <f t="shared" ref="DV188:DV193" si="296">IF($AZ188="", "", (BR187*$CW188)/$CZ188)</f>
        <v/>
      </c>
      <c r="DW188" s="161" t="str">
        <f t="shared" ref="DW188:DW193" si="297">IF($AZ188="", "", (BS187*$CW188)/$CZ188)</f>
        <v/>
      </c>
      <c r="DX188" s="161" t="str">
        <f t="shared" ref="DX188:DX193" si="298">IF($AZ188="", "", (BT187*$CW188)/$CZ188)</f>
        <v/>
      </c>
      <c r="DY188" s="161" t="str">
        <f t="shared" ref="DY188:DY193" si="299">IF($AZ188="", "", (BU187*$CW188)/$CZ188)</f>
        <v/>
      </c>
      <c r="DZ188" s="161" t="str">
        <f t="shared" ref="DZ188:DZ193" si="300">IF($AZ188="", "", (BV187*$CW188)/$CZ188)</f>
        <v/>
      </c>
      <c r="EA188" s="161" t="str">
        <f t="shared" ref="EA188:EA193" si="301">IF($AZ188="", "", (BW187*$CW188)/$CZ188)</f>
        <v/>
      </c>
      <c r="EB188" s="161" t="str">
        <f t="shared" ref="EB188:EB193" si="302">IF($AZ188="", "", (BX187*$CW188)/$CZ188)</f>
        <v/>
      </c>
      <c r="EC188" s="161" t="str">
        <f t="shared" ref="EC188:EC193" si="303">IF($AZ188="", "", (BY187*$CW188)/$CZ188)</f>
        <v/>
      </c>
      <c r="ED188" s="161" t="str">
        <f t="shared" ref="ED188:ED193" si="304">IF($AZ188="", "", (BZ187*$CW188)/$CZ188)</f>
        <v/>
      </c>
      <c r="EE188" s="161" t="str">
        <f t="shared" ref="EE188:EE193" si="305">IF($AZ188="", "", (CA187*$CW188)/$CZ188)</f>
        <v/>
      </c>
      <c r="EF188" s="161" t="str">
        <f t="shared" ref="EF188:EF193" si="306">IF($AZ188="", "", (CB187*$CW188)/$CZ188)</f>
        <v/>
      </c>
      <c r="EG188" s="161" t="str">
        <f t="shared" ref="EG188:EG193" si="307">IF($AZ188="", "", (CC187*$CW188)/$CZ188)</f>
        <v/>
      </c>
      <c r="EH188" s="161" t="str">
        <f t="shared" ref="EH188:EH193" si="308">IF($AZ188="", "", (CD187*$CW188)/$CZ188)</f>
        <v/>
      </c>
      <c r="EI188" s="161" t="str">
        <f t="shared" ref="EI188:EI193" si="309">IF($AZ188="", "", (CE187*$CW188)/$CZ188)</f>
        <v/>
      </c>
      <c r="EJ188" s="161" t="str">
        <f t="shared" ref="EJ188:EJ193" si="310">IF($AZ188="", "", (CF187*$CW188)/$CZ188)</f>
        <v/>
      </c>
      <c r="EK188" s="147" t="str">
        <f t="shared" si="247"/>
        <v/>
      </c>
      <c r="EL188" s="149"/>
      <c r="EN188" s="146"/>
      <c r="EO188" s="146"/>
      <c r="EP188" s="139" t="str">
        <f t="shared" si="248"/>
        <v/>
      </c>
      <c r="EQ188" s="139" t="str">
        <f t="shared" si="249"/>
        <v/>
      </c>
      <c r="ER188" s="139" t="str">
        <f t="shared" si="250"/>
        <v/>
      </c>
      <c r="ES188" s="139" t="str">
        <f t="shared" si="251"/>
        <v/>
      </c>
      <c r="ET188" s="139" t="str">
        <f t="shared" si="252"/>
        <v/>
      </c>
      <c r="EU188" s="139" t="str">
        <f t="shared" si="253"/>
        <v/>
      </c>
      <c r="EV188" s="139" t="str">
        <f t="shared" si="254"/>
        <v/>
      </c>
      <c r="EW188" s="139" t="str">
        <f t="shared" si="255"/>
        <v/>
      </c>
      <c r="EX188" s="139" t="str">
        <f t="shared" si="256"/>
        <v/>
      </c>
      <c r="EY188" s="139" t="str">
        <f t="shared" si="257"/>
        <v/>
      </c>
      <c r="EZ188" s="139" t="str">
        <f t="shared" si="258"/>
        <v/>
      </c>
      <c r="FA188" s="139" t="str">
        <f t="shared" si="259"/>
        <v/>
      </c>
      <c r="FB188" s="139" t="str">
        <f t="shared" si="260"/>
        <v/>
      </c>
      <c r="FC188" s="139" t="str">
        <f t="shared" si="261"/>
        <v/>
      </c>
      <c r="FD188" s="139" t="str">
        <f t="shared" si="262"/>
        <v/>
      </c>
      <c r="FE188" s="139" t="str">
        <f t="shared" si="263"/>
        <v/>
      </c>
      <c r="FF188" s="139" t="str">
        <f t="shared" si="264"/>
        <v/>
      </c>
      <c r="FG188" s="139" t="str">
        <f t="shared" si="265"/>
        <v/>
      </c>
      <c r="FH188" s="139" t="str">
        <f t="shared" si="266"/>
        <v/>
      </c>
      <c r="FI188" s="139" t="str">
        <f t="shared" si="267"/>
        <v/>
      </c>
      <c r="FJ188" s="139" t="str">
        <f t="shared" si="268"/>
        <v/>
      </c>
      <c r="FK188" s="139" t="str">
        <f t="shared" si="269"/>
        <v/>
      </c>
      <c r="FL188" s="139" t="str">
        <f t="shared" si="270"/>
        <v/>
      </c>
      <c r="FM188" s="139" t="str">
        <f t="shared" si="271"/>
        <v/>
      </c>
      <c r="FN188" s="139" t="str">
        <f t="shared" si="272"/>
        <v/>
      </c>
      <c r="FO188" s="139" t="str">
        <f t="shared" si="273"/>
        <v/>
      </c>
      <c r="FP188" s="139" t="str">
        <f t="shared" si="274"/>
        <v/>
      </c>
      <c r="FQ188" s="139" t="str">
        <f t="shared" si="275"/>
        <v/>
      </c>
      <c r="FR188" s="139" t="str">
        <f t="shared" si="276"/>
        <v/>
      </c>
      <c r="FS188" s="139" t="str">
        <f t="shared" si="277"/>
        <v/>
      </c>
      <c r="FT188" s="139" t="str">
        <f t="shared" si="278"/>
        <v/>
      </c>
      <c r="FU188" s="148" t="str">
        <f t="shared" si="279"/>
        <v/>
      </c>
      <c r="FV188" s="149"/>
      <c r="FY188" s="211">
        <v>183</v>
      </c>
      <c r="FZ188">
        <v>84.957581468232064</v>
      </c>
      <c r="GA188">
        <v>115.15080776006116</v>
      </c>
      <c r="GB188">
        <v>56.760578660637435</v>
      </c>
      <c r="GC188">
        <v>50.697057670324639</v>
      </c>
      <c r="GD188">
        <v>34.479034240649376</v>
      </c>
      <c r="GE188">
        <v>40.809494161031516</v>
      </c>
      <c r="GF188">
        <v>64.046540693337974</v>
      </c>
      <c r="GG188">
        <v>58.324121790373717</v>
      </c>
      <c r="GH188">
        <v>59.638954558312491</v>
      </c>
      <c r="GI188">
        <v>73.922823927140072</v>
      </c>
      <c r="GJ188"/>
      <c r="GK188"/>
      <c r="GL188"/>
      <c r="GM188"/>
    </row>
    <row r="189" spans="1:195" s="7" customFormat="1">
      <c r="A189" s="1"/>
      <c r="B189" s="76" t="str">
        <f ca="1">IF(C189="", "", RAND())</f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270.35176343650949</v>
      </c>
      <c r="AO189">
        <v>141.92166656080445</v>
      </c>
      <c r="AP189">
        <v>606.3127672055748</v>
      </c>
      <c r="AQ189">
        <v>800.50466844266236</v>
      </c>
      <c r="AR189">
        <v>135.12240668587066</v>
      </c>
      <c r="AS189">
        <v>1307.32732160059</v>
      </c>
      <c r="AT189">
        <v>68.912092107777696</v>
      </c>
      <c r="AU189">
        <v>193.55444052481681</v>
      </c>
      <c r="AV189"/>
      <c r="AW189"/>
      <c r="AX189" s="146"/>
      <c r="AY189" s="76" t="str">
        <f t="shared" ca="1" si="170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5"/>
        <v/>
      </c>
      <c r="CL189" s="179" t="str">
        <f t="shared" si="206"/>
        <v/>
      </c>
      <c r="CM189" s="180" t="str">
        <f t="shared" si="207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08"/>
        <v/>
      </c>
      <c r="DB189" s="146"/>
      <c r="DC189" s="76" t="str">
        <f t="shared" ca="1" si="171"/>
        <v/>
      </c>
      <c r="DD189" t="str">
        <f t="shared" si="209"/>
        <v/>
      </c>
      <c r="DE189" s="129" t="str">
        <f t="shared" si="280"/>
        <v/>
      </c>
      <c r="DF189" s="161" t="str">
        <f t="shared" si="281"/>
        <v/>
      </c>
      <c r="DG189" s="161" t="str">
        <f t="shared" si="282"/>
        <v/>
      </c>
      <c r="DH189" s="161" t="str">
        <f t="shared" si="283"/>
        <v/>
      </c>
      <c r="DI189" s="161" t="str">
        <f t="shared" si="284"/>
        <v/>
      </c>
      <c r="DJ189" s="161" t="str">
        <f t="shared" si="285"/>
        <v/>
      </c>
      <c r="DK189" s="161" t="str">
        <f t="shared" si="286"/>
        <v/>
      </c>
      <c r="DL189" s="161" t="str">
        <f t="shared" si="287"/>
        <v/>
      </c>
      <c r="DM189" s="161" t="str">
        <f t="shared" si="288"/>
        <v/>
      </c>
      <c r="DN189" s="161" t="str">
        <f>IF($AZ189="", "", (BJ189*$CW189)/$CZ189)</f>
        <v/>
      </c>
      <c r="DO189" s="161" t="str">
        <f t="shared" si="289"/>
        <v/>
      </c>
      <c r="DP189" s="161" t="str">
        <f t="shared" si="290"/>
        <v/>
      </c>
      <c r="DQ189" s="161" t="str">
        <f t="shared" si="291"/>
        <v/>
      </c>
      <c r="DR189" s="161" t="str">
        <f t="shared" si="292"/>
        <v/>
      </c>
      <c r="DS189" s="161" t="str">
        <f t="shared" si="293"/>
        <v/>
      </c>
      <c r="DT189" s="161" t="str">
        <f t="shared" si="294"/>
        <v/>
      </c>
      <c r="DU189" s="161" t="str">
        <f t="shared" si="295"/>
        <v/>
      </c>
      <c r="DV189" s="161" t="str">
        <f t="shared" si="296"/>
        <v/>
      </c>
      <c r="DW189" s="161" t="str">
        <f t="shared" si="297"/>
        <v/>
      </c>
      <c r="DX189" s="161" t="str">
        <f t="shared" si="298"/>
        <v/>
      </c>
      <c r="DY189" s="161" t="str">
        <f t="shared" si="299"/>
        <v/>
      </c>
      <c r="DZ189" s="161" t="str">
        <f t="shared" si="300"/>
        <v/>
      </c>
      <c r="EA189" s="161" t="str">
        <f t="shared" si="301"/>
        <v/>
      </c>
      <c r="EB189" s="161" t="str">
        <f t="shared" si="302"/>
        <v/>
      </c>
      <c r="EC189" s="161" t="str">
        <f t="shared" si="303"/>
        <v/>
      </c>
      <c r="ED189" s="161" t="str">
        <f t="shared" si="304"/>
        <v/>
      </c>
      <c r="EE189" s="161" t="str">
        <f t="shared" si="305"/>
        <v/>
      </c>
      <c r="EF189" s="161" t="str">
        <f t="shared" si="306"/>
        <v/>
      </c>
      <c r="EG189" s="161" t="str">
        <f t="shared" si="307"/>
        <v/>
      </c>
      <c r="EH189" s="161" t="str">
        <f t="shared" si="308"/>
        <v/>
      </c>
      <c r="EI189" s="161" t="str">
        <f t="shared" si="309"/>
        <v/>
      </c>
      <c r="EJ189" s="161" t="str">
        <f t="shared" si="310"/>
        <v/>
      </c>
      <c r="EK189" s="147" t="str">
        <f t="shared" si="247"/>
        <v/>
      </c>
      <c r="EL189" s="149"/>
      <c r="EN189" s="146"/>
      <c r="EO189" s="146"/>
      <c r="EP189" s="139" t="str">
        <f t="shared" si="248"/>
        <v/>
      </c>
      <c r="EQ189" s="139" t="str">
        <f t="shared" si="249"/>
        <v/>
      </c>
      <c r="ER189" s="139" t="str">
        <f t="shared" si="250"/>
        <v/>
      </c>
      <c r="ES189" s="139" t="str">
        <f t="shared" si="251"/>
        <v/>
      </c>
      <c r="ET189" s="139" t="str">
        <f t="shared" si="252"/>
        <v/>
      </c>
      <c r="EU189" s="139" t="str">
        <f t="shared" si="253"/>
        <v/>
      </c>
      <c r="EV189" s="139" t="str">
        <f t="shared" si="254"/>
        <v/>
      </c>
      <c r="EW189" s="139" t="str">
        <f t="shared" si="255"/>
        <v/>
      </c>
      <c r="EX189" s="139" t="str">
        <f t="shared" si="256"/>
        <v/>
      </c>
      <c r="EY189" s="139" t="str">
        <f t="shared" si="257"/>
        <v/>
      </c>
      <c r="EZ189" s="139" t="str">
        <f t="shared" si="258"/>
        <v/>
      </c>
      <c r="FA189" s="139" t="str">
        <f t="shared" si="259"/>
        <v/>
      </c>
      <c r="FB189" s="139" t="str">
        <f t="shared" si="260"/>
        <v/>
      </c>
      <c r="FC189" s="139" t="str">
        <f t="shared" si="261"/>
        <v/>
      </c>
      <c r="FD189" s="139" t="str">
        <f t="shared" si="262"/>
        <v/>
      </c>
      <c r="FE189" s="139" t="str">
        <f t="shared" si="263"/>
        <v/>
      </c>
      <c r="FF189" s="139" t="str">
        <f t="shared" si="264"/>
        <v/>
      </c>
      <c r="FG189" s="139" t="str">
        <f t="shared" si="265"/>
        <v/>
      </c>
      <c r="FH189" s="139" t="str">
        <f t="shared" si="266"/>
        <v/>
      </c>
      <c r="FI189" s="139" t="str">
        <f t="shared" si="267"/>
        <v/>
      </c>
      <c r="FJ189" s="139" t="str">
        <f t="shared" si="268"/>
        <v/>
      </c>
      <c r="FK189" s="139" t="str">
        <f t="shared" si="269"/>
        <v/>
      </c>
      <c r="FL189" s="139" t="str">
        <f t="shared" si="270"/>
        <v/>
      </c>
      <c r="FM189" s="139" t="str">
        <f t="shared" si="271"/>
        <v/>
      </c>
      <c r="FN189" s="139" t="str">
        <f t="shared" si="272"/>
        <v/>
      </c>
      <c r="FO189" s="139" t="str">
        <f t="shared" si="273"/>
        <v/>
      </c>
      <c r="FP189" s="139" t="str">
        <f t="shared" si="274"/>
        <v/>
      </c>
      <c r="FQ189" s="139" t="str">
        <f t="shared" si="275"/>
        <v/>
      </c>
      <c r="FR189" s="139" t="str">
        <f t="shared" si="276"/>
        <v/>
      </c>
      <c r="FS189" s="139" t="str">
        <f t="shared" si="277"/>
        <v/>
      </c>
      <c r="FT189" s="139" t="str">
        <f t="shared" si="278"/>
        <v/>
      </c>
      <c r="FU189" s="148" t="str">
        <f t="shared" si="279"/>
        <v/>
      </c>
      <c r="FV189" s="149"/>
      <c r="FY189" s="211">
        <v>184</v>
      </c>
      <c r="FZ189">
        <v>121.1255163887824</v>
      </c>
      <c r="GA189">
        <v>146.1865551588638</v>
      </c>
      <c r="GB189">
        <v>40.674773101243701</v>
      </c>
      <c r="GC189">
        <v>33.334161293514398</v>
      </c>
      <c r="GD189">
        <v>31.463882990865649</v>
      </c>
      <c r="GE189">
        <v>44.330641247492046</v>
      </c>
      <c r="GF189">
        <v>62.443380866182842</v>
      </c>
      <c r="GG189">
        <v>68.548251463177351</v>
      </c>
      <c r="GH189">
        <v>51.552383830917009</v>
      </c>
      <c r="GI189">
        <v>70.045201919901757</v>
      </c>
      <c r="GJ189"/>
      <c r="GK189"/>
      <c r="GL189"/>
      <c r="GM189"/>
    </row>
    <row r="190" spans="1:195" s="7" customFormat="1">
      <c r="A190" s="1"/>
      <c r="B190" s="76" t="str">
        <f ca="1">IF(C190="", "", RAND())</f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269.35318697795213</v>
      </c>
      <c r="AO190">
        <v>149.99744436777638</v>
      </c>
      <c r="AP190">
        <v>449.1518438194725</v>
      </c>
      <c r="AQ190">
        <v>846.72091354875135</v>
      </c>
      <c r="AR190">
        <v>141.44953084959945</v>
      </c>
      <c r="AS190">
        <v>1472.8225554156977</v>
      </c>
      <c r="AT190">
        <v>66.050678177133506</v>
      </c>
      <c r="AU190">
        <v>54.055160587936683</v>
      </c>
      <c r="AV190"/>
      <c r="AW190"/>
      <c r="AX190" s="146"/>
      <c r="AY190" s="76" t="str">
        <f t="shared" ca="1" si="170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5"/>
        <v/>
      </c>
      <c r="CL190" s="179" t="str">
        <f t="shared" si="206"/>
        <v/>
      </c>
      <c r="CM190" s="180" t="str">
        <f t="shared" si="207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08"/>
        <v/>
      </c>
      <c r="DB190" s="146"/>
      <c r="DC190" s="76" t="str">
        <f t="shared" ca="1" si="171"/>
        <v/>
      </c>
      <c r="DD190" t="str">
        <f t="shared" si="209"/>
        <v/>
      </c>
      <c r="DE190" s="129" t="str">
        <f t="shared" si="280"/>
        <v/>
      </c>
      <c r="DF190" s="161" t="str">
        <f t="shared" si="281"/>
        <v/>
      </c>
      <c r="DG190" s="161" t="str">
        <f t="shared" si="282"/>
        <v/>
      </c>
      <c r="DH190" s="161" t="str">
        <f t="shared" si="283"/>
        <v/>
      </c>
      <c r="DI190" s="161" t="str">
        <f t="shared" si="284"/>
        <v/>
      </c>
      <c r="DJ190" s="161" t="str">
        <f t="shared" si="285"/>
        <v/>
      </c>
      <c r="DK190" s="161" t="str">
        <f t="shared" si="286"/>
        <v/>
      </c>
      <c r="DL190" s="161" t="str">
        <f t="shared" si="287"/>
        <v/>
      </c>
      <c r="DM190" s="161" t="str">
        <f t="shared" si="288"/>
        <v/>
      </c>
      <c r="DN190" s="161" t="str">
        <f>IF($AZ190="", "", (BJ190*$CW190)/$CZ190)</f>
        <v/>
      </c>
      <c r="DO190" s="161" t="str">
        <f t="shared" si="289"/>
        <v/>
      </c>
      <c r="DP190" s="161" t="str">
        <f t="shared" si="290"/>
        <v/>
      </c>
      <c r="DQ190" s="161" t="str">
        <f t="shared" si="291"/>
        <v/>
      </c>
      <c r="DR190" s="161" t="str">
        <f t="shared" si="292"/>
        <v/>
      </c>
      <c r="DS190" s="161" t="str">
        <f t="shared" si="293"/>
        <v/>
      </c>
      <c r="DT190" s="161" t="str">
        <f t="shared" si="294"/>
        <v/>
      </c>
      <c r="DU190" s="161" t="str">
        <f t="shared" si="295"/>
        <v/>
      </c>
      <c r="DV190" s="161" t="str">
        <f t="shared" si="296"/>
        <v/>
      </c>
      <c r="DW190" s="161" t="str">
        <f t="shared" si="297"/>
        <v/>
      </c>
      <c r="DX190" s="161" t="str">
        <f t="shared" si="298"/>
        <v/>
      </c>
      <c r="DY190" s="161" t="str">
        <f t="shared" si="299"/>
        <v/>
      </c>
      <c r="DZ190" s="161" t="str">
        <f t="shared" si="300"/>
        <v/>
      </c>
      <c r="EA190" s="161" t="str">
        <f t="shared" si="301"/>
        <v/>
      </c>
      <c r="EB190" s="161" t="str">
        <f t="shared" si="302"/>
        <v/>
      </c>
      <c r="EC190" s="161" t="str">
        <f t="shared" si="303"/>
        <v/>
      </c>
      <c r="ED190" s="161" t="str">
        <f t="shared" si="304"/>
        <v/>
      </c>
      <c r="EE190" s="161" t="str">
        <f t="shared" si="305"/>
        <v/>
      </c>
      <c r="EF190" s="161" t="str">
        <f t="shared" si="306"/>
        <v/>
      </c>
      <c r="EG190" s="161" t="str">
        <f t="shared" si="307"/>
        <v/>
      </c>
      <c r="EH190" s="161" t="str">
        <f t="shared" si="308"/>
        <v/>
      </c>
      <c r="EI190" s="161" t="str">
        <f t="shared" si="309"/>
        <v/>
      </c>
      <c r="EJ190" s="161" t="str">
        <f t="shared" si="310"/>
        <v/>
      </c>
      <c r="EK190" s="147" t="str">
        <f t="shared" si="247"/>
        <v/>
      </c>
      <c r="EL190" s="149"/>
      <c r="EN190" s="146"/>
      <c r="EO190" s="146"/>
      <c r="EP190" s="139" t="str">
        <f t="shared" si="248"/>
        <v/>
      </c>
      <c r="EQ190" s="139" t="str">
        <f t="shared" si="249"/>
        <v/>
      </c>
      <c r="ER190" s="139" t="str">
        <f t="shared" si="250"/>
        <v/>
      </c>
      <c r="ES190" s="139" t="str">
        <f t="shared" si="251"/>
        <v/>
      </c>
      <c r="ET190" s="139" t="str">
        <f t="shared" si="252"/>
        <v/>
      </c>
      <c r="EU190" s="139" t="str">
        <f t="shared" si="253"/>
        <v/>
      </c>
      <c r="EV190" s="139" t="str">
        <f t="shared" si="254"/>
        <v/>
      </c>
      <c r="EW190" s="139" t="str">
        <f t="shared" si="255"/>
        <v/>
      </c>
      <c r="EX190" s="139" t="str">
        <f t="shared" si="256"/>
        <v/>
      </c>
      <c r="EY190" s="139" t="str">
        <f t="shared" si="257"/>
        <v/>
      </c>
      <c r="EZ190" s="139" t="str">
        <f t="shared" si="258"/>
        <v/>
      </c>
      <c r="FA190" s="139" t="str">
        <f t="shared" si="259"/>
        <v/>
      </c>
      <c r="FB190" s="139" t="str">
        <f t="shared" si="260"/>
        <v/>
      </c>
      <c r="FC190" s="139" t="str">
        <f t="shared" si="261"/>
        <v/>
      </c>
      <c r="FD190" s="139" t="str">
        <f t="shared" si="262"/>
        <v/>
      </c>
      <c r="FE190" s="139" t="str">
        <f t="shared" si="263"/>
        <v/>
      </c>
      <c r="FF190" s="139" t="str">
        <f t="shared" si="264"/>
        <v/>
      </c>
      <c r="FG190" s="139" t="str">
        <f t="shared" si="265"/>
        <v/>
      </c>
      <c r="FH190" s="139" t="str">
        <f t="shared" si="266"/>
        <v/>
      </c>
      <c r="FI190" s="139" t="str">
        <f t="shared" si="267"/>
        <v/>
      </c>
      <c r="FJ190" s="139" t="str">
        <f t="shared" si="268"/>
        <v/>
      </c>
      <c r="FK190" s="139" t="str">
        <f t="shared" si="269"/>
        <v/>
      </c>
      <c r="FL190" s="139" t="str">
        <f t="shared" si="270"/>
        <v/>
      </c>
      <c r="FM190" s="139" t="str">
        <f t="shared" si="271"/>
        <v/>
      </c>
      <c r="FN190" s="139" t="str">
        <f t="shared" si="272"/>
        <v/>
      </c>
      <c r="FO190" s="139" t="str">
        <f t="shared" si="273"/>
        <v/>
      </c>
      <c r="FP190" s="139" t="str">
        <f t="shared" si="274"/>
        <v/>
      </c>
      <c r="FQ190" s="139" t="str">
        <f t="shared" si="275"/>
        <v/>
      </c>
      <c r="FR190" s="139" t="str">
        <f t="shared" si="276"/>
        <v/>
      </c>
      <c r="FS190" s="139" t="str">
        <f t="shared" si="277"/>
        <v/>
      </c>
      <c r="FT190" s="139" t="str">
        <f t="shared" si="278"/>
        <v/>
      </c>
      <c r="FU190" s="148" t="str">
        <f t="shared" si="279"/>
        <v/>
      </c>
      <c r="FV190" s="149"/>
      <c r="FY190" s="211">
        <v>185</v>
      </c>
      <c r="FZ190">
        <v>108.19261795171714</v>
      </c>
      <c r="GA190">
        <v>113.64039306942426</v>
      </c>
      <c r="GB190">
        <v>48.845882431292466</v>
      </c>
      <c r="GC190">
        <v>36.15732671502365</v>
      </c>
      <c r="GD190">
        <v>34.887149670369212</v>
      </c>
      <c r="GE190">
        <v>97.48475437012182</v>
      </c>
      <c r="GF190">
        <v>136.37552684160207</v>
      </c>
      <c r="GG190">
        <v>39.681162790059304</v>
      </c>
      <c r="GH190">
        <v>20.905669210065312</v>
      </c>
      <c r="GI190">
        <v>86.439743086510134</v>
      </c>
      <c r="GJ190"/>
      <c r="GK190"/>
      <c r="GL190"/>
      <c r="GM190"/>
    </row>
    <row r="191" spans="1:195" s="7" customFormat="1">
      <c r="A191" s="1"/>
      <c r="B191" s="76" t="str">
        <f ca="1">IF(C191="", "", RAND())</f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267.47618173532885</v>
      </c>
      <c r="AO191">
        <v>162.06424071692794</v>
      </c>
      <c r="AP191">
        <v>665.54651210651059</v>
      </c>
      <c r="AQ191">
        <v>875.43346162466401</v>
      </c>
      <c r="AR191">
        <v>152.20210205466253</v>
      </c>
      <c r="AS191">
        <v>1443.4975518048241</v>
      </c>
      <c r="AT191">
        <v>75.19455595140893</v>
      </c>
      <c r="AU191">
        <v>93.854892517403229</v>
      </c>
      <c r="AV191"/>
      <c r="AW191"/>
      <c r="AX191" s="146"/>
      <c r="AY191" s="76" t="str">
        <f t="shared" ca="1" si="170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5"/>
        <v/>
      </c>
      <c r="CL191" s="179" t="str">
        <f t="shared" si="206"/>
        <v/>
      </c>
      <c r="CM191" s="180" t="str">
        <f t="shared" si="207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08"/>
        <v/>
      </c>
      <c r="DB191" s="146"/>
      <c r="DC191" s="76" t="str">
        <f t="shared" ca="1" si="171"/>
        <v/>
      </c>
      <c r="DD191" t="str">
        <f t="shared" si="209"/>
        <v/>
      </c>
      <c r="DE191" s="129" t="str">
        <f t="shared" si="280"/>
        <v/>
      </c>
      <c r="DF191" s="161" t="str">
        <f t="shared" si="281"/>
        <v/>
      </c>
      <c r="DG191" s="161" t="str">
        <f t="shared" si="282"/>
        <v/>
      </c>
      <c r="DH191" s="161" t="str">
        <f t="shared" si="283"/>
        <v/>
      </c>
      <c r="DI191" s="161" t="str">
        <f t="shared" si="284"/>
        <v/>
      </c>
      <c r="DJ191" s="161" t="str">
        <f t="shared" si="285"/>
        <v/>
      </c>
      <c r="DK191" s="161" t="str">
        <f t="shared" si="286"/>
        <v/>
      </c>
      <c r="DL191" s="161" t="str">
        <f t="shared" si="287"/>
        <v/>
      </c>
      <c r="DM191" s="161" t="str">
        <f t="shared" si="288"/>
        <v/>
      </c>
      <c r="DN191" s="161" t="str">
        <f>IF($AZ191="", "", (BJ191*$CW191)/$CZ191)</f>
        <v/>
      </c>
      <c r="DO191" s="161" t="str">
        <f t="shared" si="289"/>
        <v/>
      </c>
      <c r="DP191" s="161" t="str">
        <f t="shared" si="290"/>
        <v/>
      </c>
      <c r="DQ191" s="161" t="str">
        <f t="shared" si="291"/>
        <v/>
      </c>
      <c r="DR191" s="161" t="str">
        <f t="shared" si="292"/>
        <v/>
      </c>
      <c r="DS191" s="161" t="str">
        <f t="shared" si="293"/>
        <v/>
      </c>
      <c r="DT191" s="161" t="str">
        <f t="shared" si="294"/>
        <v/>
      </c>
      <c r="DU191" s="161" t="str">
        <f t="shared" si="295"/>
        <v/>
      </c>
      <c r="DV191" s="161" t="str">
        <f t="shared" si="296"/>
        <v/>
      </c>
      <c r="DW191" s="161" t="str">
        <f t="shared" si="297"/>
        <v/>
      </c>
      <c r="DX191" s="161" t="str">
        <f t="shared" si="298"/>
        <v/>
      </c>
      <c r="DY191" s="161" t="str">
        <f t="shared" si="299"/>
        <v/>
      </c>
      <c r="DZ191" s="161" t="str">
        <f t="shared" si="300"/>
        <v/>
      </c>
      <c r="EA191" s="161" t="str">
        <f t="shared" si="301"/>
        <v/>
      </c>
      <c r="EB191" s="161" t="str">
        <f t="shared" si="302"/>
        <v/>
      </c>
      <c r="EC191" s="161" t="str">
        <f t="shared" si="303"/>
        <v/>
      </c>
      <c r="ED191" s="161" t="str">
        <f t="shared" si="304"/>
        <v/>
      </c>
      <c r="EE191" s="161" t="str">
        <f t="shared" si="305"/>
        <v/>
      </c>
      <c r="EF191" s="161" t="str">
        <f t="shared" si="306"/>
        <v/>
      </c>
      <c r="EG191" s="161" t="str">
        <f t="shared" si="307"/>
        <v/>
      </c>
      <c r="EH191" s="161" t="str">
        <f t="shared" si="308"/>
        <v/>
      </c>
      <c r="EI191" s="161" t="str">
        <f t="shared" si="309"/>
        <v/>
      </c>
      <c r="EJ191" s="161" t="str">
        <f t="shared" si="310"/>
        <v/>
      </c>
      <c r="EK191" s="147" t="str">
        <f t="shared" si="247"/>
        <v/>
      </c>
      <c r="EL191" s="149"/>
      <c r="EN191" s="146"/>
      <c r="EO191" s="146"/>
      <c r="EP191" s="139" t="str">
        <f t="shared" si="248"/>
        <v/>
      </c>
      <c r="EQ191" s="139" t="str">
        <f t="shared" si="249"/>
        <v/>
      </c>
      <c r="ER191" s="139" t="str">
        <f t="shared" si="250"/>
        <v/>
      </c>
      <c r="ES191" s="139" t="str">
        <f t="shared" si="251"/>
        <v/>
      </c>
      <c r="ET191" s="139" t="str">
        <f t="shared" si="252"/>
        <v/>
      </c>
      <c r="EU191" s="139" t="str">
        <f t="shared" si="253"/>
        <v/>
      </c>
      <c r="EV191" s="139" t="str">
        <f t="shared" si="254"/>
        <v/>
      </c>
      <c r="EW191" s="139" t="str">
        <f t="shared" si="255"/>
        <v/>
      </c>
      <c r="EX191" s="139" t="str">
        <f t="shared" si="256"/>
        <v/>
      </c>
      <c r="EY191" s="139" t="str">
        <f t="shared" si="257"/>
        <v/>
      </c>
      <c r="EZ191" s="139" t="str">
        <f t="shared" si="258"/>
        <v/>
      </c>
      <c r="FA191" s="139" t="str">
        <f t="shared" si="259"/>
        <v/>
      </c>
      <c r="FB191" s="139" t="str">
        <f t="shared" si="260"/>
        <v/>
      </c>
      <c r="FC191" s="139" t="str">
        <f t="shared" si="261"/>
        <v/>
      </c>
      <c r="FD191" s="139" t="str">
        <f t="shared" si="262"/>
        <v/>
      </c>
      <c r="FE191" s="139" t="str">
        <f t="shared" si="263"/>
        <v/>
      </c>
      <c r="FF191" s="139" t="str">
        <f t="shared" si="264"/>
        <v/>
      </c>
      <c r="FG191" s="139" t="str">
        <f t="shared" si="265"/>
        <v/>
      </c>
      <c r="FH191" s="139" t="str">
        <f t="shared" si="266"/>
        <v/>
      </c>
      <c r="FI191" s="139" t="str">
        <f t="shared" si="267"/>
        <v/>
      </c>
      <c r="FJ191" s="139" t="str">
        <f t="shared" si="268"/>
        <v/>
      </c>
      <c r="FK191" s="139" t="str">
        <f t="shared" si="269"/>
        <v/>
      </c>
      <c r="FL191" s="139" t="str">
        <f t="shared" si="270"/>
        <v/>
      </c>
      <c r="FM191" s="139" t="str">
        <f t="shared" si="271"/>
        <v/>
      </c>
      <c r="FN191" s="139" t="str">
        <f t="shared" si="272"/>
        <v/>
      </c>
      <c r="FO191" s="139" t="str">
        <f t="shared" si="273"/>
        <v/>
      </c>
      <c r="FP191" s="139" t="str">
        <f t="shared" si="274"/>
        <v/>
      </c>
      <c r="FQ191" s="139" t="str">
        <f t="shared" si="275"/>
        <v/>
      </c>
      <c r="FR191" s="139" t="str">
        <f t="shared" si="276"/>
        <v/>
      </c>
      <c r="FS191" s="139" t="str">
        <f t="shared" si="277"/>
        <v/>
      </c>
      <c r="FT191" s="139" t="str">
        <f t="shared" si="278"/>
        <v/>
      </c>
      <c r="FU191" s="148" t="str">
        <f t="shared" si="279"/>
        <v/>
      </c>
      <c r="FV191" s="149"/>
      <c r="FY191" s="211">
        <v>186</v>
      </c>
      <c r="FZ191">
        <v>110.52332796361344</v>
      </c>
      <c r="GA191">
        <v>111.23944795758617</v>
      </c>
      <c r="GB191">
        <v>38.529879314752485</v>
      </c>
      <c r="GC191">
        <v>48.118220769304138</v>
      </c>
      <c r="GD191">
        <v>52.242977191638779</v>
      </c>
      <c r="GE191">
        <v>68.203650129453337</v>
      </c>
      <c r="GF191">
        <v>68.939353531385777</v>
      </c>
      <c r="GG191">
        <v>40.410177084155471</v>
      </c>
      <c r="GH191">
        <v>15.888340619379852</v>
      </c>
      <c r="GI191">
        <v>78.249059248145414</v>
      </c>
      <c r="GJ191"/>
      <c r="GK191"/>
      <c r="GL191"/>
      <c r="GM191"/>
    </row>
    <row r="192" spans="1:195" s="7" customFormat="1">
      <c r="A192" s="1"/>
      <c r="B192" s="76" t="str">
        <f ca="1">IF(C192="", "", RAND())</f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364.74770738956772</v>
      </c>
      <c r="AO192">
        <v>176.57071395988021</v>
      </c>
      <c r="AP192">
        <v>805.32799840064388</v>
      </c>
      <c r="AQ192">
        <v>953.68582380303405</v>
      </c>
      <c r="AR192">
        <v>165.78353422944389</v>
      </c>
      <c r="AS192">
        <v>1614.8402217290968</v>
      </c>
      <c r="AT192">
        <v>89.088501675780506</v>
      </c>
      <c r="AU192">
        <v>375.34416665781958</v>
      </c>
      <c r="AV192"/>
      <c r="AW192"/>
      <c r="AX192" s="146"/>
      <c r="AY192" s="76" t="str">
        <f t="shared" ca="1" si="170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5"/>
        <v/>
      </c>
      <c r="CL192" s="179" t="str">
        <f t="shared" si="206"/>
        <v/>
      </c>
      <c r="CM192" s="180" t="str">
        <f t="shared" si="207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08"/>
        <v/>
      </c>
      <c r="DB192" s="146"/>
      <c r="DC192" s="76" t="str">
        <f t="shared" ca="1" si="171"/>
        <v/>
      </c>
      <c r="DD192" t="str">
        <f t="shared" si="209"/>
        <v/>
      </c>
      <c r="DE192" s="129" t="str">
        <f t="shared" si="280"/>
        <v/>
      </c>
      <c r="DF192" s="161" t="str">
        <f t="shared" si="281"/>
        <v/>
      </c>
      <c r="DG192" s="161" t="str">
        <f t="shared" si="282"/>
        <v/>
      </c>
      <c r="DH192" s="161" t="str">
        <f t="shared" si="283"/>
        <v/>
      </c>
      <c r="DI192" s="161" t="str">
        <f t="shared" si="284"/>
        <v/>
      </c>
      <c r="DJ192" s="161" t="str">
        <f t="shared" si="285"/>
        <v/>
      </c>
      <c r="DK192" s="161" t="str">
        <f t="shared" si="286"/>
        <v/>
      </c>
      <c r="DL192" s="161" t="str">
        <f t="shared" si="287"/>
        <v/>
      </c>
      <c r="DM192" s="161" t="str">
        <f t="shared" si="288"/>
        <v/>
      </c>
      <c r="DN192" s="161" t="str">
        <f>IF($AZ192="", "", (BJ192*$CW192)/$CZ192)</f>
        <v/>
      </c>
      <c r="DO192" s="161" t="str">
        <f t="shared" si="289"/>
        <v/>
      </c>
      <c r="DP192" s="161" t="str">
        <f t="shared" si="290"/>
        <v/>
      </c>
      <c r="DQ192" s="161" t="str">
        <f t="shared" si="291"/>
        <v/>
      </c>
      <c r="DR192" s="161" t="str">
        <f t="shared" si="292"/>
        <v/>
      </c>
      <c r="DS192" s="161" t="str">
        <f t="shared" si="293"/>
        <v/>
      </c>
      <c r="DT192" s="161" t="str">
        <f t="shared" si="294"/>
        <v/>
      </c>
      <c r="DU192" s="161" t="str">
        <f t="shared" si="295"/>
        <v/>
      </c>
      <c r="DV192" s="161" t="str">
        <f t="shared" si="296"/>
        <v/>
      </c>
      <c r="DW192" s="161" t="str">
        <f t="shared" si="297"/>
        <v/>
      </c>
      <c r="DX192" s="161" t="str">
        <f t="shared" si="298"/>
        <v/>
      </c>
      <c r="DY192" s="161" t="str">
        <f t="shared" si="299"/>
        <v/>
      </c>
      <c r="DZ192" s="161" t="str">
        <f t="shared" si="300"/>
        <v/>
      </c>
      <c r="EA192" s="161" t="str">
        <f t="shared" si="301"/>
        <v/>
      </c>
      <c r="EB192" s="161" t="str">
        <f t="shared" si="302"/>
        <v/>
      </c>
      <c r="EC192" s="161" t="str">
        <f t="shared" si="303"/>
        <v/>
      </c>
      <c r="ED192" s="161" t="str">
        <f t="shared" si="304"/>
        <v/>
      </c>
      <c r="EE192" s="161" t="str">
        <f t="shared" si="305"/>
        <v/>
      </c>
      <c r="EF192" s="161" t="str">
        <f t="shared" si="306"/>
        <v/>
      </c>
      <c r="EG192" s="161" t="str">
        <f t="shared" si="307"/>
        <v/>
      </c>
      <c r="EH192" s="161" t="str">
        <f t="shared" si="308"/>
        <v/>
      </c>
      <c r="EI192" s="161" t="str">
        <f t="shared" si="309"/>
        <v/>
      </c>
      <c r="EJ192" s="161" t="str">
        <f t="shared" si="310"/>
        <v/>
      </c>
      <c r="EK192" s="147" t="str">
        <f t="shared" si="247"/>
        <v/>
      </c>
      <c r="EL192" s="149"/>
      <c r="EN192" s="146"/>
      <c r="EO192" s="146"/>
      <c r="EP192" s="139" t="str">
        <f t="shared" si="248"/>
        <v/>
      </c>
      <c r="EQ192" s="139" t="str">
        <f t="shared" si="249"/>
        <v/>
      </c>
      <c r="ER192" s="139" t="str">
        <f t="shared" si="250"/>
        <v/>
      </c>
      <c r="ES192" s="139" t="str">
        <f t="shared" si="251"/>
        <v/>
      </c>
      <c r="ET192" s="139" t="str">
        <f t="shared" si="252"/>
        <v/>
      </c>
      <c r="EU192" s="139" t="str">
        <f t="shared" si="253"/>
        <v/>
      </c>
      <c r="EV192" s="139" t="str">
        <f t="shared" si="254"/>
        <v/>
      </c>
      <c r="EW192" s="139" t="str">
        <f t="shared" si="255"/>
        <v/>
      </c>
      <c r="EX192" s="139" t="str">
        <f t="shared" si="256"/>
        <v/>
      </c>
      <c r="EY192" s="139" t="str">
        <f t="shared" si="257"/>
        <v/>
      </c>
      <c r="EZ192" s="139" t="str">
        <f t="shared" si="258"/>
        <v/>
      </c>
      <c r="FA192" s="139" t="str">
        <f t="shared" si="259"/>
        <v/>
      </c>
      <c r="FB192" s="139" t="str">
        <f t="shared" si="260"/>
        <v/>
      </c>
      <c r="FC192" s="139" t="str">
        <f t="shared" si="261"/>
        <v/>
      </c>
      <c r="FD192" s="139" t="str">
        <f t="shared" si="262"/>
        <v/>
      </c>
      <c r="FE192" s="139" t="str">
        <f t="shared" si="263"/>
        <v/>
      </c>
      <c r="FF192" s="139" t="str">
        <f t="shared" si="264"/>
        <v/>
      </c>
      <c r="FG192" s="139" t="str">
        <f t="shared" si="265"/>
        <v/>
      </c>
      <c r="FH192" s="139" t="str">
        <f t="shared" si="266"/>
        <v/>
      </c>
      <c r="FI192" s="139" t="str">
        <f t="shared" si="267"/>
        <v/>
      </c>
      <c r="FJ192" s="139" t="str">
        <f t="shared" si="268"/>
        <v/>
      </c>
      <c r="FK192" s="139" t="str">
        <f t="shared" si="269"/>
        <v/>
      </c>
      <c r="FL192" s="139" t="str">
        <f t="shared" si="270"/>
        <v/>
      </c>
      <c r="FM192" s="139" t="str">
        <f t="shared" si="271"/>
        <v/>
      </c>
      <c r="FN192" s="139" t="str">
        <f t="shared" si="272"/>
        <v/>
      </c>
      <c r="FO192" s="139" t="str">
        <f t="shared" si="273"/>
        <v/>
      </c>
      <c r="FP192" s="139" t="str">
        <f t="shared" si="274"/>
        <v/>
      </c>
      <c r="FQ192" s="139" t="str">
        <f t="shared" si="275"/>
        <v/>
      </c>
      <c r="FR192" s="139" t="str">
        <f t="shared" si="276"/>
        <v/>
      </c>
      <c r="FS192" s="139" t="str">
        <f t="shared" si="277"/>
        <v/>
      </c>
      <c r="FT192" s="139" t="str">
        <f t="shared" si="278"/>
        <v/>
      </c>
      <c r="FU192" s="148" t="str">
        <f t="shared" si="279"/>
        <v/>
      </c>
      <c r="FV192" s="149"/>
      <c r="FY192" s="211">
        <v>187</v>
      </c>
      <c r="FZ192">
        <v>112.19739707751962</v>
      </c>
      <c r="GA192">
        <v>135.91895562574339</v>
      </c>
      <c r="GB192">
        <v>51.405561838522559</v>
      </c>
      <c r="GC192">
        <v>43.566520869918826</v>
      </c>
      <c r="GD192">
        <v>39.804014588148377</v>
      </c>
      <c r="GE192">
        <v>69.699190763193201</v>
      </c>
      <c r="GF192">
        <v>78.748334668732667</v>
      </c>
      <c r="GG192">
        <v>40.104991326994039</v>
      </c>
      <c r="GH192">
        <v>45.944331374997319</v>
      </c>
      <c r="GI192">
        <v>80.962765566715504</v>
      </c>
      <c r="GJ192"/>
      <c r="GK192"/>
      <c r="GL192"/>
      <c r="GM192"/>
    </row>
    <row r="193" spans="1:195" s="7" customFormat="1">
      <c r="A193" s="1"/>
      <c r="B193" s="76" t="str">
        <f ca="1">IF(C193="", "", RAND())</f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288.27587719290068</v>
      </c>
      <c r="AO193">
        <v>182.10153623226341</v>
      </c>
      <c r="AP193">
        <v>768.9928541279055</v>
      </c>
      <c r="AQ193">
        <v>984.73071750088877</v>
      </c>
      <c r="AR193">
        <v>170.11147163125239</v>
      </c>
      <c r="AS193">
        <v>1453.9067547479585</v>
      </c>
      <c r="AT193">
        <v>88.296583927939494</v>
      </c>
      <c r="AU193">
        <v>299.55958938540641</v>
      </c>
      <c r="AV193"/>
      <c r="AW193"/>
      <c r="AX193" s="146"/>
      <c r="AY193" s="76" t="str">
        <f t="shared" ca="1" si="170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5"/>
        <v/>
      </c>
      <c r="CL193" s="179" t="str">
        <f t="shared" si="206"/>
        <v/>
      </c>
      <c r="CM193" s="180" t="str">
        <f t="shared" si="207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08"/>
        <v/>
      </c>
      <c r="DB193" s="146"/>
      <c r="DC193" s="76" t="str">
        <f t="shared" ca="1" si="171"/>
        <v/>
      </c>
      <c r="DD193" t="str">
        <f t="shared" si="209"/>
        <v/>
      </c>
      <c r="DE193" s="129" t="str">
        <f t="shared" si="280"/>
        <v/>
      </c>
      <c r="DF193" s="161" t="str">
        <f t="shared" si="281"/>
        <v/>
      </c>
      <c r="DG193" s="161" t="str">
        <f t="shared" si="282"/>
        <v/>
      </c>
      <c r="DH193" s="161" t="str">
        <f t="shared" si="283"/>
        <v/>
      </c>
      <c r="DI193" s="161" t="str">
        <f t="shared" si="284"/>
        <v/>
      </c>
      <c r="DJ193" s="161" t="str">
        <f t="shared" si="285"/>
        <v/>
      </c>
      <c r="DK193" s="161" t="str">
        <f t="shared" si="286"/>
        <v/>
      </c>
      <c r="DL193" s="161" t="str">
        <f t="shared" si="287"/>
        <v/>
      </c>
      <c r="DM193" s="161" t="str">
        <f t="shared" si="288"/>
        <v/>
      </c>
      <c r="DN193" s="161" t="str">
        <f t="shared" ref="DN193:DN207" si="311">IF($AZ193="", "", (BJ193*$CW193)/$CZ193)</f>
        <v/>
      </c>
      <c r="DO193" s="161" t="str">
        <f t="shared" si="289"/>
        <v/>
      </c>
      <c r="DP193" s="161" t="str">
        <f t="shared" si="290"/>
        <v/>
      </c>
      <c r="DQ193" s="161" t="str">
        <f t="shared" si="291"/>
        <v/>
      </c>
      <c r="DR193" s="161" t="str">
        <f t="shared" si="292"/>
        <v/>
      </c>
      <c r="DS193" s="161" t="str">
        <f t="shared" si="293"/>
        <v/>
      </c>
      <c r="DT193" s="161" t="str">
        <f t="shared" si="294"/>
        <v/>
      </c>
      <c r="DU193" s="161" t="str">
        <f t="shared" si="295"/>
        <v/>
      </c>
      <c r="DV193" s="161" t="str">
        <f t="shared" si="296"/>
        <v/>
      </c>
      <c r="DW193" s="161" t="str">
        <f t="shared" si="297"/>
        <v/>
      </c>
      <c r="DX193" s="161" t="str">
        <f t="shared" si="298"/>
        <v/>
      </c>
      <c r="DY193" s="161" t="str">
        <f t="shared" si="299"/>
        <v/>
      </c>
      <c r="DZ193" s="161" t="str">
        <f t="shared" si="300"/>
        <v/>
      </c>
      <c r="EA193" s="161" t="str">
        <f t="shared" si="301"/>
        <v/>
      </c>
      <c r="EB193" s="161" t="str">
        <f t="shared" si="302"/>
        <v/>
      </c>
      <c r="EC193" s="161" t="str">
        <f t="shared" si="303"/>
        <v/>
      </c>
      <c r="ED193" s="161" t="str">
        <f t="shared" si="304"/>
        <v/>
      </c>
      <c r="EE193" s="161" t="str">
        <f t="shared" si="305"/>
        <v/>
      </c>
      <c r="EF193" s="161" t="str">
        <f t="shared" si="306"/>
        <v/>
      </c>
      <c r="EG193" s="161" t="str">
        <f t="shared" si="307"/>
        <v/>
      </c>
      <c r="EH193" s="161" t="str">
        <f t="shared" si="308"/>
        <v/>
      </c>
      <c r="EI193" s="161" t="str">
        <f t="shared" si="309"/>
        <v/>
      </c>
      <c r="EJ193" s="161" t="str">
        <f t="shared" si="310"/>
        <v/>
      </c>
      <c r="EK193" s="147" t="str">
        <f t="shared" si="247"/>
        <v/>
      </c>
      <c r="EL193" s="149"/>
      <c r="EN193" s="146"/>
      <c r="EO193" s="146"/>
      <c r="EP193" s="139" t="str">
        <f t="shared" si="248"/>
        <v/>
      </c>
      <c r="EQ193" s="139" t="str">
        <f t="shared" si="249"/>
        <v/>
      </c>
      <c r="ER193" s="139" t="str">
        <f t="shared" si="250"/>
        <v/>
      </c>
      <c r="ES193" s="139" t="str">
        <f t="shared" si="251"/>
        <v/>
      </c>
      <c r="ET193" s="139" t="str">
        <f t="shared" si="252"/>
        <v/>
      </c>
      <c r="EU193" s="139" t="str">
        <f t="shared" si="253"/>
        <v/>
      </c>
      <c r="EV193" s="139" t="str">
        <f t="shared" si="254"/>
        <v/>
      </c>
      <c r="EW193" s="139" t="str">
        <f t="shared" si="255"/>
        <v/>
      </c>
      <c r="EX193" s="139" t="str">
        <f t="shared" si="256"/>
        <v/>
      </c>
      <c r="EY193" s="139" t="str">
        <f t="shared" si="257"/>
        <v/>
      </c>
      <c r="EZ193" s="139" t="str">
        <f t="shared" si="258"/>
        <v/>
      </c>
      <c r="FA193" s="139" t="str">
        <f t="shared" si="259"/>
        <v/>
      </c>
      <c r="FB193" s="139" t="str">
        <f t="shared" si="260"/>
        <v/>
      </c>
      <c r="FC193" s="139" t="str">
        <f t="shared" si="261"/>
        <v/>
      </c>
      <c r="FD193" s="139" t="str">
        <f t="shared" si="262"/>
        <v/>
      </c>
      <c r="FE193" s="139" t="str">
        <f t="shared" si="263"/>
        <v/>
      </c>
      <c r="FF193" s="139" t="str">
        <f t="shared" si="264"/>
        <v/>
      </c>
      <c r="FG193" s="139" t="str">
        <f t="shared" si="265"/>
        <v/>
      </c>
      <c r="FH193" s="139" t="str">
        <f t="shared" si="266"/>
        <v/>
      </c>
      <c r="FI193" s="139" t="str">
        <f t="shared" si="267"/>
        <v/>
      </c>
      <c r="FJ193" s="139" t="str">
        <f t="shared" si="268"/>
        <v/>
      </c>
      <c r="FK193" s="139" t="str">
        <f t="shared" si="269"/>
        <v/>
      </c>
      <c r="FL193" s="139" t="str">
        <f t="shared" si="270"/>
        <v/>
      </c>
      <c r="FM193" s="139" t="str">
        <f t="shared" si="271"/>
        <v/>
      </c>
      <c r="FN193" s="139" t="str">
        <f t="shared" si="272"/>
        <v/>
      </c>
      <c r="FO193" s="139" t="str">
        <f t="shared" si="273"/>
        <v/>
      </c>
      <c r="FP193" s="139" t="str">
        <f t="shared" si="274"/>
        <v/>
      </c>
      <c r="FQ193" s="139" t="str">
        <f t="shared" si="275"/>
        <v/>
      </c>
      <c r="FR193" s="139" t="str">
        <f t="shared" si="276"/>
        <v/>
      </c>
      <c r="FS193" s="139" t="str">
        <f t="shared" si="277"/>
        <v/>
      </c>
      <c r="FT193" s="139" t="str">
        <f t="shared" si="278"/>
        <v/>
      </c>
      <c r="FU193" s="148" t="str">
        <f t="shared" si="279"/>
        <v/>
      </c>
      <c r="FV193" s="149"/>
      <c r="FY193" s="211">
        <v>188</v>
      </c>
      <c r="FZ193">
        <v>144.57232336763934</v>
      </c>
      <c r="GA193">
        <v>176.22407872430225</v>
      </c>
      <c r="GB193">
        <v>51.043665860892261</v>
      </c>
      <c r="GC193">
        <v>39.779320691442273</v>
      </c>
      <c r="GD193">
        <v>28.44350019007986</v>
      </c>
      <c r="GE193">
        <v>67.057272508271367</v>
      </c>
      <c r="GF193">
        <v>156.70334270690014</v>
      </c>
      <c r="GG193">
        <v>85.126854525123846</v>
      </c>
      <c r="GH193">
        <v>46.189798550392851</v>
      </c>
      <c r="GI193">
        <v>96.066557232152064</v>
      </c>
      <c r="GJ193"/>
      <c r="GK193"/>
      <c r="GL193"/>
      <c r="GM193"/>
    </row>
    <row r="194" spans="1:195" s="7" customFormat="1">
      <c r="A194" s="1"/>
      <c r="B194" s="76" t="str">
        <f ca="1">IF(C194="", "", RAND())</f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209.11715191189069</v>
      </c>
      <c r="AO194">
        <v>133.57287412860836</v>
      </c>
      <c r="AP194">
        <v>577.64550161182922</v>
      </c>
      <c r="AQ194">
        <v>716.84213413531927</v>
      </c>
      <c r="AR194">
        <v>125.14765545118884</v>
      </c>
      <c r="AS194">
        <v>1342.5925407806833</v>
      </c>
      <c r="AT194">
        <v>67.61046515559714</v>
      </c>
      <c r="AU194">
        <v>8.0451850954204147</v>
      </c>
      <c r="AV194"/>
      <c r="AW194"/>
      <c r="AX194" s="146"/>
      <c r="AY194" s="76" t="str">
        <f t="shared" ca="1" si="170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5"/>
        <v/>
      </c>
      <c r="CL194" s="179" t="str">
        <f t="shared" si="206"/>
        <v/>
      </c>
      <c r="CM194" s="180" t="str">
        <f t="shared" si="207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08"/>
        <v/>
      </c>
      <c r="DB194" s="146"/>
      <c r="DC194" s="76" t="str">
        <f t="shared" ca="1" si="171"/>
        <v/>
      </c>
      <c r="DD194" t="str">
        <f t="shared" si="209"/>
        <v/>
      </c>
      <c r="DE194" s="129" t="str">
        <f t="shared" si="280"/>
        <v/>
      </c>
      <c r="DF194" s="161" t="str">
        <f t="shared" si="281"/>
        <v/>
      </c>
      <c r="DG194" s="161" t="str">
        <f t="shared" si="282"/>
        <v/>
      </c>
      <c r="DH194" s="161" t="str">
        <f t="shared" si="283"/>
        <v/>
      </c>
      <c r="DI194" s="161" t="str">
        <f t="shared" si="284"/>
        <v/>
      </c>
      <c r="DJ194" s="161" t="str">
        <f t="shared" si="285"/>
        <v/>
      </c>
      <c r="DK194" s="161" t="str">
        <f t="shared" si="286"/>
        <v/>
      </c>
      <c r="DL194" s="161" t="str">
        <f t="shared" si="287"/>
        <v/>
      </c>
      <c r="DM194" s="161" t="str">
        <f t="shared" si="288"/>
        <v/>
      </c>
      <c r="DN194" s="161" t="str">
        <f t="shared" si="311"/>
        <v/>
      </c>
      <c r="DO194" s="161" t="str">
        <f t="shared" ref="DO194:DO206" si="312">IF($AZ194="", "", (BK193*$CW194)/$CZ194)</f>
        <v/>
      </c>
      <c r="DP194" s="161" t="str">
        <f t="shared" ref="DP194:DP206" si="313">IF($AZ194="", "", (BL193*$CW194)/$CZ194)</f>
        <v/>
      </c>
      <c r="DQ194" s="161" t="str">
        <f t="shared" ref="DQ194:DQ206" si="314">IF($AZ194="", "", (BM193*$CW194)/$CZ194)</f>
        <v/>
      </c>
      <c r="DR194" s="161" t="str">
        <f t="shared" ref="DR194:DR206" si="315">IF($AZ194="", "", (BN193*$CW194)/$CZ194)</f>
        <v/>
      </c>
      <c r="DS194" s="161" t="str">
        <f t="shared" ref="DS194:DS206" si="316">IF($AZ194="", "", (BO193*$CW194)/$CZ194)</f>
        <v/>
      </c>
      <c r="DT194" s="161" t="str">
        <f t="shared" ref="DT194:DT206" si="317">IF($AZ194="", "", (BP193*$CW194)/$CZ194)</f>
        <v/>
      </c>
      <c r="DU194" s="161" t="str">
        <f t="shared" ref="DU194:DU206" si="318">IF($AZ194="", "", (BQ193*$CW194)/$CZ194)</f>
        <v/>
      </c>
      <c r="DV194" s="161" t="str">
        <f t="shared" ref="DV194:DV206" si="319">IF($AZ194="", "", (BR193*$CW194)/$CZ194)</f>
        <v/>
      </c>
      <c r="DW194" s="161" t="str">
        <f t="shared" ref="DW194:DW206" si="320">IF($AZ194="", "", (BS193*$CW194)/$CZ194)</f>
        <v/>
      </c>
      <c r="DX194" s="161" t="str">
        <f t="shared" ref="DX194:DX206" si="321">IF($AZ194="", "", (BT193*$CW194)/$CZ194)</f>
        <v/>
      </c>
      <c r="DY194" s="161" t="str">
        <f t="shared" ref="DY194:DY206" si="322">IF($AZ194="", "", (BU193*$CW194)/$CZ194)</f>
        <v/>
      </c>
      <c r="DZ194" s="161" t="str">
        <f t="shared" ref="DZ194:DZ206" si="323">IF($AZ194="", "", (BV193*$CW194)/$CZ194)</f>
        <v/>
      </c>
      <c r="EA194" s="161" t="str">
        <f t="shared" ref="EA194:EA206" si="324">IF($AZ194="", "", (BW193*$CW194)/$CZ194)</f>
        <v/>
      </c>
      <c r="EB194" s="161" t="str">
        <f t="shared" ref="EB194:EB206" si="325">IF($AZ194="", "", (BX193*$CW194)/$CZ194)</f>
        <v/>
      </c>
      <c r="EC194" s="161" t="str">
        <f t="shared" ref="EC194:EC206" si="326">IF($AZ194="", "", (BY193*$CW194)/$CZ194)</f>
        <v/>
      </c>
      <c r="ED194" s="161" t="str">
        <f t="shared" ref="ED194:ED206" si="327">IF($AZ194="", "", (BZ193*$CW194)/$CZ194)</f>
        <v/>
      </c>
      <c r="EE194" s="161" t="str">
        <f t="shared" ref="EE194:EE206" si="328">IF($AZ194="", "", (CA193*$CW194)/$CZ194)</f>
        <v/>
      </c>
      <c r="EF194" s="161" t="str">
        <f t="shared" ref="EF194:EF206" si="329">IF($AZ194="", "", (CB193*$CW194)/$CZ194)</f>
        <v/>
      </c>
      <c r="EG194" s="161" t="str">
        <f t="shared" ref="EG194:EG206" si="330">IF($AZ194="", "", (CC193*$CW194)/$CZ194)</f>
        <v/>
      </c>
      <c r="EH194" s="161" t="str">
        <f t="shared" ref="EH194:EH206" si="331">IF($AZ194="", "", (CD193*$CW194)/$CZ194)</f>
        <v/>
      </c>
      <c r="EI194" s="161" t="str">
        <f t="shared" ref="EI194:EI206" si="332">IF($AZ194="", "", (CE193*$CW194)/$CZ194)</f>
        <v/>
      </c>
      <c r="EJ194" s="161" t="str">
        <f t="shared" ref="EJ194:EJ206" si="333">IF($AZ194="", "", (CF193*$CW194)/$CZ194)</f>
        <v/>
      </c>
      <c r="EK194" s="147" t="str">
        <f t="shared" si="247"/>
        <v/>
      </c>
      <c r="EL194" s="149"/>
      <c r="EN194" s="146"/>
      <c r="EO194" s="146"/>
      <c r="EP194" s="139" t="str">
        <f t="shared" si="248"/>
        <v/>
      </c>
      <c r="EQ194" s="139" t="str">
        <f t="shared" si="249"/>
        <v/>
      </c>
      <c r="ER194" s="139" t="str">
        <f t="shared" si="250"/>
        <v/>
      </c>
      <c r="ES194" s="139" t="str">
        <f t="shared" si="251"/>
        <v/>
      </c>
      <c r="ET194" s="139" t="str">
        <f t="shared" si="252"/>
        <v/>
      </c>
      <c r="EU194" s="139" t="str">
        <f t="shared" si="253"/>
        <v/>
      </c>
      <c r="EV194" s="139" t="str">
        <f t="shared" si="254"/>
        <v/>
      </c>
      <c r="EW194" s="139" t="str">
        <f t="shared" si="255"/>
        <v/>
      </c>
      <c r="EX194" s="139" t="str">
        <f t="shared" si="256"/>
        <v/>
      </c>
      <c r="EY194" s="139" t="str">
        <f t="shared" si="257"/>
        <v/>
      </c>
      <c r="EZ194" s="139" t="str">
        <f t="shared" si="258"/>
        <v/>
      </c>
      <c r="FA194" s="139" t="str">
        <f t="shared" si="259"/>
        <v/>
      </c>
      <c r="FB194" s="139" t="str">
        <f t="shared" si="260"/>
        <v/>
      </c>
      <c r="FC194" s="139" t="str">
        <f t="shared" si="261"/>
        <v/>
      </c>
      <c r="FD194" s="139" t="str">
        <f t="shared" si="262"/>
        <v/>
      </c>
      <c r="FE194" s="139" t="str">
        <f t="shared" si="263"/>
        <v/>
      </c>
      <c r="FF194" s="139" t="str">
        <f t="shared" si="264"/>
        <v/>
      </c>
      <c r="FG194" s="139" t="str">
        <f t="shared" si="265"/>
        <v/>
      </c>
      <c r="FH194" s="139" t="str">
        <f t="shared" si="266"/>
        <v/>
      </c>
      <c r="FI194" s="139" t="str">
        <f t="shared" si="267"/>
        <v/>
      </c>
      <c r="FJ194" s="139" t="str">
        <f t="shared" si="268"/>
        <v/>
      </c>
      <c r="FK194" s="139" t="str">
        <f t="shared" si="269"/>
        <v/>
      </c>
      <c r="FL194" s="139" t="str">
        <f t="shared" si="270"/>
        <v/>
      </c>
      <c r="FM194" s="139" t="str">
        <f t="shared" si="271"/>
        <v/>
      </c>
      <c r="FN194" s="139" t="str">
        <f t="shared" si="272"/>
        <v/>
      </c>
      <c r="FO194" s="139" t="str">
        <f t="shared" si="273"/>
        <v/>
      </c>
      <c r="FP194" s="139" t="str">
        <f t="shared" si="274"/>
        <v/>
      </c>
      <c r="FQ194" s="139" t="str">
        <f t="shared" si="275"/>
        <v/>
      </c>
      <c r="FR194" s="139" t="str">
        <f t="shared" si="276"/>
        <v/>
      </c>
      <c r="FS194" s="139" t="str">
        <f t="shared" si="277"/>
        <v/>
      </c>
      <c r="FT194" s="139" t="str">
        <f t="shared" si="278"/>
        <v/>
      </c>
      <c r="FU194" s="148" t="str">
        <f t="shared" si="279"/>
        <v/>
      </c>
      <c r="FV194" s="149"/>
      <c r="FY194" s="211">
        <v>189</v>
      </c>
      <c r="FZ194">
        <v>104.28627115733786</v>
      </c>
      <c r="GA194">
        <v>127.53264852761578</v>
      </c>
      <c r="GB194">
        <v>44.744443808917922</v>
      </c>
      <c r="GC194">
        <v>44.696249762146486</v>
      </c>
      <c r="GD194">
        <v>42.293057729298297</v>
      </c>
      <c r="GE194">
        <v>53.669741664257074</v>
      </c>
      <c r="GF194">
        <v>75.244085789815273</v>
      </c>
      <c r="GG194">
        <v>67.530386596932544</v>
      </c>
      <c r="GH194">
        <v>47.90735691670023</v>
      </c>
      <c r="GI194">
        <v>78.559617311498599</v>
      </c>
      <c r="GJ194"/>
      <c r="GK194"/>
      <c r="GL194"/>
      <c r="GM194"/>
    </row>
    <row r="195" spans="1:195" s="7" customFormat="1">
      <c r="A195" s="1"/>
      <c r="B195" s="76" t="str">
        <f ca="1">IF(C195="", "", RAND())</f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278.54879793779764</v>
      </c>
      <c r="AO195">
        <v>124.5907187162823</v>
      </c>
      <c r="AP195">
        <v>416.8663076580774</v>
      </c>
      <c r="AQ195">
        <v>689.52200472996492</v>
      </c>
      <c r="AR195">
        <v>118.5327299923282</v>
      </c>
      <c r="AS195">
        <v>1225.7820580792193</v>
      </c>
      <c r="AT195">
        <v>57.10400508454719</v>
      </c>
      <c r="AU195">
        <v>122.41384445801017</v>
      </c>
      <c r="AV195"/>
      <c r="AW195"/>
      <c r="AX195" s="146"/>
      <c r="AY195" s="76" t="str">
        <f t="shared" ca="1" si="170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5"/>
        <v/>
      </c>
      <c r="CL195" s="179" t="str">
        <f t="shared" si="206"/>
        <v/>
      </c>
      <c r="CM195" s="180" t="str">
        <f t="shared" si="207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08"/>
        <v/>
      </c>
      <c r="DB195" s="146"/>
      <c r="DC195" s="76" t="str">
        <f t="shared" ca="1" si="171"/>
        <v/>
      </c>
      <c r="DD195" t="str">
        <f t="shared" si="209"/>
        <v/>
      </c>
      <c r="DE195" s="129" t="str">
        <f t="shared" si="280"/>
        <v/>
      </c>
      <c r="DF195" s="161" t="str">
        <f t="shared" si="281"/>
        <v/>
      </c>
      <c r="DG195" s="161" t="str">
        <f t="shared" si="282"/>
        <v/>
      </c>
      <c r="DH195" s="161" t="str">
        <f t="shared" si="283"/>
        <v/>
      </c>
      <c r="DI195" s="161" t="str">
        <f t="shared" si="284"/>
        <v/>
      </c>
      <c r="DJ195" s="161" t="str">
        <f t="shared" si="285"/>
        <v/>
      </c>
      <c r="DK195" s="161" t="str">
        <f t="shared" si="286"/>
        <v/>
      </c>
      <c r="DL195" s="161" t="str">
        <f t="shared" si="287"/>
        <v/>
      </c>
      <c r="DM195" s="161" t="str">
        <f t="shared" si="288"/>
        <v/>
      </c>
      <c r="DN195" s="161" t="str">
        <f t="shared" si="311"/>
        <v/>
      </c>
      <c r="DO195" s="161" t="str">
        <f t="shared" si="312"/>
        <v/>
      </c>
      <c r="DP195" s="161" t="str">
        <f t="shared" si="313"/>
        <v/>
      </c>
      <c r="DQ195" s="161" t="str">
        <f t="shared" si="314"/>
        <v/>
      </c>
      <c r="DR195" s="161" t="str">
        <f t="shared" si="315"/>
        <v/>
      </c>
      <c r="DS195" s="161" t="str">
        <f t="shared" si="316"/>
        <v/>
      </c>
      <c r="DT195" s="161" t="str">
        <f t="shared" si="317"/>
        <v/>
      </c>
      <c r="DU195" s="161" t="str">
        <f t="shared" si="318"/>
        <v/>
      </c>
      <c r="DV195" s="161" t="str">
        <f t="shared" si="319"/>
        <v/>
      </c>
      <c r="DW195" s="161" t="str">
        <f t="shared" si="320"/>
        <v/>
      </c>
      <c r="DX195" s="161" t="str">
        <f t="shared" si="321"/>
        <v/>
      </c>
      <c r="DY195" s="161" t="str">
        <f t="shared" si="322"/>
        <v/>
      </c>
      <c r="DZ195" s="161" t="str">
        <f t="shared" si="323"/>
        <v/>
      </c>
      <c r="EA195" s="161" t="str">
        <f t="shared" si="324"/>
        <v/>
      </c>
      <c r="EB195" s="161" t="str">
        <f t="shared" si="325"/>
        <v/>
      </c>
      <c r="EC195" s="161" t="str">
        <f t="shared" si="326"/>
        <v/>
      </c>
      <c r="ED195" s="161" t="str">
        <f t="shared" si="327"/>
        <v/>
      </c>
      <c r="EE195" s="161" t="str">
        <f t="shared" si="328"/>
        <v/>
      </c>
      <c r="EF195" s="161" t="str">
        <f t="shared" si="329"/>
        <v/>
      </c>
      <c r="EG195" s="161" t="str">
        <f t="shared" si="330"/>
        <v/>
      </c>
      <c r="EH195" s="161" t="str">
        <f t="shared" si="331"/>
        <v/>
      </c>
      <c r="EI195" s="161" t="str">
        <f t="shared" si="332"/>
        <v/>
      </c>
      <c r="EJ195" s="161" t="str">
        <f t="shared" si="333"/>
        <v/>
      </c>
      <c r="EK195" s="147" t="str">
        <f t="shared" si="247"/>
        <v/>
      </c>
      <c r="EL195" s="149"/>
      <c r="EN195" s="146"/>
      <c r="EO195" s="146"/>
      <c r="EP195" s="139" t="str">
        <f t="shared" si="248"/>
        <v/>
      </c>
      <c r="EQ195" s="139" t="str">
        <f t="shared" si="249"/>
        <v/>
      </c>
      <c r="ER195" s="139" t="str">
        <f t="shared" si="250"/>
        <v/>
      </c>
      <c r="ES195" s="139" t="str">
        <f t="shared" si="251"/>
        <v/>
      </c>
      <c r="ET195" s="139" t="str">
        <f t="shared" si="252"/>
        <v/>
      </c>
      <c r="EU195" s="139" t="str">
        <f t="shared" si="253"/>
        <v/>
      </c>
      <c r="EV195" s="139" t="str">
        <f t="shared" si="254"/>
        <v/>
      </c>
      <c r="EW195" s="139" t="str">
        <f t="shared" si="255"/>
        <v/>
      </c>
      <c r="EX195" s="139" t="str">
        <f t="shared" si="256"/>
        <v/>
      </c>
      <c r="EY195" s="139" t="str">
        <f t="shared" si="257"/>
        <v/>
      </c>
      <c r="EZ195" s="139" t="str">
        <f t="shared" si="258"/>
        <v/>
      </c>
      <c r="FA195" s="139" t="str">
        <f t="shared" si="259"/>
        <v/>
      </c>
      <c r="FB195" s="139" t="str">
        <f t="shared" si="260"/>
        <v/>
      </c>
      <c r="FC195" s="139" t="str">
        <f t="shared" si="261"/>
        <v/>
      </c>
      <c r="FD195" s="139" t="str">
        <f t="shared" si="262"/>
        <v/>
      </c>
      <c r="FE195" s="139" t="str">
        <f t="shared" si="263"/>
        <v/>
      </c>
      <c r="FF195" s="139" t="str">
        <f t="shared" si="264"/>
        <v/>
      </c>
      <c r="FG195" s="139" t="str">
        <f t="shared" si="265"/>
        <v/>
      </c>
      <c r="FH195" s="139" t="str">
        <f t="shared" si="266"/>
        <v/>
      </c>
      <c r="FI195" s="139" t="str">
        <f t="shared" si="267"/>
        <v/>
      </c>
      <c r="FJ195" s="139" t="str">
        <f t="shared" si="268"/>
        <v/>
      </c>
      <c r="FK195" s="139" t="str">
        <f t="shared" si="269"/>
        <v/>
      </c>
      <c r="FL195" s="139" t="str">
        <f t="shared" si="270"/>
        <v/>
      </c>
      <c r="FM195" s="139" t="str">
        <f t="shared" si="271"/>
        <v/>
      </c>
      <c r="FN195" s="139" t="str">
        <f t="shared" si="272"/>
        <v/>
      </c>
      <c r="FO195" s="139" t="str">
        <f t="shared" si="273"/>
        <v/>
      </c>
      <c r="FP195" s="139" t="str">
        <f t="shared" si="274"/>
        <v/>
      </c>
      <c r="FQ195" s="139" t="str">
        <f t="shared" si="275"/>
        <v/>
      </c>
      <c r="FR195" s="139" t="str">
        <f t="shared" si="276"/>
        <v/>
      </c>
      <c r="FS195" s="139" t="str">
        <f t="shared" si="277"/>
        <v/>
      </c>
      <c r="FT195" s="139" t="str">
        <f t="shared" si="278"/>
        <v/>
      </c>
      <c r="FU195" s="148" t="str">
        <f t="shared" si="279"/>
        <v/>
      </c>
      <c r="FV195" s="149"/>
      <c r="FY195" s="211">
        <v>190</v>
      </c>
      <c r="FZ195">
        <v>112.14159264015348</v>
      </c>
      <c r="GA195">
        <v>188.31246099989349</v>
      </c>
      <c r="GB195">
        <v>54.071541034470648</v>
      </c>
      <c r="GC195">
        <v>35.868930104435357</v>
      </c>
      <c r="GD195">
        <v>42.994603476581183</v>
      </c>
      <c r="GE195">
        <v>70.466245507269804</v>
      </c>
      <c r="GF195">
        <v>64.056976727078862</v>
      </c>
      <c r="GG195">
        <v>43.879769816507931</v>
      </c>
      <c r="GH195">
        <v>46.906461828390746</v>
      </c>
      <c r="GI195">
        <v>80.675738145475407</v>
      </c>
      <c r="GJ195"/>
      <c r="GK195"/>
      <c r="GL195"/>
      <c r="GM195"/>
    </row>
    <row r="196" spans="1:195" s="7" customFormat="1">
      <c r="A196" s="1"/>
      <c r="B196" s="76" t="str">
        <f ca="1">IF(C196="", "", RAND())</f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205.62311413567909</v>
      </c>
      <c r="AO196">
        <v>115.99411365374631</v>
      </c>
      <c r="AP196">
        <v>494.68064010010318</v>
      </c>
      <c r="AQ196">
        <v>629.84071986159881</v>
      </c>
      <c r="AR196">
        <v>109.83186414683009</v>
      </c>
      <c r="AS196">
        <v>1097.5741555415536</v>
      </c>
      <c r="AT196">
        <v>52.28523097618509</v>
      </c>
      <c r="AU196">
        <v>140.20037420305866</v>
      </c>
      <c r="AV196"/>
      <c r="AW196"/>
      <c r="AX196" s="146"/>
      <c r="AY196" s="76" t="str">
        <f t="shared" ca="1" si="170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5"/>
        <v/>
      </c>
      <c r="CL196" s="179" t="str">
        <f t="shared" si="206"/>
        <v/>
      </c>
      <c r="CM196" s="180" t="str">
        <f t="shared" si="207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08"/>
        <v/>
      </c>
      <c r="DB196" s="146"/>
      <c r="DC196" s="76" t="str">
        <f t="shared" ca="1" si="171"/>
        <v/>
      </c>
      <c r="DD196" t="str">
        <f t="shared" si="209"/>
        <v/>
      </c>
      <c r="DE196" s="129" t="str">
        <f t="shared" si="280"/>
        <v/>
      </c>
      <c r="DF196" s="161" t="str">
        <f t="shared" si="281"/>
        <v/>
      </c>
      <c r="DG196" s="161" t="str">
        <f t="shared" si="282"/>
        <v/>
      </c>
      <c r="DH196" s="161" t="str">
        <f t="shared" si="283"/>
        <v/>
      </c>
      <c r="DI196" s="161" t="str">
        <f t="shared" si="284"/>
        <v/>
      </c>
      <c r="DJ196" s="161" t="str">
        <f t="shared" si="285"/>
        <v/>
      </c>
      <c r="DK196" s="161" t="str">
        <f t="shared" si="286"/>
        <v/>
      </c>
      <c r="DL196" s="161" t="str">
        <f t="shared" si="287"/>
        <v/>
      </c>
      <c r="DM196" s="161" t="str">
        <f t="shared" si="288"/>
        <v/>
      </c>
      <c r="DN196" s="161" t="str">
        <f t="shared" si="311"/>
        <v/>
      </c>
      <c r="DO196" s="161" t="str">
        <f t="shared" si="312"/>
        <v/>
      </c>
      <c r="DP196" s="161" t="str">
        <f t="shared" si="313"/>
        <v/>
      </c>
      <c r="DQ196" s="161" t="str">
        <f t="shared" si="314"/>
        <v/>
      </c>
      <c r="DR196" s="161" t="str">
        <f t="shared" si="315"/>
        <v/>
      </c>
      <c r="DS196" s="161" t="str">
        <f t="shared" si="316"/>
        <v/>
      </c>
      <c r="DT196" s="161" t="str">
        <f t="shared" si="317"/>
        <v/>
      </c>
      <c r="DU196" s="161" t="str">
        <f t="shared" si="318"/>
        <v/>
      </c>
      <c r="DV196" s="161" t="str">
        <f t="shared" si="319"/>
        <v/>
      </c>
      <c r="DW196" s="161" t="str">
        <f t="shared" si="320"/>
        <v/>
      </c>
      <c r="DX196" s="161" t="str">
        <f t="shared" si="321"/>
        <v/>
      </c>
      <c r="DY196" s="161" t="str">
        <f t="shared" si="322"/>
        <v/>
      </c>
      <c r="DZ196" s="161" t="str">
        <f t="shared" si="323"/>
        <v/>
      </c>
      <c r="EA196" s="161" t="str">
        <f t="shared" si="324"/>
        <v/>
      </c>
      <c r="EB196" s="161" t="str">
        <f t="shared" si="325"/>
        <v/>
      </c>
      <c r="EC196" s="161" t="str">
        <f t="shared" si="326"/>
        <v/>
      </c>
      <c r="ED196" s="161" t="str">
        <f t="shared" si="327"/>
        <v/>
      </c>
      <c r="EE196" s="161" t="str">
        <f t="shared" si="328"/>
        <v/>
      </c>
      <c r="EF196" s="161" t="str">
        <f t="shared" si="329"/>
        <v/>
      </c>
      <c r="EG196" s="161" t="str">
        <f t="shared" si="330"/>
        <v/>
      </c>
      <c r="EH196" s="161" t="str">
        <f t="shared" si="331"/>
        <v/>
      </c>
      <c r="EI196" s="161" t="str">
        <f t="shared" si="332"/>
        <v/>
      </c>
      <c r="EJ196" s="161" t="str">
        <f t="shared" si="333"/>
        <v/>
      </c>
      <c r="EK196" s="147" t="str">
        <f t="shared" si="247"/>
        <v/>
      </c>
      <c r="EL196" s="149"/>
      <c r="EN196" s="146"/>
      <c r="EO196" s="146"/>
      <c r="EP196" s="139" t="str">
        <f t="shared" si="248"/>
        <v/>
      </c>
      <c r="EQ196" s="139" t="str">
        <f t="shared" si="249"/>
        <v/>
      </c>
      <c r="ER196" s="139" t="str">
        <f t="shared" si="250"/>
        <v/>
      </c>
      <c r="ES196" s="139" t="str">
        <f t="shared" si="251"/>
        <v/>
      </c>
      <c r="ET196" s="139" t="str">
        <f t="shared" si="252"/>
        <v/>
      </c>
      <c r="EU196" s="139" t="str">
        <f t="shared" si="253"/>
        <v/>
      </c>
      <c r="EV196" s="139" t="str">
        <f t="shared" si="254"/>
        <v/>
      </c>
      <c r="EW196" s="139" t="str">
        <f t="shared" si="255"/>
        <v/>
      </c>
      <c r="EX196" s="139" t="str">
        <f t="shared" si="256"/>
        <v/>
      </c>
      <c r="EY196" s="139" t="str">
        <f t="shared" si="257"/>
        <v/>
      </c>
      <c r="EZ196" s="139" t="str">
        <f t="shared" si="258"/>
        <v/>
      </c>
      <c r="FA196" s="139" t="str">
        <f t="shared" si="259"/>
        <v/>
      </c>
      <c r="FB196" s="139" t="str">
        <f t="shared" si="260"/>
        <v/>
      </c>
      <c r="FC196" s="139" t="str">
        <f t="shared" si="261"/>
        <v/>
      </c>
      <c r="FD196" s="139" t="str">
        <f t="shared" si="262"/>
        <v/>
      </c>
      <c r="FE196" s="139" t="str">
        <f t="shared" si="263"/>
        <v/>
      </c>
      <c r="FF196" s="139" t="str">
        <f t="shared" si="264"/>
        <v/>
      </c>
      <c r="FG196" s="139" t="str">
        <f t="shared" si="265"/>
        <v/>
      </c>
      <c r="FH196" s="139" t="str">
        <f t="shared" si="266"/>
        <v/>
      </c>
      <c r="FI196" s="139" t="str">
        <f t="shared" si="267"/>
        <v/>
      </c>
      <c r="FJ196" s="139" t="str">
        <f t="shared" si="268"/>
        <v/>
      </c>
      <c r="FK196" s="139" t="str">
        <f t="shared" si="269"/>
        <v/>
      </c>
      <c r="FL196" s="139" t="str">
        <f t="shared" si="270"/>
        <v/>
      </c>
      <c r="FM196" s="139" t="str">
        <f t="shared" si="271"/>
        <v/>
      </c>
      <c r="FN196" s="139" t="str">
        <f t="shared" si="272"/>
        <v/>
      </c>
      <c r="FO196" s="139" t="str">
        <f t="shared" si="273"/>
        <v/>
      </c>
      <c r="FP196" s="139" t="str">
        <f t="shared" si="274"/>
        <v/>
      </c>
      <c r="FQ196" s="139" t="str">
        <f t="shared" si="275"/>
        <v/>
      </c>
      <c r="FR196" s="139" t="str">
        <f t="shared" si="276"/>
        <v/>
      </c>
      <c r="FS196" s="139" t="str">
        <f t="shared" si="277"/>
        <v/>
      </c>
      <c r="FT196" s="139" t="str">
        <f t="shared" si="278"/>
        <v/>
      </c>
      <c r="FU196" s="148" t="str">
        <f t="shared" si="279"/>
        <v/>
      </c>
      <c r="FV196" s="149"/>
      <c r="FY196" s="211">
        <v>191</v>
      </c>
      <c r="FZ196">
        <v>121.29211794035088</v>
      </c>
      <c r="GA196">
        <v>126.9952337603182</v>
      </c>
      <c r="GB196">
        <v>57.125427367587271</v>
      </c>
      <c r="GC196">
        <v>49.502096610140434</v>
      </c>
      <c r="GD196">
        <v>52.021517184752724</v>
      </c>
      <c r="GE196">
        <v>111.23784348496798</v>
      </c>
      <c r="GF196">
        <v>147.13930258998235</v>
      </c>
      <c r="GG196">
        <v>111.97099938145344</v>
      </c>
      <c r="GH196">
        <v>86.015302719654841</v>
      </c>
      <c r="GI196">
        <v>114.80756363492647</v>
      </c>
      <c r="GJ196"/>
      <c r="GK196"/>
      <c r="GL196"/>
      <c r="GM196"/>
    </row>
    <row r="197" spans="1:195" s="7" customFormat="1">
      <c r="A197" s="1"/>
      <c r="B197" s="76" t="str">
        <f ca="1">IF(C197="", "", RAND())</f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253.54525234975819</v>
      </c>
      <c r="AO197">
        <v>134.61547676259551</v>
      </c>
      <c r="AP197">
        <v>454.57118067042933</v>
      </c>
      <c r="AQ197">
        <v>788.26330662043733</v>
      </c>
      <c r="AR197">
        <v>129.70039673873336</v>
      </c>
      <c r="AS197">
        <v>1372.3005477491331</v>
      </c>
      <c r="AT197">
        <v>70.101227614635704</v>
      </c>
      <c r="AU197">
        <v>4.4970721842040433</v>
      </c>
      <c r="AV197"/>
      <c r="AW197"/>
      <c r="AX197" s="146"/>
      <c r="AY197" s="76" t="str">
        <f t="shared" ca="1" si="170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5"/>
        <v/>
      </c>
      <c r="CL197" s="179" t="str">
        <f t="shared" si="206"/>
        <v/>
      </c>
      <c r="CM197" s="180" t="str">
        <f t="shared" si="207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08"/>
        <v/>
      </c>
      <c r="DB197" s="146"/>
      <c r="DC197" s="76" t="str">
        <f t="shared" ca="1" si="171"/>
        <v/>
      </c>
      <c r="DD197" t="str">
        <f t="shared" si="209"/>
        <v/>
      </c>
      <c r="DE197" s="129" t="str">
        <f t="shared" si="280"/>
        <v/>
      </c>
      <c r="DF197" s="161" t="str">
        <f t="shared" si="281"/>
        <v/>
      </c>
      <c r="DG197" s="161" t="str">
        <f t="shared" si="282"/>
        <v/>
      </c>
      <c r="DH197" s="161" t="str">
        <f t="shared" si="283"/>
        <v/>
      </c>
      <c r="DI197" s="161" t="str">
        <f t="shared" si="284"/>
        <v/>
      </c>
      <c r="DJ197" s="161" t="str">
        <f t="shared" si="285"/>
        <v/>
      </c>
      <c r="DK197" s="161" t="str">
        <f t="shared" si="286"/>
        <v/>
      </c>
      <c r="DL197" s="161" t="str">
        <f t="shared" si="287"/>
        <v/>
      </c>
      <c r="DM197" s="161" t="str">
        <f t="shared" si="288"/>
        <v/>
      </c>
      <c r="DN197" s="161" t="str">
        <f t="shared" si="311"/>
        <v/>
      </c>
      <c r="DO197" s="161" t="str">
        <f t="shared" si="312"/>
        <v/>
      </c>
      <c r="DP197" s="161" t="str">
        <f t="shared" si="313"/>
        <v/>
      </c>
      <c r="DQ197" s="161" t="str">
        <f t="shared" si="314"/>
        <v/>
      </c>
      <c r="DR197" s="161" t="str">
        <f t="shared" si="315"/>
        <v/>
      </c>
      <c r="DS197" s="161" t="str">
        <f t="shared" si="316"/>
        <v/>
      </c>
      <c r="DT197" s="161" t="str">
        <f t="shared" si="317"/>
        <v/>
      </c>
      <c r="DU197" s="161" t="str">
        <f t="shared" si="318"/>
        <v/>
      </c>
      <c r="DV197" s="161" t="str">
        <f t="shared" si="319"/>
        <v/>
      </c>
      <c r="DW197" s="161" t="str">
        <f t="shared" si="320"/>
        <v/>
      </c>
      <c r="DX197" s="161" t="str">
        <f t="shared" si="321"/>
        <v/>
      </c>
      <c r="DY197" s="161" t="str">
        <f t="shared" si="322"/>
        <v/>
      </c>
      <c r="DZ197" s="161" t="str">
        <f t="shared" si="323"/>
        <v/>
      </c>
      <c r="EA197" s="161" t="str">
        <f t="shared" si="324"/>
        <v/>
      </c>
      <c r="EB197" s="161" t="str">
        <f t="shared" si="325"/>
        <v/>
      </c>
      <c r="EC197" s="161" t="str">
        <f t="shared" si="326"/>
        <v/>
      </c>
      <c r="ED197" s="161" t="str">
        <f t="shared" si="327"/>
        <v/>
      </c>
      <c r="EE197" s="161" t="str">
        <f t="shared" si="328"/>
        <v/>
      </c>
      <c r="EF197" s="161" t="str">
        <f t="shared" si="329"/>
        <v/>
      </c>
      <c r="EG197" s="161" t="str">
        <f t="shared" si="330"/>
        <v/>
      </c>
      <c r="EH197" s="161" t="str">
        <f t="shared" si="331"/>
        <v/>
      </c>
      <c r="EI197" s="161" t="str">
        <f t="shared" si="332"/>
        <v/>
      </c>
      <c r="EJ197" s="161" t="str">
        <f t="shared" si="333"/>
        <v/>
      </c>
      <c r="EK197" s="147" t="str">
        <f t="shared" si="247"/>
        <v/>
      </c>
      <c r="EL197" s="149"/>
      <c r="EN197" s="146"/>
      <c r="EO197" s="146"/>
      <c r="EP197" s="139" t="str">
        <f t="shared" si="248"/>
        <v/>
      </c>
      <c r="EQ197" s="139" t="str">
        <f t="shared" si="249"/>
        <v/>
      </c>
      <c r="ER197" s="139" t="str">
        <f t="shared" si="250"/>
        <v/>
      </c>
      <c r="ES197" s="139" t="str">
        <f t="shared" si="251"/>
        <v/>
      </c>
      <c r="ET197" s="139" t="str">
        <f t="shared" si="252"/>
        <v/>
      </c>
      <c r="EU197" s="139" t="str">
        <f t="shared" si="253"/>
        <v/>
      </c>
      <c r="EV197" s="139" t="str">
        <f t="shared" si="254"/>
        <v/>
      </c>
      <c r="EW197" s="139" t="str">
        <f t="shared" si="255"/>
        <v/>
      </c>
      <c r="EX197" s="139" t="str">
        <f t="shared" si="256"/>
        <v/>
      </c>
      <c r="EY197" s="139" t="str">
        <f t="shared" si="257"/>
        <v/>
      </c>
      <c r="EZ197" s="139" t="str">
        <f t="shared" si="258"/>
        <v/>
      </c>
      <c r="FA197" s="139" t="str">
        <f t="shared" si="259"/>
        <v/>
      </c>
      <c r="FB197" s="139" t="str">
        <f t="shared" si="260"/>
        <v/>
      </c>
      <c r="FC197" s="139" t="str">
        <f t="shared" si="261"/>
        <v/>
      </c>
      <c r="FD197" s="139" t="str">
        <f t="shared" si="262"/>
        <v/>
      </c>
      <c r="FE197" s="139" t="str">
        <f t="shared" si="263"/>
        <v/>
      </c>
      <c r="FF197" s="139" t="str">
        <f t="shared" si="264"/>
        <v/>
      </c>
      <c r="FG197" s="139" t="str">
        <f t="shared" si="265"/>
        <v/>
      </c>
      <c r="FH197" s="139" t="str">
        <f t="shared" si="266"/>
        <v/>
      </c>
      <c r="FI197" s="139" t="str">
        <f t="shared" si="267"/>
        <v/>
      </c>
      <c r="FJ197" s="139" t="str">
        <f t="shared" si="268"/>
        <v/>
      </c>
      <c r="FK197" s="139" t="str">
        <f t="shared" si="269"/>
        <v/>
      </c>
      <c r="FL197" s="139" t="str">
        <f t="shared" si="270"/>
        <v/>
      </c>
      <c r="FM197" s="139" t="str">
        <f t="shared" si="271"/>
        <v/>
      </c>
      <c r="FN197" s="139" t="str">
        <f t="shared" si="272"/>
        <v/>
      </c>
      <c r="FO197" s="139" t="str">
        <f t="shared" si="273"/>
        <v/>
      </c>
      <c r="FP197" s="139" t="str">
        <f t="shared" si="274"/>
        <v/>
      </c>
      <c r="FQ197" s="139" t="str">
        <f t="shared" si="275"/>
        <v/>
      </c>
      <c r="FR197" s="139" t="str">
        <f t="shared" si="276"/>
        <v/>
      </c>
      <c r="FS197" s="139" t="str">
        <f t="shared" si="277"/>
        <v/>
      </c>
      <c r="FT197" s="139" t="str">
        <f t="shared" si="278"/>
        <v/>
      </c>
      <c r="FU197" s="148" t="str">
        <f t="shared" si="279"/>
        <v/>
      </c>
      <c r="FV197" s="149"/>
      <c r="FY197" s="211">
        <v>192</v>
      </c>
      <c r="FZ197">
        <v>107.78768437171007</v>
      </c>
      <c r="GA197">
        <v>121.55315773396832</v>
      </c>
      <c r="GB197">
        <v>36.161160403778062</v>
      </c>
      <c r="GC197">
        <v>42.164016015339904</v>
      </c>
      <c r="GD197">
        <v>40.680484230294809</v>
      </c>
      <c r="GE197">
        <v>54.540679235095908</v>
      </c>
      <c r="GF197">
        <v>66.762914728648411</v>
      </c>
      <c r="GG197">
        <v>69.011718566899049</v>
      </c>
      <c r="GH197">
        <v>67.39420547639557</v>
      </c>
      <c r="GI197">
        <v>77.981983234793745</v>
      </c>
      <c r="GJ197"/>
      <c r="GK197"/>
      <c r="GL197"/>
      <c r="GM197"/>
    </row>
    <row r="198" spans="1:195" s="7" customFormat="1">
      <c r="A198" s="128"/>
      <c r="B198" s="76" t="str">
        <f ca="1">IF(C198="", "", RAND())</f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180.91037743668571</v>
      </c>
      <c r="AO198">
        <v>94.328830898549697</v>
      </c>
      <c r="AP198">
        <v>379.92680281099479</v>
      </c>
      <c r="AQ198">
        <v>536.71406148826986</v>
      </c>
      <c r="AR198">
        <v>89.861949936767331</v>
      </c>
      <c r="AS198">
        <v>882.71196413636619</v>
      </c>
      <c r="AT198">
        <v>43.458417152001545</v>
      </c>
      <c r="AU198">
        <v>-16.173243682954897</v>
      </c>
      <c r="AV198"/>
      <c r="AW198"/>
      <c r="AX198" s="128"/>
      <c r="AY198" s="76" t="str">
        <f t="shared" ca="1" si="170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5"/>
        <v/>
      </c>
      <c r="CL198" s="179" t="str">
        <f t="shared" si="206"/>
        <v/>
      </c>
      <c r="CM198" s="180" t="str">
        <f t="shared" si="207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08"/>
        <v/>
      </c>
      <c r="DB198" s="128"/>
      <c r="DC198" s="76" t="str">
        <f t="shared" ca="1" si="171"/>
        <v/>
      </c>
      <c r="DD198" t="str">
        <f t="shared" si="209"/>
        <v/>
      </c>
      <c r="DE198" s="129" t="str">
        <f t="shared" ref="DE198:DE207" si="334">IF((DD198)="", "", $C$15)</f>
        <v/>
      </c>
      <c r="DF198" s="161" t="str">
        <f t="shared" si="281"/>
        <v/>
      </c>
      <c r="DG198" s="161" t="str">
        <f t="shared" si="282"/>
        <v/>
      </c>
      <c r="DH198" s="161" t="str">
        <f t="shared" si="283"/>
        <v/>
      </c>
      <c r="DI198" s="161" t="str">
        <f t="shared" si="284"/>
        <v/>
      </c>
      <c r="DJ198" s="161" t="str">
        <f t="shared" si="285"/>
        <v/>
      </c>
      <c r="DK198" s="161" t="str">
        <f t="shared" si="286"/>
        <v/>
      </c>
      <c r="DL198" s="161" t="str">
        <f t="shared" si="287"/>
        <v/>
      </c>
      <c r="DM198" s="161" t="str">
        <f t="shared" si="288"/>
        <v/>
      </c>
      <c r="DN198" s="161" t="str">
        <f t="shared" si="311"/>
        <v/>
      </c>
      <c r="DO198" s="161" t="str">
        <f t="shared" si="312"/>
        <v/>
      </c>
      <c r="DP198" s="161" t="str">
        <f t="shared" si="313"/>
        <v/>
      </c>
      <c r="DQ198" s="161" t="str">
        <f t="shared" si="314"/>
        <v/>
      </c>
      <c r="DR198" s="161" t="str">
        <f t="shared" si="315"/>
        <v/>
      </c>
      <c r="DS198" s="161" t="str">
        <f t="shared" si="316"/>
        <v/>
      </c>
      <c r="DT198" s="161" t="str">
        <f t="shared" si="317"/>
        <v/>
      </c>
      <c r="DU198" s="161" t="str">
        <f t="shared" si="318"/>
        <v/>
      </c>
      <c r="DV198" s="161" t="str">
        <f t="shared" si="319"/>
        <v/>
      </c>
      <c r="DW198" s="161" t="str">
        <f t="shared" si="320"/>
        <v/>
      </c>
      <c r="DX198" s="161" t="str">
        <f t="shared" si="321"/>
        <v/>
      </c>
      <c r="DY198" s="161" t="str">
        <f t="shared" si="322"/>
        <v/>
      </c>
      <c r="DZ198" s="161" t="str">
        <f t="shared" si="323"/>
        <v/>
      </c>
      <c r="EA198" s="161" t="str">
        <f t="shared" si="324"/>
        <v/>
      </c>
      <c r="EB198" s="161" t="str">
        <f t="shared" si="325"/>
        <v/>
      </c>
      <c r="EC198" s="161" t="str">
        <f t="shared" si="326"/>
        <v/>
      </c>
      <c r="ED198" s="161" t="str">
        <f t="shared" si="327"/>
        <v/>
      </c>
      <c r="EE198" s="161" t="str">
        <f t="shared" si="328"/>
        <v/>
      </c>
      <c r="EF198" s="161" t="str">
        <f t="shared" si="329"/>
        <v/>
      </c>
      <c r="EG198" s="161" t="str">
        <f t="shared" si="330"/>
        <v/>
      </c>
      <c r="EH198" s="161" t="str">
        <f t="shared" si="331"/>
        <v/>
      </c>
      <c r="EI198" s="161" t="str">
        <f t="shared" si="332"/>
        <v/>
      </c>
      <c r="EJ198" s="161" t="str">
        <f t="shared" si="333"/>
        <v/>
      </c>
      <c r="EK198" s="147" t="str">
        <f t="shared" si="247"/>
        <v/>
      </c>
      <c r="EL198" s="149"/>
      <c r="EN198" s="146"/>
      <c r="EO198" s="146"/>
      <c r="EP198" s="139" t="str">
        <f t="shared" si="248"/>
        <v/>
      </c>
      <c r="EQ198" s="139" t="str">
        <f t="shared" si="249"/>
        <v/>
      </c>
      <c r="ER198" s="139" t="str">
        <f t="shared" si="250"/>
        <v/>
      </c>
      <c r="ES198" s="139" t="str">
        <f t="shared" si="251"/>
        <v/>
      </c>
      <c r="ET198" s="139" t="str">
        <f t="shared" si="252"/>
        <v/>
      </c>
      <c r="EU198" s="139" t="str">
        <f t="shared" si="253"/>
        <v/>
      </c>
      <c r="EV198" s="139" t="str">
        <f t="shared" si="254"/>
        <v/>
      </c>
      <c r="EW198" s="139" t="str">
        <f t="shared" si="255"/>
        <v/>
      </c>
      <c r="EX198" s="139" t="str">
        <f t="shared" si="256"/>
        <v/>
      </c>
      <c r="EY198" s="139" t="str">
        <f t="shared" si="257"/>
        <v/>
      </c>
      <c r="EZ198" s="139" t="str">
        <f t="shared" si="258"/>
        <v/>
      </c>
      <c r="FA198" s="139" t="str">
        <f t="shared" si="259"/>
        <v/>
      </c>
      <c r="FB198" s="139" t="str">
        <f t="shared" si="260"/>
        <v/>
      </c>
      <c r="FC198" s="139" t="str">
        <f t="shared" si="261"/>
        <v/>
      </c>
      <c r="FD198" s="139" t="str">
        <f t="shared" si="262"/>
        <v/>
      </c>
      <c r="FE198" s="139" t="str">
        <f t="shared" si="263"/>
        <v/>
      </c>
      <c r="FF198" s="139" t="str">
        <f t="shared" si="264"/>
        <v/>
      </c>
      <c r="FG198" s="139" t="str">
        <f t="shared" si="265"/>
        <v/>
      </c>
      <c r="FH198" s="139" t="str">
        <f t="shared" si="266"/>
        <v/>
      </c>
      <c r="FI198" s="139" t="str">
        <f t="shared" si="267"/>
        <v/>
      </c>
      <c r="FJ198" s="139" t="str">
        <f t="shared" si="268"/>
        <v/>
      </c>
      <c r="FK198" s="139" t="str">
        <f t="shared" si="269"/>
        <v/>
      </c>
      <c r="FL198" s="139" t="str">
        <f t="shared" si="270"/>
        <v/>
      </c>
      <c r="FM198" s="139" t="str">
        <f t="shared" si="271"/>
        <v/>
      </c>
      <c r="FN198" s="139" t="str">
        <f t="shared" si="272"/>
        <v/>
      </c>
      <c r="FO198" s="139" t="str">
        <f t="shared" si="273"/>
        <v/>
      </c>
      <c r="FP198" s="139" t="str">
        <f t="shared" si="274"/>
        <v/>
      </c>
      <c r="FQ198" s="139" t="str">
        <f t="shared" si="275"/>
        <v/>
      </c>
      <c r="FR198" s="139" t="str">
        <f t="shared" si="276"/>
        <v/>
      </c>
      <c r="FS198" s="139" t="str">
        <f t="shared" si="277"/>
        <v/>
      </c>
      <c r="FT198" s="139" t="str">
        <f t="shared" si="278"/>
        <v/>
      </c>
      <c r="FU198" s="148" t="str">
        <f t="shared" si="279"/>
        <v/>
      </c>
      <c r="FV198" s="149"/>
      <c r="FY198" s="211">
        <v>193</v>
      </c>
      <c r="FZ198">
        <v>109.75058300582157</v>
      </c>
      <c r="GA198">
        <v>138.52450545537221</v>
      </c>
      <c r="GB198">
        <v>40.476441028053657</v>
      </c>
      <c r="GC198">
        <v>36.413864230231383</v>
      </c>
      <c r="GD198">
        <v>40.74116579181949</v>
      </c>
      <c r="GE198">
        <v>57.450123384652883</v>
      </c>
      <c r="GF198">
        <v>90.847833665030578</v>
      </c>
      <c r="GG198">
        <v>126.0411488425793</v>
      </c>
      <c r="GH198">
        <v>115.8175504083641</v>
      </c>
      <c r="GI198">
        <v>92.656795471095137</v>
      </c>
      <c r="GJ198"/>
      <c r="GK198"/>
      <c r="GL198"/>
      <c r="GM198"/>
    </row>
    <row r="199" spans="1:195" s="7" customFormat="1">
      <c r="A199" s="1"/>
      <c r="B199" s="76" t="str">
        <f ca="1">IF(C199="", "", RAND())</f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201.65499290789111</v>
      </c>
      <c r="AO199">
        <v>117.4420956836955</v>
      </c>
      <c r="AP199">
        <v>441.74672105930722</v>
      </c>
      <c r="AQ199">
        <v>638.78699493010038</v>
      </c>
      <c r="AR199">
        <v>111.13578472538818</v>
      </c>
      <c r="AS199">
        <v>1172.0233612166971</v>
      </c>
      <c r="AT199">
        <v>57.516297190840369</v>
      </c>
      <c r="AU199">
        <v>162.22483850739863</v>
      </c>
      <c r="AV199"/>
      <c r="AW199"/>
      <c r="AX199" s="146"/>
      <c r="AY199" s="76" t="str">
        <f t="shared" ca="1" si="170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5"/>
        <v/>
      </c>
      <c r="CL199" s="179" t="str">
        <f t="shared" si="206"/>
        <v/>
      </c>
      <c r="CM199" s="180" t="str">
        <f t="shared" si="207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08"/>
        <v/>
      </c>
      <c r="DB199" s="146"/>
      <c r="DC199" s="76" t="str">
        <f t="shared" ca="1" si="171"/>
        <v/>
      </c>
      <c r="DD199" t="str">
        <f t="shared" si="209"/>
        <v/>
      </c>
      <c r="DE199" s="129" t="str">
        <f t="shared" si="334"/>
        <v/>
      </c>
      <c r="DF199" s="161" t="str">
        <f t="shared" si="281"/>
        <v/>
      </c>
      <c r="DG199" s="161" t="str">
        <f t="shared" si="282"/>
        <v/>
      </c>
      <c r="DH199" s="161" t="str">
        <f t="shared" si="283"/>
        <v/>
      </c>
      <c r="DI199" s="161" t="str">
        <f t="shared" si="284"/>
        <v/>
      </c>
      <c r="DJ199" s="161" t="str">
        <f t="shared" si="285"/>
        <v/>
      </c>
      <c r="DK199" s="161" t="str">
        <f t="shared" si="286"/>
        <v/>
      </c>
      <c r="DL199" s="161" t="str">
        <f t="shared" si="287"/>
        <v/>
      </c>
      <c r="DM199" s="161" t="str">
        <f t="shared" si="288"/>
        <v/>
      </c>
      <c r="DN199" s="161" t="str">
        <f t="shared" si="311"/>
        <v/>
      </c>
      <c r="DO199" s="161" t="str">
        <f t="shared" si="312"/>
        <v/>
      </c>
      <c r="DP199" s="161" t="str">
        <f t="shared" si="313"/>
        <v/>
      </c>
      <c r="DQ199" s="161" t="str">
        <f t="shared" si="314"/>
        <v/>
      </c>
      <c r="DR199" s="161" t="str">
        <f t="shared" si="315"/>
        <v/>
      </c>
      <c r="DS199" s="161" t="str">
        <f t="shared" si="316"/>
        <v/>
      </c>
      <c r="DT199" s="161" t="str">
        <f t="shared" si="317"/>
        <v/>
      </c>
      <c r="DU199" s="161" t="str">
        <f t="shared" si="318"/>
        <v/>
      </c>
      <c r="DV199" s="161" t="str">
        <f t="shared" si="319"/>
        <v/>
      </c>
      <c r="DW199" s="161" t="str">
        <f t="shared" si="320"/>
        <v/>
      </c>
      <c r="DX199" s="161" t="str">
        <f t="shared" si="321"/>
        <v/>
      </c>
      <c r="DY199" s="161" t="str">
        <f t="shared" si="322"/>
        <v/>
      </c>
      <c r="DZ199" s="161" t="str">
        <f t="shared" si="323"/>
        <v/>
      </c>
      <c r="EA199" s="161" t="str">
        <f t="shared" si="324"/>
        <v/>
      </c>
      <c r="EB199" s="161" t="str">
        <f t="shared" si="325"/>
        <v/>
      </c>
      <c r="EC199" s="161" t="str">
        <f t="shared" si="326"/>
        <v/>
      </c>
      <c r="ED199" s="161" t="str">
        <f t="shared" si="327"/>
        <v/>
      </c>
      <c r="EE199" s="161" t="str">
        <f t="shared" si="328"/>
        <v/>
      </c>
      <c r="EF199" s="161" t="str">
        <f t="shared" si="329"/>
        <v/>
      </c>
      <c r="EG199" s="161" t="str">
        <f t="shared" si="330"/>
        <v/>
      </c>
      <c r="EH199" s="161" t="str">
        <f t="shared" si="331"/>
        <v/>
      </c>
      <c r="EI199" s="161" t="str">
        <f t="shared" si="332"/>
        <v/>
      </c>
      <c r="EJ199" s="161" t="str">
        <f t="shared" si="333"/>
        <v/>
      </c>
      <c r="EK199" s="147" t="str">
        <f t="shared" si="247"/>
        <v/>
      </c>
      <c r="EL199" s="149"/>
      <c r="EN199" s="146"/>
      <c r="EO199" s="146"/>
      <c r="EP199" s="139" t="str">
        <f t="shared" si="248"/>
        <v/>
      </c>
      <c r="EQ199" s="139" t="str">
        <f t="shared" si="249"/>
        <v/>
      </c>
      <c r="ER199" s="139" t="str">
        <f t="shared" si="250"/>
        <v/>
      </c>
      <c r="ES199" s="139" t="str">
        <f t="shared" si="251"/>
        <v/>
      </c>
      <c r="ET199" s="139" t="str">
        <f t="shared" si="252"/>
        <v/>
      </c>
      <c r="EU199" s="139" t="str">
        <f t="shared" si="253"/>
        <v/>
      </c>
      <c r="EV199" s="139" t="str">
        <f t="shared" si="254"/>
        <v/>
      </c>
      <c r="EW199" s="139" t="str">
        <f t="shared" si="255"/>
        <v/>
      </c>
      <c r="EX199" s="139" t="str">
        <f t="shared" si="256"/>
        <v/>
      </c>
      <c r="EY199" s="139" t="str">
        <f t="shared" si="257"/>
        <v/>
      </c>
      <c r="EZ199" s="139" t="str">
        <f t="shared" si="258"/>
        <v/>
      </c>
      <c r="FA199" s="139" t="str">
        <f t="shared" si="259"/>
        <v/>
      </c>
      <c r="FB199" s="139" t="str">
        <f t="shared" si="260"/>
        <v/>
      </c>
      <c r="FC199" s="139" t="str">
        <f t="shared" si="261"/>
        <v/>
      </c>
      <c r="FD199" s="139" t="str">
        <f t="shared" si="262"/>
        <v/>
      </c>
      <c r="FE199" s="139" t="str">
        <f t="shared" si="263"/>
        <v/>
      </c>
      <c r="FF199" s="139" t="str">
        <f t="shared" si="264"/>
        <v/>
      </c>
      <c r="FG199" s="139" t="str">
        <f t="shared" si="265"/>
        <v/>
      </c>
      <c r="FH199" s="139" t="str">
        <f t="shared" si="266"/>
        <v/>
      </c>
      <c r="FI199" s="139" t="str">
        <f t="shared" si="267"/>
        <v/>
      </c>
      <c r="FJ199" s="139" t="str">
        <f t="shared" si="268"/>
        <v/>
      </c>
      <c r="FK199" s="139" t="str">
        <f t="shared" si="269"/>
        <v/>
      </c>
      <c r="FL199" s="139" t="str">
        <f t="shared" si="270"/>
        <v/>
      </c>
      <c r="FM199" s="139" t="str">
        <f t="shared" si="271"/>
        <v/>
      </c>
      <c r="FN199" s="139" t="str">
        <f t="shared" si="272"/>
        <v/>
      </c>
      <c r="FO199" s="139" t="str">
        <f t="shared" si="273"/>
        <v/>
      </c>
      <c r="FP199" s="139" t="str">
        <f t="shared" si="274"/>
        <v/>
      </c>
      <c r="FQ199" s="139" t="str">
        <f t="shared" si="275"/>
        <v/>
      </c>
      <c r="FR199" s="139" t="str">
        <f t="shared" si="276"/>
        <v/>
      </c>
      <c r="FS199" s="139" t="str">
        <f t="shared" si="277"/>
        <v/>
      </c>
      <c r="FT199" s="139" t="str">
        <f t="shared" si="278"/>
        <v/>
      </c>
      <c r="FU199" s="148" t="str">
        <f t="shared" si="279"/>
        <v/>
      </c>
      <c r="FV199" s="149"/>
      <c r="FY199" s="211">
        <v>194</v>
      </c>
      <c r="FZ199">
        <v>105.04269895754376</v>
      </c>
      <c r="GA199">
        <v>130.11877616592486</v>
      </c>
      <c r="GB199">
        <v>31.368944990896107</v>
      </c>
      <c r="GC199">
        <v>39.271768600866345</v>
      </c>
      <c r="GD199">
        <v>60.721237265519136</v>
      </c>
      <c r="GE199">
        <v>114.94338358246861</v>
      </c>
      <c r="GF199">
        <v>92.911998127454041</v>
      </c>
      <c r="GG199">
        <v>83.264900287501376</v>
      </c>
      <c r="GH199">
        <v>101.64633114661596</v>
      </c>
      <c r="GI199">
        <v>101.50671474217796</v>
      </c>
      <c r="GJ199"/>
      <c r="GK199"/>
      <c r="GL199"/>
      <c r="GM199"/>
    </row>
    <row r="200" spans="1:195" s="7" customFormat="1">
      <c r="A200" s="1"/>
      <c r="B200" s="76" t="str">
        <f ca="1">IF(C200="", "", RAND())</f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224.36336808611276</v>
      </c>
      <c r="AO200">
        <v>111.133413762049</v>
      </c>
      <c r="AP200">
        <v>495.05775217098841</v>
      </c>
      <c r="AQ200">
        <v>669.70474826094107</v>
      </c>
      <c r="AR200">
        <v>104.31123857994251</v>
      </c>
      <c r="AS200">
        <v>1095.4295400281892</v>
      </c>
      <c r="AT200">
        <v>57.105819648119983</v>
      </c>
      <c r="AU200">
        <v>89.503185764945812</v>
      </c>
      <c r="AV200"/>
      <c r="AW200"/>
      <c r="AX200" s="146"/>
      <c r="AY200" s="76" t="str">
        <f t="shared" ca="1" si="170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5"/>
        <v/>
      </c>
      <c r="CL200" s="179" t="str">
        <f t="shared" si="206"/>
        <v/>
      </c>
      <c r="CM200" s="180" t="str">
        <f t="shared" si="207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08"/>
        <v/>
      </c>
      <c r="DB200" s="146"/>
      <c r="DC200" s="76" t="str">
        <f t="shared" ca="1" si="171"/>
        <v/>
      </c>
      <c r="DD200" t="str">
        <f t="shared" si="209"/>
        <v/>
      </c>
      <c r="DE200" s="129" t="str">
        <f t="shared" si="334"/>
        <v/>
      </c>
      <c r="DF200" s="161" t="str">
        <f t="shared" si="281"/>
        <v/>
      </c>
      <c r="DG200" s="161" t="str">
        <f t="shared" si="282"/>
        <v/>
      </c>
      <c r="DH200" s="161" t="str">
        <f t="shared" si="283"/>
        <v/>
      </c>
      <c r="DI200" s="161" t="str">
        <f t="shared" si="284"/>
        <v/>
      </c>
      <c r="DJ200" s="161" t="str">
        <f t="shared" si="285"/>
        <v/>
      </c>
      <c r="DK200" s="161" t="str">
        <f t="shared" si="286"/>
        <v/>
      </c>
      <c r="DL200" s="161" t="str">
        <f t="shared" si="287"/>
        <v/>
      </c>
      <c r="DM200" s="161" t="str">
        <f t="shared" si="288"/>
        <v/>
      </c>
      <c r="DN200" s="161" t="str">
        <f t="shared" si="311"/>
        <v/>
      </c>
      <c r="DO200" s="161" t="str">
        <f t="shared" si="312"/>
        <v/>
      </c>
      <c r="DP200" s="161" t="str">
        <f t="shared" si="313"/>
        <v/>
      </c>
      <c r="DQ200" s="161" t="str">
        <f t="shared" si="314"/>
        <v/>
      </c>
      <c r="DR200" s="161" t="str">
        <f t="shared" si="315"/>
        <v/>
      </c>
      <c r="DS200" s="161" t="str">
        <f t="shared" si="316"/>
        <v/>
      </c>
      <c r="DT200" s="161" t="str">
        <f t="shared" si="317"/>
        <v/>
      </c>
      <c r="DU200" s="161" t="str">
        <f t="shared" si="318"/>
        <v/>
      </c>
      <c r="DV200" s="161" t="str">
        <f t="shared" si="319"/>
        <v/>
      </c>
      <c r="DW200" s="161" t="str">
        <f t="shared" si="320"/>
        <v/>
      </c>
      <c r="DX200" s="161" t="str">
        <f t="shared" si="321"/>
        <v/>
      </c>
      <c r="DY200" s="161" t="str">
        <f t="shared" si="322"/>
        <v/>
      </c>
      <c r="DZ200" s="161" t="str">
        <f t="shared" si="323"/>
        <v/>
      </c>
      <c r="EA200" s="161" t="str">
        <f t="shared" si="324"/>
        <v/>
      </c>
      <c r="EB200" s="161" t="str">
        <f t="shared" si="325"/>
        <v/>
      </c>
      <c r="EC200" s="161" t="str">
        <f t="shared" si="326"/>
        <v/>
      </c>
      <c r="ED200" s="161" t="str">
        <f t="shared" si="327"/>
        <v/>
      </c>
      <c r="EE200" s="161" t="str">
        <f t="shared" si="328"/>
        <v/>
      </c>
      <c r="EF200" s="161" t="str">
        <f t="shared" si="329"/>
        <v/>
      </c>
      <c r="EG200" s="161" t="str">
        <f t="shared" si="330"/>
        <v/>
      </c>
      <c r="EH200" s="161" t="str">
        <f t="shared" si="331"/>
        <v/>
      </c>
      <c r="EI200" s="161" t="str">
        <f t="shared" si="332"/>
        <v/>
      </c>
      <c r="EJ200" s="161" t="str">
        <f t="shared" si="333"/>
        <v/>
      </c>
      <c r="EK200" s="147" t="str">
        <f t="shared" si="247"/>
        <v/>
      </c>
      <c r="EL200" s="149"/>
      <c r="EN200" s="146"/>
      <c r="EO200" s="146"/>
      <c r="EP200" s="139" t="str">
        <f t="shared" si="248"/>
        <v/>
      </c>
      <c r="EQ200" s="139" t="str">
        <f t="shared" si="249"/>
        <v/>
      </c>
      <c r="ER200" s="139" t="str">
        <f t="shared" si="250"/>
        <v/>
      </c>
      <c r="ES200" s="139" t="str">
        <f t="shared" si="251"/>
        <v/>
      </c>
      <c r="ET200" s="139" t="str">
        <f t="shared" si="252"/>
        <v/>
      </c>
      <c r="EU200" s="139" t="str">
        <f t="shared" si="253"/>
        <v/>
      </c>
      <c r="EV200" s="139" t="str">
        <f t="shared" si="254"/>
        <v/>
      </c>
      <c r="EW200" s="139" t="str">
        <f t="shared" si="255"/>
        <v/>
      </c>
      <c r="EX200" s="139" t="str">
        <f t="shared" si="256"/>
        <v/>
      </c>
      <c r="EY200" s="139" t="str">
        <f t="shared" si="257"/>
        <v/>
      </c>
      <c r="EZ200" s="139" t="str">
        <f t="shared" si="258"/>
        <v/>
      </c>
      <c r="FA200" s="139" t="str">
        <f t="shared" si="259"/>
        <v/>
      </c>
      <c r="FB200" s="139" t="str">
        <f t="shared" si="260"/>
        <v/>
      </c>
      <c r="FC200" s="139" t="str">
        <f t="shared" si="261"/>
        <v/>
      </c>
      <c r="FD200" s="139" t="str">
        <f t="shared" si="262"/>
        <v/>
      </c>
      <c r="FE200" s="139" t="str">
        <f t="shared" si="263"/>
        <v/>
      </c>
      <c r="FF200" s="139" t="str">
        <f t="shared" si="264"/>
        <v/>
      </c>
      <c r="FG200" s="139" t="str">
        <f t="shared" si="265"/>
        <v/>
      </c>
      <c r="FH200" s="139" t="str">
        <f t="shared" si="266"/>
        <v/>
      </c>
      <c r="FI200" s="139" t="str">
        <f t="shared" si="267"/>
        <v/>
      </c>
      <c r="FJ200" s="139" t="str">
        <f t="shared" si="268"/>
        <v/>
      </c>
      <c r="FK200" s="139" t="str">
        <f t="shared" si="269"/>
        <v/>
      </c>
      <c r="FL200" s="139" t="str">
        <f t="shared" si="270"/>
        <v/>
      </c>
      <c r="FM200" s="139" t="str">
        <f t="shared" si="271"/>
        <v/>
      </c>
      <c r="FN200" s="139" t="str">
        <f t="shared" si="272"/>
        <v/>
      </c>
      <c r="FO200" s="139" t="str">
        <f t="shared" si="273"/>
        <v/>
      </c>
      <c r="FP200" s="139" t="str">
        <f t="shared" si="274"/>
        <v/>
      </c>
      <c r="FQ200" s="139" t="str">
        <f t="shared" si="275"/>
        <v/>
      </c>
      <c r="FR200" s="139" t="str">
        <f t="shared" si="276"/>
        <v/>
      </c>
      <c r="FS200" s="139" t="str">
        <f t="shared" si="277"/>
        <v/>
      </c>
      <c r="FT200" s="139" t="str">
        <f t="shared" si="278"/>
        <v/>
      </c>
      <c r="FU200" s="148" t="str">
        <f t="shared" si="279"/>
        <v/>
      </c>
      <c r="FV200" s="149"/>
      <c r="FY200" s="211">
        <v>195</v>
      </c>
      <c r="FZ200">
        <v>101.15541338526513</v>
      </c>
      <c r="GA200">
        <v>121.09604963781049</v>
      </c>
      <c r="GB200">
        <v>42.075418232759759</v>
      </c>
      <c r="GC200">
        <v>44.084777051810192</v>
      </c>
      <c r="GD200">
        <v>48.700278734909432</v>
      </c>
      <c r="GE200">
        <v>97.875993465431492</v>
      </c>
      <c r="GF200">
        <v>131.34245188432547</v>
      </c>
      <c r="GG200">
        <v>66.804135225075512</v>
      </c>
      <c r="GH200">
        <v>35.379506350995371</v>
      </c>
      <c r="GI200">
        <v>93.514685586007943</v>
      </c>
      <c r="GJ200"/>
      <c r="GK200"/>
      <c r="GL200"/>
      <c r="GM200"/>
    </row>
    <row r="201" spans="1:195" s="7" customFormat="1">
      <c r="A201" s="1"/>
      <c r="B201" s="76" t="str">
        <f ca="1">IF(C201="", "", RAND())</f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251.20764821238726</v>
      </c>
      <c r="AO201">
        <v>136.3493570406616</v>
      </c>
      <c r="AP201">
        <v>548.46360521139297</v>
      </c>
      <c r="AQ201">
        <v>722.61022613618525</v>
      </c>
      <c r="AR201">
        <v>130.25126511755948</v>
      </c>
      <c r="AS201">
        <v>1292.5889641191632</v>
      </c>
      <c r="AT201">
        <v>58.648520812633848</v>
      </c>
      <c r="AU201">
        <v>118.58377962377251</v>
      </c>
      <c r="AV201"/>
      <c r="AW201"/>
      <c r="AX201" s="146"/>
      <c r="AY201" s="76" t="str">
        <f t="shared" ca="1" si="170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5"/>
        <v/>
      </c>
      <c r="CL201" s="179" t="str">
        <f t="shared" si="206"/>
        <v/>
      </c>
      <c r="CM201" s="180" t="str">
        <f t="shared" si="207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08"/>
        <v/>
      </c>
      <c r="DB201" s="146"/>
      <c r="DC201" s="76" t="str">
        <f t="shared" ca="1" si="171"/>
        <v/>
      </c>
      <c r="DD201" t="str">
        <f t="shared" si="209"/>
        <v/>
      </c>
      <c r="DE201" s="129" t="str">
        <f t="shared" si="334"/>
        <v/>
      </c>
      <c r="DF201" s="161" t="str">
        <f t="shared" si="281"/>
        <v/>
      </c>
      <c r="DG201" s="161" t="str">
        <f t="shared" si="282"/>
        <v/>
      </c>
      <c r="DH201" s="161" t="str">
        <f t="shared" si="283"/>
        <v/>
      </c>
      <c r="DI201" s="161" t="str">
        <f t="shared" si="284"/>
        <v/>
      </c>
      <c r="DJ201" s="161" t="str">
        <f t="shared" si="285"/>
        <v/>
      </c>
      <c r="DK201" s="161" t="str">
        <f t="shared" si="286"/>
        <v/>
      </c>
      <c r="DL201" s="161" t="str">
        <f t="shared" si="287"/>
        <v/>
      </c>
      <c r="DM201" s="161" t="str">
        <f t="shared" si="288"/>
        <v/>
      </c>
      <c r="DN201" s="161" t="str">
        <f t="shared" si="311"/>
        <v/>
      </c>
      <c r="DO201" s="161" t="str">
        <f t="shared" si="312"/>
        <v/>
      </c>
      <c r="DP201" s="161" t="str">
        <f t="shared" si="313"/>
        <v/>
      </c>
      <c r="DQ201" s="161" t="str">
        <f t="shared" si="314"/>
        <v/>
      </c>
      <c r="DR201" s="161" t="str">
        <f t="shared" si="315"/>
        <v/>
      </c>
      <c r="DS201" s="161" t="str">
        <f t="shared" si="316"/>
        <v/>
      </c>
      <c r="DT201" s="161" t="str">
        <f t="shared" si="317"/>
        <v/>
      </c>
      <c r="DU201" s="161" t="str">
        <f t="shared" si="318"/>
        <v/>
      </c>
      <c r="DV201" s="161" t="str">
        <f t="shared" si="319"/>
        <v/>
      </c>
      <c r="DW201" s="161" t="str">
        <f t="shared" si="320"/>
        <v/>
      </c>
      <c r="DX201" s="161" t="str">
        <f t="shared" si="321"/>
        <v/>
      </c>
      <c r="DY201" s="161" t="str">
        <f t="shared" si="322"/>
        <v/>
      </c>
      <c r="DZ201" s="161" t="str">
        <f t="shared" si="323"/>
        <v/>
      </c>
      <c r="EA201" s="161" t="str">
        <f t="shared" si="324"/>
        <v/>
      </c>
      <c r="EB201" s="161" t="str">
        <f t="shared" si="325"/>
        <v/>
      </c>
      <c r="EC201" s="161" t="str">
        <f t="shared" si="326"/>
        <v/>
      </c>
      <c r="ED201" s="161" t="str">
        <f t="shared" si="327"/>
        <v/>
      </c>
      <c r="EE201" s="161" t="str">
        <f t="shared" si="328"/>
        <v/>
      </c>
      <c r="EF201" s="161" t="str">
        <f t="shared" si="329"/>
        <v/>
      </c>
      <c r="EG201" s="161" t="str">
        <f t="shared" si="330"/>
        <v/>
      </c>
      <c r="EH201" s="161" t="str">
        <f t="shared" si="331"/>
        <v/>
      </c>
      <c r="EI201" s="161" t="str">
        <f t="shared" si="332"/>
        <v/>
      </c>
      <c r="EJ201" s="161" t="str">
        <f t="shared" si="333"/>
        <v/>
      </c>
      <c r="EK201" s="147" t="str">
        <f t="shared" si="247"/>
        <v/>
      </c>
      <c r="EL201" s="149"/>
      <c r="EN201" s="146"/>
      <c r="EO201" s="146"/>
      <c r="EP201" s="139" t="str">
        <f t="shared" si="248"/>
        <v/>
      </c>
      <c r="EQ201" s="139" t="str">
        <f t="shared" si="249"/>
        <v/>
      </c>
      <c r="ER201" s="139" t="str">
        <f t="shared" si="250"/>
        <v/>
      </c>
      <c r="ES201" s="139" t="str">
        <f t="shared" si="251"/>
        <v/>
      </c>
      <c r="ET201" s="139" t="str">
        <f t="shared" si="252"/>
        <v/>
      </c>
      <c r="EU201" s="139" t="str">
        <f t="shared" si="253"/>
        <v/>
      </c>
      <c r="EV201" s="139" t="str">
        <f t="shared" si="254"/>
        <v/>
      </c>
      <c r="EW201" s="139" t="str">
        <f t="shared" si="255"/>
        <v/>
      </c>
      <c r="EX201" s="139" t="str">
        <f t="shared" si="256"/>
        <v/>
      </c>
      <c r="EY201" s="139" t="str">
        <f t="shared" si="257"/>
        <v/>
      </c>
      <c r="EZ201" s="139" t="str">
        <f t="shared" si="258"/>
        <v/>
      </c>
      <c r="FA201" s="139" t="str">
        <f t="shared" si="259"/>
        <v/>
      </c>
      <c r="FB201" s="139" t="str">
        <f t="shared" si="260"/>
        <v/>
      </c>
      <c r="FC201" s="139" t="str">
        <f t="shared" si="261"/>
        <v/>
      </c>
      <c r="FD201" s="139" t="str">
        <f t="shared" si="262"/>
        <v/>
      </c>
      <c r="FE201" s="139" t="str">
        <f t="shared" si="263"/>
        <v/>
      </c>
      <c r="FF201" s="139" t="str">
        <f t="shared" si="264"/>
        <v/>
      </c>
      <c r="FG201" s="139" t="str">
        <f t="shared" si="265"/>
        <v/>
      </c>
      <c r="FH201" s="139" t="str">
        <f t="shared" si="266"/>
        <v/>
      </c>
      <c r="FI201" s="139" t="str">
        <f t="shared" si="267"/>
        <v/>
      </c>
      <c r="FJ201" s="139" t="str">
        <f t="shared" si="268"/>
        <v/>
      </c>
      <c r="FK201" s="139" t="str">
        <f t="shared" si="269"/>
        <v/>
      </c>
      <c r="FL201" s="139" t="str">
        <f t="shared" si="270"/>
        <v/>
      </c>
      <c r="FM201" s="139" t="str">
        <f t="shared" si="271"/>
        <v/>
      </c>
      <c r="FN201" s="139" t="str">
        <f t="shared" si="272"/>
        <v/>
      </c>
      <c r="FO201" s="139" t="str">
        <f t="shared" si="273"/>
        <v/>
      </c>
      <c r="FP201" s="139" t="str">
        <f t="shared" si="274"/>
        <v/>
      </c>
      <c r="FQ201" s="139" t="str">
        <f t="shared" si="275"/>
        <v/>
      </c>
      <c r="FR201" s="139" t="str">
        <f t="shared" si="276"/>
        <v/>
      </c>
      <c r="FS201" s="139" t="str">
        <f t="shared" si="277"/>
        <v/>
      </c>
      <c r="FT201" s="139" t="str">
        <f t="shared" si="278"/>
        <v/>
      </c>
      <c r="FU201" s="148" t="str">
        <f t="shared" si="279"/>
        <v/>
      </c>
      <c r="FV201" s="149"/>
      <c r="FY201" s="211">
        <v>196</v>
      </c>
      <c r="FZ201">
        <v>91.818256145955658</v>
      </c>
      <c r="GA201">
        <v>134.90270355257971</v>
      </c>
      <c r="GB201">
        <v>39.681475230409305</v>
      </c>
      <c r="GC201">
        <v>38.27743971964663</v>
      </c>
      <c r="GD201">
        <v>62.41307110122812</v>
      </c>
      <c r="GE201">
        <v>99.077899979151866</v>
      </c>
      <c r="GF201">
        <v>62.171418182022762</v>
      </c>
      <c r="GG201">
        <v>56.566298138434298</v>
      </c>
      <c r="GH201">
        <v>55.629040032933688</v>
      </c>
      <c r="GI201">
        <v>87.605760682000337</v>
      </c>
      <c r="GJ201"/>
      <c r="GK201"/>
      <c r="GL201"/>
      <c r="GM201"/>
    </row>
    <row r="202" spans="1:195" s="7" customFormat="1">
      <c r="A202" s="1"/>
      <c r="B202" s="76" t="str">
        <f ca="1">IF(C202="", "", RAND())</f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257.45175447711256</v>
      </c>
      <c r="AO202">
        <v>120.79191015334409</v>
      </c>
      <c r="AP202">
        <v>616.16645087407596</v>
      </c>
      <c r="AQ202">
        <v>632.3444338094148</v>
      </c>
      <c r="AR202">
        <v>115.67146067706155</v>
      </c>
      <c r="AS202">
        <v>1194.5422393065335</v>
      </c>
      <c r="AT202">
        <v>56.259631108303807</v>
      </c>
      <c r="AU202">
        <v>559.55913591565195</v>
      </c>
      <c r="AV202"/>
      <c r="AW202"/>
      <c r="AX202" s="146"/>
      <c r="AY202" s="76" t="str">
        <f t="shared" ca="1" si="170"/>
        <v/>
      </c>
      <c r="AZ202"/>
      <c r="BA202" s="129" t="s">
        <v>104</v>
      </c>
      <c r="BB202"/>
      <c r="BC202"/>
      <c r="BD202"/>
      <c r="BE202" s="187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5"/>
        <v/>
      </c>
      <c r="CL202" s="179" t="str">
        <f t="shared" si="206"/>
        <v/>
      </c>
      <c r="CM202" s="180" t="str">
        <f t="shared" si="207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08"/>
        <v/>
      </c>
      <c r="DB202" s="146"/>
      <c r="DC202" s="76" t="str">
        <f t="shared" ca="1" si="171"/>
        <v/>
      </c>
      <c r="DD202" t="str">
        <f t="shared" si="209"/>
        <v/>
      </c>
      <c r="DE202" s="129" t="str">
        <f t="shared" si="334"/>
        <v/>
      </c>
      <c r="DF202" s="161" t="str">
        <f t="shared" si="281"/>
        <v/>
      </c>
      <c r="DG202" s="161" t="str">
        <f t="shared" si="282"/>
        <v/>
      </c>
      <c r="DH202" s="161" t="str">
        <f t="shared" si="283"/>
        <v/>
      </c>
      <c r="DI202" s="161" t="str">
        <f t="shared" si="284"/>
        <v/>
      </c>
      <c r="DJ202" s="161" t="str">
        <f t="shared" si="285"/>
        <v/>
      </c>
      <c r="DK202" s="161" t="str">
        <f t="shared" si="286"/>
        <v/>
      </c>
      <c r="DL202" s="161" t="str">
        <f t="shared" si="287"/>
        <v/>
      </c>
      <c r="DM202" s="161" t="str">
        <f t="shared" si="288"/>
        <v/>
      </c>
      <c r="DN202" s="161" t="str">
        <f t="shared" si="311"/>
        <v/>
      </c>
      <c r="DO202" s="161" t="str">
        <f t="shared" si="312"/>
        <v/>
      </c>
      <c r="DP202" s="161" t="str">
        <f t="shared" si="313"/>
        <v/>
      </c>
      <c r="DQ202" s="161" t="str">
        <f t="shared" si="314"/>
        <v/>
      </c>
      <c r="DR202" s="161" t="str">
        <f t="shared" si="315"/>
        <v/>
      </c>
      <c r="DS202" s="161" t="str">
        <f t="shared" si="316"/>
        <v/>
      </c>
      <c r="DT202" s="161" t="str">
        <f t="shared" si="317"/>
        <v/>
      </c>
      <c r="DU202" s="161" t="str">
        <f t="shared" si="318"/>
        <v/>
      </c>
      <c r="DV202" s="161" t="str">
        <f t="shared" si="319"/>
        <v/>
      </c>
      <c r="DW202" s="161" t="str">
        <f t="shared" si="320"/>
        <v/>
      </c>
      <c r="DX202" s="161" t="str">
        <f t="shared" si="321"/>
        <v/>
      </c>
      <c r="DY202" s="161" t="str">
        <f t="shared" si="322"/>
        <v/>
      </c>
      <c r="DZ202" s="161" t="str">
        <f t="shared" si="323"/>
        <v/>
      </c>
      <c r="EA202" s="161" t="str">
        <f t="shared" si="324"/>
        <v/>
      </c>
      <c r="EB202" s="161" t="str">
        <f t="shared" si="325"/>
        <v/>
      </c>
      <c r="EC202" s="161" t="str">
        <f t="shared" si="326"/>
        <v/>
      </c>
      <c r="ED202" s="161" t="str">
        <f t="shared" si="327"/>
        <v/>
      </c>
      <c r="EE202" s="161" t="str">
        <f t="shared" si="328"/>
        <v/>
      </c>
      <c r="EF202" s="161" t="str">
        <f t="shared" si="329"/>
        <v/>
      </c>
      <c r="EG202" s="161" t="str">
        <f t="shared" si="330"/>
        <v/>
      </c>
      <c r="EH202" s="161" t="str">
        <f t="shared" si="331"/>
        <v/>
      </c>
      <c r="EI202" s="161" t="str">
        <f t="shared" si="332"/>
        <v/>
      </c>
      <c r="EJ202" s="161" t="str">
        <f t="shared" si="333"/>
        <v/>
      </c>
      <c r="EK202" s="147" t="str">
        <f t="shared" si="247"/>
        <v/>
      </c>
      <c r="EL202" s="149"/>
      <c r="EN202" s="146"/>
      <c r="EO202" s="146"/>
      <c r="EP202" s="139" t="str">
        <f t="shared" si="248"/>
        <v/>
      </c>
      <c r="EQ202" s="139" t="str">
        <f t="shared" si="249"/>
        <v/>
      </c>
      <c r="ER202" s="139" t="str">
        <f t="shared" si="250"/>
        <v/>
      </c>
      <c r="ES202" s="139" t="str">
        <f t="shared" si="251"/>
        <v/>
      </c>
      <c r="ET202" s="139" t="str">
        <f t="shared" si="252"/>
        <v/>
      </c>
      <c r="EU202" s="139" t="str">
        <f t="shared" si="253"/>
        <v/>
      </c>
      <c r="EV202" s="139" t="str">
        <f t="shared" si="254"/>
        <v/>
      </c>
      <c r="EW202" s="139" t="str">
        <f t="shared" si="255"/>
        <v/>
      </c>
      <c r="EX202" s="139" t="str">
        <f t="shared" si="256"/>
        <v/>
      </c>
      <c r="EY202" s="139" t="str">
        <f t="shared" si="257"/>
        <v/>
      </c>
      <c r="EZ202" s="139" t="str">
        <f t="shared" si="258"/>
        <v/>
      </c>
      <c r="FA202" s="139" t="str">
        <f t="shared" si="259"/>
        <v/>
      </c>
      <c r="FB202" s="139" t="str">
        <f t="shared" si="260"/>
        <v/>
      </c>
      <c r="FC202" s="139" t="str">
        <f t="shared" si="261"/>
        <v/>
      </c>
      <c r="FD202" s="139" t="str">
        <f t="shared" si="262"/>
        <v/>
      </c>
      <c r="FE202" s="139" t="str">
        <f t="shared" si="263"/>
        <v/>
      </c>
      <c r="FF202" s="139" t="str">
        <f t="shared" si="264"/>
        <v/>
      </c>
      <c r="FG202" s="139" t="str">
        <f t="shared" si="265"/>
        <v/>
      </c>
      <c r="FH202" s="139" t="str">
        <f t="shared" si="266"/>
        <v/>
      </c>
      <c r="FI202" s="139" t="str">
        <f t="shared" si="267"/>
        <v/>
      </c>
      <c r="FJ202" s="139" t="str">
        <f t="shared" si="268"/>
        <v/>
      </c>
      <c r="FK202" s="139" t="str">
        <f t="shared" si="269"/>
        <v/>
      </c>
      <c r="FL202" s="139" t="str">
        <f t="shared" si="270"/>
        <v/>
      </c>
      <c r="FM202" s="139" t="str">
        <f t="shared" si="271"/>
        <v/>
      </c>
      <c r="FN202" s="139" t="str">
        <f t="shared" si="272"/>
        <v/>
      </c>
      <c r="FO202" s="139" t="str">
        <f t="shared" si="273"/>
        <v/>
      </c>
      <c r="FP202" s="139" t="str">
        <f t="shared" si="274"/>
        <v/>
      </c>
      <c r="FQ202" s="139" t="str">
        <f t="shared" si="275"/>
        <v/>
      </c>
      <c r="FR202" s="139" t="str">
        <f t="shared" si="276"/>
        <v/>
      </c>
      <c r="FS202" s="139" t="str">
        <f t="shared" si="277"/>
        <v/>
      </c>
      <c r="FT202" s="139" t="str">
        <f t="shared" si="278"/>
        <v/>
      </c>
      <c r="FU202" s="148" t="str">
        <f t="shared" si="279"/>
        <v/>
      </c>
      <c r="FV202" s="149"/>
      <c r="FY202" s="211">
        <v>197</v>
      </c>
      <c r="FZ202">
        <v>98.211959097015125</v>
      </c>
      <c r="GA202">
        <v>103.42131083231757</v>
      </c>
      <c r="GB202">
        <v>50.769580605214273</v>
      </c>
      <c r="GC202">
        <v>49.261109940153958</v>
      </c>
      <c r="GD202">
        <v>28.561031166154329</v>
      </c>
      <c r="GE202">
        <v>39.305618171086081</v>
      </c>
      <c r="GF202">
        <v>76.023132900595854</v>
      </c>
      <c r="GG202">
        <v>42.595546433929854</v>
      </c>
      <c r="GH202">
        <v>34.893581546832529</v>
      </c>
      <c r="GI202">
        <v>68.860941900321976</v>
      </c>
      <c r="GJ202"/>
      <c r="GK202"/>
      <c r="GL202"/>
      <c r="GM202"/>
    </row>
    <row r="203" spans="1:195" s="7" customFormat="1">
      <c r="A203" s="1"/>
      <c r="B203" s="76" t="str">
        <f ca="1">IF(C203="", "", RAND())</f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247.5894513559428</v>
      </c>
      <c r="AO203">
        <v>126.46028506773538</v>
      </c>
      <c r="AP203">
        <v>456.3671637555899</v>
      </c>
      <c r="AQ203">
        <v>698.35206370048547</v>
      </c>
      <c r="AR203">
        <v>120.64803010936178</v>
      </c>
      <c r="AS203">
        <v>1268.6671707806292</v>
      </c>
      <c r="AT203">
        <v>60.726946503071296</v>
      </c>
      <c r="AU203">
        <v>75.527184133163871</v>
      </c>
      <c r="AV203"/>
      <c r="AW203"/>
      <c r="AX203" s="146"/>
      <c r="AY203" s="76" t="str">
        <f t="shared" ca="1" si="170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5"/>
        <v/>
      </c>
      <c r="CL203" s="179" t="str">
        <f t="shared" si="206"/>
        <v/>
      </c>
      <c r="CM203" s="180" t="str">
        <f t="shared" si="207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08"/>
        <v/>
      </c>
      <c r="DB203" s="146"/>
      <c r="DC203" s="76" t="str">
        <f t="shared" ca="1" si="171"/>
        <v/>
      </c>
      <c r="DD203" t="str">
        <f t="shared" si="209"/>
        <v/>
      </c>
      <c r="DE203" s="129" t="str">
        <f t="shared" si="334"/>
        <v/>
      </c>
      <c r="DF203" s="161" t="str">
        <f t="shared" si="281"/>
        <v/>
      </c>
      <c r="DG203" s="161" t="str">
        <f t="shared" si="282"/>
        <v/>
      </c>
      <c r="DH203" s="161" t="str">
        <f t="shared" si="283"/>
        <v/>
      </c>
      <c r="DI203" s="161" t="str">
        <f t="shared" si="284"/>
        <v/>
      </c>
      <c r="DJ203" s="161" t="str">
        <f t="shared" si="285"/>
        <v/>
      </c>
      <c r="DK203" s="161" t="str">
        <f t="shared" si="286"/>
        <v/>
      </c>
      <c r="DL203" s="161" t="str">
        <f t="shared" si="287"/>
        <v/>
      </c>
      <c r="DM203" s="161" t="str">
        <f t="shared" si="288"/>
        <v/>
      </c>
      <c r="DN203" s="161" t="str">
        <f t="shared" si="311"/>
        <v/>
      </c>
      <c r="DO203" s="161" t="str">
        <f t="shared" si="312"/>
        <v/>
      </c>
      <c r="DP203" s="161" t="str">
        <f t="shared" si="313"/>
        <v/>
      </c>
      <c r="DQ203" s="161" t="str">
        <f t="shared" si="314"/>
        <v/>
      </c>
      <c r="DR203" s="161" t="str">
        <f t="shared" si="315"/>
        <v/>
      </c>
      <c r="DS203" s="161" t="str">
        <f t="shared" si="316"/>
        <v/>
      </c>
      <c r="DT203" s="161" t="str">
        <f t="shared" si="317"/>
        <v/>
      </c>
      <c r="DU203" s="161" t="str">
        <f t="shared" si="318"/>
        <v/>
      </c>
      <c r="DV203" s="161" t="str">
        <f t="shared" si="319"/>
        <v/>
      </c>
      <c r="DW203" s="161" t="str">
        <f t="shared" si="320"/>
        <v/>
      </c>
      <c r="DX203" s="161" t="str">
        <f t="shared" si="321"/>
        <v/>
      </c>
      <c r="DY203" s="161" t="str">
        <f t="shared" si="322"/>
        <v/>
      </c>
      <c r="DZ203" s="161" t="str">
        <f t="shared" si="323"/>
        <v/>
      </c>
      <c r="EA203" s="161" t="str">
        <f t="shared" si="324"/>
        <v/>
      </c>
      <c r="EB203" s="161" t="str">
        <f t="shared" si="325"/>
        <v/>
      </c>
      <c r="EC203" s="161" t="str">
        <f t="shared" si="326"/>
        <v/>
      </c>
      <c r="ED203" s="161" t="str">
        <f t="shared" si="327"/>
        <v/>
      </c>
      <c r="EE203" s="161" t="str">
        <f t="shared" si="328"/>
        <v/>
      </c>
      <c r="EF203" s="161" t="str">
        <f t="shared" si="329"/>
        <v/>
      </c>
      <c r="EG203" s="161" t="str">
        <f t="shared" si="330"/>
        <v/>
      </c>
      <c r="EH203" s="161" t="str">
        <f t="shared" si="331"/>
        <v/>
      </c>
      <c r="EI203" s="161" t="str">
        <f t="shared" si="332"/>
        <v/>
      </c>
      <c r="EJ203" s="161" t="str">
        <f t="shared" si="333"/>
        <v/>
      </c>
      <c r="EK203" s="147" t="str">
        <f t="shared" si="247"/>
        <v/>
      </c>
      <c r="EL203" s="149"/>
      <c r="EN203" s="146"/>
      <c r="EO203" s="146"/>
      <c r="EP203" s="139" t="str">
        <f t="shared" si="248"/>
        <v/>
      </c>
      <c r="EQ203" s="139" t="str">
        <f t="shared" si="249"/>
        <v/>
      </c>
      <c r="ER203" s="139" t="str">
        <f t="shared" si="250"/>
        <v/>
      </c>
      <c r="ES203" s="139" t="str">
        <f t="shared" si="251"/>
        <v/>
      </c>
      <c r="ET203" s="139" t="str">
        <f t="shared" si="252"/>
        <v/>
      </c>
      <c r="EU203" s="139" t="str">
        <f t="shared" si="253"/>
        <v/>
      </c>
      <c r="EV203" s="139" t="str">
        <f t="shared" si="254"/>
        <v/>
      </c>
      <c r="EW203" s="139" t="str">
        <f t="shared" si="255"/>
        <v/>
      </c>
      <c r="EX203" s="139" t="str">
        <f t="shared" si="256"/>
        <v/>
      </c>
      <c r="EY203" s="139" t="str">
        <f t="shared" si="257"/>
        <v/>
      </c>
      <c r="EZ203" s="139" t="str">
        <f t="shared" si="258"/>
        <v/>
      </c>
      <c r="FA203" s="139" t="str">
        <f t="shared" si="259"/>
        <v/>
      </c>
      <c r="FB203" s="139" t="str">
        <f t="shared" si="260"/>
        <v/>
      </c>
      <c r="FC203" s="139" t="str">
        <f t="shared" si="261"/>
        <v/>
      </c>
      <c r="FD203" s="139" t="str">
        <f t="shared" si="262"/>
        <v/>
      </c>
      <c r="FE203" s="139" t="str">
        <f t="shared" si="263"/>
        <v/>
      </c>
      <c r="FF203" s="139" t="str">
        <f t="shared" si="264"/>
        <v/>
      </c>
      <c r="FG203" s="139" t="str">
        <f t="shared" si="265"/>
        <v/>
      </c>
      <c r="FH203" s="139" t="str">
        <f t="shared" si="266"/>
        <v/>
      </c>
      <c r="FI203" s="139" t="str">
        <f t="shared" si="267"/>
        <v/>
      </c>
      <c r="FJ203" s="139" t="str">
        <f t="shared" si="268"/>
        <v/>
      </c>
      <c r="FK203" s="139" t="str">
        <f t="shared" si="269"/>
        <v/>
      </c>
      <c r="FL203" s="139" t="str">
        <f t="shared" si="270"/>
        <v/>
      </c>
      <c r="FM203" s="139" t="str">
        <f t="shared" si="271"/>
        <v/>
      </c>
      <c r="FN203" s="139" t="str">
        <f t="shared" si="272"/>
        <v/>
      </c>
      <c r="FO203" s="139" t="str">
        <f t="shared" si="273"/>
        <v/>
      </c>
      <c r="FP203" s="139" t="str">
        <f t="shared" si="274"/>
        <v/>
      </c>
      <c r="FQ203" s="139" t="str">
        <f t="shared" si="275"/>
        <v/>
      </c>
      <c r="FR203" s="139" t="str">
        <f t="shared" si="276"/>
        <v/>
      </c>
      <c r="FS203" s="139" t="str">
        <f t="shared" si="277"/>
        <v/>
      </c>
      <c r="FT203" s="139" t="str">
        <f t="shared" si="278"/>
        <v/>
      </c>
      <c r="FU203" s="148" t="str">
        <f t="shared" si="279"/>
        <v/>
      </c>
      <c r="FV203" s="149"/>
      <c r="FY203" s="211">
        <v>198</v>
      </c>
      <c r="FZ203">
        <v>97.705357309446541</v>
      </c>
      <c r="GA203">
        <v>162.33031572614675</v>
      </c>
      <c r="GB203">
        <v>66.123874943743132</v>
      </c>
      <c r="GC203">
        <v>46.23199501387419</v>
      </c>
      <c r="GD203">
        <v>53.111837465439642</v>
      </c>
      <c r="GE203">
        <v>72.115418403510802</v>
      </c>
      <c r="GF203">
        <v>38.080790011582458</v>
      </c>
      <c r="GG203">
        <v>56.955323634567932</v>
      </c>
      <c r="GH203">
        <v>87.277329422625741</v>
      </c>
      <c r="GI203">
        <v>89.41240272621701</v>
      </c>
      <c r="GJ203"/>
      <c r="GK203"/>
      <c r="GL203"/>
      <c r="GM203"/>
    </row>
    <row r="204" spans="1:195" s="7" customFormat="1">
      <c r="A204" s="1"/>
      <c r="B204" s="76" t="str">
        <f ca="1">IF(C204="", "", RAND())</f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250.04157228318917</v>
      </c>
      <c r="AO204">
        <v>152.97794187298177</v>
      </c>
      <c r="AP204">
        <v>734.23553915284833</v>
      </c>
      <c r="AQ204">
        <v>891.20671435719612</v>
      </c>
      <c r="AR204">
        <v>145.37504360289711</v>
      </c>
      <c r="AS204">
        <v>1510.8941689836877</v>
      </c>
      <c r="AT204">
        <v>78.861499288107325</v>
      </c>
      <c r="AU204">
        <v>129.51682567519643</v>
      </c>
      <c r="AV204"/>
      <c r="AW204"/>
      <c r="AX204" s="146"/>
      <c r="AY204" s="76" t="str">
        <f t="shared" ca="1" si="170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5"/>
        <v/>
      </c>
      <c r="CL204" s="179" t="str">
        <f t="shared" si="206"/>
        <v/>
      </c>
      <c r="CM204" s="180" t="str">
        <f t="shared" si="207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08"/>
        <v/>
      </c>
      <c r="DB204" s="146"/>
      <c r="DC204" s="76" t="str">
        <f t="shared" ca="1" si="171"/>
        <v/>
      </c>
      <c r="DD204" t="str">
        <f t="shared" si="209"/>
        <v/>
      </c>
      <c r="DE204" s="129" t="str">
        <f t="shared" si="334"/>
        <v/>
      </c>
      <c r="DF204" s="161" t="str">
        <f t="shared" si="281"/>
        <v/>
      </c>
      <c r="DG204" s="161" t="str">
        <f t="shared" si="282"/>
        <v/>
      </c>
      <c r="DH204" s="161" t="str">
        <f t="shared" si="283"/>
        <v/>
      </c>
      <c r="DI204" s="161" t="str">
        <f t="shared" si="284"/>
        <v/>
      </c>
      <c r="DJ204" s="161" t="str">
        <f t="shared" si="285"/>
        <v/>
      </c>
      <c r="DK204" s="161" t="str">
        <f t="shared" si="286"/>
        <v/>
      </c>
      <c r="DL204" s="161" t="str">
        <f t="shared" si="287"/>
        <v/>
      </c>
      <c r="DM204" s="161" t="str">
        <f t="shared" si="288"/>
        <v/>
      </c>
      <c r="DN204" s="161" t="str">
        <f t="shared" si="311"/>
        <v/>
      </c>
      <c r="DO204" s="161" t="str">
        <f t="shared" si="312"/>
        <v/>
      </c>
      <c r="DP204" s="161" t="str">
        <f t="shared" si="313"/>
        <v/>
      </c>
      <c r="DQ204" s="161" t="str">
        <f t="shared" si="314"/>
        <v/>
      </c>
      <c r="DR204" s="161" t="str">
        <f t="shared" si="315"/>
        <v/>
      </c>
      <c r="DS204" s="161" t="str">
        <f t="shared" si="316"/>
        <v/>
      </c>
      <c r="DT204" s="161" t="str">
        <f t="shared" si="317"/>
        <v/>
      </c>
      <c r="DU204" s="161" t="str">
        <f t="shared" si="318"/>
        <v/>
      </c>
      <c r="DV204" s="161" t="str">
        <f t="shared" si="319"/>
        <v/>
      </c>
      <c r="DW204" s="161" t="str">
        <f t="shared" si="320"/>
        <v/>
      </c>
      <c r="DX204" s="161" t="str">
        <f t="shared" si="321"/>
        <v/>
      </c>
      <c r="DY204" s="161" t="str">
        <f t="shared" si="322"/>
        <v/>
      </c>
      <c r="DZ204" s="161" t="str">
        <f t="shared" si="323"/>
        <v/>
      </c>
      <c r="EA204" s="161" t="str">
        <f t="shared" si="324"/>
        <v/>
      </c>
      <c r="EB204" s="161" t="str">
        <f t="shared" si="325"/>
        <v/>
      </c>
      <c r="EC204" s="161" t="str">
        <f t="shared" si="326"/>
        <v/>
      </c>
      <c r="ED204" s="161" t="str">
        <f t="shared" si="327"/>
        <v/>
      </c>
      <c r="EE204" s="161" t="str">
        <f t="shared" si="328"/>
        <v/>
      </c>
      <c r="EF204" s="161" t="str">
        <f t="shared" si="329"/>
        <v/>
      </c>
      <c r="EG204" s="161" t="str">
        <f t="shared" si="330"/>
        <v/>
      </c>
      <c r="EH204" s="161" t="str">
        <f t="shared" si="331"/>
        <v/>
      </c>
      <c r="EI204" s="161" t="str">
        <f t="shared" si="332"/>
        <v/>
      </c>
      <c r="EJ204" s="161" t="str">
        <f t="shared" si="333"/>
        <v/>
      </c>
      <c r="EK204" s="147" t="str">
        <f t="shared" si="247"/>
        <v/>
      </c>
      <c r="EL204" s="149"/>
      <c r="EN204" s="146"/>
      <c r="EO204" s="146"/>
      <c r="EP204" s="139" t="str">
        <f t="shared" si="248"/>
        <v/>
      </c>
      <c r="EQ204" s="139" t="str">
        <f t="shared" si="249"/>
        <v/>
      </c>
      <c r="ER204" s="139" t="str">
        <f t="shared" si="250"/>
        <v/>
      </c>
      <c r="ES204" s="139" t="str">
        <f t="shared" si="251"/>
        <v/>
      </c>
      <c r="ET204" s="139" t="str">
        <f t="shared" si="252"/>
        <v/>
      </c>
      <c r="EU204" s="139" t="str">
        <f t="shared" si="253"/>
        <v/>
      </c>
      <c r="EV204" s="139" t="str">
        <f t="shared" si="254"/>
        <v/>
      </c>
      <c r="EW204" s="139" t="str">
        <f t="shared" si="255"/>
        <v/>
      </c>
      <c r="EX204" s="139" t="str">
        <f t="shared" si="256"/>
        <v/>
      </c>
      <c r="EY204" s="139" t="str">
        <f t="shared" si="257"/>
        <v/>
      </c>
      <c r="EZ204" s="139" t="str">
        <f t="shared" si="258"/>
        <v/>
      </c>
      <c r="FA204" s="139" t="str">
        <f t="shared" si="259"/>
        <v/>
      </c>
      <c r="FB204" s="139" t="str">
        <f t="shared" si="260"/>
        <v/>
      </c>
      <c r="FC204" s="139" t="str">
        <f t="shared" si="261"/>
        <v/>
      </c>
      <c r="FD204" s="139" t="str">
        <f t="shared" si="262"/>
        <v/>
      </c>
      <c r="FE204" s="139" t="str">
        <f t="shared" si="263"/>
        <v/>
      </c>
      <c r="FF204" s="139" t="str">
        <f t="shared" si="264"/>
        <v/>
      </c>
      <c r="FG204" s="139" t="str">
        <f t="shared" si="265"/>
        <v/>
      </c>
      <c r="FH204" s="139" t="str">
        <f t="shared" si="266"/>
        <v/>
      </c>
      <c r="FI204" s="139" t="str">
        <f t="shared" si="267"/>
        <v/>
      </c>
      <c r="FJ204" s="139" t="str">
        <f t="shared" si="268"/>
        <v/>
      </c>
      <c r="FK204" s="139" t="str">
        <f t="shared" si="269"/>
        <v/>
      </c>
      <c r="FL204" s="139" t="str">
        <f t="shared" si="270"/>
        <v/>
      </c>
      <c r="FM204" s="139" t="str">
        <f t="shared" si="271"/>
        <v/>
      </c>
      <c r="FN204" s="139" t="str">
        <f t="shared" si="272"/>
        <v/>
      </c>
      <c r="FO204" s="139" t="str">
        <f t="shared" si="273"/>
        <v/>
      </c>
      <c r="FP204" s="139" t="str">
        <f t="shared" si="274"/>
        <v/>
      </c>
      <c r="FQ204" s="139" t="str">
        <f t="shared" si="275"/>
        <v/>
      </c>
      <c r="FR204" s="139" t="str">
        <f t="shared" si="276"/>
        <v/>
      </c>
      <c r="FS204" s="139" t="str">
        <f t="shared" si="277"/>
        <v/>
      </c>
      <c r="FT204" s="139" t="str">
        <f t="shared" si="278"/>
        <v/>
      </c>
      <c r="FU204" s="148" t="str">
        <f t="shared" si="279"/>
        <v/>
      </c>
      <c r="FV204" s="149"/>
      <c r="FY204" s="211">
        <v>199</v>
      </c>
      <c r="FZ204">
        <v>98.006695810106976</v>
      </c>
      <c r="GA204">
        <v>120.18267325483924</v>
      </c>
      <c r="GB204">
        <v>58.059232903107912</v>
      </c>
      <c r="GC204">
        <v>51.218795823408868</v>
      </c>
      <c r="GD204">
        <v>30.634061181591548</v>
      </c>
      <c r="GE204">
        <v>51.631548606341127</v>
      </c>
      <c r="GF204">
        <v>90.861055436662809</v>
      </c>
      <c r="GG204">
        <v>61.647557933362719</v>
      </c>
      <c r="GH204">
        <v>67.915520209831953</v>
      </c>
      <c r="GI204">
        <v>81.049846767694916</v>
      </c>
      <c r="GJ204"/>
      <c r="GK204"/>
      <c r="GL204"/>
      <c r="GM204"/>
    </row>
    <row r="205" spans="1:195" s="7" customFormat="1">
      <c r="A205" s="1"/>
      <c r="B205" s="76" t="str">
        <f ca="1">IF(C205="", "", RAND())</f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239.37900788514304</v>
      </c>
      <c r="AO205">
        <v>122.42804121563623</v>
      </c>
      <c r="AP205">
        <v>472.44222597886886</v>
      </c>
      <c r="AQ205">
        <v>686.46385926452012</v>
      </c>
      <c r="AR205">
        <v>116.19657723027409</v>
      </c>
      <c r="AS205">
        <v>1143.9344344826757</v>
      </c>
      <c r="AT205">
        <v>61.893908788863939</v>
      </c>
      <c r="AU205">
        <v>215.45497419916032</v>
      </c>
      <c r="AV205"/>
      <c r="AW205"/>
      <c r="AX205" s="146"/>
      <c r="AY205" s="76" t="str">
        <f t="shared" ca="1" si="170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5"/>
        <v/>
      </c>
      <c r="CL205" s="179" t="str">
        <f t="shared" si="206"/>
        <v/>
      </c>
      <c r="CM205" s="180" t="str">
        <f t="shared" si="207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08"/>
        <v/>
      </c>
      <c r="DB205" s="146"/>
      <c r="DC205" s="76" t="str">
        <f t="shared" ca="1" si="171"/>
        <v/>
      </c>
      <c r="DD205" t="str">
        <f t="shared" si="209"/>
        <v/>
      </c>
      <c r="DE205" s="129" t="str">
        <f t="shared" si="334"/>
        <v/>
      </c>
      <c r="DF205" s="161" t="str">
        <f t="shared" si="281"/>
        <v/>
      </c>
      <c r="DG205" s="161" t="str">
        <f t="shared" si="282"/>
        <v/>
      </c>
      <c r="DH205" s="161" t="str">
        <f t="shared" si="283"/>
        <v/>
      </c>
      <c r="DI205" s="161" t="str">
        <f t="shared" si="284"/>
        <v/>
      </c>
      <c r="DJ205" s="161" t="str">
        <f t="shared" si="285"/>
        <v/>
      </c>
      <c r="DK205" s="161" t="str">
        <f t="shared" si="286"/>
        <v/>
      </c>
      <c r="DL205" s="161" t="str">
        <f t="shared" si="287"/>
        <v/>
      </c>
      <c r="DM205" s="161" t="str">
        <f t="shared" si="288"/>
        <v/>
      </c>
      <c r="DN205" s="161" t="str">
        <f t="shared" si="311"/>
        <v/>
      </c>
      <c r="DO205" s="161" t="str">
        <f t="shared" si="312"/>
        <v/>
      </c>
      <c r="DP205" s="161" t="str">
        <f t="shared" si="313"/>
        <v/>
      </c>
      <c r="DQ205" s="161" t="str">
        <f t="shared" si="314"/>
        <v/>
      </c>
      <c r="DR205" s="161" t="str">
        <f t="shared" si="315"/>
        <v/>
      </c>
      <c r="DS205" s="161" t="str">
        <f t="shared" si="316"/>
        <v/>
      </c>
      <c r="DT205" s="161" t="str">
        <f t="shared" si="317"/>
        <v/>
      </c>
      <c r="DU205" s="161" t="str">
        <f t="shared" si="318"/>
        <v/>
      </c>
      <c r="DV205" s="161" t="str">
        <f t="shared" si="319"/>
        <v/>
      </c>
      <c r="DW205" s="161" t="str">
        <f t="shared" si="320"/>
        <v/>
      </c>
      <c r="DX205" s="161" t="str">
        <f t="shared" si="321"/>
        <v/>
      </c>
      <c r="DY205" s="161" t="str">
        <f t="shared" si="322"/>
        <v/>
      </c>
      <c r="DZ205" s="161" t="str">
        <f t="shared" si="323"/>
        <v/>
      </c>
      <c r="EA205" s="161" t="str">
        <f t="shared" si="324"/>
        <v/>
      </c>
      <c r="EB205" s="161" t="str">
        <f t="shared" si="325"/>
        <v/>
      </c>
      <c r="EC205" s="161" t="str">
        <f t="shared" si="326"/>
        <v/>
      </c>
      <c r="ED205" s="161" t="str">
        <f t="shared" si="327"/>
        <v/>
      </c>
      <c r="EE205" s="161" t="str">
        <f t="shared" si="328"/>
        <v/>
      </c>
      <c r="EF205" s="161" t="str">
        <f t="shared" si="329"/>
        <v/>
      </c>
      <c r="EG205" s="161" t="str">
        <f t="shared" si="330"/>
        <v/>
      </c>
      <c r="EH205" s="161" t="str">
        <f t="shared" si="331"/>
        <v/>
      </c>
      <c r="EI205" s="161" t="str">
        <f t="shared" si="332"/>
        <v/>
      </c>
      <c r="EJ205" s="161" t="str">
        <f t="shared" si="333"/>
        <v/>
      </c>
      <c r="EK205" s="147" t="str">
        <f t="shared" si="247"/>
        <v/>
      </c>
      <c r="EL205" s="149"/>
      <c r="EN205" s="146"/>
      <c r="EO205" s="146"/>
      <c r="EP205" s="139" t="str">
        <f t="shared" si="248"/>
        <v/>
      </c>
      <c r="EQ205" s="139" t="str">
        <f t="shared" si="249"/>
        <v/>
      </c>
      <c r="ER205" s="139" t="str">
        <f t="shared" si="250"/>
        <v/>
      </c>
      <c r="ES205" s="139" t="str">
        <f t="shared" si="251"/>
        <v/>
      </c>
      <c r="ET205" s="139" t="str">
        <f t="shared" si="252"/>
        <v/>
      </c>
      <c r="EU205" s="139" t="str">
        <f t="shared" si="253"/>
        <v/>
      </c>
      <c r="EV205" s="139" t="str">
        <f t="shared" si="254"/>
        <v/>
      </c>
      <c r="EW205" s="139" t="str">
        <f t="shared" si="255"/>
        <v/>
      </c>
      <c r="EX205" s="139" t="str">
        <f t="shared" si="256"/>
        <v/>
      </c>
      <c r="EY205" s="139" t="str">
        <f t="shared" si="257"/>
        <v/>
      </c>
      <c r="EZ205" s="139" t="str">
        <f t="shared" si="258"/>
        <v/>
      </c>
      <c r="FA205" s="139" t="str">
        <f t="shared" si="259"/>
        <v/>
      </c>
      <c r="FB205" s="139" t="str">
        <f t="shared" si="260"/>
        <v/>
      </c>
      <c r="FC205" s="139" t="str">
        <f t="shared" si="261"/>
        <v/>
      </c>
      <c r="FD205" s="139" t="str">
        <f t="shared" si="262"/>
        <v/>
      </c>
      <c r="FE205" s="139" t="str">
        <f t="shared" si="263"/>
        <v/>
      </c>
      <c r="FF205" s="139" t="str">
        <f t="shared" si="264"/>
        <v/>
      </c>
      <c r="FG205" s="139" t="str">
        <f t="shared" si="265"/>
        <v/>
      </c>
      <c r="FH205" s="139" t="str">
        <f t="shared" si="266"/>
        <v/>
      </c>
      <c r="FI205" s="139" t="str">
        <f t="shared" si="267"/>
        <v/>
      </c>
      <c r="FJ205" s="139" t="str">
        <f t="shared" si="268"/>
        <v/>
      </c>
      <c r="FK205" s="139" t="str">
        <f t="shared" si="269"/>
        <v/>
      </c>
      <c r="FL205" s="139" t="str">
        <f t="shared" si="270"/>
        <v/>
      </c>
      <c r="FM205" s="139" t="str">
        <f t="shared" si="271"/>
        <v/>
      </c>
      <c r="FN205" s="139" t="str">
        <f t="shared" si="272"/>
        <v/>
      </c>
      <c r="FO205" s="139" t="str">
        <f t="shared" si="273"/>
        <v/>
      </c>
      <c r="FP205" s="139" t="str">
        <f t="shared" si="274"/>
        <v/>
      </c>
      <c r="FQ205" s="139" t="str">
        <f t="shared" si="275"/>
        <v/>
      </c>
      <c r="FR205" s="139" t="str">
        <f t="shared" si="276"/>
        <v/>
      </c>
      <c r="FS205" s="139" t="str">
        <f t="shared" si="277"/>
        <v/>
      </c>
      <c r="FT205" s="139" t="str">
        <f t="shared" si="278"/>
        <v/>
      </c>
      <c r="FU205" s="148" t="str">
        <f t="shared" si="279"/>
        <v/>
      </c>
      <c r="FV205" s="149"/>
      <c r="FY205" s="211">
        <v>200</v>
      </c>
      <c r="FZ205">
        <v>106.61077008294829</v>
      </c>
      <c r="GA205">
        <v>174.59136571468431</v>
      </c>
      <c r="GB205">
        <v>61.356390198386684</v>
      </c>
      <c r="GC205">
        <v>38.883161691219804</v>
      </c>
      <c r="GD205">
        <v>26.316968592446123</v>
      </c>
      <c r="GE205">
        <v>42.487995392457492</v>
      </c>
      <c r="GF205">
        <v>96.603047892833203</v>
      </c>
      <c r="GG205">
        <v>64.744818776203459</v>
      </c>
      <c r="GH205">
        <v>38.843624634746035</v>
      </c>
      <c r="GI205">
        <v>77.365091760137062</v>
      </c>
      <c r="GJ205"/>
      <c r="GK205"/>
      <c r="GL205"/>
      <c r="GM205"/>
    </row>
    <row r="206" spans="1:195" s="7" customFormat="1">
      <c r="A206" s="1"/>
      <c r="B206" s="76" t="str">
        <f ca="1">IF(C206="", "", RAND())</f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228.40511696349364</v>
      </c>
      <c r="AO206">
        <v>128.97101411140562</v>
      </c>
      <c r="AP206">
        <v>504.49357725230402</v>
      </c>
      <c r="AQ206">
        <v>739.37432028025705</v>
      </c>
      <c r="AR206">
        <v>120.85502382911842</v>
      </c>
      <c r="AS206">
        <v>1187.5415055640694</v>
      </c>
      <c r="AT206">
        <v>59.707926415665277</v>
      </c>
      <c r="AU206">
        <v>-26.902647511053353</v>
      </c>
      <c r="AV206"/>
      <c r="AW206"/>
      <c r="AX206" s="146"/>
      <c r="AY206" s="76" t="str">
        <f t="shared" ca="1" si="170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5"/>
        <v/>
      </c>
      <c r="CL206" s="179" t="str">
        <f t="shared" si="206"/>
        <v/>
      </c>
      <c r="CM206" s="180" t="str">
        <f t="shared" si="207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08"/>
        <v/>
      </c>
      <c r="DB206" s="146"/>
      <c r="DC206" s="76" t="str">
        <f t="shared" ca="1" si="171"/>
        <v/>
      </c>
      <c r="DD206" t="str">
        <f t="shared" si="209"/>
        <v/>
      </c>
      <c r="DE206" s="129" t="str">
        <f t="shared" si="334"/>
        <v/>
      </c>
      <c r="DF206" s="161" t="str">
        <f t="shared" si="281"/>
        <v/>
      </c>
      <c r="DG206" s="161" t="str">
        <f t="shared" si="282"/>
        <v/>
      </c>
      <c r="DH206" s="161" t="str">
        <f t="shared" si="283"/>
        <v/>
      </c>
      <c r="DI206" s="161" t="str">
        <f t="shared" si="284"/>
        <v/>
      </c>
      <c r="DJ206" s="161" t="str">
        <f t="shared" si="285"/>
        <v/>
      </c>
      <c r="DK206" s="161" t="str">
        <f t="shared" si="286"/>
        <v/>
      </c>
      <c r="DL206" s="161" t="str">
        <f t="shared" si="287"/>
        <v/>
      </c>
      <c r="DM206" s="161" t="str">
        <f t="shared" si="288"/>
        <v/>
      </c>
      <c r="DN206" s="161" t="str">
        <f t="shared" si="311"/>
        <v/>
      </c>
      <c r="DO206" s="161" t="str">
        <f t="shared" si="312"/>
        <v/>
      </c>
      <c r="DP206" s="161" t="str">
        <f t="shared" si="313"/>
        <v/>
      </c>
      <c r="DQ206" s="161" t="str">
        <f t="shared" si="314"/>
        <v/>
      </c>
      <c r="DR206" s="161" t="str">
        <f t="shared" si="315"/>
        <v/>
      </c>
      <c r="DS206" s="161" t="str">
        <f t="shared" si="316"/>
        <v/>
      </c>
      <c r="DT206" s="161" t="str">
        <f t="shared" si="317"/>
        <v/>
      </c>
      <c r="DU206" s="161" t="str">
        <f t="shared" si="318"/>
        <v/>
      </c>
      <c r="DV206" s="161" t="str">
        <f t="shared" si="319"/>
        <v/>
      </c>
      <c r="DW206" s="161" t="str">
        <f t="shared" si="320"/>
        <v/>
      </c>
      <c r="DX206" s="161" t="str">
        <f t="shared" si="321"/>
        <v/>
      </c>
      <c r="DY206" s="161" t="str">
        <f t="shared" si="322"/>
        <v/>
      </c>
      <c r="DZ206" s="161" t="str">
        <f t="shared" si="323"/>
        <v/>
      </c>
      <c r="EA206" s="161" t="str">
        <f t="shared" si="324"/>
        <v/>
      </c>
      <c r="EB206" s="161" t="str">
        <f t="shared" si="325"/>
        <v/>
      </c>
      <c r="EC206" s="161" t="str">
        <f t="shared" si="326"/>
        <v/>
      </c>
      <c r="ED206" s="161" t="str">
        <f t="shared" si="327"/>
        <v/>
      </c>
      <c r="EE206" s="161" t="str">
        <f t="shared" si="328"/>
        <v/>
      </c>
      <c r="EF206" s="161" t="str">
        <f t="shared" si="329"/>
        <v/>
      </c>
      <c r="EG206" s="161" t="str">
        <f t="shared" si="330"/>
        <v/>
      </c>
      <c r="EH206" s="161" t="str">
        <f t="shared" si="331"/>
        <v/>
      </c>
      <c r="EI206" s="161" t="str">
        <f t="shared" si="332"/>
        <v/>
      </c>
      <c r="EJ206" s="161" t="str">
        <f t="shared" si="333"/>
        <v/>
      </c>
      <c r="EK206" s="147" t="str">
        <f t="shared" si="247"/>
        <v/>
      </c>
      <c r="EL206" s="149"/>
      <c r="EN206" s="146"/>
      <c r="EO206" s="146"/>
      <c r="EP206" s="139" t="str">
        <f t="shared" si="248"/>
        <v/>
      </c>
      <c r="EQ206" s="139" t="str">
        <f t="shared" si="249"/>
        <v/>
      </c>
      <c r="ER206" s="139" t="str">
        <f t="shared" si="250"/>
        <v/>
      </c>
      <c r="ES206" s="139" t="str">
        <f t="shared" si="251"/>
        <v/>
      </c>
      <c r="ET206" s="139" t="str">
        <f t="shared" si="252"/>
        <v/>
      </c>
      <c r="EU206" s="139" t="str">
        <f t="shared" si="253"/>
        <v/>
      </c>
      <c r="EV206" s="139" t="str">
        <f t="shared" si="254"/>
        <v/>
      </c>
      <c r="EW206" s="139" t="str">
        <f t="shared" si="255"/>
        <v/>
      </c>
      <c r="EX206" s="139" t="str">
        <f t="shared" si="256"/>
        <v/>
      </c>
      <c r="EY206" s="139" t="str">
        <f t="shared" si="257"/>
        <v/>
      </c>
      <c r="EZ206" s="139" t="str">
        <f t="shared" si="258"/>
        <v/>
      </c>
      <c r="FA206" s="139" t="str">
        <f t="shared" si="259"/>
        <v/>
      </c>
      <c r="FB206" s="139" t="str">
        <f t="shared" si="260"/>
        <v/>
      </c>
      <c r="FC206" s="139" t="str">
        <f t="shared" si="261"/>
        <v/>
      </c>
      <c r="FD206" s="139" t="str">
        <f t="shared" si="262"/>
        <v/>
      </c>
      <c r="FE206" s="139" t="str">
        <f t="shared" si="263"/>
        <v/>
      </c>
      <c r="FF206" s="139" t="str">
        <f t="shared" si="264"/>
        <v/>
      </c>
      <c r="FG206" s="139" t="str">
        <f t="shared" si="265"/>
        <v/>
      </c>
      <c r="FH206" s="139" t="str">
        <f t="shared" si="266"/>
        <v/>
      </c>
      <c r="FI206" s="139" t="str">
        <f t="shared" si="267"/>
        <v/>
      </c>
      <c r="FJ206" s="139" t="str">
        <f t="shared" si="268"/>
        <v/>
      </c>
      <c r="FK206" s="139" t="str">
        <f t="shared" si="269"/>
        <v/>
      </c>
      <c r="FL206" s="139" t="str">
        <f t="shared" si="270"/>
        <v/>
      </c>
      <c r="FM206" s="139" t="str">
        <f t="shared" si="271"/>
        <v/>
      </c>
      <c r="FN206" s="139" t="str">
        <f t="shared" si="272"/>
        <v/>
      </c>
      <c r="FO206" s="139" t="str">
        <f t="shared" si="273"/>
        <v/>
      </c>
      <c r="FP206" s="139" t="str">
        <f t="shared" si="274"/>
        <v/>
      </c>
      <c r="FQ206" s="139" t="str">
        <f t="shared" si="275"/>
        <v/>
      </c>
      <c r="FR206" s="139" t="str">
        <f t="shared" si="276"/>
        <v/>
      </c>
      <c r="FS206" s="139" t="str">
        <f t="shared" si="277"/>
        <v/>
      </c>
      <c r="FT206" s="139" t="str">
        <f t="shared" si="278"/>
        <v/>
      </c>
      <c r="FU206" s="148" t="str">
        <f t="shared" si="279"/>
        <v/>
      </c>
      <c r="FV206" s="149"/>
      <c r="FY206" s="211">
        <v>201</v>
      </c>
      <c r="FZ206">
        <v>99.022531213917631</v>
      </c>
      <c r="GA206">
        <v>116.01083580014378</v>
      </c>
      <c r="GB206">
        <v>30.192814832055305</v>
      </c>
      <c r="GC206">
        <v>35.86866052476708</v>
      </c>
      <c r="GD206">
        <v>51.437318317536949</v>
      </c>
      <c r="GE206">
        <v>94.126143772840607</v>
      </c>
      <c r="GF206">
        <v>90.035920541848327</v>
      </c>
      <c r="GG206">
        <v>58.351360776840238</v>
      </c>
      <c r="GH206">
        <v>52.356710932583184</v>
      </c>
      <c r="GI206">
        <v>83.791846678166635</v>
      </c>
      <c r="GJ206"/>
      <c r="GK206"/>
      <c r="GL206"/>
      <c r="GM206"/>
    </row>
    <row r="207" spans="1:195" s="7" customFormat="1">
      <c r="A207" s="1"/>
      <c r="B207" s="76" t="str">
        <f ca="1">IF(C207="", "", RAND())</f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312.62950706276467</v>
      </c>
      <c r="AO207">
        <v>184.63764344220507</v>
      </c>
      <c r="AP207">
        <v>859.398573100357</v>
      </c>
      <c r="AQ207">
        <v>978.10740467413473</v>
      </c>
      <c r="AR207">
        <v>173.58223089440355</v>
      </c>
      <c r="AS207">
        <v>1766.394640449053</v>
      </c>
      <c r="AT207">
        <v>85.076345628274836</v>
      </c>
      <c r="AU207">
        <v>406.85446146635491</v>
      </c>
      <c r="AV207"/>
      <c r="AW207"/>
      <c r="AX207" s="146"/>
      <c r="AY207" s="76" t="str">
        <f t="shared" ca="1" si="170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5"/>
        <v/>
      </c>
      <c r="CL207" s="179" t="str">
        <f t="shared" si="206"/>
        <v/>
      </c>
      <c r="CM207" s="180" t="str">
        <f t="shared" si="207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08"/>
        <v/>
      </c>
      <c r="DB207" s="146"/>
      <c r="DC207" s="76" t="str">
        <f t="shared" ca="1" si="171"/>
        <v/>
      </c>
      <c r="DD207" t="str">
        <f t="shared" si="209"/>
        <v/>
      </c>
      <c r="DE207" s="129" t="str">
        <f t="shared" si="334"/>
        <v/>
      </c>
      <c r="DF207" s="161" t="str">
        <f t="shared" si="281"/>
        <v/>
      </c>
      <c r="DG207" s="161" t="str">
        <f t="shared" si="282"/>
        <v/>
      </c>
      <c r="DH207" s="161" t="str">
        <f t="shared" si="283"/>
        <v/>
      </c>
      <c r="DI207" s="161" t="str">
        <f t="shared" si="284"/>
        <v/>
      </c>
      <c r="DJ207" s="161" t="str">
        <f t="shared" si="285"/>
        <v/>
      </c>
      <c r="DK207" s="161" t="str">
        <f t="shared" si="286"/>
        <v/>
      </c>
      <c r="DL207" s="161" t="str">
        <f t="shared" si="287"/>
        <v/>
      </c>
      <c r="DM207" s="161" t="str">
        <f t="shared" si="288"/>
        <v/>
      </c>
      <c r="DN207" s="161" t="str">
        <f t="shared" si="311"/>
        <v/>
      </c>
      <c r="DO207" s="161" t="str">
        <f t="shared" ref="DO207:EJ207" si="335">IF($AZ207="", "", (BK207*$CW207)/$CZ207)</f>
        <v/>
      </c>
      <c r="DP207" s="161" t="str">
        <f t="shared" si="335"/>
        <v/>
      </c>
      <c r="DQ207" s="161" t="str">
        <f t="shared" si="335"/>
        <v/>
      </c>
      <c r="DR207" s="161" t="str">
        <f t="shared" si="335"/>
        <v/>
      </c>
      <c r="DS207" s="161" t="str">
        <f t="shared" si="335"/>
        <v/>
      </c>
      <c r="DT207" s="161" t="str">
        <f t="shared" si="335"/>
        <v/>
      </c>
      <c r="DU207" s="161" t="str">
        <f t="shared" si="335"/>
        <v/>
      </c>
      <c r="DV207" s="161" t="str">
        <f t="shared" si="335"/>
        <v/>
      </c>
      <c r="DW207" s="161" t="str">
        <f t="shared" si="335"/>
        <v/>
      </c>
      <c r="DX207" s="161" t="str">
        <f t="shared" si="335"/>
        <v/>
      </c>
      <c r="DY207" s="161" t="str">
        <f t="shared" si="335"/>
        <v/>
      </c>
      <c r="DZ207" s="161" t="str">
        <f t="shared" si="335"/>
        <v/>
      </c>
      <c r="EA207" s="161" t="str">
        <f t="shared" si="335"/>
        <v/>
      </c>
      <c r="EB207" s="161" t="str">
        <f t="shared" si="335"/>
        <v/>
      </c>
      <c r="EC207" s="161" t="str">
        <f t="shared" si="335"/>
        <v/>
      </c>
      <c r="ED207" s="161" t="str">
        <f t="shared" si="335"/>
        <v/>
      </c>
      <c r="EE207" s="161" t="str">
        <f t="shared" si="335"/>
        <v/>
      </c>
      <c r="EF207" s="161" t="str">
        <f t="shared" si="335"/>
        <v/>
      </c>
      <c r="EG207" s="161" t="str">
        <f t="shared" si="335"/>
        <v/>
      </c>
      <c r="EH207" s="161" t="str">
        <f t="shared" si="335"/>
        <v/>
      </c>
      <c r="EI207" s="161" t="str">
        <f t="shared" si="335"/>
        <v/>
      </c>
      <c r="EJ207" s="161" t="str">
        <f t="shared" si="335"/>
        <v/>
      </c>
      <c r="EK207" s="147" t="str">
        <f t="shared" si="247"/>
        <v/>
      </c>
      <c r="EL207" s="149"/>
      <c r="EN207" s="146"/>
      <c r="EO207" s="146"/>
      <c r="EP207" s="139" t="str">
        <f t="shared" si="248"/>
        <v/>
      </c>
      <c r="EQ207" s="139" t="str">
        <f t="shared" si="249"/>
        <v/>
      </c>
      <c r="ER207" s="139" t="str">
        <f t="shared" si="250"/>
        <v/>
      </c>
      <c r="ES207" s="139" t="str">
        <f t="shared" si="251"/>
        <v/>
      </c>
      <c r="ET207" s="139" t="str">
        <f t="shared" si="252"/>
        <v/>
      </c>
      <c r="EU207" s="139" t="str">
        <f t="shared" si="253"/>
        <v/>
      </c>
      <c r="EV207" s="139" t="str">
        <f t="shared" si="254"/>
        <v/>
      </c>
      <c r="EW207" s="139" t="str">
        <f t="shared" si="255"/>
        <v/>
      </c>
      <c r="EX207" s="139" t="str">
        <f t="shared" si="256"/>
        <v/>
      </c>
      <c r="EY207" s="139" t="str">
        <f t="shared" si="257"/>
        <v/>
      </c>
      <c r="EZ207" s="139" t="str">
        <f t="shared" si="258"/>
        <v/>
      </c>
      <c r="FA207" s="139" t="str">
        <f t="shared" si="259"/>
        <v/>
      </c>
      <c r="FB207" s="139" t="str">
        <f t="shared" si="260"/>
        <v/>
      </c>
      <c r="FC207" s="139" t="str">
        <f t="shared" si="261"/>
        <v/>
      </c>
      <c r="FD207" s="139" t="str">
        <f t="shared" si="262"/>
        <v/>
      </c>
      <c r="FE207" s="139" t="str">
        <f t="shared" si="263"/>
        <v/>
      </c>
      <c r="FF207" s="139" t="str">
        <f t="shared" si="264"/>
        <v/>
      </c>
      <c r="FG207" s="139" t="str">
        <f t="shared" si="265"/>
        <v/>
      </c>
      <c r="FH207" s="139" t="str">
        <f t="shared" si="266"/>
        <v/>
      </c>
      <c r="FI207" s="139" t="str">
        <f t="shared" si="267"/>
        <v/>
      </c>
      <c r="FJ207" s="139" t="str">
        <f t="shared" si="268"/>
        <v/>
      </c>
      <c r="FK207" s="139" t="str">
        <f t="shared" si="269"/>
        <v/>
      </c>
      <c r="FL207" s="139" t="str">
        <f t="shared" si="270"/>
        <v/>
      </c>
      <c r="FM207" s="139" t="str">
        <f t="shared" si="271"/>
        <v/>
      </c>
      <c r="FN207" s="139" t="str">
        <f t="shared" si="272"/>
        <v/>
      </c>
      <c r="FO207" s="139" t="str">
        <f t="shared" si="273"/>
        <v/>
      </c>
      <c r="FP207" s="139" t="str">
        <f t="shared" si="274"/>
        <v/>
      </c>
      <c r="FQ207" s="139" t="str">
        <f t="shared" si="275"/>
        <v/>
      </c>
      <c r="FR207" s="139" t="str">
        <f t="shared" si="276"/>
        <v/>
      </c>
      <c r="FS207" s="139" t="str">
        <f t="shared" si="277"/>
        <v/>
      </c>
      <c r="FT207" s="139" t="str">
        <f t="shared" si="278"/>
        <v/>
      </c>
      <c r="FU207" s="148" t="str">
        <f t="shared" si="279"/>
        <v/>
      </c>
      <c r="FV207" s="149"/>
      <c r="FY207" s="211">
        <v>202</v>
      </c>
      <c r="FZ207">
        <v>124.66239576445621</v>
      </c>
      <c r="GA207">
        <v>157.32104582940801</v>
      </c>
      <c r="GB207">
        <v>53.400785563305988</v>
      </c>
      <c r="GC207">
        <v>51.271219193303494</v>
      </c>
      <c r="GD207">
        <v>39.279822046982922</v>
      </c>
      <c r="GE207">
        <v>73.694565920143532</v>
      </c>
      <c r="GF207">
        <v>90.878671803660168</v>
      </c>
      <c r="GG207">
        <v>13.378281188031623</v>
      </c>
      <c r="GH207">
        <v>14.298316003971005</v>
      </c>
      <c r="GI207">
        <v>80.623531756028939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212.33079908305686</v>
      </c>
      <c r="AO208">
        <v>124.2067287044046</v>
      </c>
      <c r="AP208">
        <v>451.92072583460367</v>
      </c>
      <c r="AQ208">
        <v>684.03800399692386</v>
      </c>
      <c r="AR208">
        <v>117.85422338355127</v>
      </c>
      <c r="AS208">
        <v>1210.074130089072</v>
      </c>
      <c r="AT208">
        <v>60.808990793098189</v>
      </c>
      <c r="AU208">
        <v>167.53546150760164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1">
        <v>203</v>
      </c>
      <c r="FZ208">
        <v>146.87467629243139</v>
      </c>
      <c r="GA208">
        <v>156.98559412068215</v>
      </c>
      <c r="GB208">
        <v>45.562005866042469</v>
      </c>
      <c r="GC208">
        <v>44.019607217634537</v>
      </c>
      <c r="GD208">
        <v>26.176509880530272</v>
      </c>
      <c r="GE208">
        <v>58.871200102593029</v>
      </c>
      <c r="GF208">
        <v>109.06627100165366</v>
      </c>
      <c r="GG208">
        <v>69.966060908726661</v>
      </c>
      <c r="GH208">
        <v>80.155662062913308</v>
      </c>
      <c r="GI208">
        <v>88.845146414752222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229.77053147127427</v>
      </c>
      <c r="AO209">
        <v>148.28814843813393</v>
      </c>
      <c r="AP209">
        <v>679.36993528600681</v>
      </c>
      <c r="AQ209">
        <v>848.72001128302043</v>
      </c>
      <c r="AR209">
        <v>140.22833279440596</v>
      </c>
      <c r="AS209">
        <v>1356.3664038257416</v>
      </c>
      <c r="AT209">
        <v>78.387051459896142</v>
      </c>
      <c r="AU209">
        <v>267.34406010332384</v>
      </c>
      <c r="AV209"/>
      <c r="AW209"/>
      <c r="FY209" s="211">
        <v>204</v>
      </c>
      <c r="FZ209">
        <v>112.77997342930607</v>
      </c>
      <c r="GA209">
        <v>128.32352092728729</v>
      </c>
      <c r="GB209">
        <v>61.605229850395055</v>
      </c>
      <c r="GC209">
        <v>49.640751859828015</v>
      </c>
      <c r="GD209">
        <v>38.760167229957275</v>
      </c>
      <c r="GE209">
        <v>83.901747317824629</v>
      </c>
      <c r="GF209">
        <v>117.96535814888793</v>
      </c>
      <c r="GG209">
        <v>87.350332530122557</v>
      </c>
      <c r="GH209">
        <v>87.894934850024114</v>
      </c>
      <c r="GI209">
        <v>99.419404402373061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297.86172028160041</v>
      </c>
      <c r="AO210">
        <v>165.62195045574276</v>
      </c>
      <c r="AP210">
        <v>773.99378199011073</v>
      </c>
      <c r="AQ210">
        <v>860.79675386696817</v>
      </c>
      <c r="AR210">
        <v>153.94793023021029</v>
      </c>
      <c r="AS210">
        <v>1675.2471667625912</v>
      </c>
      <c r="AT210">
        <v>79.957398592764477</v>
      </c>
      <c r="AU210">
        <v>234.52313579840288</v>
      </c>
      <c r="AV210"/>
      <c r="AW210"/>
      <c r="FY210" s="211">
        <v>205</v>
      </c>
      <c r="FZ210">
        <v>144.46998665175923</v>
      </c>
      <c r="GA210">
        <v>186.95470929143335</v>
      </c>
      <c r="GB210">
        <v>74.841252857273417</v>
      </c>
      <c r="GC210">
        <v>44.728681304053467</v>
      </c>
      <c r="GD210">
        <v>39.136460330943429</v>
      </c>
      <c r="GE210">
        <v>62.601956211825126</v>
      </c>
      <c r="GF210">
        <v>46.339082910520453</v>
      </c>
      <c r="GG210">
        <v>8.1097331079611159</v>
      </c>
      <c r="GH210">
        <v>13.616677229613339</v>
      </c>
      <c r="GI210">
        <v>78.664577160893373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249.71088821520487</v>
      </c>
      <c r="AO211">
        <v>150.84375098782138</v>
      </c>
      <c r="AP211">
        <v>801.10466850629473</v>
      </c>
      <c r="AQ211">
        <v>782.02870955439084</v>
      </c>
      <c r="AR211">
        <v>140.99542708858937</v>
      </c>
      <c r="AS211">
        <v>1306.9701651465691</v>
      </c>
      <c r="AT211">
        <v>74.86355571498575</v>
      </c>
      <c r="AU211">
        <v>438.43400164969614</v>
      </c>
      <c r="AV211"/>
      <c r="AW211"/>
      <c r="BA211" s="191"/>
      <c r="BB211" s="191"/>
      <c r="BC211" s="192"/>
      <c r="BD211" s="192"/>
      <c r="BE211" s="192"/>
      <c r="BF211" s="192"/>
      <c r="BG211" s="192"/>
      <c r="BH211" s="192"/>
      <c r="BI211" s="192"/>
      <c r="BJ211" s="192"/>
      <c r="BK211" s="192"/>
      <c r="BL211" s="192"/>
      <c r="BM211" s="192"/>
      <c r="BN211" s="192"/>
      <c r="BO211" s="192"/>
      <c r="BP211" s="192"/>
      <c r="BQ211" s="192"/>
      <c r="BR211" s="192"/>
      <c r="BS211" s="192"/>
      <c r="BT211" s="192"/>
      <c r="BU211" s="192"/>
      <c r="BV211" s="192"/>
      <c r="BW211" s="192"/>
      <c r="BX211" s="192"/>
      <c r="BY211" s="192"/>
      <c r="BZ211" s="192"/>
      <c r="CA211" s="192"/>
      <c r="CB211" s="192"/>
      <c r="CC211" s="192"/>
      <c r="CD211" s="192"/>
      <c r="CE211" s="192"/>
      <c r="CF211" s="192"/>
      <c r="CG211" s="193"/>
      <c r="CH211" s="193"/>
      <c r="CI211" s="193"/>
      <c r="CJ211" s="193"/>
      <c r="CK211" s="193"/>
      <c r="CL211" s="193"/>
      <c r="CM211" s="193"/>
      <c r="CN211" s="193"/>
      <c r="CO211" s="193"/>
      <c r="CP211" s="193"/>
      <c r="CQ211" s="193"/>
      <c r="CR211" s="193"/>
      <c r="CS211" s="193"/>
      <c r="CT211" s="193"/>
      <c r="CU211" s="193"/>
      <c r="DE211" s="183" t="s">
        <v>139</v>
      </c>
      <c r="DF211" s="182" t="s">
        <v>83</v>
      </c>
      <c r="DG211" s="181">
        <v>1</v>
      </c>
      <c r="DH211" s="181">
        <v>2</v>
      </c>
      <c r="DI211" s="181">
        <v>3</v>
      </c>
      <c r="DJ211" s="181">
        <v>4</v>
      </c>
      <c r="DK211" s="181">
        <v>5</v>
      </c>
      <c r="DL211" s="181">
        <v>6</v>
      </c>
      <c r="DM211" s="181">
        <v>7</v>
      </c>
      <c r="DN211" s="181">
        <v>8</v>
      </c>
      <c r="DO211" s="181">
        <v>9</v>
      </c>
      <c r="DP211" s="181">
        <v>10</v>
      </c>
      <c r="DQ211" s="181">
        <v>11</v>
      </c>
      <c r="DR211" s="181">
        <v>12</v>
      </c>
      <c r="DS211" s="181">
        <v>13</v>
      </c>
      <c r="DT211" s="181">
        <v>14</v>
      </c>
      <c r="DU211" s="181">
        <v>15</v>
      </c>
      <c r="DV211" s="181">
        <v>16</v>
      </c>
      <c r="DW211" s="181">
        <v>17</v>
      </c>
      <c r="DX211" s="181">
        <v>18</v>
      </c>
      <c r="DY211" s="181">
        <v>19</v>
      </c>
      <c r="DZ211" s="181">
        <v>20</v>
      </c>
      <c r="EA211" s="181">
        <v>21</v>
      </c>
      <c r="EB211" s="181">
        <v>22</v>
      </c>
      <c r="EC211" s="181">
        <v>23</v>
      </c>
      <c r="ED211" s="181">
        <v>24</v>
      </c>
      <c r="EE211" s="181">
        <v>25</v>
      </c>
      <c r="EF211" s="181">
        <v>26</v>
      </c>
      <c r="EG211" s="181">
        <v>27</v>
      </c>
      <c r="EH211" s="181">
        <v>28</v>
      </c>
      <c r="EI211" s="181">
        <v>29</v>
      </c>
      <c r="EJ211" s="181">
        <v>30</v>
      </c>
      <c r="FY211" s="211">
        <v>206</v>
      </c>
      <c r="FZ211">
        <v>107.52670093072499</v>
      </c>
      <c r="GA211">
        <v>133.13617249015664</v>
      </c>
      <c r="GB211">
        <v>38.313293872012224</v>
      </c>
      <c r="GC211">
        <v>35.354219617865112</v>
      </c>
      <c r="GD211">
        <v>45.938769753309884</v>
      </c>
      <c r="GE211">
        <v>82.099236944491082</v>
      </c>
      <c r="GF211">
        <v>119.93650282888893</v>
      </c>
      <c r="GG211">
        <v>105.10138942096955</v>
      </c>
      <c r="GH211">
        <v>69.12286791325279</v>
      </c>
      <c r="GI211">
        <v>93.64723846582045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275.66720307367552</v>
      </c>
      <c r="AO212">
        <v>139.80740196622997</v>
      </c>
      <c r="AP212">
        <v>604.62776680221123</v>
      </c>
      <c r="AQ212">
        <v>728.14336276436222</v>
      </c>
      <c r="AR212">
        <v>130.92439117924761</v>
      </c>
      <c r="AS212">
        <v>1369.2599317274162</v>
      </c>
      <c r="AT212">
        <v>64.889855209626759</v>
      </c>
      <c r="AU212">
        <v>-127.46071111829828</v>
      </c>
      <c r="AV212"/>
      <c r="AW212"/>
      <c r="BA212" s="194"/>
      <c r="BB212" s="192"/>
      <c r="BC212" s="192"/>
      <c r="BD212" s="192"/>
      <c r="BE212" s="192"/>
      <c r="BF212" s="192"/>
      <c r="BG212" s="192"/>
      <c r="BH212" s="192"/>
      <c r="BI212" s="192"/>
      <c r="BJ212" s="192"/>
      <c r="BK212" s="192"/>
      <c r="BL212" s="192"/>
      <c r="BM212" s="192"/>
      <c r="BN212" s="192"/>
      <c r="BO212" s="192"/>
      <c r="BP212" s="192"/>
      <c r="BQ212" s="192"/>
      <c r="BR212" s="192"/>
      <c r="BS212" s="192"/>
      <c r="BT212" s="192"/>
      <c r="BU212" s="192"/>
      <c r="BV212" s="192"/>
      <c r="BW212" s="192"/>
      <c r="BX212" s="192"/>
      <c r="BY212" s="192"/>
      <c r="BZ212" s="192"/>
      <c r="CA212" s="192"/>
      <c r="CB212" s="192"/>
      <c r="CC212" s="192"/>
      <c r="CD212" s="192"/>
      <c r="CE212" s="192"/>
      <c r="CF212" s="192"/>
      <c r="CG212" s="193"/>
      <c r="CH212" s="193"/>
      <c r="CI212" s="193"/>
      <c r="CJ212" s="193"/>
      <c r="CK212" s="193"/>
      <c r="CL212" s="193"/>
      <c r="CM212" s="191"/>
      <c r="CN212" s="191"/>
      <c r="CO212" s="192"/>
      <c r="CP212" s="192"/>
      <c r="CQ212" s="192"/>
      <c r="CR212" s="192"/>
      <c r="CS212" s="192"/>
      <c r="CT212" s="192"/>
      <c r="CU212" s="192"/>
      <c r="DE212" s="186">
        <f>DE88</f>
        <v>39646</v>
      </c>
      <c r="DF212" s="181">
        <f t="shared" ref="DF212:EJ212" si="336">AVERAGE(DF88:DF97)</f>
        <v>0</v>
      </c>
      <c r="DG212" s="181">
        <f t="shared" si="336"/>
        <v>2.083333333333333</v>
      </c>
      <c r="DH212" s="181">
        <f t="shared" si="336"/>
        <v>21.875</v>
      </c>
      <c r="DI212" s="181">
        <f t="shared" si="336"/>
        <v>45.833333333333329</v>
      </c>
      <c r="DJ212" s="181">
        <f t="shared" si="336"/>
        <v>31.25</v>
      </c>
      <c r="DK212" s="181">
        <f t="shared" ref="DK212:DQ212" si="337">AVERAGE(DK88:DK97)</f>
        <v>6.2499999999999991</v>
      </c>
      <c r="DL212" s="181">
        <f t="shared" si="337"/>
        <v>16.666666666666668</v>
      </c>
      <c r="DM212" s="181">
        <f t="shared" si="337"/>
        <v>4.1666666666666661</v>
      </c>
      <c r="DN212" s="181">
        <f t="shared" si="337"/>
        <v>4.1666666666666661</v>
      </c>
      <c r="DO212" s="181">
        <f t="shared" si="337"/>
        <v>0</v>
      </c>
      <c r="DP212" s="181">
        <f t="shared" si="337"/>
        <v>0</v>
      </c>
      <c r="DQ212" s="181">
        <f t="shared" si="337"/>
        <v>0</v>
      </c>
      <c r="DR212" s="181">
        <f t="shared" si="336"/>
        <v>0</v>
      </c>
      <c r="DS212" s="181">
        <f t="shared" si="336"/>
        <v>0</v>
      </c>
      <c r="DT212" s="181">
        <f t="shared" si="336"/>
        <v>0</v>
      </c>
      <c r="DU212" s="181">
        <f t="shared" si="336"/>
        <v>0</v>
      </c>
      <c r="DV212" s="181">
        <f t="shared" si="336"/>
        <v>0</v>
      </c>
      <c r="DW212" s="181">
        <f t="shared" si="336"/>
        <v>0</v>
      </c>
      <c r="DX212" s="181">
        <f t="shared" si="336"/>
        <v>0</v>
      </c>
      <c r="DY212" s="181">
        <f t="shared" si="336"/>
        <v>0</v>
      </c>
      <c r="DZ212" s="181">
        <f t="shared" si="336"/>
        <v>0</v>
      </c>
      <c r="EA212" s="181">
        <f t="shared" si="336"/>
        <v>0</v>
      </c>
      <c r="EB212" s="181">
        <f t="shared" si="336"/>
        <v>0</v>
      </c>
      <c r="EC212" s="181">
        <f t="shared" si="336"/>
        <v>0</v>
      </c>
      <c r="ED212" s="181">
        <f t="shared" si="336"/>
        <v>0</v>
      </c>
      <c r="EE212" s="181">
        <f t="shared" si="336"/>
        <v>0</v>
      </c>
      <c r="EF212" s="181">
        <f t="shared" si="336"/>
        <v>0</v>
      </c>
      <c r="EG212" s="181">
        <f t="shared" si="336"/>
        <v>0</v>
      </c>
      <c r="EH212" s="181">
        <f t="shared" si="336"/>
        <v>0</v>
      </c>
      <c r="EI212" s="181">
        <f t="shared" si="336"/>
        <v>0</v>
      </c>
      <c r="EJ212" s="181">
        <f t="shared" si="336"/>
        <v>0</v>
      </c>
      <c r="FY212" s="211">
        <v>207</v>
      </c>
      <c r="FZ212">
        <v>97.400894069762359</v>
      </c>
      <c r="GA212">
        <v>135.97529986683043</v>
      </c>
      <c r="GB212">
        <v>47.754193783767093</v>
      </c>
      <c r="GC212">
        <v>43.670408964223988</v>
      </c>
      <c r="GD212">
        <v>41.038566929226498</v>
      </c>
      <c r="GE212">
        <v>68.181668883594071</v>
      </c>
      <c r="GF212">
        <v>96.608728078608891</v>
      </c>
      <c r="GG212">
        <v>102.46934549395318</v>
      </c>
      <c r="GH212">
        <v>98.524539657076133</v>
      </c>
      <c r="GI212">
        <v>91.839616813554613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222.75599433172042</v>
      </c>
      <c r="AO213">
        <v>108.050464341772</v>
      </c>
      <c r="AP213">
        <v>472.52170872436363</v>
      </c>
      <c r="AQ213">
        <v>591.90381259362164</v>
      </c>
      <c r="AR213">
        <v>103.13375225769703</v>
      </c>
      <c r="AS213">
        <v>1088.0143584189955</v>
      </c>
      <c r="AT213">
        <v>54.116773316292488</v>
      </c>
      <c r="AU213">
        <v>190.06380365786831</v>
      </c>
      <c r="AV213"/>
      <c r="AW213"/>
      <c r="BA213" s="194"/>
      <c r="BB213" s="195"/>
      <c r="BC213" s="195"/>
      <c r="BD213" s="195"/>
      <c r="BE213" s="195"/>
      <c r="BF213" s="195"/>
      <c r="BG213" s="195"/>
      <c r="BH213" s="195"/>
      <c r="BI213" s="195"/>
      <c r="BJ213" s="195"/>
      <c r="BK213" s="195"/>
      <c r="BL213" s="195"/>
      <c r="BM213" s="195"/>
      <c r="BN213" s="195"/>
      <c r="BO213" s="195"/>
      <c r="BP213" s="195"/>
      <c r="BQ213" s="195"/>
      <c r="BR213" s="195"/>
      <c r="BS213" s="195"/>
      <c r="BT213" s="195"/>
      <c r="BU213" s="195"/>
      <c r="BV213" s="195"/>
      <c r="BW213" s="195"/>
      <c r="BX213" s="195"/>
      <c r="BY213" s="195"/>
      <c r="BZ213" s="195"/>
      <c r="CA213" s="195"/>
      <c r="CB213" s="195"/>
      <c r="CC213" s="195"/>
      <c r="CD213" s="195"/>
      <c r="CE213" s="195"/>
      <c r="CF213" s="195"/>
      <c r="CG213" s="193"/>
      <c r="CH213" s="193"/>
      <c r="CI213" s="193"/>
      <c r="CJ213" s="193"/>
      <c r="CK213" s="193"/>
      <c r="CL213" s="193"/>
      <c r="CM213" s="196"/>
      <c r="CN213" s="192"/>
      <c r="CO213" s="192"/>
      <c r="CP213" s="192"/>
      <c r="CQ213" s="192"/>
      <c r="CR213" s="192"/>
      <c r="CS213" s="192"/>
      <c r="CT213" s="192"/>
      <c r="CU213" s="192"/>
      <c r="DE213" s="186">
        <f>DE98</f>
        <v>39673</v>
      </c>
      <c r="DF213" s="184">
        <f t="shared" ref="DF213:EJ213" si="338">AVERAGE(DF98:DF107)</f>
        <v>0</v>
      </c>
      <c r="DG213" s="184">
        <f t="shared" si="338"/>
        <v>1.0416666666666665</v>
      </c>
      <c r="DH213" s="184">
        <f t="shared" si="338"/>
        <v>31.354166666666668</v>
      </c>
      <c r="DI213" s="184">
        <f t="shared" si="338"/>
        <v>17.916666666666668</v>
      </c>
      <c r="DJ213" s="184">
        <f t="shared" si="338"/>
        <v>29.464285714285715</v>
      </c>
      <c r="DK213" s="184">
        <f t="shared" ref="DK213:DQ213" si="339">AVERAGE(DK98:DK107)</f>
        <v>41.041666666666671</v>
      </c>
      <c r="DL213" s="184">
        <f t="shared" si="339"/>
        <v>21.666666666666664</v>
      </c>
      <c r="DM213" s="184">
        <f t="shared" si="339"/>
        <v>20.625</v>
      </c>
      <c r="DN213" s="184">
        <f t="shared" si="339"/>
        <v>7.2916666666666661</v>
      </c>
      <c r="DO213" s="184">
        <f t="shared" si="339"/>
        <v>7.2916666666666661</v>
      </c>
      <c r="DP213" s="184">
        <f t="shared" si="339"/>
        <v>0</v>
      </c>
      <c r="DQ213" s="184">
        <f t="shared" si="339"/>
        <v>0</v>
      </c>
      <c r="DR213" s="184">
        <f t="shared" si="338"/>
        <v>0</v>
      </c>
      <c r="DS213" s="184">
        <f t="shared" si="338"/>
        <v>0</v>
      </c>
      <c r="DT213" s="184">
        <f t="shared" si="338"/>
        <v>0</v>
      </c>
      <c r="DU213" s="184">
        <f t="shared" si="338"/>
        <v>0</v>
      </c>
      <c r="DV213" s="184">
        <f t="shared" si="338"/>
        <v>0</v>
      </c>
      <c r="DW213" s="184">
        <f t="shared" si="338"/>
        <v>0</v>
      </c>
      <c r="DX213" s="184">
        <f t="shared" si="338"/>
        <v>0</v>
      </c>
      <c r="DY213" s="184">
        <f t="shared" si="338"/>
        <v>0</v>
      </c>
      <c r="DZ213" s="184">
        <f t="shared" si="338"/>
        <v>0</v>
      </c>
      <c r="EA213" s="184">
        <f t="shared" si="338"/>
        <v>0</v>
      </c>
      <c r="EB213" s="184">
        <f t="shared" si="338"/>
        <v>0</v>
      </c>
      <c r="EC213" s="184">
        <f t="shared" si="338"/>
        <v>0</v>
      </c>
      <c r="ED213" s="184">
        <f t="shared" si="338"/>
        <v>0</v>
      </c>
      <c r="EE213" s="184">
        <f t="shared" si="338"/>
        <v>0</v>
      </c>
      <c r="EF213" s="184">
        <f t="shared" si="338"/>
        <v>0</v>
      </c>
      <c r="EG213" s="184">
        <f t="shared" si="338"/>
        <v>0</v>
      </c>
      <c r="EH213" s="184">
        <f t="shared" si="338"/>
        <v>0</v>
      </c>
      <c r="EI213" s="184">
        <f t="shared" si="338"/>
        <v>0</v>
      </c>
      <c r="EJ213" s="184">
        <f t="shared" si="338"/>
        <v>0</v>
      </c>
      <c r="FY213" s="211">
        <v>208</v>
      </c>
      <c r="FZ213">
        <v>108.3623869049791</v>
      </c>
      <c r="GA213">
        <v>193.03733286037382</v>
      </c>
      <c r="GB213">
        <v>69.022133949673346</v>
      </c>
      <c r="GC213">
        <v>39.602330793711296</v>
      </c>
      <c r="GD213">
        <v>26.098504097482842</v>
      </c>
      <c r="GE213">
        <v>60.343238329528965</v>
      </c>
      <c r="GF213">
        <v>104.77446250243322</v>
      </c>
      <c r="GG213">
        <v>87.572760096209578</v>
      </c>
      <c r="GH213">
        <v>115.32533780228388</v>
      </c>
      <c r="GI213">
        <v>93.898310760389023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275.62847262388254</v>
      </c>
      <c r="AO214">
        <v>142.23448050376845</v>
      </c>
      <c r="AP214">
        <v>529.97200433228647</v>
      </c>
      <c r="AQ214">
        <v>769.34464465715416</v>
      </c>
      <c r="AR214">
        <v>134.77607967051085</v>
      </c>
      <c r="AS214">
        <v>1426.3374110727368</v>
      </c>
      <c r="AT214">
        <v>71.668646884924911</v>
      </c>
      <c r="AU214">
        <v>298.17567441987336</v>
      </c>
      <c r="AV214"/>
      <c r="AW214"/>
      <c r="BA214" s="194"/>
      <c r="BB214" s="192"/>
      <c r="BC214" s="192"/>
      <c r="BD214" s="192"/>
      <c r="BE214" s="192"/>
      <c r="BF214" s="192"/>
      <c r="BG214" s="192"/>
      <c r="BH214" s="192"/>
      <c r="BI214" s="192"/>
      <c r="BJ214" s="192"/>
      <c r="BK214" s="192"/>
      <c r="BL214" s="192"/>
      <c r="BM214" s="192"/>
      <c r="BN214" s="192"/>
      <c r="BO214" s="192"/>
      <c r="BP214" s="192"/>
      <c r="BQ214" s="192"/>
      <c r="BR214" s="192"/>
      <c r="BS214" s="192"/>
      <c r="BT214" s="192"/>
      <c r="BU214" s="192"/>
      <c r="BV214" s="192"/>
      <c r="BW214" s="192"/>
      <c r="BX214" s="192"/>
      <c r="BY214" s="192"/>
      <c r="BZ214" s="192"/>
      <c r="CA214" s="192"/>
      <c r="CB214" s="192"/>
      <c r="CC214" s="192"/>
      <c r="CD214" s="192"/>
      <c r="CE214" s="192"/>
      <c r="CF214" s="192"/>
      <c r="CG214" s="193"/>
      <c r="CH214" s="193"/>
      <c r="CI214" s="193"/>
      <c r="CJ214" s="193"/>
      <c r="CK214" s="193"/>
      <c r="CL214" s="193"/>
      <c r="CM214" s="196"/>
      <c r="CN214" s="192"/>
      <c r="CO214" s="192"/>
      <c r="CP214" s="192"/>
      <c r="CQ214" s="192"/>
      <c r="CR214" s="192"/>
      <c r="CS214" s="192"/>
      <c r="CT214" s="192"/>
      <c r="CU214" s="192"/>
      <c r="DE214" s="186">
        <f>DE108</f>
        <v>39714</v>
      </c>
      <c r="DF214" s="181">
        <f t="shared" ref="DF214:EJ214" si="340">AVERAGE(DF108:DF117)</f>
        <v>9.765625</v>
      </c>
      <c r="DG214" s="181">
        <f t="shared" si="340"/>
        <v>71.52157738095238</v>
      </c>
      <c r="DH214" s="181">
        <f t="shared" si="340"/>
        <v>83.705357142857139</v>
      </c>
      <c r="DI214" s="181">
        <f t="shared" si="340"/>
        <v>68.804603494623649</v>
      </c>
      <c r="DJ214" s="181">
        <f t="shared" si="340"/>
        <v>24.348958333333332</v>
      </c>
      <c r="DK214" s="181">
        <f t="shared" si="340"/>
        <v>0</v>
      </c>
      <c r="DL214" s="181">
        <f t="shared" si="340"/>
        <v>3.125</v>
      </c>
      <c r="DM214" s="181">
        <f t="shared" si="340"/>
        <v>8.3333333333333321</v>
      </c>
      <c r="DN214" s="181">
        <f t="shared" si="340"/>
        <v>10.416666666666666</v>
      </c>
      <c r="DO214" s="181">
        <f t="shared" si="340"/>
        <v>5.208333333333333</v>
      </c>
      <c r="DP214" s="181">
        <f t="shared" si="340"/>
        <v>1.0416666666666665</v>
      </c>
      <c r="DQ214" s="181">
        <f t="shared" si="340"/>
        <v>0</v>
      </c>
      <c r="DR214" s="181">
        <f t="shared" si="340"/>
        <v>0</v>
      </c>
      <c r="DS214" s="181">
        <f t="shared" si="340"/>
        <v>0</v>
      </c>
      <c r="DT214" s="181">
        <f t="shared" si="340"/>
        <v>0</v>
      </c>
      <c r="DU214" s="181">
        <f t="shared" si="340"/>
        <v>0</v>
      </c>
      <c r="DV214" s="181">
        <f t="shared" si="340"/>
        <v>0</v>
      </c>
      <c r="DW214" s="181">
        <f t="shared" si="340"/>
        <v>0</v>
      </c>
      <c r="DX214" s="181">
        <f t="shared" si="340"/>
        <v>0</v>
      </c>
      <c r="DY214" s="181">
        <f t="shared" si="340"/>
        <v>0</v>
      </c>
      <c r="DZ214" s="181">
        <f t="shared" si="340"/>
        <v>0</v>
      </c>
      <c r="EA214" s="181">
        <f t="shared" si="340"/>
        <v>0</v>
      </c>
      <c r="EB214" s="181">
        <f t="shared" si="340"/>
        <v>0</v>
      </c>
      <c r="EC214" s="181">
        <f t="shared" si="340"/>
        <v>0</v>
      </c>
      <c r="ED214" s="181">
        <f t="shared" si="340"/>
        <v>0</v>
      </c>
      <c r="EE214" s="181">
        <f t="shared" si="340"/>
        <v>0</v>
      </c>
      <c r="EF214" s="181">
        <f t="shared" si="340"/>
        <v>0</v>
      </c>
      <c r="EG214" s="181">
        <f t="shared" si="340"/>
        <v>0</v>
      </c>
      <c r="EH214" s="181">
        <f t="shared" si="340"/>
        <v>0</v>
      </c>
      <c r="EI214" s="181">
        <f t="shared" si="340"/>
        <v>0</v>
      </c>
      <c r="EJ214" s="181">
        <f t="shared" si="340"/>
        <v>0</v>
      </c>
      <c r="FY214" s="211">
        <v>209</v>
      </c>
      <c r="FZ214">
        <v>141.02983344012492</v>
      </c>
      <c r="GA214">
        <v>193.15384911680633</v>
      </c>
      <c r="GB214">
        <v>63.257475712638737</v>
      </c>
      <c r="GC214">
        <v>37.854433605364399</v>
      </c>
      <c r="GD214">
        <v>39.513197395645221</v>
      </c>
      <c r="GE214">
        <v>59.557871784158358</v>
      </c>
      <c r="GF214">
        <v>67.063818750219269</v>
      </c>
      <c r="GG214">
        <v>51.526818918262379</v>
      </c>
      <c r="GH214">
        <v>54.033330966275571</v>
      </c>
      <c r="GI214">
        <v>87.080510574491043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241.18962843195533</v>
      </c>
      <c r="AO215">
        <v>127.925956717227</v>
      </c>
      <c r="AP215">
        <v>600.59733664958947</v>
      </c>
      <c r="AQ215">
        <v>711.20698792694805</v>
      </c>
      <c r="AR215">
        <v>120.98268867939071</v>
      </c>
      <c r="AS215">
        <v>1219.5535114336458</v>
      </c>
      <c r="AT215">
        <v>66.708860072818268</v>
      </c>
      <c r="AU215">
        <v>134.44642842565426</v>
      </c>
      <c r="AV215"/>
      <c r="AW215"/>
      <c r="BA215" s="194"/>
      <c r="BB215" s="192"/>
      <c r="BC215" s="192"/>
      <c r="BD215" s="192"/>
      <c r="BE215" s="192"/>
      <c r="BF215" s="192"/>
      <c r="BG215" s="192"/>
      <c r="BH215" s="192"/>
      <c r="BI215" s="192"/>
      <c r="BJ215" s="192"/>
      <c r="BK215" s="192"/>
      <c r="BL215" s="192"/>
      <c r="BM215" s="192"/>
      <c r="BN215" s="192"/>
      <c r="BO215" s="192"/>
      <c r="BP215" s="192"/>
      <c r="BQ215" s="192"/>
      <c r="BR215" s="192"/>
      <c r="BS215" s="192"/>
      <c r="BT215" s="192"/>
      <c r="BU215" s="192"/>
      <c r="BV215" s="192"/>
      <c r="BW215" s="192"/>
      <c r="BX215" s="192"/>
      <c r="BY215" s="192"/>
      <c r="BZ215" s="192"/>
      <c r="CA215" s="192"/>
      <c r="CB215" s="192"/>
      <c r="CC215" s="192"/>
      <c r="CD215" s="192"/>
      <c r="CE215" s="192"/>
      <c r="CF215" s="192"/>
      <c r="CG215" s="193"/>
      <c r="CH215" s="193"/>
      <c r="CI215" s="193"/>
      <c r="CJ215" s="193"/>
      <c r="CK215" s="193"/>
      <c r="CL215" s="193"/>
      <c r="CM215" s="196"/>
      <c r="CN215" s="192"/>
      <c r="CO215" s="192"/>
      <c r="CP215" s="192"/>
      <c r="CQ215" s="192"/>
      <c r="CR215" s="192"/>
      <c r="CS215" s="192"/>
      <c r="CT215" s="192"/>
      <c r="CU215" s="192"/>
      <c r="DE215" s="186">
        <f>DE118</f>
        <v>39747</v>
      </c>
      <c r="DF215" s="181">
        <f t="shared" ref="DF215:EJ215" si="341">AVERAGE(DF118:DF127)</f>
        <v>0</v>
      </c>
      <c r="DG215" s="181">
        <f t="shared" ref="DG215:DH215" si="342">AVERAGE(DG118:DG127)</f>
        <v>97.276840137831527</v>
      </c>
      <c r="DH215" s="181">
        <f t="shared" si="342"/>
        <v>154.3893277460088</v>
      </c>
      <c r="DI215" s="181">
        <f t="shared" si="341"/>
        <v>34.151785714285708</v>
      </c>
      <c r="DJ215" s="181">
        <f t="shared" si="341"/>
        <v>45.770202020202014</v>
      </c>
      <c r="DK215" s="181">
        <f t="shared" si="341"/>
        <v>37.168560606060609</v>
      </c>
      <c r="DL215" s="181">
        <f t="shared" si="341"/>
        <v>7.7651515151515156</v>
      </c>
      <c r="DM215" s="181">
        <f t="shared" si="341"/>
        <v>2.8409090909090908</v>
      </c>
      <c r="DN215" s="181">
        <f t="shared" si="341"/>
        <v>0</v>
      </c>
      <c r="DO215" s="181">
        <f t="shared" si="341"/>
        <v>0</v>
      </c>
      <c r="DP215" s="181">
        <f t="shared" si="341"/>
        <v>0</v>
      </c>
      <c r="DQ215" s="181">
        <f t="shared" si="341"/>
        <v>0</v>
      </c>
      <c r="DR215" s="181">
        <f t="shared" si="341"/>
        <v>0</v>
      </c>
      <c r="DS215" s="181">
        <f t="shared" si="341"/>
        <v>0</v>
      </c>
      <c r="DT215" s="181">
        <f t="shared" si="341"/>
        <v>0</v>
      </c>
      <c r="DU215" s="181">
        <f t="shared" si="341"/>
        <v>0</v>
      </c>
      <c r="DV215" s="181">
        <f t="shared" si="341"/>
        <v>0</v>
      </c>
      <c r="DW215" s="181">
        <f t="shared" si="341"/>
        <v>0</v>
      </c>
      <c r="DX215" s="181">
        <f t="shared" si="341"/>
        <v>0</v>
      </c>
      <c r="DY215" s="181">
        <f t="shared" si="341"/>
        <v>0</v>
      </c>
      <c r="DZ215" s="181">
        <f t="shared" si="341"/>
        <v>0</v>
      </c>
      <c r="EA215" s="181">
        <f t="shared" si="341"/>
        <v>0</v>
      </c>
      <c r="EB215" s="181">
        <f t="shared" si="341"/>
        <v>0</v>
      </c>
      <c r="EC215" s="181">
        <f t="shared" si="341"/>
        <v>0</v>
      </c>
      <c r="ED215" s="181">
        <f t="shared" si="341"/>
        <v>0</v>
      </c>
      <c r="EE215" s="181">
        <f t="shared" si="341"/>
        <v>0</v>
      </c>
      <c r="EF215" s="181">
        <f t="shared" si="341"/>
        <v>0</v>
      </c>
      <c r="EG215" s="181">
        <f t="shared" si="341"/>
        <v>0</v>
      </c>
      <c r="EH215" s="181">
        <f t="shared" si="341"/>
        <v>0</v>
      </c>
      <c r="EI215" s="181">
        <f t="shared" si="341"/>
        <v>0</v>
      </c>
      <c r="EJ215" s="181">
        <f t="shared" si="341"/>
        <v>0</v>
      </c>
      <c r="FY215" s="211">
        <v>210</v>
      </c>
      <c r="FZ215">
        <v>118.18890142495292</v>
      </c>
      <c r="GA215">
        <v>156.27419813768242</v>
      </c>
      <c r="GB215">
        <v>62.913220860024595</v>
      </c>
      <c r="GC215">
        <v>51.965701180387889</v>
      </c>
      <c r="GD215">
        <v>39.882235559163483</v>
      </c>
      <c r="GE215">
        <v>46.740302063527245</v>
      </c>
      <c r="GF215">
        <v>84.890178014991676</v>
      </c>
      <c r="GG215">
        <v>63.996565479680022</v>
      </c>
      <c r="GH215">
        <v>36.315199467996649</v>
      </c>
      <c r="GI215">
        <v>83.662664551515974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208.33694014568397</v>
      </c>
      <c r="AO216">
        <v>124.44170596634896</v>
      </c>
      <c r="AP216">
        <v>491.30859293851165</v>
      </c>
      <c r="AQ216">
        <v>727.80323473606245</v>
      </c>
      <c r="AR216">
        <v>117.01869249848512</v>
      </c>
      <c r="AS216">
        <v>1144.3164868239373</v>
      </c>
      <c r="AT216">
        <v>57.377324353735666</v>
      </c>
      <c r="AU216">
        <v>136.95640368406444</v>
      </c>
      <c r="AV216"/>
      <c r="AW216"/>
      <c r="BA216" s="194"/>
      <c r="BB216" s="192"/>
      <c r="BC216" s="192"/>
      <c r="BD216" s="192"/>
      <c r="BE216" s="192"/>
      <c r="BF216" s="192"/>
      <c r="BG216" s="192"/>
      <c r="BH216" s="192"/>
      <c r="BI216" s="192"/>
      <c r="BJ216" s="192"/>
      <c r="BK216" s="192"/>
      <c r="BL216" s="192"/>
      <c r="BM216" s="192"/>
      <c r="BN216" s="192"/>
      <c r="BO216" s="192"/>
      <c r="BP216" s="192"/>
      <c r="BQ216" s="192"/>
      <c r="BR216" s="192"/>
      <c r="BS216" s="192"/>
      <c r="BT216" s="192"/>
      <c r="BU216" s="192"/>
      <c r="BV216" s="192"/>
      <c r="BW216" s="192"/>
      <c r="BX216" s="192"/>
      <c r="BY216" s="192"/>
      <c r="BZ216" s="192"/>
      <c r="CA216" s="192"/>
      <c r="CB216" s="192"/>
      <c r="CC216" s="192"/>
      <c r="CD216" s="192"/>
      <c r="CE216" s="192"/>
      <c r="CF216" s="192"/>
      <c r="CG216" s="193"/>
      <c r="CH216" s="193"/>
      <c r="CI216" s="193"/>
      <c r="CJ216" s="193"/>
      <c r="CK216" s="193"/>
      <c r="CL216" s="193"/>
      <c r="CM216" s="196"/>
      <c r="CN216" s="192"/>
      <c r="CO216" s="192"/>
      <c r="CP216" s="192"/>
      <c r="CQ216" s="192"/>
      <c r="CR216" s="192"/>
      <c r="CS216" s="192"/>
      <c r="CT216" s="192"/>
      <c r="CU216" s="192"/>
      <c r="DE216" s="186">
        <f>DE128</f>
        <v>39775</v>
      </c>
      <c r="DF216" s="181">
        <f t="shared" ref="DF216:EJ216" si="343">AVERAGE(DF128:DF137)</f>
        <v>0</v>
      </c>
      <c r="DG216" s="181">
        <f t="shared" ref="DG216:DH216" si="344">AVERAGE(DG128:DG137)</f>
        <v>31.99404761904762</v>
      </c>
      <c r="DH216" s="181">
        <f t="shared" si="344"/>
        <v>161.89814814814815</v>
      </c>
      <c r="DI216" s="181">
        <f t="shared" si="343"/>
        <v>3.125</v>
      </c>
      <c r="DJ216" s="181">
        <f t="shared" si="343"/>
        <v>34.880050505050505</v>
      </c>
      <c r="DK216" s="181">
        <f t="shared" si="343"/>
        <v>77.639374514374509</v>
      </c>
      <c r="DL216" s="181">
        <f t="shared" si="343"/>
        <v>62.912781662781661</v>
      </c>
      <c r="DM216" s="181">
        <f t="shared" si="343"/>
        <v>10.858585858585858</v>
      </c>
      <c r="DN216" s="181">
        <f t="shared" si="343"/>
        <v>1.0416666666666665</v>
      </c>
      <c r="DO216" s="181">
        <f t="shared" si="343"/>
        <v>0</v>
      </c>
      <c r="DP216" s="181">
        <f t="shared" si="343"/>
        <v>0</v>
      </c>
      <c r="DQ216" s="181">
        <f t="shared" si="343"/>
        <v>0</v>
      </c>
      <c r="DR216" s="181">
        <f t="shared" si="343"/>
        <v>0</v>
      </c>
      <c r="DS216" s="181">
        <f t="shared" si="343"/>
        <v>0</v>
      </c>
      <c r="DT216" s="181">
        <f t="shared" si="343"/>
        <v>0</v>
      </c>
      <c r="DU216" s="181">
        <f t="shared" si="343"/>
        <v>0</v>
      </c>
      <c r="DV216" s="181">
        <f t="shared" si="343"/>
        <v>0</v>
      </c>
      <c r="DW216" s="181">
        <f t="shared" si="343"/>
        <v>0</v>
      </c>
      <c r="DX216" s="181">
        <f t="shared" si="343"/>
        <v>0</v>
      </c>
      <c r="DY216" s="181">
        <f t="shared" si="343"/>
        <v>0</v>
      </c>
      <c r="DZ216" s="181">
        <f t="shared" si="343"/>
        <v>0</v>
      </c>
      <c r="EA216" s="181">
        <f t="shared" si="343"/>
        <v>0</v>
      </c>
      <c r="EB216" s="181">
        <f t="shared" si="343"/>
        <v>0</v>
      </c>
      <c r="EC216" s="181">
        <f t="shared" si="343"/>
        <v>0</v>
      </c>
      <c r="ED216" s="181">
        <f t="shared" si="343"/>
        <v>0</v>
      </c>
      <c r="EE216" s="181">
        <f t="shared" si="343"/>
        <v>0</v>
      </c>
      <c r="EF216" s="181">
        <f t="shared" si="343"/>
        <v>0</v>
      </c>
      <c r="EG216" s="181">
        <f t="shared" si="343"/>
        <v>0</v>
      </c>
      <c r="EH216" s="181">
        <f t="shared" si="343"/>
        <v>0</v>
      </c>
      <c r="EI216" s="181">
        <f t="shared" si="343"/>
        <v>0</v>
      </c>
      <c r="EJ216" s="181">
        <f t="shared" si="343"/>
        <v>0</v>
      </c>
      <c r="FY216" s="211">
        <v>211</v>
      </c>
      <c r="FZ216">
        <v>121.28569866265769</v>
      </c>
      <c r="GA216">
        <v>154.43124165299326</v>
      </c>
      <c r="GB216">
        <v>45.957476839965715</v>
      </c>
      <c r="GC216">
        <v>32.205166538192948</v>
      </c>
      <c r="GD216">
        <v>31.39899477650145</v>
      </c>
      <c r="GE216">
        <v>56.50446909633601</v>
      </c>
      <c r="GF216">
        <v>93.663680401710053</v>
      </c>
      <c r="GG216">
        <v>70.665938100540629</v>
      </c>
      <c r="GH216">
        <v>47.621178020982818</v>
      </c>
      <c r="GI216">
        <v>79.296499850420517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265.55416098646259</v>
      </c>
      <c r="AO217">
        <v>131.72295276508808</v>
      </c>
      <c r="AP217">
        <v>483.54949270814996</v>
      </c>
      <c r="AQ217">
        <v>711.19414339069976</v>
      </c>
      <c r="AR217">
        <v>124.34227731095312</v>
      </c>
      <c r="AS217">
        <v>1268.005908184691</v>
      </c>
      <c r="AT217">
        <v>64.06014864566022</v>
      </c>
      <c r="AU217">
        <v>213.200901294061</v>
      </c>
      <c r="AV217"/>
      <c r="AW217"/>
      <c r="BA217" s="194"/>
      <c r="BB217" s="192"/>
      <c r="BC217" s="192"/>
      <c r="BD217" s="192"/>
      <c r="BE217" s="192"/>
      <c r="BF217" s="192"/>
      <c r="BG217" s="192"/>
      <c r="BH217" s="192"/>
      <c r="BI217" s="192"/>
      <c r="BJ217" s="192"/>
      <c r="BK217" s="192"/>
      <c r="BL217" s="192"/>
      <c r="BM217" s="192"/>
      <c r="BN217" s="192"/>
      <c r="BO217" s="192"/>
      <c r="BP217" s="192"/>
      <c r="BQ217" s="192"/>
      <c r="BR217" s="192"/>
      <c r="BS217" s="192"/>
      <c r="BT217" s="192"/>
      <c r="BU217" s="192"/>
      <c r="BV217" s="192"/>
      <c r="BW217" s="192"/>
      <c r="BX217" s="192"/>
      <c r="BY217" s="192"/>
      <c r="BZ217" s="192"/>
      <c r="CA217" s="192"/>
      <c r="CB217" s="192"/>
      <c r="CC217" s="192"/>
      <c r="CD217" s="192"/>
      <c r="CE217" s="192"/>
      <c r="CF217" s="192"/>
      <c r="CG217" s="193"/>
      <c r="CH217" s="193"/>
      <c r="CI217" s="193"/>
      <c r="CJ217" s="193"/>
      <c r="CK217" s="193"/>
      <c r="CL217" s="193"/>
      <c r="CM217" s="196"/>
      <c r="CN217" s="192"/>
      <c r="CO217" s="192"/>
      <c r="CP217" s="192"/>
      <c r="CQ217" s="192"/>
      <c r="CR217" s="192"/>
      <c r="CS217" s="192"/>
      <c r="CT217" s="192"/>
      <c r="CU217" s="192"/>
      <c r="DE217" s="186">
        <f>DE138</f>
        <v>39799</v>
      </c>
      <c r="DF217" s="181">
        <f t="shared" ref="DF217:EJ217" si="345">AVERAGE(DF138:DF147)</f>
        <v>15.064102564102564</v>
      </c>
      <c r="DG217" s="181">
        <f t="shared" ref="DG217:DH217" si="346">AVERAGE(DG138:DG147)</f>
        <v>209.39123172579056</v>
      </c>
      <c r="DH217" s="181">
        <f t="shared" si="346"/>
        <v>200.49856664083748</v>
      </c>
      <c r="DI217" s="181">
        <f t="shared" si="345"/>
        <v>14.631782945736433</v>
      </c>
      <c r="DJ217" s="181">
        <f t="shared" si="345"/>
        <v>14.08672480620155</v>
      </c>
      <c r="DK217" s="181">
        <f t="shared" si="345"/>
        <v>56.189582476347177</v>
      </c>
      <c r="DL217" s="181">
        <f t="shared" si="345"/>
        <v>55.863927738927735</v>
      </c>
      <c r="DM217" s="181">
        <f t="shared" si="345"/>
        <v>12.762237762237762</v>
      </c>
      <c r="DN217" s="181">
        <f t="shared" si="345"/>
        <v>0</v>
      </c>
      <c r="DO217" s="181">
        <f t="shared" si="345"/>
        <v>0</v>
      </c>
      <c r="DP217" s="181">
        <f t="shared" si="345"/>
        <v>0</v>
      </c>
      <c r="DQ217" s="181">
        <f t="shared" si="345"/>
        <v>0</v>
      </c>
      <c r="DR217" s="181">
        <f t="shared" si="345"/>
        <v>0</v>
      </c>
      <c r="DS217" s="181">
        <f t="shared" si="345"/>
        <v>0</v>
      </c>
      <c r="DT217" s="181">
        <f t="shared" si="345"/>
        <v>0</v>
      </c>
      <c r="DU217" s="181">
        <f t="shared" si="345"/>
        <v>0</v>
      </c>
      <c r="DV217" s="181">
        <f t="shared" si="345"/>
        <v>0</v>
      </c>
      <c r="DW217" s="181">
        <f t="shared" si="345"/>
        <v>0</v>
      </c>
      <c r="DX217" s="181">
        <f t="shared" si="345"/>
        <v>0</v>
      </c>
      <c r="DY217" s="181">
        <f t="shared" si="345"/>
        <v>0</v>
      </c>
      <c r="DZ217" s="181">
        <f t="shared" si="345"/>
        <v>0</v>
      </c>
      <c r="EA217" s="181">
        <f t="shared" si="345"/>
        <v>0</v>
      </c>
      <c r="EB217" s="181">
        <f t="shared" si="345"/>
        <v>0</v>
      </c>
      <c r="EC217" s="181">
        <f t="shared" si="345"/>
        <v>0</v>
      </c>
      <c r="ED217" s="181">
        <f t="shared" si="345"/>
        <v>0</v>
      </c>
      <c r="EE217" s="181">
        <f t="shared" si="345"/>
        <v>0</v>
      </c>
      <c r="EF217" s="181">
        <f t="shared" si="345"/>
        <v>0</v>
      </c>
      <c r="EG217" s="181">
        <f t="shared" si="345"/>
        <v>0</v>
      </c>
      <c r="EH217" s="181">
        <f t="shared" si="345"/>
        <v>0</v>
      </c>
      <c r="EI217" s="181">
        <f t="shared" si="345"/>
        <v>0</v>
      </c>
      <c r="EJ217" s="181">
        <f t="shared" si="345"/>
        <v>0</v>
      </c>
      <c r="FY217" s="211">
        <v>212</v>
      </c>
      <c r="FZ217">
        <v>123.62093942566484</v>
      </c>
      <c r="GA217">
        <v>169.56860434858757</v>
      </c>
      <c r="GB217">
        <v>60.631426778176923</v>
      </c>
      <c r="GC217">
        <v>42.026536810701664</v>
      </c>
      <c r="GD217">
        <v>32.488961483909613</v>
      </c>
      <c r="GE217">
        <v>29.55688760650672</v>
      </c>
      <c r="GF217">
        <v>34.992882640246243</v>
      </c>
      <c r="GG217">
        <v>89.497012674381708</v>
      </c>
      <c r="GH217">
        <v>117.2289678270873</v>
      </c>
      <c r="GI217">
        <v>82.280865144315769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259.22161307765623</v>
      </c>
      <c r="AO218">
        <v>128.12775655246475</v>
      </c>
      <c r="AP218">
        <v>601.85828077484746</v>
      </c>
      <c r="AQ218">
        <v>698.80863506929188</v>
      </c>
      <c r="AR218">
        <v>120.10986009957288</v>
      </c>
      <c r="AS218">
        <v>1284.6689460306325</v>
      </c>
      <c r="AT218">
        <v>58.972875959040188</v>
      </c>
      <c r="AU218">
        <v>45.947383892098884</v>
      </c>
      <c r="AV218"/>
      <c r="AW218"/>
      <c r="BA218" s="194"/>
      <c r="BB218" s="192"/>
      <c r="BC218" s="192"/>
      <c r="BD218" s="192"/>
      <c r="BE218" s="192"/>
      <c r="BF218" s="192"/>
      <c r="BG218" s="192"/>
      <c r="BH218" s="192"/>
      <c r="BI218" s="192"/>
      <c r="BJ218" s="192"/>
      <c r="BK218" s="192"/>
      <c r="BL218" s="192"/>
      <c r="BM218" s="192"/>
      <c r="BN218" s="192"/>
      <c r="BO218" s="192"/>
      <c r="BP218" s="192"/>
      <c r="BQ218" s="192"/>
      <c r="BR218" s="192"/>
      <c r="BS218" s="192"/>
      <c r="BT218" s="192"/>
      <c r="BU218" s="192"/>
      <c r="BV218" s="192"/>
      <c r="BW218" s="192"/>
      <c r="BX218" s="192"/>
      <c r="BY218" s="192"/>
      <c r="BZ218" s="192"/>
      <c r="CA218" s="192"/>
      <c r="CB218" s="192"/>
      <c r="CC218" s="192"/>
      <c r="CD218" s="192"/>
      <c r="CE218" s="192"/>
      <c r="CF218" s="192"/>
      <c r="CG218" s="193"/>
      <c r="CH218" s="193"/>
      <c r="CI218" s="193"/>
      <c r="CJ218" s="193"/>
      <c r="CK218" s="193"/>
      <c r="CL218" s="193"/>
      <c r="CM218" s="196"/>
      <c r="CN218" s="192"/>
      <c r="CO218" s="192"/>
      <c r="CP218" s="192"/>
      <c r="CQ218" s="192"/>
      <c r="CR218" s="192"/>
      <c r="CS218" s="192"/>
      <c r="CT218" s="192"/>
      <c r="CU218" s="192"/>
      <c r="DE218" s="186">
        <f>DE149</f>
        <v>39847</v>
      </c>
      <c r="DF218" s="181">
        <f t="shared" ref="DF218:EJ218" si="347">AVERAGE(DF148:DF157)</f>
        <v>0</v>
      </c>
      <c r="DG218" s="181">
        <f t="shared" ref="DG218:DH218" si="348">AVERAGE(DG148:DG157)</f>
        <v>48.415798611111114</v>
      </c>
      <c r="DH218" s="181">
        <f t="shared" si="348"/>
        <v>46.6796875</v>
      </c>
      <c r="DI218" s="181">
        <f t="shared" si="347"/>
        <v>1.0416666666666665</v>
      </c>
      <c r="DJ218" s="181">
        <f t="shared" si="347"/>
        <v>4.6875</v>
      </c>
      <c r="DK218" s="181">
        <f t="shared" si="347"/>
        <v>19.010416666666664</v>
      </c>
      <c r="DL218" s="181">
        <f t="shared" si="347"/>
        <v>29.861111111111107</v>
      </c>
      <c r="DM218" s="181">
        <f t="shared" si="347"/>
        <v>40.885416666666671</v>
      </c>
      <c r="DN218" s="181">
        <f t="shared" si="347"/>
        <v>11.458333333333334</v>
      </c>
      <c r="DO218" s="181">
        <f t="shared" si="347"/>
        <v>5.2083333333333339</v>
      </c>
      <c r="DP218" s="181">
        <f t="shared" si="347"/>
        <v>0</v>
      </c>
      <c r="DQ218" s="181">
        <f t="shared" si="347"/>
        <v>0</v>
      </c>
      <c r="DR218" s="181">
        <f t="shared" si="347"/>
        <v>0</v>
      </c>
      <c r="DS218" s="181">
        <f t="shared" si="347"/>
        <v>0</v>
      </c>
      <c r="DT218" s="181">
        <f t="shared" si="347"/>
        <v>0</v>
      </c>
      <c r="DU218" s="181">
        <f t="shared" si="347"/>
        <v>0</v>
      </c>
      <c r="DV218" s="181">
        <f t="shared" si="347"/>
        <v>0</v>
      </c>
      <c r="DW218" s="181">
        <f t="shared" si="347"/>
        <v>0</v>
      </c>
      <c r="DX218" s="181">
        <f t="shared" si="347"/>
        <v>0</v>
      </c>
      <c r="DY218" s="181">
        <f t="shared" si="347"/>
        <v>0</v>
      </c>
      <c r="DZ218" s="181">
        <f t="shared" si="347"/>
        <v>0</v>
      </c>
      <c r="EA218" s="181">
        <f t="shared" si="347"/>
        <v>0</v>
      </c>
      <c r="EB218" s="181">
        <f t="shared" si="347"/>
        <v>0</v>
      </c>
      <c r="EC218" s="181">
        <f t="shared" si="347"/>
        <v>0</v>
      </c>
      <c r="ED218" s="181">
        <f t="shared" si="347"/>
        <v>0</v>
      </c>
      <c r="EE218" s="181">
        <f t="shared" si="347"/>
        <v>0</v>
      </c>
      <c r="EF218" s="181">
        <f t="shared" si="347"/>
        <v>0</v>
      </c>
      <c r="EG218" s="181">
        <f t="shared" si="347"/>
        <v>0</v>
      </c>
      <c r="EH218" s="181">
        <f t="shared" si="347"/>
        <v>0</v>
      </c>
      <c r="EI218" s="181">
        <f t="shared" si="347"/>
        <v>0</v>
      </c>
      <c r="EJ218" s="181">
        <f t="shared" si="347"/>
        <v>0</v>
      </c>
      <c r="FY218" s="211">
        <v>213</v>
      </c>
      <c r="FZ218">
        <v>114.74460920527569</v>
      </c>
      <c r="GA218">
        <v>173.09332104593261</v>
      </c>
      <c r="GB218">
        <v>56.058328901756276</v>
      </c>
      <c r="GC218">
        <v>46.898144573288867</v>
      </c>
      <c r="GD218">
        <v>30.680543537268097</v>
      </c>
      <c r="GE218">
        <v>57.1610685545471</v>
      </c>
      <c r="GF218">
        <v>106.17280833402771</v>
      </c>
      <c r="GG218">
        <v>55.7933767401327</v>
      </c>
      <c r="GH218">
        <v>58.451156065296402</v>
      </c>
      <c r="GI218">
        <v>84.461628699883349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206.08669525302108</v>
      </c>
      <c r="AO219">
        <v>144.40413958871494</v>
      </c>
      <c r="AP219">
        <v>733.43826850131916</v>
      </c>
      <c r="AQ219">
        <v>826.52273386795969</v>
      </c>
      <c r="AR219">
        <v>136.66786213330798</v>
      </c>
      <c r="AS219">
        <v>1279.1248481286432</v>
      </c>
      <c r="AT219">
        <v>72.330650846235031</v>
      </c>
      <c r="AU219">
        <v>77.382931015146582</v>
      </c>
      <c r="AV219"/>
      <c r="AW219"/>
      <c r="BA219" s="194"/>
      <c r="BB219" s="192"/>
      <c r="BC219" s="192"/>
      <c r="BD219" s="192"/>
      <c r="BE219" s="192"/>
      <c r="BF219" s="192"/>
      <c r="BG219" s="192"/>
      <c r="BH219" s="192"/>
      <c r="BI219" s="192"/>
      <c r="BJ219" s="192"/>
      <c r="BK219" s="192"/>
      <c r="BL219" s="192"/>
      <c r="BM219" s="192"/>
      <c r="BN219" s="192"/>
      <c r="BO219" s="192"/>
      <c r="BP219" s="192"/>
      <c r="BQ219" s="192"/>
      <c r="BR219" s="192"/>
      <c r="BS219" s="192"/>
      <c r="BT219" s="192"/>
      <c r="BU219" s="192"/>
      <c r="BV219" s="192"/>
      <c r="BW219" s="192"/>
      <c r="BX219" s="192"/>
      <c r="BY219" s="192"/>
      <c r="BZ219" s="192"/>
      <c r="CA219" s="192"/>
      <c r="CB219" s="192"/>
      <c r="CC219" s="192"/>
      <c r="CD219" s="192"/>
      <c r="CE219" s="192"/>
      <c r="CF219" s="192"/>
      <c r="CG219" s="193"/>
      <c r="CH219" s="193"/>
      <c r="CI219" s="193"/>
      <c r="CJ219" s="193"/>
      <c r="CK219" s="193"/>
      <c r="CL219" s="193"/>
      <c r="CM219" s="196"/>
      <c r="CN219" s="192"/>
      <c r="CO219" s="192"/>
      <c r="CP219" s="192"/>
      <c r="CQ219" s="192"/>
      <c r="CR219" s="192"/>
      <c r="CS219" s="192"/>
      <c r="CT219" s="192"/>
      <c r="CU219" s="192"/>
      <c r="DE219" s="186">
        <f>DE158</f>
        <v>39910</v>
      </c>
      <c r="DF219" s="181">
        <f t="shared" ref="DF219:EJ219" si="349">AVERAGE(DF158:DF167)</f>
        <v>0</v>
      </c>
      <c r="DG219" s="181">
        <f t="shared" si="349"/>
        <v>28.935185185185183</v>
      </c>
      <c r="DH219" s="181">
        <f t="shared" si="349"/>
        <v>49.768518518518519</v>
      </c>
      <c r="DI219" s="181">
        <f t="shared" ref="DI219" si="350">AVERAGE(DI158:DI167)</f>
        <v>0</v>
      </c>
      <c r="DJ219" s="181">
        <f t="shared" si="349"/>
        <v>0</v>
      </c>
      <c r="DK219" s="181">
        <f t="shared" si="349"/>
        <v>10.416666666666668</v>
      </c>
      <c r="DL219" s="181">
        <f t="shared" si="349"/>
        <v>16.666666666666668</v>
      </c>
      <c r="DM219" s="181">
        <f t="shared" si="349"/>
        <v>27.604166666666664</v>
      </c>
      <c r="DN219" s="181">
        <f t="shared" si="349"/>
        <v>8.9583333333333321</v>
      </c>
      <c r="DO219" s="181">
        <f t="shared" si="349"/>
        <v>0</v>
      </c>
      <c r="DP219" s="181">
        <f t="shared" si="349"/>
        <v>0</v>
      </c>
      <c r="DQ219" s="181">
        <f t="shared" si="349"/>
        <v>0</v>
      </c>
      <c r="DR219" s="181">
        <f t="shared" si="349"/>
        <v>0</v>
      </c>
      <c r="DS219" s="181">
        <f t="shared" si="349"/>
        <v>0</v>
      </c>
      <c r="DT219" s="181">
        <f t="shared" si="349"/>
        <v>0</v>
      </c>
      <c r="DU219" s="181">
        <f t="shared" si="349"/>
        <v>0</v>
      </c>
      <c r="DV219" s="181">
        <f t="shared" si="349"/>
        <v>0</v>
      </c>
      <c r="DW219" s="181">
        <f t="shared" si="349"/>
        <v>0</v>
      </c>
      <c r="DX219" s="181">
        <f t="shared" si="349"/>
        <v>0</v>
      </c>
      <c r="DY219" s="181">
        <f t="shared" si="349"/>
        <v>0</v>
      </c>
      <c r="DZ219" s="181">
        <f t="shared" si="349"/>
        <v>0</v>
      </c>
      <c r="EA219" s="181">
        <f t="shared" si="349"/>
        <v>0</v>
      </c>
      <c r="EB219" s="181">
        <f t="shared" si="349"/>
        <v>0</v>
      </c>
      <c r="EC219" s="181">
        <f t="shared" si="349"/>
        <v>0</v>
      </c>
      <c r="ED219" s="181">
        <f t="shared" si="349"/>
        <v>0</v>
      </c>
      <c r="EE219" s="181">
        <f t="shared" si="349"/>
        <v>0</v>
      </c>
      <c r="EF219" s="181">
        <f t="shared" si="349"/>
        <v>0</v>
      </c>
      <c r="EG219" s="181">
        <f t="shared" si="349"/>
        <v>0</v>
      </c>
      <c r="EH219" s="181">
        <f t="shared" si="349"/>
        <v>0</v>
      </c>
      <c r="EI219" s="181">
        <f t="shared" si="349"/>
        <v>0</v>
      </c>
      <c r="EJ219" s="181">
        <f t="shared" si="349"/>
        <v>0</v>
      </c>
      <c r="FY219" s="211">
        <v>214</v>
      </c>
      <c r="FZ219">
        <v>98.970786551058509</v>
      </c>
      <c r="GA219">
        <v>116.3110839210879</v>
      </c>
      <c r="GB219">
        <v>49.851020746136051</v>
      </c>
      <c r="GC219">
        <v>45.600843437322048</v>
      </c>
      <c r="GD219">
        <v>30.184846491137989</v>
      </c>
      <c r="GE219">
        <v>71.842744867475417</v>
      </c>
      <c r="GF219">
        <v>132.58625421578174</v>
      </c>
      <c r="GG219">
        <v>56.502807292833467</v>
      </c>
      <c r="GH219">
        <v>44.847587837034922</v>
      </c>
      <c r="GI219">
        <v>84.711293127967991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252.07755098164324</v>
      </c>
      <c r="AO220">
        <v>160.46387164667459</v>
      </c>
      <c r="AP220">
        <v>627.42831846187346</v>
      </c>
      <c r="AQ220">
        <v>867.64142054600609</v>
      </c>
      <c r="AR220">
        <v>151.12950254625176</v>
      </c>
      <c r="AS220">
        <v>1657.7642710101738</v>
      </c>
      <c r="AT220">
        <v>80.60501537676781</v>
      </c>
      <c r="AU220">
        <v>248.10308248135499</v>
      </c>
      <c r="AV220"/>
      <c r="AW220"/>
      <c r="BA220" s="194"/>
      <c r="BB220" s="192"/>
      <c r="BC220" s="192"/>
      <c r="BD220" s="192"/>
      <c r="BE220" s="192"/>
      <c r="BF220" s="192"/>
      <c r="BG220" s="192"/>
      <c r="BH220" s="192"/>
      <c r="BI220" s="192"/>
      <c r="BJ220" s="192"/>
      <c r="BK220" s="192"/>
      <c r="BL220" s="192"/>
      <c r="BM220" s="192"/>
      <c r="BN220" s="192"/>
      <c r="BO220" s="192"/>
      <c r="BP220" s="192"/>
      <c r="BQ220" s="192"/>
      <c r="BR220" s="192"/>
      <c r="BS220" s="192"/>
      <c r="BT220" s="192"/>
      <c r="BU220" s="192"/>
      <c r="BV220" s="192"/>
      <c r="BW220" s="192"/>
      <c r="BX220" s="192"/>
      <c r="BY220" s="192"/>
      <c r="BZ220" s="192"/>
      <c r="CA220" s="192"/>
      <c r="CB220" s="192"/>
      <c r="CC220" s="192"/>
      <c r="CD220" s="192"/>
      <c r="CE220" s="192"/>
      <c r="CF220" s="192"/>
      <c r="CG220" s="193"/>
      <c r="CH220" s="193"/>
      <c r="CI220" s="193"/>
      <c r="CJ220" s="193"/>
      <c r="CK220" s="193"/>
      <c r="CL220" s="193"/>
      <c r="CM220" s="196"/>
      <c r="CN220" s="192"/>
      <c r="CO220" s="192"/>
      <c r="CP220" s="192"/>
      <c r="CQ220" s="192"/>
      <c r="CR220" s="192"/>
      <c r="CS220" s="192"/>
      <c r="CT220" s="192"/>
      <c r="CU220" s="192"/>
      <c r="DE220" s="186">
        <f>DE168</f>
        <v>39949</v>
      </c>
      <c r="DF220" s="181">
        <f t="shared" ref="DF220:EJ220" si="351">AVERAGE(DF168:DF177)</f>
        <v>0</v>
      </c>
      <c r="DG220" s="181">
        <f t="shared" si="351"/>
        <v>0</v>
      </c>
      <c r="DH220" s="181">
        <f t="shared" si="351"/>
        <v>0</v>
      </c>
      <c r="DI220" s="181">
        <f t="shared" ref="DI220" si="352">AVERAGE(DI168:DI177)</f>
        <v>1.0416666666666665</v>
      </c>
      <c r="DJ220" s="181">
        <f t="shared" si="351"/>
        <v>1.0416666666666665</v>
      </c>
      <c r="DK220" s="181">
        <f t="shared" si="351"/>
        <v>4.1666666666666661</v>
      </c>
      <c r="DL220" s="181">
        <f t="shared" si="351"/>
        <v>9.3750000000000018</v>
      </c>
      <c r="DM220" s="181">
        <f t="shared" si="351"/>
        <v>11.458333333333332</v>
      </c>
      <c r="DN220" s="181">
        <f t="shared" si="351"/>
        <v>14.583333333333334</v>
      </c>
      <c r="DO220" s="181">
        <f t="shared" si="351"/>
        <v>8.3333333333333321</v>
      </c>
      <c r="DP220" s="181">
        <f t="shared" si="351"/>
        <v>5.208333333333333</v>
      </c>
      <c r="DQ220" s="181">
        <f t="shared" si="351"/>
        <v>0</v>
      </c>
      <c r="DR220" s="181">
        <f t="shared" si="351"/>
        <v>0</v>
      </c>
      <c r="DS220" s="181">
        <f t="shared" si="351"/>
        <v>0</v>
      </c>
      <c r="DT220" s="181">
        <f t="shared" si="351"/>
        <v>0</v>
      </c>
      <c r="DU220" s="181">
        <f t="shared" si="351"/>
        <v>0</v>
      </c>
      <c r="DV220" s="181">
        <f t="shared" si="351"/>
        <v>0</v>
      </c>
      <c r="DW220" s="181">
        <f t="shared" si="351"/>
        <v>0</v>
      </c>
      <c r="DX220" s="181">
        <f t="shared" si="351"/>
        <v>0</v>
      </c>
      <c r="DY220" s="181">
        <f t="shared" si="351"/>
        <v>0</v>
      </c>
      <c r="DZ220" s="181">
        <f t="shared" si="351"/>
        <v>0</v>
      </c>
      <c r="EA220" s="181">
        <f t="shared" si="351"/>
        <v>0</v>
      </c>
      <c r="EB220" s="181">
        <f t="shared" si="351"/>
        <v>0</v>
      </c>
      <c r="EC220" s="181">
        <f t="shared" si="351"/>
        <v>0</v>
      </c>
      <c r="ED220" s="181">
        <f t="shared" si="351"/>
        <v>0</v>
      </c>
      <c r="EE220" s="181">
        <f t="shared" si="351"/>
        <v>0</v>
      </c>
      <c r="EF220" s="181">
        <f t="shared" si="351"/>
        <v>0</v>
      </c>
      <c r="EG220" s="181">
        <f t="shared" si="351"/>
        <v>0</v>
      </c>
      <c r="EH220" s="181">
        <f t="shared" si="351"/>
        <v>0</v>
      </c>
      <c r="EI220" s="181">
        <f t="shared" si="351"/>
        <v>0</v>
      </c>
      <c r="EJ220" s="181">
        <f t="shared" si="351"/>
        <v>0</v>
      </c>
      <c r="FY220" s="211">
        <v>215</v>
      </c>
      <c r="FZ220">
        <v>127.94629263596403</v>
      </c>
      <c r="GA220">
        <v>138.08245652613056</v>
      </c>
      <c r="GB220">
        <v>37.031646881925667</v>
      </c>
      <c r="GC220">
        <v>33.089184566301775</v>
      </c>
      <c r="GD220">
        <v>49.014056163484653</v>
      </c>
      <c r="GE220">
        <v>84.902040799073717</v>
      </c>
      <c r="GF220">
        <v>65.297526832349718</v>
      </c>
      <c r="GG220">
        <v>74.599335472667363</v>
      </c>
      <c r="GH220">
        <v>79.176573112096548</v>
      </c>
      <c r="GI220">
        <v>88.0885538043715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237.82543015902829</v>
      </c>
      <c r="AO221">
        <v>121.15887782650346</v>
      </c>
      <c r="AP221">
        <v>269.6076328868229</v>
      </c>
      <c r="AQ221">
        <v>699.46311705627613</v>
      </c>
      <c r="AR221">
        <v>117.09568853004036</v>
      </c>
      <c r="AS221">
        <v>1209.9383507090938</v>
      </c>
      <c r="AT221">
        <v>53.214677231986308</v>
      </c>
      <c r="AU221">
        <v>81.347306414059489</v>
      </c>
      <c r="AV221"/>
      <c r="AW221"/>
      <c r="BA221" s="194"/>
      <c r="BB221" s="192"/>
      <c r="BC221" s="192"/>
      <c r="BD221" s="192"/>
      <c r="BE221" s="192"/>
      <c r="BF221" s="192"/>
      <c r="BG221" s="192"/>
      <c r="BH221" s="192"/>
      <c r="BI221" s="192"/>
      <c r="BJ221" s="192"/>
      <c r="BK221" s="192"/>
      <c r="BL221" s="192"/>
      <c r="BM221" s="192"/>
      <c r="BN221" s="192"/>
      <c r="BO221" s="192"/>
      <c r="BP221" s="192"/>
      <c r="BQ221" s="192"/>
      <c r="BR221" s="192"/>
      <c r="BS221" s="192"/>
      <c r="BT221" s="192"/>
      <c r="BU221" s="192"/>
      <c r="BV221" s="192"/>
      <c r="BW221" s="192"/>
      <c r="BX221" s="192"/>
      <c r="BY221" s="192"/>
      <c r="BZ221" s="192"/>
      <c r="CA221" s="192"/>
      <c r="CB221" s="192"/>
      <c r="CC221" s="192"/>
      <c r="CD221" s="192"/>
      <c r="CE221" s="192"/>
      <c r="CF221" s="192"/>
      <c r="CG221" s="193"/>
      <c r="CH221" s="193"/>
      <c r="CI221" s="193"/>
      <c r="CJ221" s="193"/>
      <c r="CK221" s="193"/>
      <c r="CL221" s="193"/>
      <c r="CM221" s="196"/>
      <c r="CN221" s="192"/>
      <c r="CO221" s="192"/>
      <c r="CP221" s="192"/>
      <c r="CQ221" s="192"/>
      <c r="CR221" s="192"/>
      <c r="CS221" s="192"/>
      <c r="CT221" s="192"/>
      <c r="CU221" s="192"/>
      <c r="DE221" s="186">
        <f>DE178</f>
        <v>39987</v>
      </c>
      <c r="DF221" s="181">
        <f t="shared" ref="DF221:EJ221" si="353">AVERAGE(DF178:DF187)</f>
        <v>0</v>
      </c>
      <c r="DG221" s="181">
        <f t="shared" si="353"/>
        <v>0</v>
      </c>
      <c r="DH221" s="181">
        <f t="shared" si="353"/>
        <v>7.7570921985815602</v>
      </c>
      <c r="DI221" s="181">
        <f t="shared" si="353"/>
        <v>42.102730973646274</v>
      </c>
      <c r="DJ221" s="181">
        <f t="shared" si="353"/>
        <v>0</v>
      </c>
      <c r="DK221" s="181">
        <f t="shared" si="353"/>
        <v>7.7570921985815602</v>
      </c>
      <c r="DL221" s="181">
        <f t="shared" si="353"/>
        <v>1.0416666666666665</v>
      </c>
      <c r="DM221" s="181">
        <f t="shared" si="353"/>
        <v>1.0416666666666665</v>
      </c>
      <c r="DN221" s="181">
        <f t="shared" si="353"/>
        <v>3.125</v>
      </c>
      <c r="DO221" s="181">
        <f t="shared" si="353"/>
        <v>1.0416666666666665</v>
      </c>
      <c r="DP221" s="181">
        <f t="shared" si="353"/>
        <v>0</v>
      </c>
      <c r="DQ221" s="181">
        <f t="shared" si="353"/>
        <v>0</v>
      </c>
      <c r="DR221" s="181">
        <f t="shared" si="353"/>
        <v>0</v>
      </c>
      <c r="DS221" s="181">
        <f t="shared" si="353"/>
        <v>0</v>
      </c>
      <c r="DT221" s="181">
        <f t="shared" si="353"/>
        <v>0</v>
      </c>
      <c r="DU221" s="181">
        <f t="shared" si="353"/>
        <v>0</v>
      </c>
      <c r="DV221" s="181">
        <f t="shared" si="353"/>
        <v>0</v>
      </c>
      <c r="DW221" s="181">
        <f t="shared" si="353"/>
        <v>0</v>
      </c>
      <c r="DX221" s="181">
        <f t="shared" si="353"/>
        <v>0</v>
      </c>
      <c r="DY221" s="181">
        <f t="shared" si="353"/>
        <v>0</v>
      </c>
      <c r="DZ221" s="181">
        <f t="shared" si="353"/>
        <v>0</v>
      </c>
      <c r="EA221" s="181">
        <f t="shared" si="353"/>
        <v>0</v>
      </c>
      <c r="EB221" s="181">
        <f t="shared" si="353"/>
        <v>0</v>
      </c>
      <c r="EC221" s="181">
        <f t="shared" si="353"/>
        <v>0</v>
      </c>
      <c r="ED221" s="181">
        <f t="shared" si="353"/>
        <v>0</v>
      </c>
      <c r="EE221" s="181">
        <f t="shared" si="353"/>
        <v>0</v>
      </c>
      <c r="EF221" s="181">
        <f t="shared" si="353"/>
        <v>0</v>
      </c>
      <c r="EG221" s="181">
        <f t="shared" si="353"/>
        <v>0</v>
      </c>
      <c r="EH221" s="181">
        <f t="shared" si="353"/>
        <v>0</v>
      </c>
      <c r="EI221" s="181">
        <f t="shared" si="353"/>
        <v>0</v>
      </c>
      <c r="EJ221" s="181">
        <f t="shared" si="353"/>
        <v>0</v>
      </c>
      <c r="FY221" s="211">
        <v>216</v>
      </c>
      <c r="FZ221">
        <v>104.1959298628659</v>
      </c>
      <c r="GA221">
        <v>133.10029453590235</v>
      </c>
      <c r="GB221">
        <v>31.826136300263769</v>
      </c>
      <c r="GC221">
        <v>36.710214647898098</v>
      </c>
      <c r="GD221">
        <v>47.642281601776695</v>
      </c>
      <c r="GE221">
        <v>79.076119082966187</v>
      </c>
      <c r="GF221">
        <v>57.271775929876092</v>
      </c>
      <c r="GG221">
        <v>66.980575144414246</v>
      </c>
      <c r="GH221">
        <v>91.693102573871485</v>
      </c>
      <c r="GI221">
        <v>82.226560719237924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270.77633985812986</v>
      </c>
      <c r="AO222">
        <v>149.21648320072936</v>
      </c>
      <c r="AP222">
        <v>614.13563992531192</v>
      </c>
      <c r="AQ222">
        <v>830.17639223749165</v>
      </c>
      <c r="AR222">
        <v>140.55220566358776</v>
      </c>
      <c r="AS222">
        <v>1367.7819751616742</v>
      </c>
      <c r="AT222">
        <v>70.219634472346812</v>
      </c>
      <c r="AU222">
        <v>134.71494017369088</v>
      </c>
      <c r="AV222"/>
      <c r="AW222"/>
      <c r="BA222" s="194"/>
      <c r="BB222" s="192"/>
      <c r="BC222" s="197"/>
      <c r="BD222" s="197"/>
      <c r="BE222" s="197"/>
      <c r="BF222" s="197"/>
      <c r="BG222" s="197"/>
      <c r="BH222" s="197"/>
      <c r="BI222" s="197"/>
      <c r="BJ222" s="197"/>
      <c r="BK222" s="197"/>
      <c r="BL222" s="197"/>
      <c r="BM222" s="197"/>
      <c r="BN222" s="197"/>
      <c r="BO222" s="197"/>
      <c r="BP222" s="197"/>
      <c r="BQ222" s="197"/>
      <c r="BR222" s="197"/>
      <c r="BS222" s="197"/>
      <c r="BT222" s="197"/>
      <c r="BU222" s="197"/>
      <c r="BV222" s="197"/>
      <c r="BW222" s="192"/>
      <c r="BX222" s="197"/>
      <c r="BY222" s="192"/>
      <c r="BZ222" s="192"/>
      <c r="CA222" s="192"/>
      <c r="CB222" s="192"/>
      <c r="CC222" s="192"/>
      <c r="CD222" s="192"/>
      <c r="CE222" s="192"/>
      <c r="CF222" s="192"/>
      <c r="CG222" s="193"/>
      <c r="CH222" s="193"/>
      <c r="CI222" s="193"/>
      <c r="CJ222" s="193"/>
      <c r="CK222" s="193"/>
      <c r="CL222" s="193"/>
      <c r="CM222" s="196"/>
      <c r="CN222" s="192"/>
      <c r="CO222" s="192"/>
      <c r="CP222" s="192"/>
      <c r="CQ222" s="192"/>
      <c r="CR222" s="192"/>
      <c r="CS222" s="192"/>
      <c r="CT222" s="192"/>
      <c r="CU222" s="192"/>
      <c r="DE222" s="186"/>
      <c r="DF222" s="181"/>
      <c r="DG222" s="185"/>
      <c r="DH222" s="185"/>
      <c r="DI222" s="185"/>
      <c r="DJ222" s="185"/>
      <c r="DK222" s="185"/>
      <c r="DL222" s="185"/>
      <c r="DM222" s="185"/>
      <c r="DN222" s="185"/>
      <c r="DO222" s="185"/>
      <c r="DP222" s="185"/>
      <c r="DQ222" s="185"/>
      <c r="DR222" s="185"/>
      <c r="DS222" s="185"/>
      <c r="DT222" s="185"/>
      <c r="DU222" s="185"/>
      <c r="DV222" s="185"/>
      <c r="DW222" s="185"/>
      <c r="DX222" s="185"/>
      <c r="DY222" s="185"/>
      <c r="DZ222" s="185"/>
      <c r="EA222" s="181"/>
      <c r="EB222" s="185"/>
      <c r="EC222" s="181"/>
      <c r="ED222" s="181"/>
      <c r="EE222" s="181"/>
      <c r="EF222" s="181"/>
      <c r="EG222" s="181"/>
      <c r="EH222" s="181"/>
      <c r="EI222" s="181"/>
      <c r="EJ222" s="181"/>
      <c r="FY222" s="211">
        <v>217</v>
      </c>
      <c r="FZ222">
        <v>126.33274062899343</v>
      </c>
      <c r="GA222">
        <v>134.05112935404068</v>
      </c>
      <c r="GB222">
        <v>51.381479215102985</v>
      </c>
      <c r="GC222">
        <v>44.95186512729331</v>
      </c>
      <c r="GD222">
        <v>51.576780145935558</v>
      </c>
      <c r="GE222">
        <v>87.971911291938227</v>
      </c>
      <c r="GF222">
        <v>82.241307564577866</v>
      </c>
      <c r="GG222">
        <v>41.459673186094804</v>
      </c>
      <c r="GH222">
        <v>21.075881165576565</v>
      </c>
      <c r="GI222">
        <v>87.680919964588099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238.97073572797234</v>
      </c>
      <c r="AO223">
        <v>149.25443380065011</v>
      </c>
      <c r="AP223">
        <v>708.14284180043205</v>
      </c>
      <c r="AQ223">
        <v>823.46326254059716</v>
      </c>
      <c r="AR223">
        <v>138.98975359266916</v>
      </c>
      <c r="AS223">
        <v>1355.0041741820187</v>
      </c>
      <c r="AT223">
        <v>73.28539479850032</v>
      </c>
      <c r="AU223">
        <v>126.3014863313232</v>
      </c>
      <c r="AV223"/>
      <c r="AW223"/>
      <c r="BA223" s="194"/>
      <c r="BB223" s="192"/>
      <c r="BC223" s="197"/>
      <c r="BD223" s="197"/>
      <c r="BE223" s="197"/>
      <c r="BF223" s="197"/>
      <c r="BG223" s="197"/>
      <c r="BH223" s="197"/>
      <c r="BI223" s="197"/>
      <c r="BJ223" s="197"/>
      <c r="BK223" s="197"/>
      <c r="BL223" s="197"/>
      <c r="BM223" s="197"/>
      <c r="BN223" s="197"/>
      <c r="BO223" s="197"/>
      <c r="BP223" s="197"/>
      <c r="BQ223" s="197"/>
      <c r="BR223" s="197"/>
      <c r="BS223" s="197"/>
      <c r="BT223" s="197"/>
      <c r="BU223" s="197"/>
      <c r="BV223" s="197"/>
      <c r="BW223" s="192"/>
      <c r="BX223" s="197"/>
      <c r="BY223" s="192"/>
      <c r="BZ223" s="192"/>
      <c r="CA223" s="192"/>
      <c r="CB223" s="192"/>
      <c r="CC223" s="192"/>
      <c r="CD223" s="192"/>
      <c r="CE223" s="192"/>
      <c r="CF223" s="192"/>
      <c r="CG223" s="193"/>
      <c r="CH223" s="193"/>
      <c r="CI223" s="193"/>
      <c r="CJ223" s="193"/>
      <c r="CK223" s="193"/>
      <c r="CL223" s="193"/>
      <c r="CM223" s="192"/>
      <c r="CN223" s="192"/>
      <c r="CO223" s="192"/>
      <c r="CP223" s="192"/>
      <c r="CQ223" s="192"/>
      <c r="CR223" s="192"/>
      <c r="CS223" s="192"/>
      <c r="CT223" s="192"/>
      <c r="CU223" s="192"/>
      <c r="DE223" s="186"/>
      <c r="DF223" s="181"/>
      <c r="DG223" s="185"/>
      <c r="DH223" s="185"/>
      <c r="DI223" s="185"/>
      <c r="DJ223" s="185"/>
      <c r="DK223" s="185"/>
      <c r="DL223" s="185"/>
      <c r="DM223" s="185"/>
      <c r="DN223" s="185"/>
      <c r="DO223" s="185"/>
      <c r="DP223" s="185"/>
      <c r="DQ223" s="185"/>
      <c r="DR223" s="185"/>
      <c r="DS223" s="185"/>
      <c r="DT223" s="185"/>
      <c r="DU223" s="185"/>
      <c r="DV223" s="185"/>
      <c r="DW223" s="185"/>
      <c r="DX223" s="185"/>
      <c r="DY223" s="185"/>
      <c r="DZ223" s="185"/>
      <c r="EA223" s="181"/>
      <c r="EB223" s="185"/>
      <c r="EC223" s="181"/>
      <c r="ED223" s="181"/>
      <c r="EE223" s="181"/>
      <c r="EF223" s="181"/>
      <c r="EG223" s="181"/>
      <c r="EH223" s="181"/>
      <c r="EI223" s="181"/>
      <c r="EJ223" s="181"/>
      <c r="FY223" s="211">
        <v>218</v>
      </c>
      <c r="FZ223">
        <v>129.66907822086412</v>
      </c>
      <c r="GA223">
        <v>148.54808639945409</v>
      </c>
      <c r="GB223">
        <v>53.914196526472203</v>
      </c>
      <c r="GC223">
        <v>40.881313361009084</v>
      </c>
      <c r="GD223">
        <v>28.64989244450307</v>
      </c>
      <c r="GE223">
        <v>60.725569450280751</v>
      </c>
      <c r="GF223">
        <v>82.245670299519077</v>
      </c>
      <c r="GG223">
        <v>64.188493762480618</v>
      </c>
      <c r="GH223">
        <v>78.521296665546558</v>
      </c>
      <c r="GI223">
        <v>83.340507404223189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246.88998633463407</v>
      </c>
      <c r="AO224">
        <v>152.5062726269359</v>
      </c>
      <c r="AP224">
        <v>805.1070237043449</v>
      </c>
      <c r="AQ224">
        <v>898.036798097065</v>
      </c>
      <c r="AR224">
        <v>142.90929402137982</v>
      </c>
      <c r="AS224">
        <v>1170.4744523262207</v>
      </c>
      <c r="AT224">
        <v>80.235322881682308</v>
      </c>
      <c r="AU224">
        <v>9.720197492563571</v>
      </c>
      <c r="AV224"/>
      <c r="AW224"/>
      <c r="BA224" s="198"/>
      <c r="BB224" s="193"/>
      <c r="BC224" s="199"/>
      <c r="BD224" s="199"/>
      <c r="BE224" s="199"/>
      <c r="BF224" s="199"/>
      <c r="BG224" s="199"/>
      <c r="BH224" s="199"/>
      <c r="BI224" s="199"/>
      <c r="BJ224" s="199"/>
      <c r="BK224" s="199"/>
      <c r="BL224" s="199"/>
      <c r="BM224" s="199"/>
      <c r="BN224" s="199"/>
      <c r="BO224" s="199"/>
      <c r="BP224" s="199"/>
      <c r="BQ224" s="199"/>
      <c r="BR224" s="199"/>
      <c r="BS224" s="199"/>
      <c r="BT224" s="199"/>
      <c r="BU224" s="199"/>
      <c r="BV224" s="199"/>
      <c r="BW224" s="193"/>
      <c r="BX224" s="199"/>
      <c r="BY224" s="193"/>
      <c r="BZ224" s="193"/>
      <c r="CA224" s="193"/>
      <c r="CB224" s="193"/>
      <c r="CC224" s="193"/>
      <c r="CD224" s="193"/>
      <c r="CE224" s="193"/>
      <c r="CF224" s="193"/>
      <c r="CG224" s="193"/>
      <c r="CH224" s="193"/>
      <c r="CI224" s="193"/>
      <c r="CJ224" s="193"/>
      <c r="CK224" s="193"/>
      <c r="CL224" s="193"/>
      <c r="CM224" s="192"/>
      <c r="CN224" s="192"/>
      <c r="CO224" s="192"/>
      <c r="CP224" s="192"/>
      <c r="CQ224" s="192"/>
      <c r="CR224" s="192"/>
      <c r="CS224" s="192"/>
      <c r="CT224" s="192"/>
      <c r="CU224" s="192"/>
      <c r="DE224" s="183" t="s">
        <v>139</v>
      </c>
      <c r="DH224" s="203" t="s">
        <v>142</v>
      </c>
      <c r="FY224" s="211">
        <v>219</v>
      </c>
      <c r="FZ224">
        <v>115.01487038493275</v>
      </c>
      <c r="GA224">
        <v>187.32433130198854</v>
      </c>
      <c r="GB224">
        <v>61.049294375212</v>
      </c>
      <c r="GC224">
        <v>39.840101723951179</v>
      </c>
      <c r="GD224">
        <v>38.788954067309902</v>
      </c>
      <c r="GE224">
        <v>71.01552592952838</v>
      </c>
      <c r="GF224">
        <v>90.695490516816079</v>
      </c>
      <c r="GG224">
        <v>93.747104828243209</v>
      </c>
      <c r="GH224">
        <v>111.25827042815766</v>
      </c>
      <c r="GI224">
        <v>97.09359611643778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220.76102255578218</v>
      </c>
      <c r="AO225">
        <v>135.38556016212482</v>
      </c>
      <c r="AP225">
        <v>591.46948831579039</v>
      </c>
      <c r="AQ225">
        <v>794.07114026398631</v>
      </c>
      <c r="AR225">
        <v>131.31947546859976</v>
      </c>
      <c r="AS225">
        <v>1356.9716671619901</v>
      </c>
      <c r="AT225">
        <v>71.94168871143539</v>
      </c>
      <c r="AU225">
        <v>80.812211470709983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6">
        <v>39646</v>
      </c>
      <c r="DF225" s="204"/>
      <c r="DG225" s="204">
        <f>((DG212*$H$372)+(DH212*$I$372)+(DI212*$J$372)+(DJ212*$K$372)+(DK212*$L$372)+(DL212*$M$372)+(DM212*$N$372)+(DN212*$O$372)+(DO212*$P$372)+(DP212*$Q$372)+(DQ212*$R$372)+(DR212*$S$372)+(DS212*$T$372)+(DT212*$U$372))/SUM(DG212:DT212)</f>
        <v>0.56782612240458818</v>
      </c>
      <c r="DH225" s="204"/>
      <c r="DI225" s="204"/>
      <c r="DJ225" s="204"/>
      <c r="DK225" s="204"/>
      <c r="DL225" s="204"/>
      <c r="DM225" s="204"/>
      <c r="DN225" s="204"/>
      <c r="DO225" s="204"/>
      <c r="DP225" s="204"/>
      <c r="DQ225" s="204"/>
      <c r="DR225" s="204"/>
      <c r="DS225" s="204"/>
      <c r="DT225" s="204"/>
      <c r="DU225" s="204"/>
      <c r="DV225" s="204"/>
      <c r="DW225" s="204"/>
      <c r="DX225" s="204"/>
      <c r="DY225" s="204"/>
      <c r="DZ225" s="204"/>
      <c r="EA225" s="204"/>
      <c r="EB225" s="204"/>
      <c r="EC225" s="204"/>
      <c r="ED225" s="204"/>
      <c r="EE225" s="204"/>
      <c r="EF225" s="204"/>
      <c r="EG225" s="204"/>
      <c r="EH225" s="204"/>
      <c r="EI225" s="204"/>
      <c r="EJ225" s="204"/>
      <c r="FY225" s="211">
        <v>220</v>
      </c>
      <c r="FZ225">
        <v>128.43466134132564</v>
      </c>
      <c r="GA225">
        <v>179.81406544534164</v>
      </c>
      <c r="GB225">
        <v>55.622021032780637</v>
      </c>
      <c r="GC225">
        <v>46.352425085124153</v>
      </c>
      <c r="GD225">
        <v>38.048116811424507</v>
      </c>
      <c r="GE225">
        <v>40.972483240235135</v>
      </c>
      <c r="GF225">
        <v>74.074721938530743</v>
      </c>
      <c r="GG225">
        <v>94.220831458067522</v>
      </c>
      <c r="GH225">
        <v>92.501550654598589</v>
      </c>
      <c r="GI225">
        <v>89.991640761069689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302.36139593673062</v>
      </c>
      <c r="AO226">
        <v>129.66582462022583</v>
      </c>
      <c r="AP226">
        <v>482.61472695541306</v>
      </c>
      <c r="AQ226">
        <v>744.82916673992281</v>
      </c>
      <c r="AR226">
        <v>123.42786032722032</v>
      </c>
      <c r="AS226">
        <v>1373.9997158881226</v>
      </c>
      <c r="AT226">
        <v>61.785142288294082</v>
      </c>
      <c r="AU226">
        <v>99.416553844178111</v>
      </c>
      <c r="AV226"/>
      <c r="AW226"/>
      <c r="DE226" s="186">
        <f>DE101</f>
        <v>39673</v>
      </c>
      <c r="DF226" s="204"/>
      <c r="DG226" s="204">
        <f t="shared" ref="DG226:DG234" si="354">((DG213*$H$372)+(DH213*$I$372)+(DI213*$J$372)+(DJ213*$K$372)+(DK213*$L$372)+(DL213*$M$372)+(DM213*$N$372)+(DN213*$O$372)+(DO213*$P$372)+(DP213*$Q$372)+(DQ213*$R$372)+(DR213*$S$372)+(DS213*$T$372)+(DT213*$U$372))/SUM(DG213:DT213)</f>
        <v>1.0012487202015792</v>
      </c>
      <c r="DH226" s="204">
        <f>(LN(DG226/DG225))/(DE213-DE212)</f>
        <v>2.1006961883412206E-2</v>
      </c>
      <c r="DI226" s="204"/>
      <c r="DJ226" s="204"/>
      <c r="DK226" s="204"/>
      <c r="DL226" s="204"/>
      <c r="DM226" s="204"/>
      <c r="DN226" s="204"/>
      <c r="DO226" s="204"/>
      <c r="DP226" s="204"/>
      <c r="DQ226" s="204"/>
      <c r="DR226" s="204"/>
      <c r="DS226" s="204"/>
      <c r="DT226" s="204"/>
      <c r="DU226" s="204"/>
      <c r="DV226" s="204"/>
      <c r="DW226" s="204"/>
      <c r="DX226" s="204"/>
      <c r="DY226" s="204"/>
      <c r="DZ226" s="204"/>
      <c r="EA226" s="204"/>
      <c r="EB226" s="204"/>
      <c r="EC226" s="204"/>
      <c r="ED226" s="204"/>
      <c r="EE226" s="204"/>
      <c r="EF226" s="204"/>
      <c r="EG226" s="204"/>
      <c r="EH226" s="204"/>
      <c r="EI226" s="204"/>
      <c r="EJ226" s="204"/>
      <c r="FY226" s="211">
        <v>221</v>
      </c>
      <c r="FZ226">
        <v>133.71340870549136</v>
      </c>
      <c r="GA226">
        <v>182.48615487757061</v>
      </c>
      <c r="GB226">
        <v>50.658002515970161</v>
      </c>
      <c r="GC226">
        <v>39.656997400472143</v>
      </c>
      <c r="GD226">
        <v>48.154199052340878</v>
      </c>
      <c r="GE226">
        <v>82.05204987236695</v>
      </c>
      <c r="GF226">
        <v>91.979465397087893</v>
      </c>
      <c r="GG226">
        <v>58.627550798582291</v>
      </c>
      <c r="GH226">
        <v>46.479079761652663</v>
      </c>
      <c r="GI226">
        <v>92.773953621938091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226.2114646866242</v>
      </c>
      <c r="AO227">
        <v>126.100181597054</v>
      </c>
      <c r="AP227">
        <v>567.76810861362219</v>
      </c>
      <c r="AQ227">
        <v>733.03034394030112</v>
      </c>
      <c r="AR227">
        <v>119.76174800020145</v>
      </c>
      <c r="AS227">
        <v>1178.3309751550985</v>
      </c>
      <c r="AT227">
        <v>59.761164160109026</v>
      </c>
      <c r="AU227">
        <v>230.14232832147877</v>
      </c>
      <c r="AV227"/>
      <c r="AW227"/>
      <c r="DE227" s="186">
        <f>DE111</f>
        <v>39714</v>
      </c>
      <c r="DF227" s="204"/>
      <c r="DG227" s="204">
        <f t="shared" si="354"/>
        <v>0.40535043475022758</v>
      </c>
      <c r="DH227" s="204">
        <f t="shared" ref="DH227:DH234" si="355">(LN(DG227/DG226))/(DE214-DE213)</f>
        <v>-2.2054908688230908E-2</v>
      </c>
      <c r="DI227" s="204"/>
      <c r="DJ227" s="204"/>
      <c r="DK227" s="204"/>
      <c r="DL227" s="204"/>
      <c r="DM227" s="204"/>
      <c r="DN227" s="204"/>
      <c r="DO227" s="204"/>
      <c r="DP227" s="204"/>
      <c r="DQ227" s="204"/>
      <c r="DR227" s="204"/>
      <c r="DS227" s="204"/>
      <c r="DT227" s="204"/>
      <c r="DU227" s="204"/>
      <c r="DV227" s="204"/>
      <c r="DW227" s="204"/>
      <c r="DX227" s="204"/>
      <c r="DY227" s="204"/>
      <c r="DZ227" s="204"/>
      <c r="EA227" s="204"/>
      <c r="EB227" s="204"/>
      <c r="EC227" s="204"/>
      <c r="ED227" s="204"/>
      <c r="EE227" s="204"/>
      <c r="EF227" s="204"/>
      <c r="EG227" s="204"/>
      <c r="EH227" s="204"/>
      <c r="EI227" s="204"/>
      <c r="EJ227" s="204"/>
      <c r="FY227" s="211">
        <v>222</v>
      </c>
      <c r="FZ227">
        <v>110.42424042921468</v>
      </c>
      <c r="GA227">
        <v>151.95286095145823</v>
      </c>
      <c r="GB227">
        <v>43.808138766547081</v>
      </c>
      <c r="GC227">
        <v>50.181202649854711</v>
      </c>
      <c r="GD227">
        <v>57.437893176258768</v>
      </c>
      <c r="GE227">
        <v>104.02072094462787</v>
      </c>
      <c r="GF227">
        <v>118.3700608822807</v>
      </c>
      <c r="GG227">
        <v>46.220917944213753</v>
      </c>
      <c r="GH227">
        <v>28.78326652887479</v>
      </c>
      <c r="GI227">
        <v>97.288074472700615</v>
      </c>
      <c r="GJ227"/>
      <c r="GK227"/>
      <c r="GL227"/>
      <c r="GM227"/>
    </row>
    <row r="228" spans="1:195" s="7" customFormat="1">
      <c r="A228" s="9" t="s">
        <v>60</v>
      </c>
      <c r="B228">
        <v>0.27367113448831737</v>
      </c>
      <c r="C228">
        <v>1</v>
      </c>
      <c r="D228">
        <v>39646</v>
      </c>
      <c r="E228">
        <v>0</v>
      </c>
      <c r="F228">
        <v>0</v>
      </c>
      <c r="G228">
        <v>93.75</v>
      </c>
      <c r="H228">
        <v>83.333333333333329</v>
      </c>
      <c r="I228">
        <v>52.083333333333336</v>
      </c>
      <c r="J228">
        <v>0</v>
      </c>
      <c r="K228">
        <v>10.416666666666666</v>
      </c>
      <c r="L228">
        <v>0</v>
      </c>
      <c r="M228">
        <v>10.416666666666666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223.81701901934724</v>
      </c>
      <c r="AO228">
        <v>131.11581882241717</v>
      </c>
      <c r="AP228">
        <v>419.13965437643219</v>
      </c>
      <c r="AQ228">
        <v>781.8930847395784</v>
      </c>
      <c r="AR228">
        <v>125.23538926971582</v>
      </c>
      <c r="AS228">
        <v>1134.2975524725232</v>
      </c>
      <c r="AT228">
        <v>68.537807070508677</v>
      </c>
      <c r="AU228">
        <v>-55.93381179889046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6">
        <f>DE121</f>
        <v>39747</v>
      </c>
      <c r="DF228" s="204"/>
      <c r="DG228" s="204">
        <f t="shared" si="354"/>
        <v>0.23452104251424324</v>
      </c>
      <c r="DH228" s="204">
        <f t="shared" si="355"/>
        <v>-1.6582019592935614E-2</v>
      </c>
      <c r="DI228" s="204"/>
      <c r="DJ228" s="204"/>
      <c r="DK228" s="204"/>
      <c r="DL228" s="204"/>
      <c r="DM228" s="204"/>
      <c r="DN228" s="204"/>
      <c r="DO228" s="204"/>
      <c r="DP228" s="204"/>
      <c r="DQ228" s="204"/>
      <c r="DR228" s="204"/>
      <c r="DS228" s="204"/>
      <c r="DT228" s="204"/>
      <c r="DU228" s="204"/>
      <c r="DV228" s="204"/>
      <c r="DW228" s="204"/>
      <c r="DX228" s="204"/>
      <c r="DY228" s="204"/>
      <c r="DZ228" s="204"/>
      <c r="EA228" s="204"/>
      <c r="EB228" s="204"/>
      <c r="EC228" s="204"/>
      <c r="ED228" s="204"/>
      <c r="EE228" s="204"/>
      <c r="EF228" s="204"/>
      <c r="EG228" s="204"/>
      <c r="EH228" s="204"/>
      <c r="EI228" s="204"/>
      <c r="EJ228" s="204"/>
      <c r="FY228" s="211">
        <v>223</v>
      </c>
      <c r="FZ228">
        <v>112.34803560665765</v>
      </c>
      <c r="GA228">
        <v>116.94305766346147</v>
      </c>
      <c r="GB228">
        <v>44.366570922280175</v>
      </c>
      <c r="GC228">
        <v>48.366107798157081</v>
      </c>
      <c r="GD228">
        <v>43.377827994293362</v>
      </c>
      <c r="GE228">
        <v>68.46846783871122</v>
      </c>
      <c r="GF228">
        <v>95.048373606623329</v>
      </c>
      <c r="GG228">
        <v>56.037778653623064</v>
      </c>
      <c r="GH228">
        <v>39.607576447198937</v>
      </c>
      <c r="GI228">
        <v>84.552027905576296</v>
      </c>
      <c r="GJ228"/>
      <c r="GK228"/>
      <c r="GL228"/>
      <c r="GM228"/>
    </row>
    <row r="229" spans="1:195" s="7" customFormat="1">
      <c r="A229" s="90"/>
      <c r="B229">
        <v>0.60680428917920803</v>
      </c>
      <c r="C229">
        <v>1</v>
      </c>
      <c r="D229">
        <v>39646</v>
      </c>
      <c r="E229">
        <v>0</v>
      </c>
      <c r="F229">
        <v>0</v>
      </c>
      <c r="G229">
        <v>93.75</v>
      </c>
      <c r="H229">
        <v>83.333333333333329</v>
      </c>
      <c r="I229">
        <v>52.083333333333336</v>
      </c>
      <c r="J229">
        <v>0</v>
      </c>
      <c r="K229">
        <v>10.416666666666666</v>
      </c>
      <c r="L229">
        <v>0</v>
      </c>
      <c r="M229">
        <v>10.416666666666666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225.48354706565291</v>
      </c>
      <c r="AO229">
        <v>136.70661927621796</v>
      </c>
      <c r="AP229">
        <v>661.27689044125555</v>
      </c>
      <c r="AQ229">
        <v>783.51498565740883</v>
      </c>
      <c r="AR229">
        <v>127.89126909828107</v>
      </c>
      <c r="AS229">
        <v>1200.2163704746245</v>
      </c>
      <c r="AT229">
        <v>66.645555555883917</v>
      </c>
      <c r="AU229">
        <v>71.705692203593387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6">
        <f>DE131</f>
        <v>39775</v>
      </c>
      <c r="DF229" s="204"/>
      <c r="DG229" s="204">
        <f t="shared" si="354"/>
        <v>0.53710325965177363</v>
      </c>
      <c r="DH229" s="204">
        <f t="shared" si="355"/>
        <v>2.9594466017183133E-2</v>
      </c>
      <c r="DI229" s="204"/>
      <c r="DJ229" s="204"/>
      <c r="DK229" s="204"/>
      <c r="DL229" s="204"/>
      <c r="DM229" s="204"/>
      <c r="DN229" s="204"/>
      <c r="DO229" s="204"/>
      <c r="DP229" s="204"/>
      <c r="DQ229" s="204"/>
      <c r="DR229" s="204"/>
      <c r="DS229" s="204"/>
      <c r="DT229" s="204"/>
      <c r="DU229" s="204"/>
      <c r="DV229" s="204"/>
      <c r="DW229" s="204"/>
      <c r="DX229" s="204"/>
      <c r="DY229" s="204"/>
      <c r="DZ229" s="204"/>
      <c r="EA229" s="204"/>
      <c r="EB229" s="204"/>
      <c r="EC229" s="204"/>
      <c r="ED229" s="204"/>
      <c r="EE229" s="204"/>
      <c r="EF229" s="204"/>
      <c r="EG229" s="204"/>
      <c r="EH229" s="204"/>
      <c r="EI229" s="204"/>
      <c r="EJ229" s="204"/>
      <c r="FY229" s="211">
        <v>224</v>
      </c>
      <c r="FZ229">
        <v>115.11175949192983</v>
      </c>
      <c r="GA229">
        <v>158.66661287570156</v>
      </c>
      <c r="GB229">
        <v>57.639022287610935</v>
      </c>
      <c r="GC229">
        <v>54.027113485993219</v>
      </c>
      <c r="GD229">
        <v>50.319905027185222</v>
      </c>
      <c r="GE229">
        <v>88.431595598224092</v>
      </c>
      <c r="GF229">
        <v>118.70608626642749</v>
      </c>
      <c r="GG229">
        <v>54.246267610894108</v>
      </c>
      <c r="GH229">
        <v>42.979153237100959</v>
      </c>
      <c r="GI229">
        <v>99.360138663423299</v>
      </c>
      <c r="GJ229"/>
      <c r="GK229"/>
      <c r="GL229"/>
      <c r="GM229"/>
    </row>
    <row r="230" spans="1:195" s="7" customFormat="1">
      <c r="A230" s="77"/>
      <c r="B230">
        <v>0.9846156948862701</v>
      </c>
      <c r="C230">
        <v>7</v>
      </c>
      <c r="D230">
        <v>39646</v>
      </c>
      <c r="E230">
        <v>0</v>
      </c>
      <c r="F230">
        <v>0</v>
      </c>
      <c r="G230">
        <v>0</v>
      </c>
      <c r="H230">
        <v>31.25</v>
      </c>
      <c r="I230">
        <v>20.833333333333332</v>
      </c>
      <c r="J230">
        <v>0</v>
      </c>
      <c r="K230">
        <v>10.416666666666666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207.46413587465022</v>
      </c>
      <c r="AO230">
        <v>135.30125085822274</v>
      </c>
      <c r="AP230">
        <v>660.75385514729089</v>
      </c>
      <c r="AQ230">
        <v>731.40926848783602</v>
      </c>
      <c r="AR230">
        <v>128.11756102512487</v>
      </c>
      <c r="AS230">
        <v>1283.5058210852947</v>
      </c>
      <c r="AT230">
        <v>68.748628496895051</v>
      </c>
      <c r="AU230">
        <v>229.73196419561268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6">
        <f>DE141</f>
        <v>39799</v>
      </c>
      <c r="DF230" s="204"/>
      <c r="DG230" s="204">
        <f t="shared" si="354"/>
        <v>0.31454892399133816</v>
      </c>
      <c r="DH230" s="204">
        <f t="shared" si="355"/>
        <v>-2.2293780860626358E-2</v>
      </c>
      <c r="DI230" s="204"/>
      <c r="DJ230" s="204"/>
      <c r="DK230" s="204"/>
      <c r="DL230" s="204"/>
      <c r="DM230" s="204"/>
      <c r="DN230" s="204"/>
      <c r="DO230" s="204"/>
      <c r="DP230" s="204"/>
      <c r="DQ230" s="204"/>
      <c r="DR230" s="204"/>
      <c r="DS230" s="204"/>
      <c r="DT230" s="204"/>
      <c r="DU230" s="204"/>
      <c r="DV230" s="204"/>
      <c r="DW230" s="204"/>
      <c r="DX230" s="204"/>
      <c r="DY230" s="204"/>
      <c r="DZ230" s="204"/>
      <c r="EA230" s="204"/>
      <c r="EB230" s="204"/>
      <c r="EC230" s="204"/>
      <c r="ED230" s="204"/>
      <c r="EE230" s="204"/>
      <c r="EF230" s="204"/>
      <c r="EG230" s="204"/>
      <c r="EH230" s="204"/>
      <c r="EI230" s="204"/>
      <c r="EJ230" s="204"/>
      <c r="FY230" s="211">
        <v>225</v>
      </c>
      <c r="FZ230">
        <v>146.93178852725816</v>
      </c>
      <c r="GA230">
        <v>160.09573329487523</v>
      </c>
      <c r="GB230">
        <v>51.383563224224389</v>
      </c>
      <c r="GC230">
        <v>38.503382736570337</v>
      </c>
      <c r="GD230">
        <v>33.627730908327706</v>
      </c>
      <c r="GE230">
        <v>55.741249446391151</v>
      </c>
      <c r="GF230">
        <v>73.550989911148832</v>
      </c>
      <c r="GG230">
        <v>61.104640455647818</v>
      </c>
      <c r="GH230">
        <v>43.879959896981433</v>
      </c>
      <c r="GI230">
        <v>80.377827644301746</v>
      </c>
      <c r="GJ230"/>
      <c r="GK230"/>
      <c r="GL230"/>
      <c r="GM230"/>
    </row>
    <row r="231" spans="1:195" s="7" customFormat="1">
      <c r="A231" s="77"/>
      <c r="B231">
        <v>0.72127255214873731</v>
      </c>
      <c r="C231">
        <v>10</v>
      </c>
      <c r="D231">
        <v>39646</v>
      </c>
      <c r="E231">
        <v>0</v>
      </c>
      <c r="F231">
        <v>0</v>
      </c>
      <c r="G231">
        <v>72.916666666666671</v>
      </c>
      <c r="H231">
        <v>83.333333333333329</v>
      </c>
      <c r="I231">
        <v>83.333333333333329</v>
      </c>
      <c r="J231">
        <v>0</v>
      </c>
      <c r="K231">
        <v>41.666666666666664</v>
      </c>
      <c r="L231">
        <v>20.833333333333332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273.6722543655647</v>
      </c>
      <c r="AO231">
        <v>139.3990769584839</v>
      </c>
      <c r="AP231">
        <v>569.97377669662205</v>
      </c>
      <c r="AQ231">
        <v>777.22766679436552</v>
      </c>
      <c r="AR231">
        <v>132.55247659783026</v>
      </c>
      <c r="AS231">
        <v>1264.6691150177339</v>
      </c>
      <c r="AT231">
        <v>66.595223452020477</v>
      </c>
      <c r="AU231">
        <v>226.04912022946476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6">
        <f>DE151</f>
        <v>39847</v>
      </c>
      <c r="DF231" s="204"/>
      <c r="DG231" s="204">
        <f t="shared" si="354"/>
        <v>0.97889630484045453</v>
      </c>
      <c r="DH231" s="204">
        <f t="shared" si="355"/>
        <v>2.3651793588113146E-2</v>
      </c>
      <c r="DI231" s="204"/>
      <c r="DJ231" s="204"/>
      <c r="DK231" s="204"/>
      <c r="DL231" s="204"/>
      <c r="DM231" s="204"/>
      <c r="DN231" s="204"/>
      <c r="DO231" s="204"/>
      <c r="DP231" s="204"/>
      <c r="DQ231" s="204"/>
      <c r="DR231" s="204"/>
      <c r="DS231" s="204"/>
      <c r="DT231" s="204"/>
      <c r="DU231" s="204"/>
      <c r="DV231" s="204"/>
      <c r="DW231" s="204"/>
      <c r="DX231" s="204"/>
      <c r="DY231" s="204"/>
      <c r="DZ231" s="204"/>
      <c r="EA231" s="204"/>
      <c r="EB231" s="204"/>
      <c r="EC231" s="204"/>
      <c r="ED231" s="204"/>
      <c r="EE231" s="204"/>
      <c r="EF231" s="204"/>
      <c r="EG231" s="204"/>
      <c r="EH231" s="204"/>
      <c r="EI231" s="204"/>
      <c r="EJ231" s="204"/>
      <c r="FY231" s="211">
        <v>226</v>
      </c>
      <c r="FZ231">
        <v>127.04783428636702</v>
      </c>
      <c r="GA231">
        <v>134.61199006290022</v>
      </c>
      <c r="GB231">
        <v>48.428643667749668</v>
      </c>
      <c r="GC231">
        <v>50.82257482296469</v>
      </c>
      <c r="GD231">
        <v>43.707089021945059</v>
      </c>
      <c r="GE231">
        <v>59.819422458275639</v>
      </c>
      <c r="GF231">
        <v>68.561760069946033</v>
      </c>
      <c r="GG231">
        <v>103.35465463155064</v>
      </c>
      <c r="GH231">
        <v>134.08569022463104</v>
      </c>
      <c r="GI231">
        <v>96.326004665030126</v>
      </c>
      <c r="GJ231"/>
      <c r="GK231"/>
      <c r="GL231"/>
      <c r="GM231"/>
    </row>
    <row r="232" spans="1:195" s="7" customFormat="1">
      <c r="A232" s="77"/>
      <c r="B232">
        <v>0.52954905674580655</v>
      </c>
      <c r="C232">
        <v>2</v>
      </c>
      <c r="D232">
        <v>39646</v>
      </c>
      <c r="E232">
        <v>0</v>
      </c>
      <c r="F232">
        <v>0</v>
      </c>
      <c r="G232">
        <v>10.416666666666666</v>
      </c>
      <c r="H232">
        <v>31.25</v>
      </c>
      <c r="I232">
        <v>62.5</v>
      </c>
      <c r="J232">
        <v>10.416666666666666</v>
      </c>
      <c r="K232">
        <v>62.5</v>
      </c>
      <c r="L232">
        <v>10.416666666666666</v>
      </c>
      <c r="M232">
        <v>31.25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220.04389737048183</v>
      </c>
      <c r="AO232">
        <v>132.51032951759109</v>
      </c>
      <c r="AP232">
        <v>487.39943984533977</v>
      </c>
      <c r="AQ232">
        <v>730.72299039907273</v>
      </c>
      <c r="AR232">
        <v>123.88653561468651</v>
      </c>
      <c r="AS232">
        <v>1226.9060714177044</v>
      </c>
      <c r="AT232">
        <v>65.638715242511452</v>
      </c>
      <c r="AU232">
        <v>-2.7462432190165345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6">
        <f>DE162</f>
        <v>39910</v>
      </c>
      <c r="DF232" s="204"/>
      <c r="DG232" s="204">
        <f t="shared" si="354"/>
        <v>0.83736525106090864</v>
      </c>
      <c r="DH232" s="204">
        <f t="shared" si="355"/>
        <v>-2.4788152532308743E-3</v>
      </c>
      <c r="DI232" s="204"/>
      <c r="DJ232" s="204"/>
      <c r="DK232" s="204"/>
      <c r="DL232" s="204"/>
      <c r="DM232" s="204"/>
      <c r="DN232" s="204"/>
      <c r="DO232" s="204"/>
      <c r="DP232" s="204"/>
      <c r="DQ232" s="204"/>
      <c r="DR232" s="204"/>
      <c r="DS232" s="204"/>
      <c r="DT232" s="204"/>
      <c r="DU232" s="204"/>
      <c r="DV232" s="204"/>
      <c r="DW232" s="204"/>
      <c r="DX232" s="204"/>
      <c r="DY232" s="204"/>
      <c r="DZ232" s="204"/>
      <c r="EA232" s="204"/>
      <c r="EB232" s="204"/>
      <c r="EC232" s="204"/>
      <c r="ED232" s="204"/>
      <c r="EE232" s="204"/>
      <c r="EF232" s="204"/>
      <c r="EG232" s="204"/>
      <c r="EH232" s="204"/>
      <c r="EI232" s="204"/>
      <c r="EJ232" s="204"/>
      <c r="FY232" s="211">
        <v>227</v>
      </c>
      <c r="FZ232">
        <v>112.20333335859692</v>
      </c>
      <c r="GA232">
        <v>149.46318399783161</v>
      </c>
      <c r="GB232">
        <v>52.665430707501336</v>
      </c>
      <c r="GC232">
        <v>39.465516284652402</v>
      </c>
      <c r="GD232">
        <v>41.884601488359216</v>
      </c>
      <c r="GE232">
        <v>86.17632357008452</v>
      </c>
      <c r="GF232">
        <v>88.333094416753866</v>
      </c>
      <c r="GG232">
        <v>55.099411161259752</v>
      </c>
      <c r="GH232">
        <v>66.33331011409247</v>
      </c>
      <c r="GI232">
        <v>88.372272777566238</v>
      </c>
      <c r="GJ232"/>
      <c r="GK232"/>
      <c r="GL232"/>
      <c r="GM232"/>
    </row>
    <row r="233" spans="1:195" s="7" customFormat="1">
      <c r="A233" s="77"/>
      <c r="B233">
        <v>0.71527688102474407</v>
      </c>
      <c r="C233">
        <v>5</v>
      </c>
      <c r="D233">
        <v>39646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261.55451855884024</v>
      </c>
      <c r="AO233">
        <v>136.57581737660445</v>
      </c>
      <c r="AP233">
        <v>653.61937416108321</v>
      </c>
      <c r="AQ233">
        <v>728.72368764414159</v>
      </c>
      <c r="AR233">
        <v>130.29333614040277</v>
      </c>
      <c r="AS233">
        <v>1331.4888211272189</v>
      </c>
      <c r="AT233">
        <v>65.165983372133283</v>
      </c>
      <c r="AU233">
        <v>325.7463703676512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6">
        <f>DE171</f>
        <v>39949</v>
      </c>
      <c r="DF233" s="204"/>
      <c r="DG233" s="204">
        <f t="shared" si="354"/>
        <v>2.6349195408205719</v>
      </c>
      <c r="DH233" s="204">
        <f t="shared" si="355"/>
        <v>2.9393527415835743E-2</v>
      </c>
      <c r="DI233" s="204"/>
      <c r="DJ233" s="204"/>
      <c r="DK233" s="204"/>
      <c r="DL233" s="204"/>
      <c r="DM233" s="204"/>
      <c r="DN233" s="204"/>
      <c r="DO233" s="204"/>
      <c r="DP233" s="204"/>
      <c r="DQ233" s="204"/>
      <c r="DR233" s="204"/>
      <c r="DS233" s="204"/>
      <c r="DT233" s="204"/>
      <c r="DU233" s="204"/>
      <c r="DV233" s="204"/>
      <c r="DW233" s="204"/>
      <c r="DX233" s="204"/>
      <c r="DY233" s="204"/>
      <c r="DZ233" s="204"/>
      <c r="EA233" s="204"/>
      <c r="EB233" s="204"/>
      <c r="EC233" s="204"/>
      <c r="ED233" s="204"/>
      <c r="EE233" s="204"/>
      <c r="EF233" s="204"/>
      <c r="EG233" s="204"/>
      <c r="EH233" s="204"/>
      <c r="EI233" s="204"/>
      <c r="EJ233" s="204"/>
      <c r="FY233" s="211">
        <v>228</v>
      </c>
      <c r="FZ233">
        <v>125.77322415632776</v>
      </c>
      <c r="GA233">
        <v>149.86370900275026</v>
      </c>
      <c r="GB233">
        <v>67.15522777131774</v>
      </c>
      <c r="GC233">
        <v>50.061550212354796</v>
      </c>
      <c r="GD233">
        <v>28.763854752415778</v>
      </c>
      <c r="GE233">
        <v>66.699412048987966</v>
      </c>
      <c r="GF233">
        <v>119.88233586030682</v>
      </c>
      <c r="GG233">
        <v>72.129762474104524</v>
      </c>
      <c r="GH233">
        <v>74.406953963779401</v>
      </c>
      <c r="GI233">
        <v>94.059192994726573</v>
      </c>
      <c r="GJ233"/>
      <c r="GK233"/>
      <c r="GL233"/>
      <c r="GM233"/>
    </row>
    <row r="234" spans="1:195" s="7" customFormat="1">
      <c r="A234" s="77"/>
      <c r="B234">
        <v>0.50846019901033412</v>
      </c>
      <c r="C234">
        <v>7</v>
      </c>
      <c r="D234">
        <v>39646</v>
      </c>
      <c r="E234">
        <v>0</v>
      </c>
      <c r="F234">
        <v>0</v>
      </c>
      <c r="G234">
        <v>0</v>
      </c>
      <c r="H234">
        <v>31.25</v>
      </c>
      <c r="I234">
        <v>20.833333333333332</v>
      </c>
      <c r="J234">
        <v>0</v>
      </c>
      <c r="K234">
        <v>10.416666666666666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227.65131246918008</v>
      </c>
      <c r="AO234">
        <v>133.66163953977002</v>
      </c>
      <c r="AP234">
        <v>563.99425587112455</v>
      </c>
      <c r="AQ234">
        <v>770.68410453435285</v>
      </c>
      <c r="AR234">
        <v>126.3219525629769</v>
      </c>
      <c r="AS234">
        <v>1402.4770335319063</v>
      </c>
      <c r="AT234">
        <v>67.400196143879072</v>
      </c>
      <c r="AU234">
        <v>118.93681386498884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6">
        <f>DE181</f>
        <v>39987</v>
      </c>
      <c r="DF234" s="204"/>
      <c r="DG234" s="204">
        <f t="shared" si="354"/>
        <v>0.5203123847234451</v>
      </c>
      <c r="DH234" s="204">
        <f t="shared" si="355"/>
        <v>-4.2688909333158255E-2</v>
      </c>
      <c r="DI234" s="204"/>
      <c r="DJ234" s="204"/>
      <c r="DK234" s="204"/>
      <c r="DL234" s="204"/>
      <c r="DM234" s="204"/>
      <c r="DN234" s="204"/>
      <c r="DO234" s="204"/>
      <c r="DP234" s="204"/>
      <c r="DQ234" s="204"/>
      <c r="DR234" s="204"/>
      <c r="DS234" s="204"/>
      <c r="DT234" s="204"/>
      <c r="DU234" s="204"/>
      <c r="DV234" s="204"/>
      <c r="DW234" s="204"/>
      <c r="DX234" s="204"/>
      <c r="DY234" s="204"/>
      <c r="DZ234" s="204"/>
      <c r="EA234" s="204"/>
      <c r="EB234" s="204"/>
      <c r="EC234" s="204"/>
      <c r="ED234" s="204"/>
      <c r="EE234" s="204"/>
      <c r="EF234" s="204"/>
      <c r="EG234" s="204"/>
      <c r="EH234" s="204"/>
      <c r="EI234" s="204"/>
      <c r="EJ234" s="204"/>
      <c r="FY234" s="211">
        <v>229</v>
      </c>
      <c r="FZ234">
        <v>126.5166985495374</v>
      </c>
      <c r="GA234">
        <v>168.79368463478951</v>
      </c>
      <c r="GB234">
        <v>56.890809522818117</v>
      </c>
      <c r="GC234">
        <v>44.727113838172556</v>
      </c>
      <c r="GD234">
        <v>37.486182611792543</v>
      </c>
      <c r="GE234">
        <v>99.959549803986988</v>
      </c>
      <c r="GF234">
        <v>164.61664821306815</v>
      </c>
      <c r="GG234">
        <v>79.974774397050524</v>
      </c>
      <c r="GH234">
        <v>67.751787773318156</v>
      </c>
      <c r="GI234">
        <v>106.39534844159719</v>
      </c>
      <c r="GJ234"/>
      <c r="GK234"/>
      <c r="GL234"/>
      <c r="GM234"/>
    </row>
    <row r="235" spans="1:195" s="7" customFormat="1">
      <c r="A235" s="77"/>
      <c r="B235">
        <v>0.40126829705873401</v>
      </c>
      <c r="C235">
        <v>10</v>
      </c>
      <c r="D235">
        <v>39646</v>
      </c>
      <c r="E235">
        <v>0</v>
      </c>
      <c r="F235">
        <v>0</v>
      </c>
      <c r="G235">
        <v>72.916666666666671</v>
      </c>
      <c r="H235">
        <v>83.333333333333329</v>
      </c>
      <c r="I235">
        <v>83.333333333333329</v>
      </c>
      <c r="J235">
        <v>0</v>
      </c>
      <c r="K235">
        <v>41.666666666666664</v>
      </c>
      <c r="L235">
        <v>20.833333333333332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265.72956916028988</v>
      </c>
      <c r="AO235">
        <v>159.24048645398148</v>
      </c>
      <c r="AP235">
        <v>622.65020393435077</v>
      </c>
      <c r="AQ235">
        <v>905.82753967257747</v>
      </c>
      <c r="AR235">
        <v>148.64356811473951</v>
      </c>
      <c r="AS235">
        <v>1422.199202601051</v>
      </c>
      <c r="AT235">
        <v>80.373012256218985</v>
      </c>
      <c r="AU235">
        <v>-49.537798371741843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4"/>
      <c r="DG235" s="204"/>
      <c r="DH235" s="204"/>
      <c r="DI235" s="204"/>
      <c r="DJ235" s="204"/>
      <c r="DK235" s="204"/>
      <c r="DL235" s="204"/>
      <c r="DM235" s="204"/>
      <c r="DN235" s="204"/>
      <c r="DO235" s="204"/>
      <c r="DP235" s="204"/>
      <c r="DQ235" s="204"/>
      <c r="DR235" s="204"/>
      <c r="DS235" s="204"/>
      <c r="DT235" s="204"/>
      <c r="DU235" s="204"/>
      <c r="DV235" s="204"/>
      <c r="DW235" s="204"/>
      <c r="DX235" s="204"/>
      <c r="DY235" s="204"/>
      <c r="DZ235" s="204"/>
      <c r="EA235" s="204"/>
      <c r="EB235" s="204"/>
      <c r="EC235" s="204"/>
      <c r="ED235" s="204"/>
      <c r="EE235" s="204"/>
      <c r="EF235" s="204"/>
      <c r="EG235" s="204"/>
      <c r="EH235" s="204"/>
      <c r="EI235" s="204"/>
      <c r="EJ235" s="204"/>
      <c r="FY235" s="211">
        <v>230</v>
      </c>
      <c r="FZ235">
        <v>100.23689472630649</v>
      </c>
      <c r="GA235">
        <v>107.93881061305464</v>
      </c>
      <c r="GB235">
        <v>46.817751653793849</v>
      </c>
      <c r="GC235">
        <v>48.293395302303608</v>
      </c>
      <c r="GD235">
        <v>37.359456022228564</v>
      </c>
      <c r="GE235">
        <v>72.467977756528384</v>
      </c>
      <c r="GF235">
        <v>119.98931297683457</v>
      </c>
      <c r="GG235">
        <v>92.1296111538297</v>
      </c>
      <c r="GH235">
        <v>97.344751592281995</v>
      </c>
      <c r="GI235">
        <v>94.905347685768461</v>
      </c>
      <c r="GJ235"/>
      <c r="GK235"/>
      <c r="GL235"/>
      <c r="GM235"/>
    </row>
    <row r="236" spans="1:195" s="7" customFormat="1">
      <c r="A236" s="77"/>
      <c r="B236">
        <v>0.66892631490870169</v>
      </c>
      <c r="C236">
        <v>3</v>
      </c>
      <c r="D236">
        <v>39646</v>
      </c>
      <c r="E236">
        <v>0</v>
      </c>
      <c r="F236">
        <v>0</v>
      </c>
      <c r="G236">
        <v>10.416666666666666</v>
      </c>
      <c r="H236">
        <v>41.666666666666664</v>
      </c>
      <c r="I236">
        <v>0</v>
      </c>
      <c r="J236">
        <v>20.833333333333332</v>
      </c>
      <c r="K236">
        <v>10.416666666666666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256.40924417848078</v>
      </c>
      <c r="AO236">
        <v>143.87456124505118</v>
      </c>
      <c r="AP236">
        <v>548.68824996571118</v>
      </c>
      <c r="AQ236">
        <v>840.03251776849834</v>
      </c>
      <c r="AR236">
        <v>136.14288418866161</v>
      </c>
      <c r="AS236">
        <v>1298.7781213891039</v>
      </c>
      <c r="AT236">
        <v>69.779210915353787</v>
      </c>
      <c r="AU236">
        <v>5.3606049052877438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4"/>
      <c r="DG236" s="204"/>
      <c r="DH236" s="204"/>
      <c r="DI236" s="204"/>
      <c r="DJ236" s="204"/>
      <c r="DK236" s="204"/>
      <c r="DL236" s="204"/>
      <c r="DM236" s="204"/>
      <c r="DN236" s="204"/>
      <c r="DO236" s="204"/>
      <c r="DP236" s="204"/>
      <c r="DQ236" s="204"/>
      <c r="DR236" s="204"/>
      <c r="DS236" s="204"/>
      <c r="DT236" s="204"/>
      <c r="DU236" s="204"/>
      <c r="DV236" s="204"/>
      <c r="DW236" s="204"/>
      <c r="DX236" s="204"/>
      <c r="DY236" s="204"/>
      <c r="DZ236" s="204"/>
      <c r="EA236" s="204"/>
      <c r="EB236" s="204"/>
      <c r="EC236" s="204"/>
      <c r="ED236" s="204"/>
      <c r="EE236" s="204"/>
      <c r="EF236" s="204"/>
      <c r="EG236" s="204"/>
      <c r="EH236" s="204"/>
      <c r="EI236" s="204"/>
      <c r="EJ236" s="204"/>
      <c r="FY236" s="211">
        <v>231</v>
      </c>
      <c r="FZ236">
        <v>126.62168661771278</v>
      </c>
      <c r="GA236">
        <v>120.17959782006339</v>
      </c>
      <c r="GB236">
        <v>44.53230214404411</v>
      </c>
      <c r="GC236">
        <v>40.550611211049635</v>
      </c>
      <c r="GD236">
        <v>24.967854674573445</v>
      </c>
      <c r="GE236">
        <v>46.144867427836083</v>
      </c>
      <c r="GF236">
        <v>75.439119039725895</v>
      </c>
      <c r="GG236">
        <v>29.896700581187247</v>
      </c>
      <c r="GH236">
        <v>40.557104580204367</v>
      </c>
      <c r="GI236">
        <v>69.912805584247238</v>
      </c>
      <c r="GJ236"/>
      <c r="GK236"/>
      <c r="GL236"/>
      <c r="GM236"/>
    </row>
    <row r="237" spans="1:195" s="7" customFormat="1">
      <c r="A237" s="77"/>
      <c r="B237">
        <v>0.94116704946056906</v>
      </c>
      <c r="C237">
        <v>8</v>
      </c>
      <c r="D237">
        <v>39646</v>
      </c>
      <c r="E237">
        <v>0</v>
      </c>
      <c r="F237">
        <v>20.833333333333332</v>
      </c>
      <c r="G237">
        <v>0</v>
      </c>
      <c r="H237">
        <v>20.833333333333332</v>
      </c>
      <c r="I237">
        <v>0</v>
      </c>
      <c r="J237">
        <v>10.416666666666666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266.19788076526436</v>
      </c>
      <c r="AO237">
        <v>146.69874288155808</v>
      </c>
      <c r="AP237">
        <v>702.2776728522025</v>
      </c>
      <c r="AQ237">
        <v>826.58086200347304</v>
      </c>
      <c r="AR237">
        <v>138.94054118830252</v>
      </c>
      <c r="AS237">
        <v>1372.6102206384469</v>
      </c>
      <c r="AT237">
        <v>70.63596446687383</v>
      </c>
      <c r="AU237">
        <v>270.34421161734718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4"/>
      <c r="DG237" s="204"/>
      <c r="DH237" s="204"/>
      <c r="DI237" s="204"/>
      <c r="DJ237" s="204"/>
      <c r="DK237" s="204"/>
      <c r="DL237" s="204"/>
      <c r="DM237" s="204"/>
      <c r="DN237" s="204"/>
      <c r="DO237" s="204"/>
      <c r="DP237" s="204"/>
      <c r="DQ237" s="204"/>
      <c r="DR237" s="204"/>
      <c r="DS237" s="204"/>
      <c r="DT237" s="204"/>
      <c r="DU237" s="204"/>
      <c r="DV237" s="204"/>
      <c r="DW237" s="204"/>
      <c r="DX237" s="204"/>
      <c r="DY237" s="204"/>
      <c r="DZ237" s="204"/>
      <c r="EA237" s="204"/>
      <c r="EB237" s="204"/>
      <c r="EC237" s="204"/>
      <c r="ED237" s="204"/>
      <c r="EE237" s="204"/>
      <c r="EF237" s="204"/>
      <c r="EG237" s="204"/>
      <c r="EH237" s="204"/>
      <c r="EI237" s="204"/>
      <c r="EJ237" s="204"/>
      <c r="FY237" s="211">
        <v>232</v>
      </c>
      <c r="FZ237">
        <v>119.64703256167725</v>
      </c>
      <c r="GA237">
        <v>148.560279171085</v>
      </c>
      <c r="GB237">
        <v>38.115324481828893</v>
      </c>
      <c r="GC237">
        <v>36.35157001025177</v>
      </c>
      <c r="GD237">
        <v>32.799869991903485</v>
      </c>
      <c r="GE237">
        <v>79.961583335710571</v>
      </c>
      <c r="GF237">
        <v>153.21555839608919</v>
      </c>
      <c r="GG237">
        <v>110.83919051296527</v>
      </c>
      <c r="GH237">
        <v>96.948349330739106</v>
      </c>
      <c r="GI237">
        <v>100.55462087102993</v>
      </c>
      <c r="GJ237"/>
      <c r="GK237"/>
      <c r="GL237"/>
      <c r="GM237"/>
    </row>
    <row r="238" spans="1:195" s="7" customFormat="1">
      <c r="A238" s="77"/>
      <c r="B238">
        <v>0.90122704822524402</v>
      </c>
      <c r="C238">
        <v>7</v>
      </c>
      <c r="D238">
        <v>39673</v>
      </c>
      <c r="E238">
        <v>0</v>
      </c>
      <c r="F238">
        <v>0</v>
      </c>
      <c r="G238">
        <v>0</v>
      </c>
      <c r="H238">
        <v>0</v>
      </c>
      <c r="I238">
        <v>20.833333333333332</v>
      </c>
      <c r="J238">
        <v>31.25</v>
      </c>
      <c r="K238">
        <v>41.666666666666664</v>
      </c>
      <c r="L238">
        <v>52.083333333333336</v>
      </c>
      <c r="M238">
        <v>10.416666666666666</v>
      </c>
      <c r="N238">
        <v>10.416666666666666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266.81377166566</v>
      </c>
      <c r="AO238">
        <v>157.08925631109514</v>
      </c>
      <c r="AP238">
        <v>886.88040766864458</v>
      </c>
      <c r="AQ238">
        <v>808.48737674603115</v>
      </c>
      <c r="AR238">
        <v>146.38703824092286</v>
      </c>
      <c r="AS238">
        <v>1650.8233663115443</v>
      </c>
      <c r="AT238">
        <v>76.690875999510098</v>
      </c>
      <c r="AU238">
        <v>362.4012664247042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4"/>
      <c r="DG238" s="204"/>
      <c r="DH238" s="204"/>
      <c r="DI238" s="204"/>
      <c r="DJ238" s="204"/>
      <c r="DK238" s="204"/>
      <c r="DL238" s="204"/>
      <c r="DM238" s="204"/>
      <c r="DN238" s="204"/>
      <c r="DO238" s="204"/>
      <c r="DP238" s="204"/>
      <c r="DQ238" s="204"/>
      <c r="DR238" s="204"/>
      <c r="DS238" s="204"/>
      <c r="DT238" s="204"/>
      <c r="DU238" s="204"/>
      <c r="DV238" s="204"/>
      <c r="DW238" s="204"/>
      <c r="DX238" s="204"/>
      <c r="DY238" s="204"/>
      <c r="DZ238" s="204"/>
      <c r="EA238" s="204"/>
      <c r="EB238" s="204"/>
      <c r="EC238" s="204"/>
      <c r="ED238" s="204"/>
      <c r="EE238" s="204"/>
      <c r="EF238" s="204"/>
      <c r="EG238" s="204"/>
      <c r="EH238" s="204"/>
      <c r="EI238" s="204"/>
      <c r="EJ238" s="204"/>
      <c r="FY238" s="211">
        <v>233</v>
      </c>
      <c r="FZ238">
        <v>128.3908297993934</v>
      </c>
      <c r="GA238">
        <v>139.69957908045956</v>
      </c>
      <c r="GB238">
        <v>32.180521420309233</v>
      </c>
      <c r="GC238">
        <v>40.566845641487497</v>
      </c>
      <c r="GD238">
        <v>34.897311449001656</v>
      </c>
      <c r="GE238">
        <v>72.021240891328986</v>
      </c>
      <c r="GF238">
        <v>139.16892600408613</v>
      </c>
      <c r="GG238">
        <v>76.284207956623305</v>
      </c>
      <c r="GH238">
        <v>38.80083959309551</v>
      </c>
      <c r="GI238">
        <v>88.407153843851802</v>
      </c>
      <c r="GJ238"/>
      <c r="GK238"/>
      <c r="GL238"/>
      <c r="GM238"/>
    </row>
    <row r="239" spans="1:195" s="7" customFormat="1">
      <c r="A239" s="77" t="s">
        <v>61</v>
      </c>
      <c r="B239">
        <v>0.97839681264123901</v>
      </c>
      <c r="C239">
        <v>3</v>
      </c>
      <c r="D239">
        <v>39673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20.833333333333332</v>
      </c>
      <c r="M239">
        <v>20.833333333333332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256.14124626823724</v>
      </c>
      <c r="AO239">
        <v>132.73542271300252</v>
      </c>
      <c r="AP239">
        <v>598.07511931543013</v>
      </c>
      <c r="AQ239">
        <v>709.11582443658244</v>
      </c>
      <c r="AR239">
        <v>126.64165348962199</v>
      </c>
      <c r="AS239">
        <v>1142.467516108482</v>
      </c>
      <c r="AT239">
        <v>62.901751580890213</v>
      </c>
      <c r="AU239">
        <v>330.85180814290538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3" t="s">
        <v>139</v>
      </c>
      <c r="DF239" s="182" t="s">
        <v>83</v>
      </c>
      <c r="DG239" s="181">
        <v>1</v>
      </c>
      <c r="DH239" s="181">
        <v>2</v>
      </c>
      <c r="DI239" s="181">
        <v>3</v>
      </c>
      <c r="DJ239" s="181">
        <v>4</v>
      </c>
      <c r="DK239" s="181">
        <v>5</v>
      </c>
      <c r="DL239" s="181">
        <v>6</v>
      </c>
      <c r="DM239" s="181">
        <v>7</v>
      </c>
      <c r="DN239" s="181">
        <v>8</v>
      </c>
      <c r="DO239" s="181">
        <v>9</v>
      </c>
      <c r="DP239" s="181">
        <v>10</v>
      </c>
      <c r="DQ239" s="181">
        <v>11</v>
      </c>
      <c r="DR239" s="181">
        <v>12</v>
      </c>
      <c r="DS239" s="181">
        <v>13</v>
      </c>
      <c r="DT239" s="181">
        <v>14</v>
      </c>
      <c r="DU239" s="181">
        <v>15</v>
      </c>
      <c r="DV239" s="181">
        <v>16</v>
      </c>
      <c r="DW239" s="181">
        <v>17</v>
      </c>
      <c r="DX239" s="181">
        <v>18</v>
      </c>
      <c r="DY239" s="181">
        <v>19</v>
      </c>
      <c r="DZ239" s="181">
        <v>20</v>
      </c>
      <c r="EA239" s="181">
        <v>21</v>
      </c>
      <c r="EB239" s="181">
        <v>22</v>
      </c>
      <c r="EC239" s="181">
        <v>23</v>
      </c>
      <c r="ED239" s="181">
        <v>24</v>
      </c>
      <c r="EE239" s="181">
        <v>25</v>
      </c>
      <c r="EF239" s="181">
        <v>26</v>
      </c>
      <c r="EG239" s="181">
        <v>27</v>
      </c>
      <c r="EH239" s="181">
        <v>28</v>
      </c>
      <c r="EI239" s="181">
        <v>29</v>
      </c>
      <c r="EJ239" s="181">
        <v>30</v>
      </c>
      <c r="FY239" s="211">
        <v>234</v>
      </c>
      <c r="FZ239">
        <v>108.40540454150428</v>
      </c>
      <c r="GA239">
        <v>155.50405893386591</v>
      </c>
      <c r="GB239">
        <v>53.524047639754848</v>
      </c>
      <c r="GC239">
        <v>46.557582482808051</v>
      </c>
      <c r="GD239">
        <v>41.033533171073152</v>
      </c>
      <c r="GE239">
        <v>61.511546908192642</v>
      </c>
      <c r="GF239">
        <v>60.171208403130429</v>
      </c>
      <c r="GG239">
        <v>80.721748194051401</v>
      </c>
      <c r="GH239">
        <v>106.32665361838596</v>
      </c>
      <c r="GI239">
        <v>86.896638379787703</v>
      </c>
      <c r="GJ239"/>
      <c r="GK239"/>
      <c r="GL239"/>
      <c r="GM239"/>
    </row>
    <row r="240" spans="1:195" s="7" customFormat="1">
      <c r="A240" s="77" t="s">
        <v>62</v>
      </c>
      <c r="B240">
        <v>0.1180703869399844</v>
      </c>
      <c r="C240">
        <v>3</v>
      </c>
      <c r="D240">
        <v>39673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20.833333333333332</v>
      </c>
      <c r="M240">
        <v>20.833333333333332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270.18711342092445</v>
      </c>
      <c r="AO240">
        <v>159.42496689229523</v>
      </c>
      <c r="AP240">
        <v>595.72804672605628</v>
      </c>
      <c r="AQ240">
        <v>839.48765454449074</v>
      </c>
      <c r="AR240">
        <v>150.28395947320507</v>
      </c>
      <c r="AS240">
        <v>1520.7818723007376</v>
      </c>
      <c r="AT240">
        <v>70.390676074912903</v>
      </c>
      <c r="AU240">
        <v>130.67727433064039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6">
        <v>39646</v>
      </c>
      <c r="DF240" s="181">
        <v>0</v>
      </c>
      <c r="DG240" s="181">
        <v>2.083333333333333</v>
      </c>
      <c r="DH240" s="181">
        <v>21.875</v>
      </c>
      <c r="DI240" s="181">
        <v>45.833333333333329</v>
      </c>
      <c r="DJ240" s="181">
        <v>31.25</v>
      </c>
      <c r="DK240" s="181">
        <v>6.2499999999999991</v>
      </c>
      <c r="DL240" s="181">
        <v>16.666666666666668</v>
      </c>
      <c r="DM240" s="181">
        <v>4.1666666666666661</v>
      </c>
      <c r="DN240" s="181">
        <v>4.1666666666666661</v>
      </c>
      <c r="DO240" s="181">
        <v>0</v>
      </c>
      <c r="DP240" s="181">
        <v>0</v>
      </c>
      <c r="DQ240" s="181">
        <v>0</v>
      </c>
      <c r="DR240" s="181">
        <v>0</v>
      </c>
      <c r="DS240" s="181">
        <v>0</v>
      </c>
      <c r="DT240" s="181">
        <v>0</v>
      </c>
      <c r="DU240" s="181">
        <v>0</v>
      </c>
      <c r="DV240" s="181">
        <v>0</v>
      </c>
      <c r="DW240" s="181">
        <v>0</v>
      </c>
      <c r="DX240" s="181">
        <v>0</v>
      </c>
      <c r="DY240" s="181">
        <v>0</v>
      </c>
      <c r="DZ240" s="181">
        <v>0</v>
      </c>
      <c r="EA240" s="181">
        <v>0</v>
      </c>
      <c r="EB240" s="181">
        <v>0</v>
      </c>
      <c r="EC240" s="181">
        <v>0</v>
      </c>
      <c r="ED240" s="181">
        <v>0</v>
      </c>
      <c r="EE240" s="181">
        <v>0</v>
      </c>
      <c r="EF240" s="181">
        <v>0</v>
      </c>
      <c r="EG240" s="181">
        <v>0</v>
      </c>
      <c r="EH240" s="181">
        <v>0</v>
      </c>
      <c r="EI240" s="181">
        <v>0</v>
      </c>
      <c r="EJ240" s="181">
        <v>0</v>
      </c>
      <c r="FY240" s="211">
        <v>235</v>
      </c>
      <c r="FZ240">
        <v>123.10163975744254</v>
      </c>
      <c r="GA240">
        <v>168.63876786109435</v>
      </c>
      <c r="GB240">
        <v>54.813406800184254</v>
      </c>
      <c r="GC240">
        <v>44.261132267900422</v>
      </c>
      <c r="GD240">
        <v>44.405525266952132</v>
      </c>
      <c r="GE240">
        <v>67.986706621849692</v>
      </c>
      <c r="GF240">
        <v>58.669363830723526</v>
      </c>
      <c r="GG240">
        <v>42.411132515609069</v>
      </c>
      <c r="GH240">
        <v>45.5076104332339</v>
      </c>
      <c r="GI240">
        <v>81.768360479084393</v>
      </c>
      <c r="GJ240"/>
      <c r="GK240"/>
      <c r="GL240"/>
      <c r="GM240"/>
    </row>
    <row r="241" spans="1:195" s="7" customFormat="1">
      <c r="A241" s="77"/>
      <c r="B241">
        <v>0.97591013360658163</v>
      </c>
      <c r="C241">
        <v>1</v>
      </c>
      <c r="D241">
        <v>39673</v>
      </c>
      <c r="E241">
        <v>0</v>
      </c>
      <c r="F241">
        <v>0</v>
      </c>
      <c r="G241">
        <v>0</v>
      </c>
      <c r="H241">
        <v>0</v>
      </c>
      <c r="I241">
        <v>41.666666666666664</v>
      </c>
      <c r="J241">
        <v>93.75</v>
      </c>
      <c r="K241">
        <v>72.916666666666671</v>
      </c>
      <c r="L241">
        <v>0</v>
      </c>
      <c r="M241">
        <v>20.833333333333332</v>
      </c>
      <c r="N241">
        <v>20.833333333333332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228.74728052034115</v>
      </c>
      <c r="AO241">
        <v>127.36536017421136</v>
      </c>
      <c r="AP241">
        <v>526.73178081146398</v>
      </c>
      <c r="AQ241">
        <v>745.19686604572678</v>
      </c>
      <c r="AR241">
        <v>121.50165030645192</v>
      </c>
      <c r="AS241">
        <v>1210.9324326775591</v>
      </c>
      <c r="AT241">
        <v>62.347338941252026</v>
      </c>
      <c r="AU241">
        <v>432.76518255938799</v>
      </c>
      <c r="AV241"/>
      <c r="AW241"/>
      <c r="DE241" s="186">
        <v>39673</v>
      </c>
      <c r="DF241" s="184">
        <v>0</v>
      </c>
      <c r="DG241" s="184">
        <v>1.0416666666666665</v>
      </c>
      <c r="DH241" s="184">
        <v>31.354166666666668</v>
      </c>
      <c r="DI241" s="184">
        <v>17.916666666666668</v>
      </c>
      <c r="DJ241" s="184">
        <v>29.464285714285715</v>
      </c>
      <c r="DK241" s="184">
        <v>41.041666666666671</v>
      </c>
      <c r="DL241" s="184">
        <v>21.666666666666664</v>
      </c>
      <c r="DM241" s="184">
        <v>20.625</v>
      </c>
      <c r="DN241" s="184">
        <v>7.2916666666666661</v>
      </c>
      <c r="DO241" s="184">
        <v>7.2916666666666661</v>
      </c>
      <c r="DP241" s="184">
        <v>0</v>
      </c>
      <c r="DQ241" s="184">
        <v>0</v>
      </c>
      <c r="DR241" s="184">
        <v>0</v>
      </c>
      <c r="DS241" s="184">
        <v>0</v>
      </c>
      <c r="DT241" s="184">
        <v>0</v>
      </c>
      <c r="DU241" s="184">
        <v>0</v>
      </c>
      <c r="DV241" s="184">
        <v>0</v>
      </c>
      <c r="DW241" s="184">
        <v>0</v>
      </c>
      <c r="DX241" s="184">
        <v>0</v>
      </c>
      <c r="DY241" s="184">
        <v>0</v>
      </c>
      <c r="DZ241" s="184">
        <v>0</v>
      </c>
      <c r="EA241" s="184">
        <v>0</v>
      </c>
      <c r="EB241" s="184">
        <v>0</v>
      </c>
      <c r="EC241" s="184">
        <v>0</v>
      </c>
      <c r="ED241" s="184">
        <v>0</v>
      </c>
      <c r="EE241" s="184">
        <v>0</v>
      </c>
      <c r="EF241" s="184">
        <v>0</v>
      </c>
      <c r="EG241" s="184">
        <v>0</v>
      </c>
      <c r="EH241" s="184">
        <v>0</v>
      </c>
      <c r="EI241" s="184">
        <v>0</v>
      </c>
      <c r="EJ241" s="184">
        <v>0</v>
      </c>
      <c r="FY241" s="211">
        <v>236</v>
      </c>
      <c r="FZ241">
        <v>93.568252271080596</v>
      </c>
      <c r="GA241">
        <v>143.46194697200704</v>
      </c>
      <c r="GB241">
        <v>50.017018526641365</v>
      </c>
      <c r="GC241">
        <v>32.097898226637092</v>
      </c>
      <c r="GD241">
        <v>52.323923222030864</v>
      </c>
      <c r="GE241">
        <v>88.584274105192179</v>
      </c>
      <c r="GF241">
        <v>49.775030155536669</v>
      </c>
      <c r="GG241">
        <v>84.005226374213535</v>
      </c>
      <c r="GH241">
        <v>109.78081108259832</v>
      </c>
      <c r="GI241">
        <v>89.819025868361734</v>
      </c>
      <c r="GJ241"/>
      <c r="GK241"/>
      <c r="GL241"/>
      <c r="GM241"/>
    </row>
    <row r="242" spans="1:195" s="7" customFormat="1">
      <c r="A242" s="1"/>
      <c r="B242">
        <v>0.17606991543054251</v>
      </c>
      <c r="C242">
        <v>6</v>
      </c>
      <c r="D242">
        <v>39673</v>
      </c>
      <c r="E242">
        <v>0</v>
      </c>
      <c r="F242">
        <v>10.416666666666666</v>
      </c>
      <c r="G242">
        <v>0</v>
      </c>
      <c r="H242">
        <v>0</v>
      </c>
      <c r="I242">
        <v>0</v>
      </c>
      <c r="J242">
        <v>52.083333333333336</v>
      </c>
      <c r="K242">
        <v>20.833333333333332</v>
      </c>
      <c r="L242">
        <v>41.666666666666664</v>
      </c>
      <c r="M242">
        <v>10.416666666666666</v>
      </c>
      <c r="N242">
        <v>10.416666666666666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262.0885208415923</v>
      </c>
      <c r="AO242">
        <v>153.84997405149034</v>
      </c>
      <c r="AP242">
        <v>587.84077427994305</v>
      </c>
      <c r="AQ242">
        <v>866.76566391136009</v>
      </c>
      <c r="AR242">
        <v>146.37319956593396</v>
      </c>
      <c r="AS242">
        <v>1434.4626005349448</v>
      </c>
      <c r="AT242">
        <v>79.986212918338225</v>
      </c>
      <c r="AU242">
        <v>39.646538873860834</v>
      </c>
      <c r="AV242"/>
      <c r="AW242"/>
      <c r="BI242" s="162"/>
      <c r="DE242" s="186">
        <v>39714</v>
      </c>
      <c r="DF242" s="181">
        <v>9.765625</v>
      </c>
      <c r="DG242" s="181">
        <v>71.52157738095238</v>
      </c>
      <c r="DH242" s="181">
        <v>83.705357142857139</v>
      </c>
      <c r="DI242" s="181">
        <v>68.804603494623649</v>
      </c>
      <c r="DJ242" s="181">
        <v>24.348958333333332</v>
      </c>
      <c r="DK242" s="181">
        <v>0</v>
      </c>
      <c r="DL242" s="181">
        <v>3.125</v>
      </c>
      <c r="DM242" s="181">
        <v>8.3333333333333321</v>
      </c>
      <c r="DN242" s="181">
        <v>10.416666666666666</v>
      </c>
      <c r="DO242" s="181">
        <v>5.208333333333333</v>
      </c>
      <c r="DP242" s="181">
        <v>1.0416666666666665</v>
      </c>
      <c r="DQ242" s="181">
        <v>0</v>
      </c>
      <c r="DR242" s="181">
        <v>0</v>
      </c>
      <c r="DS242" s="181">
        <v>0</v>
      </c>
      <c r="DT242" s="181">
        <v>0</v>
      </c>
      <c r="DU242" s="181">
        <v>0</v>
      </c>
      <c r="DV242" s="181">
        <v>0</v>
      </c>
      <c r="DW242" s="181">
        <v>0</v>
      </c>
      <c r="DX242" s="181">
        <v>0</v>
      </c>
      <c r="DY242" s="181">
        <v>0</v>
      </c>
      <c r="DZ242" s="181">
        <v>0</v>
      </c>
      <c r="EA242" s="181">
        <v>0</v>
      </c>
      <c r="EB242" s="181">
        <v>0</v>
      </c>
      <c r="EC242" s="181">
        <v>0</v>
      </c>
      <c r="ED242" s="181">
        <v>0</v>
      </c>
      <c r="EE242" s="181">
        <v>0</v>
      </c>
      <c r="EF242" s="181">
        <v>0</v>
      </c>
      <c r="EG242" s="181">
        <v>0</v>
      </c>
      <c r="EH242" s="181">
        <v>0</v>
      </c>
      <c r="EI242" s="181">
        <v>0</v>
      </c>
      <c r="EJ242" s="181">
        <v>0</v>
      </c>
      <c r="FY242" s="211">
        <v>237</v>
      </c>
      <c r="FZ242">
        <v>130.21381912070669</v>
      </c>
      <c r="GA242">
        <v>165.44692354849414</v>
      </c>
      <c r="GB242">
        <v>40.742474388062547</v>
      </c>
      <c r="GC242">
        <v>38.757796121999569</v>
      </c>
      <c r="GD242">
        <v>34.002177941681659</v>
      </c>
      <c r="GE242">
        <v>67.945406871389764</v>
      </c>
      <c r="GF242">
        <v>155.72166578398569</v>
      </c>
      <c r="GG242">
        <v>110.22285036236562</v>
      </c>
      <c r="GH242">
        <v>69.58642068457948</v>
      </c>
      <c r="GI242">
        <v>99.113873796890431</v>
      </c>
      <c r="GJ242"/>
      <c r="GK242"/>
      <c r="GL242"/>
      <c r="GM242"/>
    </row>
    <row r="243" spans="1:195" s="7" customFormat="1">
      <c r="A243" s="1"/>
      <c r="B243">
        <v>0.92064770415030672</v>
      </c>
      <c r="C243">
        <v>10</v>
      </c>
      <c r="D243">
        <v>39673</v>
      </c>
      <c r="E243">
        <v>0</v>
      </c>
      <c r="F243">
        <v>0</v>
      </c>
      <c r="G243">
        <v>0</v>
      </c>
      <c r="H243">
        <v>75</v>
      </c>
      <c r="I243">
        <v>148.80952380952382</v>
      </c>
      <c r="J243">
        <v>56.25</v>
      </c>
      <c r="K243">
        <v>18.75</v>
      </c>
      <c r="L243">
        <v>18.75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251.68826614614309</v>
      </c>
      <c r="AO243">
        <v>141.34536309511617</v>
      </c>
      <c r="AP243">
        <v>534.90537191923988</v>
      </c>
      <c r="AQ243">
        <v>779.99647787669824</v>
      </c>
      <c r="AR243">
        <v>133.13211195878694</v>
      </c>
      <c r="AS243">
        <v>1385.5979451359403</v>
      </c>
      <c r="AT243">
        <v>67.081991669357976</v>
      </c>
      <c r="AU243">
        <v>29.505419215234802</v>
      </c>
      <c r="AV243"/>
      <c r="AW243"/>
      <c r="DE243" s="186">
        <v>39747</v>
      </c>
      <c r="DF243" s="181">
        <v>0</v>
      </c>
      <c r="DG243" s="181">
        <v>97.276840137831527</v>
      </c>
      <c r="DH243" s="181">
        <v>154.3893277460088</v>
      </c>
      <c r="DI243" s="181">
        <v>34.151785714285708</v>
      </c>
      <c r="DJ243" s="181">
        <v>45.770202020202014</v>
      </c>
      <c r="DK243" s="181">
        <v>37.168560606060609</v>
      </c>
      <c r="DL243" s="181">
        <v>7.7651515151515156</v>
      </c>
      <c r="DM243" s="181">
        <v>2.8409090909090908</v>
      </c>
      <c r="DN243" s="181">
        <v>0</v>
      </c>
      <c r="DO243" s="181">
        <v>0</v>
      </c>
      <c r="DP243" s="181">
        <v>0</v>
      </c>
      <c r="DQ243" s="181">
        <v>0</v>
      </c>
      <c r="DR243" s="181">
        <v>0</v>
      </c>
      <c r="DS243" s="181">
        <v>0</v>
      </c>
      <c r="DT243" s="181">
        <v>0</v>
      </c>
      <c r="DU243" s="181">
        <v>0</v>
      </c>
      <c r="DV243" s="181">
        <v>0</v>
      </c>
      <c r="DW243" s="181">
        <v>0</v>
      </c>
      <c r="DX243" s="181">
        <v>0</v>
      </c>
      <c r="DY243" s="181">
        <v>0</v>
      </c>
      <c r="DZ243" s="181">
        <v>0</v>
      </c>
      <c r="EA243" s="181">
        <v>0</v>
      </c>
      <c r="EB243" s="181">
        <v>0</v>
      </c>
      <c r="EC243" s="181">
        <v>0</v>
      </c>
      <c r="ED243" s="181">
        <v>0</v>
      </c>
      <c r="EE243" s="181">
        <v>0</v>
      </c>
      <c r="EF243" s="181">
        <v>0</v>
      </c>
      <c r="EG243" s="181">
        <v>0</v>
      </c>
      <c r="EH243" s="181">
        <v>0</v>
      </c>
      <c r="EI243" s="181">
        <v>0</v>
      </c>
      <c r="EJ243" s="181">
        <v>0</v>
      </c>
      <c r="FY243" s="211">
        <v>238</v>
      </c>
      <c r="FZ243">
        <v>122.64343864079029</v>
      </c>
      <c r="GA243">
        <v>144.32650926757427</v>
      </c>
      <c r="GB243">
        <v>40.171431036989652</v>
      </c>
      <c r="GC243">
        <v>39.631087726381693</v>
      </c>
      <c r="GD243">
        <v>36.928383020166592</v>
      </c>
      <c r="GE243">
        <v>63.966161319244044</v>
      </c>
      <c r="GF243">
        <v>86.64223311216486</v>
      </c>
      <c r="GG243">
        <v>33.145388287191359</v>
      </c>
      <c r="GH243">
        <v>12.813440660229737</v>
      </c>
      <c r="GI243">
        <v>73.470170607074436</v>
      </c>
      <c r="GJ243"/>
      <c r="GK243"/>
      <c r="GL243"/>
      <c r="GM243"/>
    </row>
    <row r="244" spans="1:195" s="7" customFormat="1">
      <c r="A244" s="1"/>
      <c r="B244">
        <v>0.75624006629323426</v>
      </c>
      <c r="C244">
        <v>5</v>
      </c>
      <c r="D244">
        <v>39673</v>
      </c>
      <c r="E244">
        <v>0</v>
      </c>
      <c r="F244">
        <v>0</v>
      </c>
      <c r="G244">
        <v>10.416666666666666</v>
      </c>
      <c r="H244">
        <v>10.416666666666666</v>
      </c>
      <c r="I244">
        <v>0</v>
      </c>
      <c r="J244">
        <v>20.833333333333332</v>
      </c>
      <c r="K244">
        <v>0</v>
      </c>
      <c r="L244">
        <v>20.833333333333332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276.92311917019845</v>
      </c>
      <c r="AO244">
        <v>148.81252750468011</v>
      </c>
      <c r="AP244">
        <v>498.97448892434977</v>
      </c>
      <c r="AQ244">
        <v>848.7952232370717</v>
      </c>
      <c r="AR244">
        <v>141.25693607719549</v>
      </c>
      <c r="AS244">
        <v>1595.8481149865429</v>
      </c>
      <c r="AT244">
        <v>72.448873679208063</v>
      </c>
      <c r="AU244">
        <v>96.890904457768414</v>
      </c>
      <c r="AV244"/>
      <c r="AW244"/>
      <c r="DE244" s="186">
        <v>39775</v>
      </c>
      <c r="DF244" s="181">
        <v>0</v>
      </c>
      <c r="DG244" s="181">
        <v>31.99404761904762</v>
      </c>
      <c r="DH244" s="181">
        <v>161.89814814814815</v>
      </c>
      <c r="DI244" s="181">
        <v>3.125</v>
      </c>
      <c r="DJ244" s="181">
        <v>34.880050505050505</v>
      </c>
      <c r="DK244" s="181">
        <v>77.639374514374509</v>
      </c>
      <c r="DL244" s="181">
        <v>62.912781662781661</v>
      </c>
      <c r="DM244" s="181">
        <v>10.858585858585858</v>
      </c>
      <c r="DN244" s="181">
        <v>1.0416666666666665</v>
      </c>
      <c r="DO244" s="181">
        <v>0</v>
      </c>
      <c r="DP244" s="181">
        <v>0</v>
      </c>
      <c r="DQ244" s="181">
        <v>0</v>
      </c>
      <c r="DR244" s="181">
        <v>0</v>
      </c>
      <c r="DS244" s="181">
        <v>0</v>
      </c>
      <c r="DT244" s="181">
        <v>0</v>
      </c>
      <c r="DU244" s="181">
        <v>0</v>
      </c>
      <c r="DV244" s="181">
        <v>0</v>
      </c>
      <c r="DW244" s="181">
        <v>0</v>
      </c>
      <c r="DX244" s="181">
        <v>0</v>
      </c>
      <c r="DY244" s="181">
        <v>0</v>
      </c>
      <c r="DZ244" s="181">
        <v>0</v>
      </c>
      <c r="EA244" s="181">
        <v>0</v>
      </c>
      <c r="EB244" s="181">
        <v>0</v>
      </c>
      <c r="EC244" s="181">
        <v>0</v>
      </c>
      <c r="ED244" s="181">
        <v>0</v>
      </c>
      <c r="EE244" s="181">
        <v>0</v>
      </c>
      <c r="EF244" s="181">
        <v>0</v>
      </c>
      <c r="EG244" s="181">
        <v>0</v>
      </c>
      <c r="EH244" s="181">
        <v>0</v>
      </c>
      <c r="EI244" s="181">
        <v>0</v>
      </c>
      <c r="EJ244" s="181">
        <v>0</v>
      </c>
      <c r="FY244" s="211">
        <v>239</v>
      </c>
      <c r="FZ244">
        <v>100.3256243761307</v>
      </c>
      <c r="GA244">
        <v>146.85956664320463</v>
      </c>
      <c r="GB244">
        <v>48.858626664483914</v>
      </c>
      <c r="GC244">
        <v>43.881146747360759</v>
      </c>
      <c r="GD244">
        <v>50.9121395803325</v>
      </c>
      <c r="GE244">
        <v>99.260102460962941</v>
      </c>
      <c r="GF244">
        <v>104.68504918940616</v>
      </c>
      <c r="GG244">
        <v>43.345085865997689</v>
      </c>
      <c r="GH244">
        <v>45.510082271326567</v>
      </c>
      <c r="GI244">
        <v>92.438517403355064</v>
      </c>
      <c r="GJ244"/>
      <c r="GK244"/>
      <c r="GL244"/>
      <c r="GM244"/>
    </row>
    <row r="245" spans="1:195" s="7" customFormat="1">
      <c r="A245" s="1"/>
      <c r="B245">
        <v>0.4153408195452899</v>
      </c>
      <c r="C245">
        <v>4</v>
      </c>
      <c r="D245">
        <v>39673</v>
      </c>
      <c r="E245">
        <v>0</v>
      </c>
      <c r="F245">
        <v>0</v>
      </c>
      <c r="G245">
        <v>115.625</v>
      </c>
      <c r="H245">
        <v>20.833333333333332</v>
      </c>
      <c r="I245">
        <v>0</v>
      </c>
      <c r="J245">
        <v>0</v>
      </c>
      <c r="K245">
        <v>20.833333333333332</v>
      </c>
      <c r="L245">
        <v>31.25</v>
      </c>
      <c r="M245">
        <v>10.416666666666666</v>
      </c>
      <c r="N245">
        <v>31.25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278.98676418416653</v>
      </c>
      <c r="AO245">
        <v>172.05841884985108</v>
      </c>
      <c r="AP245">
        <v>710.79916252770101</v>
      </c>
      <c r="AQ245">
        <v>953.11259778613112</v>
      </c>
      <c r="AR245">
        <v>161.58559627595281</v>
      </c>
      <c r="AS245">
        <v>1629.0654871353595</v>
      </c>
      <c r="AT245">
        <v>76.638008645839207</v>
      </c>
      <c r="AU245">
        <v>155.12038243517043</v>
      </c>
      <c r="AV245"/>
      <c r="AW245"/>
      <c r="DE245" s="186">
        <v>39799</v>
      </c>
      <c r="DF245" s="181">
        <v>15.064102564102564</v>
      </c>
      <c r="DG245" s="181">
        <v>209.39123172579056</v>
      </c>
      <c r="DH245" s="181">
        <v>200.49856664083748</v>
      </c>
      <c r="DI245" s="181">
        <v>14.631782945736433</v>
      </c>
      <c r="DJ245" s="181">
        <v>14.08672480620155</v>
      </c>
      <c r="DK245" s="181">
        <v>56.189582476347177</v>
      </c>
      <c r="DL245" s="181">
        <v>55.863927738927735</v>
      </c>
      <c r="DM245" s="181">
        <v>12.762237762237762</v>
      </c>
      <c r="DN245" s="181">
        <v>0</v>
      </c>
      <c r="DO245" s="181">
        <v>0</v>
      </c>
      <c r="DP245" s="181">
        <v>0</v>
      </c>
      <c r="DQ245" s="181">
        <v>0</v>
      </c>
      <c r="DR245" s="181">
        <v>0</v>
      </c>
      <c r="DS245" s="181">
        <v>0</v>
      </c>
      <c r="DT245" s="181">
        <v>0</v>
      </c>
      <c r="DU245" s="181">
        <v>0</v>
      </c>
      <c r="DV245" s="181">
        <v>0</v>
      </c>
      <c r="DW245" s="181">
        <v>0</v>
      </c>
      <c r="DX245" s="181">
        <v>0</v>
      </c>
      <c r="DY245" s="181">
        <v>0</v>
      </c>
      <c r="DZ245" s="181">
        <v>0</v>
      </c>
      <c r="EA245" s="181">
        <v>0</v>
      </c>
      <c r="EB245" s="181">
        <v>0</v>
      </c>
      <c r="EC245" s="181">
        <v>0</v>
      </c>
      <c r="ED245" s="181">
        <v>0</v>
      </c>
      <c r="EE245" s="181">
        <v>0</v>
      </c>
      <c r="EF245" s="181">
        <v>0</v>
      </c>
      <c r="EG245" s="181">
        <v>0</v>
      </c>
      <c r="EH245" s="181">
        <v>0</v>
      </c>
      <c r="EI245" s="181">
        <v>0</v>
      </c>
      <c r="EJ245" s="181">
        <v>0</v>
      </c>
      <c r="FY245" s="211">
        <v>240</v>
      </c>
      <c r="FZ245">
        <v>81.948678207056489</v>
      </c>
      <c r="GA245">
        <v>108.42392674819691</v>
      </c>
      <c r="GB245">
        <v>46.994356942374296</v>
      </c>
      <c r="GC245">
        <v>43.312087722819669</v>
      </c>
      <c r="GD245">
        <v>33.248756990679659</v>
      </c>
      <c r="GE245">
        <v>66.186566294861663</v>
      </c>
      <c r="GF245">
        <v>147.74421519412203</v>
      </c>
      <c r="GG245">
        <v>120.33319744457674</v>
      </c>
      <c r="GH245">
        <v>87.13308462849767</v>
      </c>
      <c r="GI245">
        <v>94.058632630227251</v>
      </c>
      <c r="GJ245"/>
      <c r="GK245"/>
      <c r="GL245"/>
      <c r="GM245"/>
    </row>
    <row r="246" spans="1:195" s="7" customFormat="1">
      <c r="A246" s="1"/>
      <c r="B246">
        <v>0.87223090926819302</v>
      </c>
      <c r="C246">
        <v>7</v>
      </c>
      <c r="D246">
        <v>39673</v>
      </c>
      <c r="E246">
        <v>0</v>
      </c>
      <c r="F246">
        <v>0</v>
      </c>
      <c r="G246">
        <v>0</v>
      </c>
      <c r="H246">
        <v>0</v>
      </c>
      <c r="I246">
        <v>20.833333333333332</v>
      </c>
      <c r="J246">
        <v>31.25</v>
      </c>
      <c r="K246">
        <v>41.666666666666664</v>
      </c>
      <c r="L246">
        <v>52.083333333333336</v>
      </c>
      <c r="M246">
        <v>10.416666666666666</v>
      </c>
      <c r="N246">
        <v>10.416666666666666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280.92940787132306</v>
      </c>
      <c r="AO246">
        <v>151.94715096030748</v>
      </c>
      <c r="AP246">
        <v>646.33413938993158</v>
      </c>
      <c r="AQ246">
        <v>817.48330948293028</v>
      </c>
      <c r="AR246">
        <v>143.91060149571069</v>
      </c>
      <c r="AS246">
        <v>1349.1333365538767</v>
      </c>
      <c r="AT246">
        <v>72.234951383900849</v>
      </c>
      <c r="AU246">
        <v>181.40985638206939</v>
      </c>
      <c r="AV246"/>
      <c r="AW246"/>
      <c r="DE246" s="186">
        <v>39847</v>
      </c>
      <c r="DF246" s="181">
        <v>0</v>
      </c>
      <c r="DG246" s="181">
        <v>48.415798611111114</v>
      </c>
      <c r="DH246" s="181">
        <v>46.6796875</v>
      </c>
      <c r="DI246" s="181">
        <v>1.0416666666666665</v>
      </c>
      <c r="DJ246" s="181">
        <v>4.6875</v>
      </c>
      <c r="DK246" s="181">
        <v>19.010416666666664</v>
      </c>
      <c r="DL246" s="181">
        <v>29.861111111111107</v>
      </c>
      <c r="DM246" s="181">
        <v>40.885416666666671</v>
      </c>
      <c r="DN246" s="181">
        <v>11.458333333333334</v>
      </c>
      <c r="DO246" s="181">
        <v>5.2083333333333339</v>
      </c>
      <c r="DP246" s="181">
        <v>0</v>
      </c>
      <c r="DQ246" s="181">
        <v>0</v>
      </c>
      <c r="DR246" s="181">
        <v>0</v>
      </c>
      <c r="DS246" s="181">
        <v>0</v>
      </c>
      <c r="DT246" s="181">
        <v>0</v>
      </c>
      <c r="DU246" s="181">
        <v>0</v>
      </c>
      <c r="DV246" s="181">
        <v>0</v>
      </c>
      <c r="DW246" s="181">
        <v>0</v>
      </c>
      <c r="DX246" s="181">
        <v>0</v>
      </c>
      <c r="DY246" s="181">
        <v>0</v>
      </c>
      <c r="DZ246" s="181">
        <v>0</v>
      </c>
      <c r="EA246" s="181">
        <v>0</v>
      </c>
      <c r="EB246" s="181">
        <v>0</v>
      </c>
      <c r="EC246" s="181">
        <v>0</v>
      </c>
      <c r="ED246" s="181">
        <v>0</v>
      </c>
      <c r="EE246" s="181">
        <v>0</v>
      </c>
      <c r="EF246" s="181">
        <v>0</v>
      </c>
      <c r="EG246" s="181">
        <v>0</v>
      </c>
      <c r="EH246" s="181">
        <v>0</v>
      </c>
      <c r="EI246" s="181">
        <v>0</v>
      </c>
      <c r="EJ246" s="181">
        <v>0</v>
      </c>
      <c r="FY246" s="211">
        <v>241</v>
      </c>
      <c r="FZ246">
        <v>109.82686856685623</v>
      </c>
      <c r="GA246">
        <v>162.9314700326035</v>
      </c>
      <c r="GB246">
        <v>57.761928534055002</v>
      </c>
      <c r="GC246">
        <v>46.714258725429737</v>
      </c>
      <c r="GD246">
        <v>45.147799259250121</v>
      </c>
      <c r="GE246">
        <v>55.171776280517278</v>
      </c>
      <c r="GF246">
        <v>35.77830349061945</v>
      </c>
      <c r="GG246">
        <v>60.47742567865793</v>
      </c>
      <c r="GH246">
        <v>95.504533488435612</v>
      </c>
      <c r="GI246">
        <v>84.296108447395113</v>
      </c>
      <c r="GJ246"/>
      <c r="GK246"/>
      <c r="GL246"/>
      <c r="GM246"/>
    </row>
    <row r="247" spans="1:195" s="7" customFormat="1">
      <c r="A247" s="77" t="s">
        <v>61</v>
      </c>
      <c r="B247">
        <v>0.10216265720043971</v>
      </c>
      <c r="C247">
        <v>7</v>
      </c>
      <c r="D247">
        <v>39673</v>
      </c>
      <c r="E247">
        <v>0</v>
      </c>
      <c r="F247">
        <v>0</v>
      </c>
      <c r="G247">
        <v>0</v>
      </c>
      <c r="H247">
        <v>0</v>
      </c>
      <c r="I247">
        <v>20.833333333333332</v>
      </c>
      <c r="J247">
        <v>31.25</v>
      </c>
      <c r="K247">
        <v>41.666666666666664</v>
      </c>
      <c r="L247">
        <v>52.083333333333336</v>
      </c>
      <c r="M247">
        <v>10.416666666666666</v>
      </c>
      <c r="N247">
        <v>10.416666666666666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219.26962924719237</v>
      </c>
      <c r="AO247">
        <v>107.87004354241685</v>
      </c>
      <c r="AP247">
        <v>429.16415547123489</v>
      </c>
      <c r="AQ247">
        <v>618.80264968064421</v>
      </c>
      <c r="AR247">
        <v>105.19353443798566</v>
      </c>
      <c r="AS247">
        <v>1064.6083537131531</v>
      </c>
      <c r="AT247">
        <v>50.807123603050542</v>
      </c>
      <c r="AU247">
        <v>48.275710310644818</v>
      </c>
      <c r="AV247"/>
      <c r="AW247"/>
      <c r="DE247" s="186">
        <v>39910</v>
      </c>
      <c r="DF247" s="181">
        <v>0</v>
      </c>
      <c r="DG247" s="181">
        <v>28.935185185185183</v>
      </c>
      <c r="DH247" s="181">
        <v>49.768518518518519</v>
      </c>
      <c r="DI247" s="181">
        <v>0</v>
      </c>
      <c r="DJ247" s="181">
        <v>0</v>
      </c>
      <c r="DK247" s="181">
        <v>10.416666666666668</v>
      </c>
      <c r="DL247" s="181">
        <v>16.666666666666668</v>
      </c>
      <c r="DM247" s="181">
        <v>27.604166666666664</v>
      </c>
      <c r="DN247" s="181">
        <v>8.9583333333333321</v>
      </c>
      <c r="DO247" s="181">
        <v>0</v>
      </c>
      <c r="DP247" s="181">
        <v>0</v>
      </c>
      <c r="DQ247" s="181">
        <v>0</v>
      </c>
      <c r="DR247" s="181">
        <v>0</v>
      </c>
      <c r="DS247" s="181">
        <v>0</v>
      </c>
      <c r="DT247" s="181">
        <v>0</v>
      </c>
      <c r="DU247" s="181">
        <v>0</v>
      </c>
      <c r="DV247" s="181">
        <v>0</v>
      </c>
      <c r="DW247" s="181">
        <v>0</v>
      </c>
      <c r="DX247" s="181">
        <v>0</v>
      </c>
      <c r="DY247" s="181">
        <v>0</v>
      </c>
      <c r="DZ247" s="181">
        <v>0</v>
      </c>
      <c r="EA247" s="181">
        <v>0</v>
      </c>
      <c r="EB247" s="181">
        <v>0</v>
      </c>
      <c r="EC247" s="181">
        <v>0</v>
      </c>
      <c r="ED247" s="181">
        <v>0</v>
      </c>
      <c r="EE247" s="181">
        <v>0</v>
      </c>
      <c r="EF247" s="181">
        <v>0</v>
      </c>
      <c r="EG247" s="181">
        <v>0</v>
      </c>
      <c r="EH247" s="181">
        <v>0</v>
      </c>
      <c r="EI247" s="181">
        <v>0</v>
      </c>
      <c r="EJ247" s="181">
        <v>0</v>
      </c>
      <c r="FY247" s="211">
        <v>242</v>
      </c>
      <c r="FZ247">
        <v>123.12309792577557</v>
      </c>
      <c r="GA247">
        <v>176.03683577004921</v>
      </c>
      <c r="GB247">
        <v>61.628578491044195</v>
      </c>
      <c r="GC247">
        <v>48.972986009887869</v>
      </c>
      <c r="GD247">
        <v>42.519941147141161</v>
      </c>
      <c r="GE247">
        <v>69.269232534382624</v>
      </c>
      <c r="GF247">
        <v>87.605939975049893</v>
      </c>
      <c r="GG247">
        <v>44.66870326794097</v>
      </c>
      <c r="GH247">
        <v>37.996913719309305</v>
      </c>
      <c r="GI247">
        <v>87.917478209896302</v>
      </c>
      <c r="GJ247"/>
      <c r="GK247"/>
      <c r="GL247"/>
      <c r="GM247"/>
    </row>
    <row r="248" spans="1:195" s="7" customFormat="1">
      <c r="A248" s="77" t="s">
        <v>62</v>
      </c>
      <c r="B248">
        <v>0.8012232769412222</v>
      </c>
      <c r="C248">
        <v>8</v>
      </c>
      <c r="D248">
        <v>39714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10.416666666666666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255.76750440711962</v>
      </c>
      <c r="AO248">
        <v>164.40037967241557</v>
      </c>
      <c r="AP248">
        <v>803.59038118127478</v>
      </c>
      <c r="AQ248">
        <v>916.99337866328051</v>
      </c>
      <c r="AR248">
        <v>154.27072558603524</v>
      </c>
      <c r="AS248">
        <v>1527.0755261215534</v>
      </c>
      <c r="AT248">
        <v>77.285835484701593</v>
      </c>
      <c r="AU248">
        <v>219.85016801665492</v>
      </c>
      <c r="AV248"/>
      <c r="AW248"/>
      <c r="DE248" s="186">
        <v>39949</v>
      </c>
      <c r="DF248" s="181">
        <v>0</v>
      </c>
      <c r="DG248" s="181">
        <v>0</v>
      </c>
      <c r="DH248" s="181">
        <v>0</v>
      </c>
      <c r="DI248" s="181">
        <v>1.0416666666666665</v>
      </c>
      <c r="DJ248" s="181">
        <v>1.0416666666666665</v>
      </c>
      <c r="DK248" s="181">
        <v>4.1666666666666661</v>
      </c>
      <c r="DL248" s="181">
        <v>9.3750000000000018</v>
      </c>
      <c r="DM248" s="181">
        <v>11.458333333333332</v>
      </c>
      <c r="DN248" s="181">
        <v>14.583333333333334</v>
      </c>
      <c r="DO248" s="181">
        <v>8.3333333333333321</v>
      </c>
      <c r="DP248" s="181">
        <v>5.208333333333333</v>
      </c>
      <c r="DQ248" s="181">
        <v>0</v>
      </c>
      <c r="DR248" s="181">
        <v>0</v>
      </c>
      <c r="DS248" s="181">
        <v>0</v>
      </c>
      <c r="DT248" s="181">
        <v>0</v>
      </c>
      <c r="DU248" s="181">
        <v>0</v>
      </c>
      <c r="DV248" s="181">
        <v>0</v>
      </c>
      <c r="DW248" s="181">
        <v>0</v>
      </c>
      <c r="DX248" s="181">
        <v>0</v>
      </c>
      <c r="DY248" s="181">
        <v>0</v>
      </c>
      <c r="DZ248" s="181">
        <v>0</v>
      </c>
      <c r="EA248" s="181">
        <v>0</v>
      </c>
      <c r="EB248" s="181">
        <v>0</v>
      </c>
      <c r="EC248" s="181">
        <v>0</v>
      </c>
      <c r="ED248" s="181">
        <v>0</v>
      </c>
      <c r="EE248" s="181">
        <v>0</v>
      </c>
      <c r="EF248" s="181">
        <v>0</v>
      </c>
      <c r="EG248" s="181">
        <v>0</v>
      </c>
      <c r="EH248" s="181">
        <v>0</v>
      </c>
      <c r="EI248" s="181">
        <v>0</v>
      </c>
      <c r="EJ248" s="181">
        <v>0</v>
      </c>
      <c r="FY248" s="211">
        <v>243</v>
      </c>
      <c r="FZ248">
        <v>102.58676699315737</v>
      </c>
      <c r="GA248">
        <v>126.7672757399431</v>
      </c>
      <c r="GB248">
        <v>48.893164524070542</v>
      </c>
      <c r="GC248">
        <v>52.531942468453998</v>
      </c>
      <c r="GD248">
        <v>45.794266933854274</v>
      </c>
      <c r="GE248">
        <v>114.59059214208473</v>
      </c>
      <c r="GF248">
        <v>157.72638348917408</v>
      </c>
      <c r="GG248">
        <v>78.899892222726109</v>
      </c>
      <c r="GH248">
        <v>93.819892674273461</v>
      </c>
      <c r="GI248">
        <v>110.19190796246846</v>
      </c>
      <c r="GJ248"/>
      <c r="GK248"/>
      <c r="GL248"/>
      <c r="GM248"/>
    </row>
    <row r="249" spans="1:195" s="7" customFormat="1">
      <c r="A249" s="1"/>
      <c r="B249">
        <v>0.30630204214416334</v>
      </c>
      <c r="C249">
        <v>2</v>
      </c>
      <c r="D249">
        <v>39714</v>
      </c>
      <c r="E249">
        <v>0</v>
      </c>
      <c r="F249">
        <v>0</v>
      </c>
      <c r="G249">
        <v>0</v>
      </c>
      <c r="H249">
        <v>93.75</v>
      </c>
      <c r="I249">
        <v>20.833333333333332</v>
      </c>
      <c r="J249">
        <v>0</v>
      </c>
      <c r="K249">
        <v>0</v>
      </c>
      <c r="L249">
        <v>10.416666666666666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196.50916965811632</v>
      </c>
      <c r="AO249">
        <v>143.66668987627546</v>
      </c>
      <c r="AP249">
        <v>592.29199445926554</v>
      </c>
      <c r="AQ249">
        <v>790.41745567963699</v>
      </c>
      <c r="AR249">
        <v>134.66635652892839</v>
      </c>
      <c r="AS249">
        <v>1162.2769080250098</v>
      </c>
      <c r="AT249">
        <v>68.600860959454977</v>
      </c>
      <c r="AU249">
        <v>264.46002690778403</v>
      </c>
      <c r="AV249"/>
      <c r="AW249"/>
      <c r="DE249" s="186">
        <v>39987</v>
      </c>
      <c r="DF249" s="181">
        <v>0</v>
      </c>
      <c r="DG249" s="181">
        <v>0</v>
      </c>
      <c r="DH249" s="181">
        <v>7.7570921985815602</v>
      </c>
      <c r="DI249" s="181">
        <v>42.102730973646274</v>
      </c>
      <c r="DJ249" s="181">
        <v>0</v>
      </c>
      <c r="DK249" s="181">
        <v>7.7570921985815602</v>
      </c>
      <c r="DL249" s="181">
        <v>1.0416666666666665</v>
      </c>
      <c r="DM249" s="181">
        <v>1.0416666666666665</v>
      </c>
      <c r="DN249" s="181">
        <v>3.125</v>
      </c>
      <c r="DO249" s="181">
        <v>1.0416666666666665</v>
      </c>
      <c r="DP249" s="181">
        <v>0</v>
      </c>
      <c r="DQ249" s="181">
        <v>0</v>
      </c>
      <c r="DR249" s="181">
        <v>0</v>
      </c>
      <c r="DS249" s="181">
        <v>0</v>
      </c>
      <c r="DT249" s="181">
        <v>0</v>
      </c>
      <c r="DU249" s="181">
        <v>0</v>
      </c>
      <c r="DV249" s="181">
        <v>0</v>
      </c>
      <c r="DW249" s="181">
        <v>0</v>
      </c>
      <c r="DX249" s="181">
        <v>0</v>
      </c>
      <c r="DY249" s="181">
        <v>0</v>
      </c>
      <c r="DZ249" s="181">
        <v>0</v>
      </c>
      <c r="EA249" s="181">
        <v>0</v>
      </c>
      <c r="EB249" s="181">
        <v>0</v>
      </c>
      <c r="EC249" s="181">
        <v>0</v>
      </c>
      <c r="ED249" s="181">
        <v>0</v>
      </c>
      <c r="EE249" s="181">
        <v>0</v>
      </c>
      <c r="EF249" s="181">
        <v>0</v>
      </c>
      <c r="EG249" s="181">
        <v>0</v>
      </c>
      <c r="EH249" s="181">
        <v>0</v>
      </c>
      <c r="EI249" s="181">
        <v>0</v>
      </c>
      <c r="EJ249" s="181">
        <v>0</v>
      </c>
      <c r="FY249" s="211">
        <v>244</v>
      </c>
      <c r="FZ249">
        <v>142.37054021228323</v>
      </c>
      <c r="GA249">
        <v>138.0889850583203</v>
      </c>
      <c r="GB249">
        <v>43.52248676975988</v>
      </c>
      <c r="GC249">
        <v>49.17633145303013</v>
      </c>
      <c r="GD249">
        <v>35.63346670976793</v>
      </c>
      <c r="GE249">
        <v>63.378118470416986</v>
      </c>
      <c r="GF249">
        <v>103.97241121635182</v>
      </c>
      <c r="GG249">
        <v>103.54222512451301</v>
      </c>
      <c r="GH249">
        <v>135.09586800913195</v>
      </c>
      <c r="GI249">
        <v>101.3796423686448</v>
      </c>
      <c r="GJ249"/>
      <c r="GK249"/>
      <c r="GL249"/>
      <c r="GM249"/>
    </row>
    <row r="250" spans="1:195" s="7" customFormat="1">
      <c r="A250" s="1"/>
      <c r="B250">
        <v>5.7377097355540307E-2</v>
      </c>
      <c r="C250">
        <v>4</v>
      </c>
      <c r="D250">
        <v>39714</v>
      </c>
      <c r="E250">
        <v>0</v>
      </c>
      <c r="F250">
        <v>0</v>
      </c>
      <c r="G250">
        <v>0</v>
      </c>
      <c r="H250">
        <v>41.666666666666664</v>
      </c>
      <c r="I250">
        <v>41.666666666666664</v>
      </c>
      <c r="J250">
        <v>0</v>
      </c>
      <c r="K250">
        <v>0</v>
      </c>
      <c r="L250">
        <v>0</v>
      </c>
      <c r="M250">
        <v>20.833333333333332</v>
      </c>
      <c r="N250">
        <v>10.416666666666666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271.97544910877127</v>
      </c>
      <c r="AO250">
        <v>140.01388699499137</v>
      </c>
      <c r="AP250">
        <v>574.56125311815856</v>
      </c>
      <c r="AQ250">
        <v>800.65242227255453</v>
      </c>
      <c r="AR250">
        <v>130.26342307593254</v>
      </c>
      <c r="AS250">
        <v>1513.0851679888033</v>
      </c>
      <c r="AT250">
        <v>71.725225823956904</v>
      </c>
      <c r="AU250">
        <v>-30.264467581157952</v>
      </c>
      <c r="AV250"/>
      <c r="AW250"/>
      <c r="DE250" s="186"/>
      <c r="DF250" s="181"/>
      <c r="DG250" s="185"/>
      <c r="DH250" s="185"/>
      <c r="DI250" s="185"/>
      <c r="DJ250" s="185"/>
      <c r="DK250" s="185"/>
      <c r="DL250" s="185"/>
      <c r="DM250" s="185"/>
      <c r="DN250" s="185"/>
      <c r="DO250" s="185"/>
      <c r="DP250" s="185"/>
      <c r="DQ250" s="185"/>
      <c r="DR250" s="185"/>
      <c r="DS250" s="185"/>
      <c r="DT250" s="185"/>
      <c r="DU250" s="185"/>
      <c r="DV250" s="185"/>
      <c r="DW250" s="185"/>
      <c r="DX250" s="185"/>
      <c r="DY250" s="185"/>
      <c r="DZ250" s="185"/>
      <c r="EA250" s="181"/>
      <c r="EB250" s="185"/>
      <c r="EC250" s="181"/>
      <c r="ED250" s="181"/>
      <c r="EE250" s="181"/>
      <c r="EF250" s="181"/>
      <c r="EG250" s="181"/>
      <c r="EH250" s="181"/>
      <c r="EI250" s="181"/>
      <c r="EJ250" s="181"/>
      <c r="FY250" s="211">
        <v>245</v>
      </c>
      <c r="FZ250">
        <v>118.15610951982939</v>
      </c>
      <c r="GA250">
        <v>147.24152541052231</v>
      </c>
      <c r="GB250">
        <v>47.825443280626615</v>
      </c>
      <c r="GC250">
        <v>35.876262407919818</v>
      </c>
      <c r="GD250">
        <v>31.391062894779562</v>
      </c>
      <c r="GE250">
        <v>62.996973321480439</v>
      </c>
      <c r="GF250">
        <v>102.0634798865423</v>
      </c>
      <c r="GG250">
        <v>89.656226942880281</v>
      </c>
      <c r="GH250">
        <v>82.735123906054312</v>
      </c>
      <c r="GI250">
        <v>86.476856374049731</v>
      </c>
      <c r="GJ250"/>
      <c r="GK250"/>
      <c r="GL250"/>
      <c r="GM250"/>
    </row>
    <row r="251" spans="1:195" s="7" customFormat="1">
      <c r="A251" s="1"/>
      <c r="B251">
        <v>0.50129495233022947</v>
      </c>
      <c r="C251">
        <v>10</v>
      </c>
      <c r="D251">
        <v>39714</v>
      </c>
      <c r="E251">
        <v>0</v>
      </c>
      <c r="F251">
        <v>357.14285714285711</v>
      </c>
      <c r="G251">
        <v>446.42857142857139</v>
      </c>
      <c r="H251">
        <v>104.16666666666667</v>
      </c>
      <c r="I251">
        <v>0</v>
      </c>
      <c r="J251">
        <v>0</v>
      </c>
      <c r="K251">
        <v>0</v>
      </c>
      <c r="L251">
        <v>41.666666666666664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252.28222182761141</v>
      </c>
      <c r="AO251">
        <v>130.4690190719561</v>
      </c>
      <c r="AP251">
        <v>463.15834972819772</v>
      </c>
      <c r="AQ251">
        <v>731.56364583407435</v>
      </c>
      <c r="AR251">
        <v>122.50174047104002</v>
      </c>
      <c r="AS251">
        <v>1191.606466453238</v>
      </c>
      <c r="AT251">
        <v>60.496256226036344</v>
      </c>
      <c r="AU251">
        <v>10.965437078428774</v>
      </c>
      <c r="AV251"/>
      <c r="AW251"/>
      <c r="DE251" s="186"/>
      <c r="DF251" s="181"/>
      <c r="DG251" s="185"/>
      <c r="DH251" s="185"/>
      <c r="DI251" s="185"/>
      <c r="DJ251" s="185"/>
      <c r="DK251" s="185"/>
      <c r="DL251" s="185"/>
      <c r="DM251" s="185"/>
      <c r="DN251" s="185"/>
      <c r="DO251" s="185"/>
      <c r="DP251" s="185"/>
      <c r="DQ251" s="185"/>
      <c r="DR251" s="185"/>
      <c r="DS251" s="185"/>
      <c r="DT251" s="185"/>
      <c r="DU251" s="185"/>
      <c r="DV251" s="185"/>
      <c r="DW251" s="185"/>
      <c r="DX251" s="185"/>
      <c r="DY251" s="185"/>
      <c r="DZ251" s="185"/>
      <c r="EA251" s="181"/>
      <c r="EB251" s="185"/>
      <c r="EC251" s="181"/>
      <c r="ED251" s="181"/>
      <c r="EE251" s="181"/>
      <c r="EF251" s="181"/>
      <c r="EG251" s="181"/>
      <c r="EH251" s="181"/>
      <c r="EI251" s="181"/>
      <c r="EJ251" s="181"/>
      <c r="FY251" s="211">
        <v>246</v>
      </c>
      <c r="FZ251">
        <v>125.29923483397224</v>
      </c>
      <c r="GA251">
        <v>152.4129080352655</v>
      </c>
      <c r="GB251">
        <v>45.649036441849688</v>
      </c>
      <c r="GC251">
        <v>31.547402424522744</v>
      </c>
      <c r="GD251">
        <v>43.108361553779496</v>
      </c>
      <c r="GE251">
        <v>81.119941661616664</v>
      </c>
      <c r="GF251">
        <v>85.208068029503082</v>
      </c>
      <c r="GG251">
        <v>65.168288039670088</v>
      </c>
      <c r="GH251">
        <v>53.724143226310659</v>
      </c>
      <c r="GI251">
        <v>86.459960666674007</v>
      </c>
      <c r="GJ251"/>
      <c r="GK251"/>
      <c r="GL251"/>
      <c r="GM251"/>
    </row>
    <row r="252" spans="1:195" s="7" customFormat="1">
      <c r="A252" s="1"/>
      <c r="B252">
        <v>0.18956041599383422</v>
      </c>
      <c r="C252">
        <v>8</v>
      </c>
      <c r="D252">
        <v>39714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10.416666666666666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311.99230764659382</v>
      </c>
      <c r="AO252">
        <v>143.25492626293038</v>
      </c>
      <c r="AP252">
        <v>439.75995663975016</v>
      </c>
      <c r="AQ252">
        <v>793.43340680429947</v>
      </c>
      <c r="AR252">
        <v>134.79349200096505</v>
      </c>
      <c r="AS252">
        <v>1323.3132624556645</v>
      </c>
      <c r="AT252">
        <v>69.653241950015527</v>
      </c>
      <c r="AU252">
        <v>-2.9238691190791215</v>
      </c>
      <c r="AV252"/>
      <c r="AW252"/>
      <c r="FY252" s="211">
        <v>247</v>
      </c>
      <c r="FZ252">
        <v>96.850885688981265</v>
      </c>
      <c r="GA252">
        <v>116.65506620989262</v>
      </c>
      <c r="GB252">
        <v>34.614403774071697</v>
      </c>
      <c r="GC252">
        <v>38.71526792740346</v>
      </c>
      <c r="GD252">
        <v>56.29558711517894</v>
      </c>
      <c r="GE252">
        <v>92.418584608894747</v>
      </c>
      <c r="GF252">
        <v>108.25557827646375</v>
      </c>
      <c r="GG252">
        <v>84.682349146826226</v>
      </c>
      <c r="GH252">
        <v>54.633893781227883</v>
      </c>
      <c r="GI252">
        <v>92.980044341380761</v>
      </c>
      <c r="GJ252"/>
      <c r="GK252"/>
      <c r="GL252"/>
      <c r="GM252"/>
    </row>
    <row r="253" spans="1:195" s="7" customFormat="1">
      <c r="A253" s="1"/>
      <c r="B253">
        <v>0.13387366510485954</v>
      </c>
      <c r="C253">
        <v>1</v>
      </c>
      <c r="D253">
        <v>39714</v>
      </c>
      <c r="E253">
        <v>0</v>
      </c>
      <c r="F253">
        <v>65.104166666666671</v>
      </c>
      <c r="G253">
        <v>0</v>
      </c>
      <c r="H253">
        <v>41.666666666666664</v>
      </c>
      <c r="I253">
        <v>20.833333333333332</v>
      </c>
      <c r="J253">
        <v>0</v>
      </c>
      <c r="K253">
        <v>0</v>
      </c>
      <c r="L253">
        <v>10.416666666666666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259.56602995694783</v>
      </c>
      <c r="AO253">
        <v>160.48448673346502</v>
      </c>
      <c r="AP253">
        <v>785.76377031943912</v>
      </c>
      <c r="AQ253">
        <v>911.7534086201556</v>
      </c>
      <c r="AR253">
        <v>151.15884778588213</v>
      </c>
      <c r="AS253">
        <v>1389.2425055419415</v>
      </c>
      <c r="AT253">
        <v>79.023755024380108</v>
      </c>
      <c r="AU253">
        <v>156.70315587523285</v>
      </c>
      <c r="AV253"/>
      <c r="AW253"/>
      <c r="FY253" s="211">
        <v>248</v>
      </c>
      <c r="FZ253">
        <v>115.5316725430706</v>
      </c>
      <c r="GA253">
        <v>171.89446113389329</v>
      </c>
      <c r="GB253">
        <v>60.925011846831943</v>
      </c>
      <c r="GC253">
        <v>46.76719971133317</v>
      </c>
      <c r="GD253">
        <v>54.802654300501601</v>
      </c>
      <c r="GE253">
        <v>85.127254891351768</v>
      </c>
      <c r="GF253">
        <v>67.176894748641985</v>
      </c>
      <c r="GG253">
        <v>65.960102665800392</v>
      </c>
      <c r="GH253">
        <v>69.311679992958517</v>
      </c>
      <c r="GI253">
        <v>94.5356675921103</v>
      </c>
      <c r="GJ253"/>
      <c r="GK253"/>
      <c r="GL253"/>
      <c r="GM253"/>
    </row>
    <row r="254" spans="1:195" s="7" customFormat="1">
      <c r="A254" s="1"/>
      <c r="B254">
        <v>0.67036208107968442</v>
      </c>
      <c r="C254">
        <v>3</v>
      </c>
      <c r="D254">
        <v>39714</v>
      </c>
      <c r="E254">
        <v>97.65625</v>
      </c>
      <c r="F254">
        <v>292.96875</v>
      </c>
      <c r="G254">
        <v>390.625</v>
      </c>
      <c r="H254">
        <v>191.40625</v>
      </c>
      <c r="I254">
        <v>149.73958333333334</v>
      </c>
      <c r="J254">
        <v>0</v>
      </c>
      <c r="K254">
        <v>0</v>
      </c>
      <c r="L254">
        <v>20.833333333333332</v>
      </c>
      <c r="M254">
        <v>0</v>
      </c>
      <c r="N254">
        <v>10.416666666666666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210.30152072814766</v>
      </c>
      <c r="AO254">
        <v>115.57298472505465</v>
      </c>
      <c r="AP254">
        <v>427.57899457159942</v>
      </c>
      <c r="AQ254">
        <v>653.73824367780696</v>
      </c>
      <c r="AR254">
        <v>109.6363135027361</v>
      </c>
      <c r="AS254">
        <v>1284.8485838857691</v>
      </c>
      <c r="AT254">
        <v>53.229937692172221</v>
      </c>
      <c r="AU254">
        <v>83.000146485241459</v>
      </c>
      <c r="AV254"/>
      <c r="AW254"/>
      <c r="FY254" s="211">
        <v>249</v>
      </c>
      <c r="FZ254">
        <v>135.24676775563418</v>
      </c>
      <c r="GA254">
        <v>193.03104056485151</v>
      </c>
      <c r="GB254">
        <v>81.31107712673068</v>
      </c>
      <c r="GC254">
        <v>54.339573479206663</v>
      </c>
      <c r="GD254">
        <v>41.698365271598647</v>
      </c>
      <c r="GE254">
        <v>74.07387962461614</v>
      </c>
      <c r="GF254">
        <v>104.45242190384153</v>
      </c>
      <c r="GG254">
        <v>69.356586034783717</v>
      </c>
      <c r="GH254">
        <v>68.85111573393209</v>
      </c>
      <c r="GI254">
        <v>103.84567458186871</v>
      </c>
      <c r="GJ254"/>
      <c r="GK254"/>
      <c r="GL254"/>
      <c r="GM254"/>
    </row>
    <row r="255" spans="1:195" s="7" customFormat="1">
      <c r="A255" s="1"/>
      <c r="B255">
        <v>9.7029668439440719E-2</v>
      </c>
      <c r="C255">
        <v>8</v>
      </c>
      <c r="D255">
        <v>39714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10.416666666666666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254.98447731466226</v>
      </c>
      <c r="AO255">
        <v>147.49169504932257</v>
      </c>
      <c r="AP255">
        <v>677.60963320878864</v>
      </c>
      <c r="AQ255">
        <v>776.07594120256101</v>
      </c>
      <c r="AR255">
        <v>138.62798186188959</v>
      </c>
      <c r="AS255">
        <v>1441.868840786741</v>
      </c>
      <c r="AT255">
        <v>69.968311081776292</v>
      </c>
      <c r="AU255">
        <v>59.487663517364624</v>
      </c>
      <c r="AV255"/>
      <c r="AW255"/>
      <c r="FY255" s="211">
        <v>250</v>
      </c>
      <c r="FZ255">
        <v>122.36651418904111</v>
      </c>
      <c r="GA255">
        <v>133.26609759771662</v>
      </c>
      <c r="GB255">
        <v>50.675679711885934</v>
      </c>
      <c r="GC255">
        <v>49.894317652946548</v>
      </c>
      <c r="GD255">
        <v>55.551664355795545</v>
      </c>
      <c r="GE255">
        <v>82.42229919174693</v>
      </c>
      <c r="GF255">
        <v>91.556593337151341</v>
      </c>
      <c r="GG255">
        <v>61.590086158634683</v>
      </c>
      <c r="GH255">
        <v>18.738967587362978</v>
      </c>
      <c r="GI255">
        <v>91.22314407625413</v>
      </c>
      <c r="GJ255"/>
      <c r="GK255"/>
      <c r="GL255"/>
      <c r="GM255"/>
    </row>
    <row r="256" spans="1:195" s="7" customFormat="1">
      <c r="A256" s="1"/>
      <c r="B256">
        <v>0.18059856878919578</v>
      </c>
      <c r="C256">
        <v>4</v>
      </c>
      <c r="D256">
        <v>39714</v>
      </c>
      <c r="E256">
        <v>0</v>
      </c>
      <c r="F256">
        <v>0</v>
      </c>
      <c r="G256">
        <v>0</v>
      </c>
      <c r="H256">
        <v>41.666666666666664</v>
      </c>
      <c r="I256">
        <v>41.666666666666664</v>
      </c>
      <c r="J256">
        <v>0</v>
      </c>
      <c r="K256">
        <v>0</v>
      </c>
      <c r="L256">
        <v>0</v>
      </c>
      <c r="M256">
        <v>20.833333333333332</v>
      </c>
      <c r="N256">
        <v>10.416666666666666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239.4879761707254</v>
      </c>
      <c r="AO256">
        <v>152.12926828421934</v>
      </c>
      <c r="AP256">
        <v>754.53583408753525</v>
      </c>
      <c r="AQ256">
        <v>829.38350280341251</v>
      </c>
      <c r="AR256">
        <v>142.52074913608791</v>
      </c>
      <c r="AS256">
        <v>1393.8821831383293</v>
      </c>
      <c r="AT256">
        <v>78.169027319215004</v>
      </c>
      <c r="AU256">
        <v>309.30172272158973</v>
      </c>
      <c r="AV256"/>
      <c r="AW256"/>
      <c r="FY256" s="211">
        <v>251</v>
      </c>
      <c r="FZ256">
        <v>132.03352306886762</v>
      </c>
      <c r="GA256">
        <v>187.28868692481814</v>
      </c>
      <c r="GB256">
        <v>66.149323654429665</v>
      </c>
      <c r="GC256">
        <v>47.05171923767638</v>
      </c>
      <c r="GD256">
        <v>47.785885392108383</v>
      </c>
      <c r="GE256">
        <v>64.085354437509167</v>
      </c>
      <c r="GF256">
        <v>63.629835280873621</v>
      </c>
      <c r="GG256">
        <v>55.517914079727305</v>
      </c>
      <c r="GH256">
        <v>34.651243842950059</v>
      </c>
      <c r="GI256">
        <v>87.401643193802542</v>
      </c>
      <c r="GJ256"/>
      <c r="GK256"/>
      <c r="GL256"/>
      <c r="GM256"/>
    </row>
    <row r="257" spans="1:195" s="7" customFormat="1">
      <c r="A257" s="1"/>
      <c r="B257">
        <v>0.22613085612078931</v>
      </c>
      <c r="C257">
        <v>7</v>
      </c>
      <c r="D257">
        <v>39714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254.48749720429601</v>
      </c>
      <c r="AO257">
        <v>133.39379341186398</v>
      </c>
      <c r="AP257">
        <v>552.05471679106415</v>
      </c>
      <c r="AQ257">
        <v>753.61047250382001</v>
      </c>
      <c r="AR257">
        <v>126.61173010618479</v>
      </c>
      <c r="AS257">
        <v>1238.4145012520357</v>
      </c>
      <c r="AT257">
        <v>68.802164126900394</v>
      </c>
      <c r="AU257">
        <v>80.987489079618769</v>
      </c>
      <c r="AV257"/>
      <c r="AW257"/>
      <c r="FY257" s="211">
        <v>252</v>
      </c>
      <c r="FZ257">
        <v>157.22302889991551</v>
      </c>
      <c r="GA257">
        <v>147.18977382331482</v>
      </c>
      <c r="GB257">
        <v>41.388863878402162</v>
      </c>
      <c r="GC257">
        <v>40.841690861602451</v>
      </c>
      <c r="GD257">
        <v>46.397875457863037</v>
      </c>
      <c r="GE257">
        <v>71.66952602050894</v>
      </c>
      <c r="GF257">
        <v>75.407469539198033</v>
      </c>
      <c r="GG257">
        <v>74.258857814166021</v>
      </c>
      <c r="GH257">
        <v>66.108780333447072</v>
      </c>
      <c r="GI257">
        <v>91.272550095596074</v>
      </c>
      <c r="GJ257"/>
      <c r="GK257"/>
      <c r="GL257"/>
      <c r="GM257"/>
    </row>
    <row r="258" spans="1:195" s="7" customFormat="1">
      <c r="A258" s="1"/>
      <c r="B258">
        <v>0.79981697119968276</v>
      </c>
      <c r="C258">
        <v>8</v>
      </c>
      <c r="D258">
        <v>39747</v>
      </c>
      <c r="E258">
        <v>0</v>
      </c>
      <c r="F258">
        <v>0</v>
      </c>
      <c r="G258">
        <v>280.44871794871796</v>
      </c>
      <c r="H258">
        <v>0</v>
      </c>
      <c r="I258">
        <v>20.833333333333332</v>
      </c>
      <c r="J258">
        <v>93.75</v>
      </c>
      <c r="K258">
        <v>10.416666666666666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245.34604250084163</v>
      </c>
      <c r="AO258">
        <v>140.83681964729072</v>
      </c>
      <c r="AP258">
        <v>658.07215300293024</v>
      </c>
      <c r="AQ258">
        <v>779.73970705047702</v>
      </c>
      <c r="AR258">
        <v>132.29196501391513</v>
      </c>
      <c r="AS258">
        <v>1453.2337280111835</v>
      </c>
      <c r="AT258">
        <v>71.00602706628878</v>
      </c>
      <c r="AU258">
        <v>60.667696330292799</v>
      </c>
      <c r="AV258"/>
      <c r="AW258"/>
      <c r="FY258" s="211">
        <v>253</v>
      </c>
      <c r="FZ258">
        <v>88.103553246352988</v>
      </c>
      <c r="GA258">
        <v>156.77656571028481</v>
      </c>
      <c r="GB258">
        <v>57.277597006191783</v>
      </c>
      <c r="GC258">
        <v>38.699307761937419</v>
      </c>
      <c r="GD258">
        <v>29.280148089332734</v>
      </c>
      <c r="GE258">
        <v>49.33984419404463</v>
      </c>
      <c r="GF258">
        <v>114.84018446103106</v>
      </c>
      <c r="GG258">
        <v>112.25353774697591</v>
      </c>
      <c r="GH258">
        <v>99.252754677897187</v>
      </c>
      <c r="GI258">
        <v>89.785909502586989</v>
      </c>
      <c r="GJ258"/>
      <c r="GK258"/>
      <c r="GL258"/>
      <c r="GM258"/>
    </row>
    <row r="259" spans="1:195" s="7" customFormat="1">
      <c r="A259" s="90"/>
      <c r="B259">
        <v>3.6798483325653386E-2</v>
      </c>
      <c r="C259">
        <v>2</v>
      </c>
      <c r="D259">
        <v>39747</v>
      </c>
      <c r="E259">
        <v>0</v>
      </c>
      <c r="F259">
        <v>91.145833333333329</v>
      </c>
      <c r="G259">
        <v>182.29166666666666</v>
      </c>
      <c r="H259">
        <v>182.29166666666666</v>
      </c>
      <c r="I259">
        <v>91.145833333333329</v>
      </c>
      <c r="J259">
        <v>78.125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265.52887598166296</v>
      </c>
      <c r="AO259">
        <v>180.30806710884895</v>
      </c>
      <c r="AP259">
        <v>846.72730608946461</v>
      </c>
      <c r="AQ259">
        <v>931.80208515020604</v>
      </c>
      <c r="AR259">
        <v>167.77912050691756</v>
      </c>
      <c r="AS259">
        <v>1566.1821175103373</v>
      </c>
      <c r="AT259">
        <v>86.381619186930848</v>
      </c>
      <c r="AU259">
        <v>151.46036929904631</v>
      </c>
      <c r="AV259"/>
      <c r="AW259"/>
      <c r="FY259" s="211">
        <v>254</v>
      </c>
      <c r="FZ259">
        <v>140.03461213677818</v>
      </c>
      <c r="GA259">
        <v>158.85701986447677</v>
      </c>
      <c r="GB259">
        <v>62.459745631922139</v>
      </c>
      <c r="GC259">
        <v>46.769629617057745</v>
      </c>
      <c r="GD259">
        <v>31.30417526537828</v>
      </c>
      <c r="GE259">
        <v>42.354444114637765</v>
      </c>
      <c r="GF259">
        <v>80.082833277392723</v>
      </c>
      <c r="GG259">
        <v>61.665084587136327</v>
      </c>
      <c r="GH259">
        <v>43.288058845228448</v>
      </c>
      <c r="GI259">
        <v>82.013816745032443</v>
      </c>
      <c r="GJ259"/>
      <c r="GK259"/>
      <c r="GL259"/>
      <c r="GM259"/>
    </row>
    <row r="260" spans="1:195" s="7" customFormat="1">
      <c r="A260" s="77" t="s">
        <v>61</v>
      </c>
      <c r="B260">
        <v>0.15423320854150546</v>
      </c>
      <c r="C260">
        <v>3</v>
      </c>
      <c r="D260">
        <v>39747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220.5836059436503</v>
      </c>
      <c r="AO260">
        <v>162.57675976360878</v>
      </c>
      <c r="AP260">
        <v>865.62572450660855</v>
      </c>
      <c r="AQ260">
        <v>916.16007539222016</v>
      </c>
      <c r="AR260">
        <v>155.06197024591827</v>
      </c>
      <c r="AS260">
        <v>1401.9777067607306</v>
      </c>
      <c r="AT260">
        <v>93.635536640601416</v>
      </c>
      <c r="AU260">
        <v>153.69850574618175</v>
      </c>
      <c r="AV260"/>
      <c r="AW260"/>
      <c r="FY260" s="211">
        <v>255</v>
      </c>
      <c r="FZ260">
        <v>131.11783751334747</v>
      </c>
      <c r="GA260">
        <v>147.58317257544701</v>
      </c>
      <c r="GB260">
        <v>55.669470592261007</v>
      </c>
      <c r="GC260">
        <v>41.599198102638574</v>
      </c>
      <c r="GD260">
        <v>44.153052336526287</v>
      </c>
      <c r="GE260">
        <v>80.448738160413328</v>
      </c>
      <c r="GF260">
        <v>74.056764175463741</v>
      </c>
      <c r="GG260">
        <v>41.443152900381399</v>
      </c>
      <c r="GH260">
        <v>36.639420789893705</v>
      </c>
      <c r="GI260">
        <v>84.377501128451939</v>
      </c>
      <c r="GJ260"/>
      <c r="GK260"/>
      <c r="GL260"/>
      <c r="GM260"/>
    </row>
    <row r="261" spans="1:195" s="7" customFormat="1">
      <c r="A261" s="77" t="s">
        <v>62</v>
      </c>
      <c r="B261">
        <v>0.23065488954450952</v>
      </c>
      <c r="C261">
        <v>2</v>
      </c>
      <c r="D261">
        <v>39747</v>
      </c>
      <c r="E261">
        <v>0</v>
      </c>
      <c r="F261">
        <v>91.145833333333329</v>
      </c>
      <c r="G261">
        <v>182.29166666666666</v>
      </c>
      <c r="H261">
        <v>182.29166666666666</v>
      </c>
      <c r="I261">
        <v>91.145833333333329</v>
      </c>
      <c r="J261">
        <v>78.125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230.65037396674842</v>
      </c>
      <c r="AO261">
        <v>138.95087550485832</v>
      </c>
      <c r="AP261">
        <v>499.42359277564663</v>
      </c>
      <c r="AQ261">
        <v>804.41906394468469</v>
      </c>
      <c r="AR261">
        <v>131.19245142645926</v>
      </c>
      <c r="AS261">
        <v>1357.9347296067706</v>
      </c>
      <c r="AT261">
        <v>67.919855514022387</v>
      </c>
      <c r="AU261">
        <v>167.5535488696367</v>
      </c>
      <c r="AV261"/>
      <c r="AW261"/>
      <c r="FY261" s="211">
        <v>256</v>
      </c>
      <c r="FZ261">
        <v>126.94826368459935</v>
      </c>
      <c r="GA261">
        <v>169.2054323488571</v>
      </c>
      <c r="GB261">
        <v>54.383984540292076</v>
      </c>
      <c r="GC261">
        <v>38.483134276876726</v>
      </c>
      <c r="GD261">
        <v>38.770435549416355</v>
      </c>
      <c r="GE261">
        <v>107.32756879169466</v>
      </c>
      <c r="GF261">
        <v>137.25465756409679</v>
      </c>
      <c r="GG261">
        <v>50.35310326080986</v>
      </c>
      <c r="GH261">
        <v>39.901736169749995</v>
      </c>
      <c r="GI261">
        <v>96.371121432935695</v>
      </c>
      <c r="GJ261"/>
      <c r="GK261"/>
      <c r="GL261"/>
      <c r="GM261"/>
    </row>
    <row r="262" spans="1:195" s="7" customFormat="1" ht="12.75" customHeight="1">
      <c r="A262" s="77"/>
      <c r="B262">
        <v>0.56850888680794176</v>
      </c>
      <c r="C262">
        <v>2</v>
      </c>
      <c r="D262">
        <v>39747</v>
      </c>
      <c r="E262">
        <v>0</v>
      </c>
      <c r="F262">
        <v>91.145833333333329</v>
      </c>
      <c r="G262">
        <v>182.29166666666666</v>
      </c>
      <c r="H262">
        <v>182.29166666666666</v>
      </c>
      <c r="I262">
        <v>91.145833333333329</v>
      </c>
      <c r="J262">
        <v>78.125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252.50227682218718</v>
      </c>
      <c r="AO262">
        <v>136.89500031622569</v>
      </c>
      <c r="AP262">
        <v>558.69664856267559</v>
      </c>
      <c r="AQ262">
        <v>769.6973449131641</v>
      </c>
      <c r="AR262">
        <v>130.00776149796704</v>
      </c>
      <c r="AS262">
        <v>1352.8629601719981</v>
      </c>
      <c r="AT262">
        <v>64.747568975619245</v>
      </c>
      <c r="AU262">
        <v>87.849011810890772</v>
      </c>
      <c r="AV262"/>
      <c r="AW262"/>
      <c r="FY262" s="211">
        <v>257</v>
      </c>
      <c r="FZ262">
        <v>94.594385138666183</v>
      </c>
      <c r="GA262">
        <v>105.91088242307161</v>
      </c>
      <c r="GB262">
        <v>48.200538295650119</v>
      </c>
      <c r="GC262">
        <v>37.365246209959615</v>
      </c>
      <c r="GD262">
        <v>26.021023032427941</v>
      </c>
      <c r="GE262">
        <v>57.433120661812453</v>
      </c>
      <c r="GF262">
        <v>120.9712424185486</v>
      </c>
      <c r="GG262">
        <v>83.579341682183767</v>
      </c>
      <c r="GH262">
        <v>62.7016843106273</v>
      </c>
      <c r="GI262">
        <v>81.280035281171479</v>
      </c>
      <c r="GJ262"/>
      <c r="GK262"/>
      <c r="GL262"/>
      <c r="GM262"/>
    </row>
    <row r="263" spans="1:195" s="7" customFormat="1">
      <c r="A263" s="77"/>
      <c r="B263">
        <v>0.52318579899372053</v>
      </c>
      <c r="C263">
        <v>6</v>
      </c>
      <c r="D263">
        <v>39747</v>
      </c>
      <c r="E263">
        <v>0</v>
      </c>
      <c r="F263">
        <v>130.20833333333334</v>
      </c>
      <c r="G263">
        <v>0</v>
      </c>
      <c r="H263">
        <v>10.416666666666666</v>
      </c>
      <c r="I263">
        <v>0</v>
      </c>
      <c r="J263">
        <v>31.25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296.73647013360716</v>
      </c>
      <c r="AO263">
        <v>146.25823986016627</v>
      </c>
      <c r="AP263">
        <v>666.088713369262</v>
      </c>
      <c r="AQ263">
        <v>776.10166087032144</v>
      </c>
      <c r="AR263">
        <v>138.44644113226738</v>
      </c>
      <c r="AS263">
        <v>1403.148530597553</v>
      </c>
      <c r="AT263">
        <v>67.484484158743712</v>
      </c>
      <c r="AU263">
        <v>456.56875620860615</v>
      </c>
      <c r="AV263"/>
      <c r="AW263"/>
      <c r="FY263" s="211">
        <v>258</v>
      </c>
      <c r="FZ263">
        <v>124.7775044271805</v>
      </c>
      <c r="GA263">
        <v>157.82183399025706</v>
      </c>
      <c r="GB263">
        <v>51.840443457633995</v>
      </c>
      <c r="GC263">
        <v>37.247264949526034</v>
      </c>
      <c r="GD263">
        <v>23.633400890502021</v>
      </c>
      <c r="GE263">
        <v>67.527873980426321</v>
      </c>
      <c r="GF263">
        <v>141.16102365633381</v>
      </c>
      <c r="GG263">
        <v>80.693166350296053</v>
      </c>
      <c r="GH263">
        <v>67.255290375619381</v>
      </c>
      <c r="GI263">
        <v>89.954210626930319</v>
      </c>
      <c r="GJ263"/>
      <c r="GK263"/>
      <c r="GL263"/>
      <c r="GM263"/>
    </row>
    <row r="264" spans="1:195" s="7" customFormat="1">
      <c r="A264" s="77"/>
      <c r="B264">
        <v>0.48600814018822458</v>
      </c>
      <c r="C264">
        <v>10</v>
      </c>
      <c r="D264">
        <v>39747</v>
      </c>
      <c r="E264">
        <v>0</v>
      </c>
      <c r="F264">
        <v>130.20833333333334</v>
      </c>
      <c r="G264">
        <v>65.104166666666671</v>
      </c>
      <c r="H264">
        <v>0</v>
      </c>
      <c r="I264">
        <v>75.520833333333329</v>
      </c>
      <c r="J264">
        <v>52.083333333333336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314.92858097951245</v>
      </c>
      <c r="AO264">
        <v>150.64004618408222</v>
      </c>
      <c r="AP264">
        <v>515.12361364777121</v>
      </c>
      <c r="AQ264">
        <v>832.03259942649345</v>
      </c>
      <c r="AR264">
        <v>141.05240205682645</v>
      </c>
      <c r="AS264">
        <v>1475.1723305240339</v>
      </c>
      <c r="AT264">
        <v>70.698695328843741</v>
      </c>
      <c r="AU264">
        <v>47.593503090027419</v>
      </c>
      <c r="AV264"/>
      <c r="AW264"/>
      <c r="FY264" s="211">
        <v>259</v>
      </c>
      <c r="FZ264">
        <v>125.21961517569866</v>
      </c>
      <c r="GA264">
        <v>169.68563906310968</v>
      </c>
      <c r="GB264">
        <v>47.671831542733301</v>
      </c>
      <c r="GC264">
        <v>41.506931962093475</v>
      </c>
      <c r="GD264">
        <v>43.403417264596676</v>
      </c>
      <c r="GE264">
        <v>52.153123625863685</v>
      </c>
      <c r="GF264">
        <v>41.428084132816764</v>
      </c>
      <c r="GG264">
        <v>47.281761084730825</v>
      </c>
      <c r="GH264">
        <v>46.574348212766864</v>
      </c>
      <c r="GI264">
        <v>76.243225768592126</v>
      </c>
      <c r="GJ264"/>
      <c r="GK264"/>
      <c r="GL264"/>
      <c r="GM264"/>
    </row>
    <row r="265" spans="1:195" s="7" customFormat="1">
      <c r="A265" s="77"/>
      <c r="B265">
        <v>0.6518514266737605</v>
      </c>
      <c r="C265">
        <v>3</v>
      </c>
      <c r="D265">
        <v>39747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249.02507542331801</v>
      </c>
      <c r="AO265">
        <v>167.45450168012204</v>
      </c>
      <c r="AP265">
        <v>744.25108677645005</v>
      </c>
      <c r="AQ265">
        <v>926.20650207706399</v>
      </c>
      <c r="AR265">
        <v>158.09717050766395</v>
      </c>
      <c r="AS265">
        <v>1713.6624488263244</v>
      </c>
      <c r="AT265">
        <v>84.337748369999076</v>
      </c>
      <c r="AU265">
        <v>193.81971991045231</v>
      </c>
      <c r="AV265"/>
      <c r="AW265"/>
      <c r="FY265" s="211">
        <v>260</v>
      </c>
      <c r="FZ265">
        <v>113.08523483284976</v>
      </c>
      <c r="GA265">
        <v>138.65480937649156</v>
      </c>
      <c r="GB265">
        <v>39.371593529895407</v>
      </c>
      <c r="GC265">
        <v>41.500310074613438</v>
      </c>
      <c r="GD265">
        <v>39.388417067521729</v>
      </c>
      <c r="GE265">
        <v>68.710785887275847</v>
      </c>
      <c r="GF265">
        <v>72.68966013982552</v>
      </c>
      <c r="GG265">
        <v>49.578976619348211</v>
      </c>
      <c r="GH265">
        <v>60.297799238512624</v>
      </c>
      <c r="GI265">
        <v>78.201868752483605</v>
      </c>
      <c r="GJ265"/>
      <c r="GK265"/>
      <c r="GL265"/>
      <c r="GM265"/>
    </row>
    <row r="266" spans="1:195" s="7" customFormat="1">
      <c r="A266" s="1"/>
      <c r="B266">
        <v>0.22964856089549457</v>
      </c>
      <c r="C266">
        <v>4</v>
      </c>
      <c r="D266">
        <v>39747</v>
      </c>
      <c r="E266">
        <v>0</v>
      </c>
      <c r="F266">
        <v>251.43678160919538</v>
      </c>
      <c r="G266">
        <v>188.57758620689654</v>
      </c>
      <c r="H266">
        <v>0</v>
      </c>
      <c r="I266">
        <v>28.409090909090907</v>
      </c>
      <c r="J266">
        <v>85.22727272727272</v>
      </c>
      <c r="K266">
        <v>56.818181818181813</v>
      </c>
      <c r="L266">
        <v>28.409090909090907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308.13076156751362</v>
      </c>
      <c r="AO266">
        <v>142.51756332744512</v>
      </c>
      <c r="AP266">
        <v>453.02042709938439</v>
      </c>
      <c r="AQ266">
        <v>757.28536385853567</v>
      </c>
      <c r="AR266">
        <v>135.13615169862175</v>
      </c>
      <c r="AS266">
        <v>1432.5260921104987</v>
      </c>
      <c r="AT266">
        <v>58.830282583376224</v>
      </c>
      <c r="AU266">
        <v>275.01908039699811</v>
      </c>
      <c r="AV266"/>
      <c r="AW266"/>
      <c r="FY266" s="211">
        <v>261</v>
      </c>
      <c r="FZ266">
        <v>115.77308712078225</v>
      </c>
      <c r="GA266">
        <v>134.31463073459898</v>
      </c>
      <c r="GB266">
        <v>56.560579771518952</v>
      </c>
      <c r="GC266">
        <v>46.693903416691825</v>
      </c>
      <c r="GD266">
        <v>39.344800644375525</v>
      </c>
      <c r="GE266">
        <v>64.095907414567037</v>
      </c>
      <c r="GF266">
        <v>64.863360376766622</v>
      </c>
      <c r="GG266">
        <v>53.152749403173303</v>
      </c>
      <c r="GH266">
        <v>69.30674133681643</v>
      </c>
      <c r="GI266">
        <v>82.820520507178017</v>
      </c>
      <c r="GJ266"/>
      <c r="GK266"/>
      <c r="GL266"/>
      <c r="GM266"/>
    </row>
    <row r="267" spans="1:195" s="7" customFormat="1">
      <c r="A267" s="1"/>
      <c r="B267">
        <v>0.71929386674921081</v>
      </c>
      <c r="C267">
        <v>3</v>
      </c>
      <c r="D267">
        <v>39747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277.05482806141629</v>
      </c>
      <c r="AO267">
        <v>138.69509502183706</v>
      </c>
      <c r="AP267">
        <v>504.1463741375315</v>
      </c>
      <c r="AQ267">
        <v>785.59512911276295</v>
      </c>
      <c r="AR267">
        <v>130.48405917967929</v>
      </c>
      <c r="AS267">
        <v>1308.4964354525796</v>
      </c>
      <c r="AT267">
        <v>66.476424073926566</v>
      </c>
      <c r="AU267">
        <v>99.787185065808217</v>
      </c>
      <c r="AV267"/>
      <c r="AW267"/>
      <c r="FY267" s="211">
        <v>262</v>
      </c>
      <c r="FZ267">
        <v>96.350158633252917</v>
      </c>
      <c r="GA267">
        <v>115.70883785930472</v>
      </c>
      <c r="GB267">
        <v>36.72694894465193</v>
      </c>
      <c r="GC267">
        <v>37.463410142052787</v>
      </c>
      <c r="GD267">
        <v>40.055014652107552</v>
      </c>
      <c r="GE267">
        <v>83.085001972431613</v>
      </c>
      <c r="GF267">
        <v>134.73804749229035</v>
      </c>
      <c r="GG267">
        <v>63.229396722513329</v>
      </c>
      <c r="GH267">
        <v>16.612516788995762</v>
      </c>
      <c r="GI267">
        <v>83.763515228042237</v>
      </c>
      <c r="GJ267"/>
      <c r="GK267"/>
      <c r="GL267"/>
      <c r="GM267"/>
    </row>
    <row r="268" spans="1:195" s="7" customFormat="1">
      <c r="A268" s="1"/>
      <c r="B268">
        <v>0.65522741999969991</v>
      </c>
      <c r="C268">
        <v>1</v>
      </c>
      <c r="D268">
        <v>39775</v>
      </c>
      <c r="E268">
        <v>0</v>
      </c>
      <c r="F268">
        <v>0</v>
      </c>
      <c r="G268">
        <v>43.75</v>
      </c>
      <c r="H268">
        <v>0</v>
      </c>
      <c r="I268">
        <v>0</v>
      </c>
      <c r="J268">
        <v>96.15384615384616</v>
      </c>
      <c r="K268">
        <v>64.102564102564102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254.15472919676623</v>
      </c>
      <c r="AO268">
        <v>141.69619208403304</v>
      </c>
      <c r="AP268">
        <v>487.18384120902738</v>
      </c>
      <c r="AQ268">
        <v>811.75841672401418</v>
      </c>
      <c r="AR268">
        <v>136.64194513401765</v>
      </c>
      <c r="AS268">
        <v>1382.6150575519821</v>
      </c>
      <c r="AT268">
        <v>68.754217125119354</v>
      </c>
      <c r="AU268">
        <v>108.01550523011409</v>
      </c>
      <c r="AV268"/>
      <c r="AW268"/>
      <c r="FY268" s="211">
        <v>263</v>
      </c>
      <c r="FZ268">
        <v>104.18539500150931</v>
      </c>
      <c r="GA268">
        <v>139.99475510364218</v>
      </c>
      <c r="GB268">
        <v>40.274993304158357</v>
      </c>
      <c r="GC268">
        <v>39.060210907381126</v>
      </c>
      <c r="GD268">
        <v>39.422185979329086</v>
      </c>
      <c r="GE268">
        <v>72.084018234434907</v>
      </c>
      <c r="GF268">
        <v>75.706039793275593</v>
      </c>
      <c r="GG268">
        <v>34.151522365489541</v>
      </c>
      <c r="GH268">
        <v>41.233311167422684</v>
      </c>
      <c r="GI268">
        <v>74.974036692554577</v>
      </c>
      <c r="GJ268"/>
      <c r="GK268"/>
      <c r="GL268"/>
      <c r="GM268"/>
    </row>
    <row r="269" spans="1:195" s="7" customFormat="1">
      <c r="A269" s="1"/>
      <c r="B269">
        <v>0.34426757230671168</v>
      </c>
      <c r="C269">
        <v>6</v>
      </c>
      <c r="D269">
        <v>39775</v>
      </c>
      <c r="E269">
        <v>0</v>
      </c>
      <c r="F269">
        <v>10.416666666666666</v>
      </c>
      <c r="G269">
        <v>0</v>
      </c>
      <c r="H269">
        <v>31.25</v>
      </c>
      <c r="I269">
        <v>10.416666666666666</v>
      </c>
      <c r="J269">
        <v>93.75</v>
      </c>
      <c r="K269">
        <v>41.666666666666664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228.09033061397881</v>
      </c>
      <c r="AO269">
        <v>146.63740684252721</v>
      </c>
      <c r="AP269">
        <v>613.45014313777142</v>
      </c>
      <c r="AQ269">
        <v>835.60940239663546</v>
      </c>
      <c r="AR269">
        <v>137.40157553936601</v>
      </c>
      <c r="AS269">
        <v>1342.3440992446722</v>
      </c>
      <c r="AT269">
        <v>69.919772589885341</v>
      </c>
      <c r="AU269">
        <v>121.22189106787216</v>
      </c>
      <c r="AV269"/>
      <c r="AW269"/>
      <c r="FY269" s="211">
        <v>264</v>
      </c>
      <c r="FZ269">
        <v>120.54892954567492</v>
      </c>
      <c r="GA269">
        <v>161.17719960154719</v>
      </c>
      <c r="GB269">
        <v>50.642897720866138</v>
      </c>
      <c r="GC269">
        <v>38.163213396944862</v>
      </c>
      <c r="GD269">
        <v>24.534648118950884</v>
      </c>
      <c r="GE269">
        <v>28.099531842630974</v>
      </c>
      <c r="GF269">
        <v>98.588949974036908</v>
      </c>
      <c r="GG269">
        <v>98.115793011653807</v>
      </c>
      <c r="GH269">
        <v>58.995094732772998</v>
      </c>
      <c r="GI269">
        <v>78.76967272338328</v>
      </c>
      <c r="GJ269"/>
      <c r="GK269"/>
      <c r="GL269"/>
      <c r="GM269"/>
    </row>
    <row r="270" spans="1:195" s="7" customFormat="1">
      <c r="A270" s="1"/>
      <c r="B270">
        <v>0.3015160928272127</v>
      </c>
      <c r="C270">
        <v>6</v>
      </c>
      <c r="D270">
        <v>39775</v>
      </c>
      <c r="E270">
        <v>0</v>
      </c>
      <c r="F270">
        <v>10.416666666666666</v>
      </c>
      <c r="G270">
        <v>0</v>
      </c>
      <c r="H270">
        <v>31.25</v>
      </c>
      <c r="I270">
        <v>10.416666666666666</v>
      </c>
      <c r="J270">
        <v>93.75</v>
      </c>
      <c r="K270">
        <v>41.666666666666664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227.23567351654296</v>
      </c>
      <c r="AO270">
        <v>126.32011864917584</v>
      </c>
      <c r="AP270">
        <v>304.36586822629397</v>
      </c>
      <c r="AQ270">
        <v>748.82942008504074</v>
      </c>
      <c r="AR270">
        <v>122.00517030047332</v>
      </c>
      <c r="AS270">
        <v>1282.8757106725466</v>
      </c>
      <c r="AT270">
        <v>63.814649448161624</v>
      </c>
      <c r="AU270">
        <v>151.00489189461393</v>
      </c>
      <c r="AV270"/>
      <c r="AW270"/>
      <c r="FY270" s="211">
        <v>265</v>
      </c>
      <c r="FZ270">
        <v>142.34823722734143</v>
      </c>
      <c r="GA270">
        <v>168.66417160332335</v>
      </c>
      <c r="GB270">
        <v>47.493920632111816</v>
      </c>
      <c r="GC270">
        <v>44.852576635030545</v>
      </c>
      <c r="GD270">
        <v>48.132723983031596</v>
      </c>
      <c r="GE270">
        <v>102.78770800824768</v>
      </c>
      <c r="GF270">
        <v>127.72772778327987</v>
      </c>
      <c r="GG270">
        <v>61.648889390730623</v>
      </c>
      <c r="GH270">
        <v>51.508238480690423</v>
      </c>
      <c r="GI270">
        <v>102.60651379769276</v>
      </c>
      <c r="GJ270"/>
      <c r="GK270"/>
      <c r="GL270"/>
      <c r="GM270"/>
    </row>
    <row r="271" spans="1:195" s="7" customFormat="1">
      <c r="A271" s="77"/>
      <c r="B271">
        <v>0.65821585071141353</v>
      </c>
      <c r="C271">
        <v>6</v>
      </c>
      <c r="D271">
        <v>39775</v>
      </c>
      <c r="E271">
        <v>0</v>
      </c>
      <c r="F271">
        <v>10.416666666666666</v>
      </c>
      <c r="G271">
        <v>0</v>
      </c>
      <c r="H271">
        <v>31.25</v>
      </c>
      <c r="I271">
        <v>10.416666666666666</v>
      </c>
      <c r="J271">
        <v>93.75</v>
      </c>
      <c r="K271">
        <v>41.666666666666664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256.441513852789</v>
      </c>
      <c r="AO271">
        <v>130.82974031745817</v>
      </c>
      <c r="AP271">
        <v>531.85335712051119</v>
      </c>
      <c r="AQ271">
        <v>737.0883082748245</v>
      </c>
      <c r="AR271">
        <v>124.96047494092797</v>
      </c>
      <c r="AS271">
        <v>1575.3130436684537</v>
      </c>
      <c r="AT271">
        <v>67.081814074944575</v>
      </c>
      <c r="AU271">
        <v>346.9668364957073</v>
      </c>
      <c r="AV271"/>
      <c r="AW271"/>
      <c r="FY271" s="211">
        <v>266</v>
      </c>
      <c r="FZ271">
        <v>95.978500639377742</v>
      </c>
      <c r="GA271">
        <v>141.62856407993914</v>
      </c>
      <c r="GB271">
        <v>51.443849856563823</v>
      </c>
      <c r="GC271">
        <v>44.121486128496429</v>
      </c>
      <c r="GD271">
        <v>53.774351518082753</v>
      </c>
      <c r="GE271">
        <v>118.91399782710711</v>
      </c>
      <c r="GF271">
        <v>147.6019289279154</v>
      </c>
      <c r="GG271">
        <v>68.45410231396518</v>
      </c>
      <c r="GH271">
        <v>54.018836792037369</v>
      </c>
      <c r="GI271">
        <v>105.71345615864121</v>
      </c>
      <c r="GJ271"/>
      <c r="GK271"/>
      <c r="GL271"/>
      <c r="GM271"/>
    </row>
    <row r="272" spans="1:195" s="7" customFormat="1">
      <c r="A272" s="77"/>
      <c r="B272">
        <v>9.6229830346636458E-2</v>
      </c>
      <c r="C272">
        <v>2</v>
      </c>
      <c r="D272">
        <v>39775</v>
      </c>
      <c r="E272">
        <v>0</v>
      </c>
      <c r="F272">
        <v>0</v>
      </c>
      <c r="G272">
        <v>0</v>
      </c>
      <c r="H272">
        <v>0</v>
      </c>
      <c r="I272">
        <v>20.833333333333332</v>
      </c>
      <c r="J272">
        <v>177.08333333333334</v>
      </c>
      <c r="K272">
        <v>83.333333333333329</v>
      </c>
      <c r="L272">
        <v>10.416666666666666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266.88521387012281</v>
      </c>
      <c r="AO272">
        <v>156.64719007260169</v>
      </c>
      <c r="AP272">
        <v>610.67116602225178</v>
      </c>
      <c r="AQ272">
        <v>858.99943761932855</v>
      </c>
      <c r="AR272">
        <v>145.60057313261521</v>
      </c>
      <c r="AS272">
        <v>1549.7247487544337</v>
      </c>
      <c r="AT272">
        <v>71.381807252853079</v>
      </c>
      <c r="AU272">
        <v>166.50131602089584</v>
      </c>
      <c r="AV272"/>
      <c r="AW272"/>
      <c r="FY272" s="211">
        <v>267</v>
      </c>
      <c r="FZ272">
        <v>134.43160958514329</v>
      </c>
      <c r="GA272">
        <v>135.41572902376907</v>
      </c>
      <c r="GB272">
        <v>44.110253620706303</v>
      </c>
      <c r="GC272">
        <v>59.374710190590619</v>
      </c>
      <c r="GD272">
        <v>51.933175566036311</v>
      </c>
      <c r="GE272">
        <v>73.746746403259223</v>
      </c>
      <c r="GF272">
        <v>65.485124588457538</v>
      </c>
      <c r="GG272">
        <v>23.299147581372136</v>
      </c>
      <c r="GH272">
        <v>47.691936535825924</v>
      </c>
      <c r="GI272">
        <v>87.829556239203143</v>
      </c>
      <c r="GJ272"/>
      <c r="GK272"/>
      <c r="GL272"/>
      <c r="GM272"/>
    </row>
    <row r="273" spans="1:195" s="7" customFormat="1">
      <c r="A273" s="1"/>
      <c r="B273">
        <v>0.29544455682388238</v>
      </c>
      <c r="C273">
        <v>3</v>
      </c>
      <c r="D273">
        <v>39775</v>
      </c>
      <c r="E273">
        <v>0</v>
      </c>
      <c r="F273">
        <v>208.33333333333334</v>
      </c>
      <c r="G273">
        <v>729.16666666666663</v>
      </c>
      <c r="H273">
        <v>0</v>
      </c>
      <c r="I273">
        <v>62.5</v>
      </c>
      <c r="J273">
        <v>52.083333333333336</v>
      </c>
      <c r="K273">
        <v>62.5</v>
      </c>
      <c r="L273">
        <v>10.416666666666666</v>
      </c>
      <c r="M273">
        <v>10.416666666666666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235.12235872608022</v>
      </c>
      <c r="AO273">
        <v>129.10445079448829</v>
      </c>
      <c r="AP273">
        <v>497.97593891019233</v>
      </c>
      <c r="AQ273">
        <v>718.05749945411912</v>
      </c>
      <c r="AR273">
        <v>123.03249948480193</v>
      </c>
      <c r="AS273">
        <v>1344.9295593023955</v>
      </c>
      <c r="AT273">
        <v>64.906702476761211</v>
      </c>
      <c r="AU273">
        <v>159.22097902538303</v>
      </c>
      <c r="AV273"/>
      <c r="AW273"/>
      <c r="FY273" s="211">
        <v>268</v>
      </c>
      <c r="FZ273">
        <v>130.96653931390435</v>
      </c>
      <c r="GA273">
        <v>163.79495599930556</v>
      </c>
      <c r="GB273">
        <v>58.918255043394865</v>
      </c>
      <c r="GC273">
        <v>50.573701612746909</v>
      </c>
      <c r="GD273">
        <v>42.977058201644574</v>
      </c>
      <c r="GE273">
        <v>73.999672022393341</v>
      </c>
      <c r="GF273">
        <v>134.4486961431985</v>
      </c>
      <c r="GG273">
        <v>99.882584334526783</v>
      </c>
      <c r="GH273">
        <v>68.071885641499236</v>
      </c>
      <c r="GI273">
        <v>104.18778075609112</v>
      </c>
      <c r="GJ273"/>
      <c r="GK273"/>
      <c r="GL273"/>
      <c r="GM273"/>
    </row>
    <row r="274" spans="1:195" s="7" customFormat="1">
      <c r="A274" s="1"/>
      <c r="B274">
        <v>0.18363854539578317</v>
      </c>
      <c r="C274">
        <v>4</v>
      </c>
      <c r="D274">
        <v>39775</v>
      </c>
      <c r="E274">
        <v>0</v>
      </c>
      <c r="F274">
        <v>10.416666666666666</v>
      </c>
      <c r="G274">
        <v>20.833333333333332</v>
      </c>
      <c r="H274">
        <v>0</v>
      </c>
      <c r="I274">
        <v>0</v>
      </c>
      <c r="J274">
        <v>10.416666666666666</v>
      </c>
      <c r="K274">
        <v>20.833333333333332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245.68765918115997</v>
      </c>
      <c r="AO274">
        <v>144.47861034876786</v>
      </c>
      <c r="AP274">
        <v>692.6600735353461</v>
      </c>
      <c r="AQ274">
        <v>841.91201270470538</v>
      </c>
      <c r="AR274">
        <v>136.44089003861868</v>
      </c>
      <c r="AS274">
        <v>1461.8747263824425</v>
      </c>
      <c r="AT274">
        <v>71.581017240071418</v>
      </c>
      <c r="AU274">
        <v>188.1886483812103</v>
      </c>
      <c r="AV274"/>
      <c r="AW274"/>
      <c r="FY274" s="211">
        <v>269</v>
      </c>
      <c r="FZ274">
        <v>123.85066118254167</v>
      </c>
      <c r="GA274">
        <v>123.22519037366658</v>
      </c>
      <c r="GB274">
        <v>39.763734644968672</v>
      </c>
      <c r="GC274">
        <v>42.573576083333442</v>
      </c>
      <c r="GD274">
        <v>51.278123333606203</v>
      </c>
      <c r="GE274">
        <v>108.98218683174464</v>
      </c>
      <c r="GF274">
        <v>114.85889167300815</v>
      </c>
      <c r="GG274">
        <v>75.255110632192654</v>
      </c>
      <c r="GH274">
        <v>64.194455059501209</v>
      </c>
      <c r="GI274">
        <v>97.926477067370868</v>
      </c>
      <c r="GJ274"/>
      <c r="GK274"/>
      <c r="GL274"/>
      <c r="GM274"/>
    </row>
    <row r="275" spans="1:195" s="7" customFormat="1">
      <c r="A275" s="1"/>
      <c r="B275">
        <v>9.9740319271280242E-2</v>
      </c>
      <c r="C275">
        <v>7</v>
      </c>
      <c r="D275">
        <v>39775</v>
      </c>
      <c r="E275">
        <v>0</v>
      </c>
      <c r="F275">
        <v>0</v>
      </c>
      <c r="G275">
        <v>23.148148148148149</v>
      </c>
      <c r="H275">
        <v>0</v>
      </c>
      <c r="I275">
        <v>71.022727272727266</v>
      </c>
      <c r="J275">
        <v>142.04545454545453</v>
      </c>
      <c r="K275">
        <v>113.63636363636363</v>
      </c>
      <c r="L275">
        <v>42.61363636363636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233.98958049979237</v>
      </c>
      <c r="AO275">
        <v>122.27018856012941</v>
      </c>
      <c r="AP275">
        <v>453.82584991597867</v>
      </c>
      <c r="AQ275">
        <v>691.16797783300206</v>
      </c>
      <c r="AR275">
        <v>115.43612454333586</v>
      </c>
      <c r="AS275">
        <v>1164.1302549625564</v>
      </c>
      <c r="AT275">
        <v>57.45407622339571</v>
      </c>
      <c r="AU275">
        <v>201.610864187331</v>
      </c>
      <c r="AV275"/>
      <c r="AW275"/>
      <c r="FY275" s="211">
        <v>270</v>
      </c>
      <c r="FZ275">
        <v>139.07173729508753</v>
      </c>
      <c r="GA275">
        <v>173.4292893324569</v>
      </c>
      <c r="GB275">
        <v>52.493162038494724</v>
      </c>
      <c r="GC275">
        <v>45.877949704690025</v>
      </c>
      <c r="GD275">
        <v>56.544341554793832</v>
      </c>
      <c r="GE275">
        <v>109.74059634891572</v>
      </c>
      <c r="GF275">
        <v>85.818446540194259</v>
      </c>
      <c r="GG275">
        <v>44.235906784843309</v>
      </c>
      <c r="GH275">
        <v>61.834429011378489</v>
      </c>
      <c r="GI275">
        <v>100.92126809203728</v>
      </c>
      <c r="GJ275"/>
      <c r="GK275"/>
      <c r="GL275"/>
      <c r="GM275"/>
    </row>
    <row r="276" spans="1:195" s="7" customFormat="1">
      <c r="A276" s="1"/>
      <c r="B276">
        <v>0.6438154144439725</v>
      </c>
      <c r="C276">
        <v>3</v>
      </c>
      <c r="D276">
        <v>39775</v>
      </c>
      <c r="E276">
        <v>0</v>
      </c>
      <c r="F276">
        <v>208.33333333333334</v>
      </c>
      <c r="G276">
        <v>729.16666666666663</v>
      </c>
      <c r="H276">
        <v>0</v>
      </c>
      <c r="I276">
        <v>62.5</v>
      </c>
      <c r="J276">
        <v>52.083333333333336</v>
      </c>
      <c r="K276">
        <v>62.5</v>
      </c>
      <c r="L276">
        <v>10.416666666666666</v>
      </c>
      <c r="M276">
        <v>10.416666666666666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212.46241707339428</v>
      </c>
      <c r="AO276">
        <v>125.46586085914525</v>
      </c>
      <c r="AP276">
        <v>499.49660947079883</v>
      </c>
      <c r="AQ276">
        <v>701.47945551881764</v>
      </c>
      <c r="AR276">
        <v>117.60529076535332</v>
      </c>
      <c r="AS276">
        <v>1232.0535462152391</v>
      </c>
      <c r="AT276">
        <v>63.596804848985776</v>
      </c>
      <c r="AU276">
        <v>158.33546684283309</v>
      </c>
      <c r="AV276"/>
      <c r="AW276"/>
      <c r="FY276" s="211">
        <v>271</v>
      </c>
      <c r="FZ276">
        <v>125.56150288234524</v>
      </c>
      <c r="GA276">
        <v>173.78856045214911</v>
      </c>
      <c r="GB276">
        <v>67.865065377288914</v>
      </c>
      <c r="GC276">
        <v>53.535963115299936</v>
      </c>
      <c r="GD276">
        <v>54.494607200584952</v>
      </c>
      <c r="GE276">
        <v>135.00147228026515</v>
      </c>
      <c r="GF276">
        <v>181.43945895186025</v>
      </c>
      <c r="GG276">
        <v>94.429088695125969</v>
      </c>
      <c r="GH276">
        <v>81.400341293872856</v>
      </c>
      <c r="GI276">
        <v>127.98054446023976</v>
      </c>
      <c r="GJ276"/>
      <c r="GK276"/>
      <c r="GL276"/>
      <c r="GM276"/>
    </row>
    <row r="277" spans="1:195" s="7" customFormat="1">
      <c r="A277" s="1"/>
      <c r="B277">
        <v>0.73555397805751976</v>
      </c>
      <c r="C277">
        <v>7</v>
      </c>
      <c r="D277">
        <v>39775</v>
      </c>
      <c r="E277">
        <v>0</v>
      </c>
      <c r="F277">
        <v>0</v>
      </c>
      <c r="G277">
        <v>23.148148148148149</v>
      </c>
      <c r="H277">
        <v>0</v>
      </c>
      <c r="I277">
        <v>71.022727272727266</v>
      </c>
      <c r="J277">
        <v>142.04545454545453</v>
      </c>
      <c r="K277">
        <v>113.63636363636363</v>
      </c>
      <c r="L277">
        <v>42.61363636363636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231.10108815300501</v>
      </c>
      <c r="AO277">
        <v>130.17988848154013</v>
      </c>
      <c r="AP277">
        <v>526.77300872982505</v>
      </c>
      <c r="AQ277">
        <v>726.92628072646892</v>
      </c>
      <c r="AR277">
        <v>124.22832703662694</v>
      </c>
      <c r="AS277">
        <v>1273.7332882074782</v>
      </c>
      <c r="AT277">
        <v>65.24296454052805</v>
      </c>
      <c r="AU277">
        <v>43.222872438690935</v>
      </c>
      <c r="AV277"/>
      <c r="AW277"/>
      <c r="FY277" s="211">
        <v>272</v>
      </c>
      <c r="FZ277">
        <v>115.74070729516887</v>
      </c>
      <c r="GA277">
        <v>146.78216061154421</v>
      </c>
      <c r="GB277">
        <v>48.148532758570241</v>
      </c>
      <c r="GC277">
        <v>41.041137223957428</v>
      </c>
      <c r="GD277">
        <v>35.869046015465429</v>
      </c>
      <c r="GE277">
        <v>35.03229024646545</v>
      </c>
      <c r="GF277">
        <v>27.758443877713294</v>
      </c>
      <c r="GG277">
        <v>14.857026246142576</v>
      </c>
      <c r="GH277">
        <v>13.352027008927895</v>
      </c>
      <c r="GI277">
        <v>61.125729651968065</v>
      </c>
      <c r="GJ277"/>
      <c r="GK277"/>
      <c r="GL277"/>
      <c r="GM277"/>
    </row>
    <row r="278" spans="1:195" s="7" customFormat="1">
      <c r="A278" s="1"/>
      <c r="B278">
        <v>7.5706228799151676E-2</v>
      </c>
      <c r="C278">
        <v>4</v>
      </c>
      <c r="D278">
        <v>39799</v>
      </c>
      <c r="E278">
        <v>0</v>
      </c>
      <c r="F278">
        <v>1169.7860962566845</v>
      </c>
      <c r="G278">
        <v>877.33957219251329</v>
      </c>
      <c r="H278">
        <v>0</v>
      </c>
      <c r="I278">
        <v>0</v>
      </c>
      <c r="J278">
        <v>330.32531194295899</v>
      </c>
      <c r="K278">
        <v>303.030303030303</v>
      </c>
      <c r="L278">
        <v>37.878787878787875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243.92528081796195</v>
      </c>
      <c r="AO278">
        <v>134.55977077985128</v>
      </c>
      <c r="AP278">
        <v>512.88859811017471</v>
      </c>
      <c r="AQ278">
        <v>707.73284843564318</v>
      </c>
      <c r="AR278">
        <v>126.26131725736279</v>
      </c>
      <c r="AS278">
        <v>1207.77348947012</v>
      </c>
      <c r="AT278">
        <v>55.802844509433804</v>
      </c>
      <c r="AU278">
        <v>203.9332229136977</v>
      </c>
      <c r="AV278"/>
      <c r="AW278"/>
      <c r="FY278" s="211">
        <v>273</v>
      </c>
      <c r="FZ278">
        <v>129.87839805461081</v>
      </c>
      <c r="GA278">
        <v>144.51435954933149</v>
      </c>
      <c r="GB278">
        <v>34.76698346631904</v>
      </c>
      <c r="GC278">
        <v>29.231636162224131</v>
      </c>
      <c r="GD278">
        <v>38.094910885260205</v>
      </c>
      <c r="GE278">
        <v>104.35710072232466</v>
      </c>
      <c r="GF278">
        <v>125.69364788730353</v>
      </c>
      <c r="GG278">
        <v>55.933239133908401</v>
      </c>
      <c r="GH278">
        <v>65.202045721159436</v>
      </c>
      <c r="GI278">
        <v>92.860895069015015</v>
      </c>
      <c r="GJ278"/>
      <c r="GK278"/>
      <c r="GL278"/>
      <c r="GM278"/>
    </row>
    <row r="279" spans="1:195" s="7" customFormat="1">
      <c r="A279" s="1"/>
      <c r="B279">
        <v>0.61086020103101024</v>
      </c>
      <c r="C279">
        <v>1</v>
      </c>
      <c r="D279">
        <v>39799</v>
      </c>
      <c r="E279">
        <v>0</v>
      </c>
      <c r="F279">
        <v>83.333333333333329</v>
      </c>
      <c r="G279">
        <v>0</v>
      </c>
      <c r="H279">
        <v>0</v>
      </c>
      <c r="I279">
        <v>0</v>
      </c>
      <c r="J279">
        <v>0</v>
      </c>
      <c r="K279">
        <v>20.833333333333332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236.58232638890195</v>
      </c>
      <c r="AO279">
        <v>119.29640023405378</v>
      </c>
      <c r="AP279">
        <v>488.39345785809405</v>
      </c>
      <c r="AQ279">
        <v>661.08646854919732</v>
      </c>
      <c r="AR279">
        <v>111.92812230003223</v>
      </c>
      <c r="AS279">
        <v>1266.4903963220129</v>
      </c>
      <c r="AT279">
        <v>55.410999574581922</v>
      </c>
      <c r="AU279">
        <v>75.605864857078146</v>
      </c>
      <c r="AV279"/>
      <c r="AW279"/>
      <c r="FY279" s="211">
        <v>274</v>
      </c>
      <c r="FZ279">
        <v>135.85115683744885</v>
      </c>
      <c r="GA279">
        <v>139.0463170802048</v>
      </c>
      <c r="GB279">
        <v>32.666617360015124</v>
      </c>
      <c r="GC279">
        <v>42.722078897848242</v>
      </c>
      <c r="GD279">
        <v>29.545627690816051</v>
      </c>
      <c r="GE279">
        <v>45.890768982799685</v>
      </c>
      <c r="GF279">
        <v>75.848082661691507</v>
      </c>
      <c r="GG279">
        <v>72.802400404222638</v>
      </c>
      <c r="GH279">
        <v>92.633504931133857</v>
      </c>
      <c r="GI279">
        <v>79.709407065102752</v>
      </c>
      <c r="GJ279"/>
      <c r="GK279"/>
      <c r="GL279"/>
      <c r="GM279"/>
    </row>
    <row r="280" spans="1:195" s="7" customFormat="1">
      <c r="A280" s="1"/>
      <c r="B280">
        <v>0.75649219346443108</v>
      </c>
      <c r="C280">
        <v>7</v>
      </c>
      <c r="D280">
        <v>39799</v>
      </c>
      <c r="E280">
        <v>0</v>
      </c>
      <c r="F280">
        <v>121.52777777777777</v>
      </c>
      <c r="G280">
        <v>364.58333333333331</v>
      </c>
      <c r="H280">
        <v>0</v>
      </c>
      <c r="I280">
        <v>0</v>
      </c>
      <c r="J280">
        <v>52.083333333333336</v>
      </c>
      <c r="K280">
        <v>41.666666666666664</v>
      </c>
      <c r="L280">
        <v>10.416666666666666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226.7688419539997</v>
      </c>
      <c r="AO280">
        <v>126.35659715159002</v>
      </c>
      <c r="AP280">
        <v>541.45946864856217</v>
      </c>
      <c r="AQ280">
        <v>757.63593066846192</v>
      </c>
      <c r="AR280">
        <v>119.42873922385144</v>
      </c>
      <c r="AS280">
        <v>1335.5864000071292</v>
      </c>
      <c r="AT280">
        <v>58.489783689305206</v>
      </c>
      <c r="AU280">
        <v>247.73619788466507</v>
      </c>
      <c r="AV280"/>
      <c r="AW280"/>
      <c r="FY280" s="211">
        <v>275</v>
      </c>
      <c r="FZ280">
        <v>133.86480344277689</v>
      </c>
      <c r="GA280">
        <v>162.30052764097533</v>
      </c>
      <c r="GB280">
        <v>56.256844456896594</v>
      </c>
      <c r="GC280">
        <v>48.647520414910161</v>
      </c>
      <c r="GD280">
        <v>32.541583488983711</v>
      </c>
      <c r="GE280">
        <v>29.281174632375709</v>
      </c>
      <c r="GF280">
        <v>46.689110835808108</v>
      </c>
      <c r="GG280">
        <v>33.608982878376409</v>
      </c>
      <c r="GH280">
        <v>13.894486128233336</v>
      </c>
      <c r="GI280">
        <v>67.931412465263008</v>
      </c>
      <c r="GJ280"/>
      <c r="GK280"/>
      <c r="GL280"/>
      <c r="GM280"/>
    </row>
    <row r="281" spans="1:195" s="7" customFormat="1">
      <c r="A281" s="1"/>
      <c r="B281">
        <v>0.74661311684095155</v>
      </c>
      <c r="C281">
        <v>4</v>
      </c>
      <c r="D281">
        <v>39799</v>
      </c>
      <c r="E281">
        <v>0</v>
      </c>
      <c r="F281">
        <v>1169.7860962566845</v>
      </c>
      <c r="G281">
        <v>877.33957219251329</v>
      </c>
      <c r="H281">
        <v>0</v>
      </c>
      <c r="I281">
        <v>0</v>
      </c>
      <c r="J281">
        <v>330.32531194295899</v>
      </c>
      <c r="K281">
        <v>303.030303030303</v>
      </c>
      <c r="L281">
        <v>37.878787878787875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313.86021297276454</v>
      </c>
      <c r="AO281">
        <v>165.20292544237799</v>
      </c>
      <c r="AP281">
        <v>743.08028856959572</v>
      </c>
      <c r="AQ281">
        <v>897.77070754148008</v>
      </c>
      <c r="AR281">
        <v>154.86929572357263</v>
      </c>
      <c r="AS281">
        <v>1562.6093936809389</v>
      </c>
      <c r="AT281">
        <v>79.620667437650567</v>
      </c>
      <c r="AU281">
        <v>304.13331372249735</v>
      </c>
      <c r="AV281"/>
      <c r="AW281"/>
      <c r="FY281" s="211">
        <v>276</v>
      </c>
      <c r="FZ281">
        <v>108.05723961972051</v>
      </c>
      <c r="GA281">
        <v>153.55611545814594</v>
      </c>
      <c r="GB281">
        <v>52.247229017683125</v>
      </c>
      <c r="GC281">
        <v>53.92103100323024</v>
      </c>
      <c r="GD281">
        <v>55.314610335636871</v>
      </c>
      <c r="GE281">
        <v>83.091758219439058</v>
      </c>
      <c r="GF281">
        <v>121.6568578315873</v>
      </c>
      <c r="GG281">
        <v>76.318605825011787</v>
      </c>
      <c r="GH281">
        <v>34.365437850065803</v>
      </c>
      <c r="GI281">
        <v>99.324863692848936</v>
      </c>
      <c r="GJ281"/>
      <c r="GK281"/>
      <c r="GL281"/>
      <c r="GM281"/>
    </row>
    <row r="282" spans="1:195" s="7" customFormat="1">
      <c r="A282" s="1"/>
      <c r="B282">
        <v>0.59162873313588893</v>
      </c>
      <c r="C282">
        <v>4</v>
      </c>
      <c r="D282">
        <v>39799</v>
      </c>
      <c r="E282">
        <v>0</v>
      </c>
      <c r="F282">
        <v>1169.7860962566845</v>
      </c>
      <c r="G282">
        <v>877.33957219251329</v>
      </c>
      <c r="H282">
        <v>0</v>
      </c>
      <c r="I282">
        <v>0</v>
      </c>
      <c r="J282">
        <v>330.32531194295899</v>
      </c>
      <c r="K282">
        <v>303.030303030303</v>
      </c>
      <c r="L282">
        <v>37.878787878787875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294.06746101733938</v>
      </c>
      <c r="AO282">
        <v>170.10384246584101</v>
      </c>
      <c r="AP282">
        <v>621.65748181167555</v>
      </c>
      <c r="AQ282">
        <v>881.64907424212618</v>
      </c>
      <c r="AR282">
        <v>159.74062079602194</v>
      </c>
      <c r="AS282">
        <v>1572.3185870668301</v>
      </c>
      <c r="AT282">
        <v>72.896315475243725</v>
      </c>
      <c r="AU282">
        <v>164.76370952676297</v>
      </c>
      <c r="AV282"/>
      <c r="AW282"/>
      <c r="FY282" s="211">
        <v>277</v>
      </c>
      <c r="FZ282">
        <v>106.32392643904171</v>
      </c>
      <c r="GA282">
        <v>147.42147461015895</v>
      </c>
      <c r="GB282">
        <v>47.166748126963824</v>
      </c>
      <c r="GC282">
        <v>34.756516194347384</v>
      </c>
      <c r="GD282">
        <v>48.6173022229097</v>
      </c>
      <c r="GE282">
        <v>96.75170044666713</v>
      </c>
      <c r="GF282">
        <v>86.008892612707868</v>
      </c>
      <c r="GG282">
        <v>40.832375782780048</v>
      </c>
      <c r="GH282">
        <v>39.800376747145222</v>
      </c>
      <c r="GI282">
        <v>86.29731591978836</v>
      </c>
      <c r="GJ282"/>
      <c r="GK282"/>
      <c r="GL282"/>
      <c r="GM282"/>
    </row>
    <row r="283" spans="1:195" s="7" customFormat="1">
      <c r="A283" s="1"/>
      <c r="B283">
        <v>0.34460894237037198</v>
      </c>
      <c r="C283">
        <v>8</v>
      </c>
      <c r="D283">
        <v>39799</v>
      </c>
      <c r="E283">
        <v>0</v>
      </c>
      <c r="F283">
        <v>446.42857142857144</v>
      </c>
      <c r="G283">
        <v>0</v>
      </c>
      <c r="H283">
        <v>0</v>
      </c>
      <c r="I283">
        <v>0</v>
      </c>
      <c r="J283">
        <v>20.833333333333332</v>
      </c>
      <c r="K283">
        <v>20.833333333333332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270.09621853745875</v>
      </c>
      <c r="AO283">
        <v>137.00067762480933</v>
      </c>
      <c r="AP283">
        <v>604.1998186670678</v>
      </c>
      <c r="AQ283">
        <v>723.31798933436357</v>
      </c>
      <c r="AR283">
        <v>131.01610070500229</v>
      </c>
      <c r="AS283">
        <v>1518.2409012697506</v>
      </c>
      <c r="AT283">
        <v>64.695052165784546</v>
      </c>
      <c r="AU283">
        <v>-61.917491455329952</v>
      </c>
      <c r="AV283"/>
      <c r="AW283"/>
      <c r="FY283" s="211">
        <v>278</v>
      </c>
      <c r="FZ283">
        <v>122.94404717405352</v>
      </c>
      <c r="GA283">
        <v>158.94836121285127</v>
      </c>
      <c r="GB283">
        <v>64.894654129110151</v>
      </c>
      <c r="GC283">
        <v>42.828586819666008</v>
      </c>
      <c r="GD283">
        <v>28.203278008256955</v>
      </c>
      <c r="GE283">
        <v>76.154676772096508</v>
      </c>
      <c r="GF283">
        <v>145.27174380056897</v>
      </c>
      <c r="GG283">
        <v>78.758945151659958</v>
      </c>
      <c r="GH283">
        <v>57.534823997811493</v>
      </c>
      <c r="GI283">
        <v>96.075802114602652</v>
      </c>
      <c r="GJ283"/>
      <c r="GK283"/>
      <c r="GL283"/>
      <c r="GM283"/>
    </row>
    <row r="284" spans="1:195" s="7" customFormat="1">
      <c r="A284" s="1"/>
      <c r="B284">
        <v>0.28399870394263882</v>
      </c>
      <c r="C284">
        <v>8</v>
      </c>
      <c r="D284">
        <v>39799</v>
      </c>
      <c r="E284">
        <v>0</v>
      </c>
      <c r="F284">
        <v>446.42857142857144</v>
      </c>
      <c r="G284">
        <v>0</v>
      </c>
      <c r="H284">
        <v>0</v>
      </c>
      <c r="I284">
        <v>0</v>
      </c>
      <c r="J284">
        <v>20.833333333333332</v>
      </c>
      <c r="K284">
        <v>20.833333333333332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306.27280556437222</v>
      </c>
      <c r="AO284">
        <v>166.89523948158561</v>
      </c>
      <c r="AP284">
        <v>685.28496509857405</v>
      </c>
      <c r="AQ284">
        <v>927.8211290687052</v>
      </c>
      <c r="AR284">
        <v>157.65493663794879</v>
      </c>
      <c r="AS284">
        <v>1553.1490316608163</v>
      </c>
      <c r="AT284">
        <v>75.184488229586421</v>
      </c>
      <c r="AU284">
        <v>258.17183562403989</v>
      </c>
      <c r="AV284"/>
      <c r="AW284"/>
      <c r="FY284" s="211">
        <v>279</v>
      </c>
      <c r="FZ284">
        <v>108.14526287508446</v>
      </c>
      <c r="GA284">
        <v>158.66100836671018</v>
      </c>
      <c r="GB284">
        <v>65.275786834245679</v>
      </c>
      <c r="GC284">
        <v>42.244116351394382</v>
      </c>
      <c r="GD284">
        <v>33.669160948583098</v>
      </c>
      <c r="GE284">
        <v>68.203536235944867</v>
      </c>
      <c r="GF284">
        <v>100.95591719358198</v>
      </c>
      <c r="GG284">
        <v>40.11367130656955</v>
      </c>
      <c r="GH284">
        <v>22.724426274330405</v>
      </c>
      <c r="GI284">
        <v>81.318816313919044</v>
      </c>
      <c r="GJ284"/>
      <c r="GK284"/>
      <c r="GL284"/>
      <c r="GM284"/>
    </row>
    <row r="285" spans="1:195" s="7" customFormat="1">
      <c r="A285" s="1"/>
      <c r="B285">
        <v>0.57679396926815762</v>
      </c>
      <c r="C285">
        <v>5</v>
      </c>
      <c r="D285">
        <v>39799</v>
      </c>
      <c r="E285">
        <v>140.22435897435898</v>
      </c>
      <c r="F285">
        <v>210.33653846153848</v>
      </c>
      <c r="G285">
        <v>70.112179487179489</v>
      </c>
      <c r="H285">
        <v>0</v>
      </c>
      <c r="I285">
        <v>0</v>
      </c>
      <c r="J285">
        <v>10.416666666666666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314.13965350477781</v>
      </c>
      <c r="AO285">
        <v>157.20328185350536</v>
      </c>
      <c r="AP285">
        <v>666.73416291032981</v>
      </c>
      <c r="AQ285">
        <v>841.90840688193418</v>
      </c>
      <c r="AR285">
        <v>147.11163595305823</v>
      </c>
      <c r="AS285">
        <v>1652.0297382429565</v>
      </c>
      <c r="AT285">
        <v>69.950771946980296</v>
      </c>
      <c r="AU285">
        <v>175.97838109558214</v>
      </c>
      <c r="AV285"/>
      <c r="AW285"/>
      <c r="FY285" s="211">
        <v>280</v>
      </c>
      <c r="FZ285">
        <v>102.21241233948919</v>
      </c>
      <c r="GA285">
        <v>119.48461427926239</v>
      </c>
      <c r="GB285">
        <v>55.140013728425785</v>
      </c>
      <c r="GC285">
        <v>45.67863554180424</v>
      </c>
      <c r="GD285">
        <v>49.643318281436535</v>
      </c>
      <c r="GE285">
        <v>113.13267486386002</v>
      </c>
      <c r="GF285">
        <v>120.35414993374441</v>
      </c>
      <c r="GG285">
        <v>66.70493047846584</v>
      </c>
      <c r="GH285">
        <v>64.812188764287527</v>
      </c>
      <c r="GI285">
        <v>99.822675259848339</v>
      </c>
      <c r="GJ285"/>
      <c r="GK285"/>
      <c r="GL285"/>
      <c r="GM285"/>
    </row>
    <row r="286" spans="1:195" s="7" customFormat="1">
      <c r="A286" s="1"/>
      <c r="B286">
        <v>0.46776325165905441</v>
      </c>
      <c r="C286">
        <v>8</v>
      </c>
      <c r="D286">
        <v>39799</v>
      </c>
      <c r="E286">
        <v>0</v>
      </c>
      <c r="F286">
        <v>446.42857142857144</v>
      </c>
      <c r="G286">
        <v>0</v>
      </c>
      <c r="H286">
        <v>0</v>
      </c>
      <c r="I286">
        <v>0</v>
      </c>
      <c r="J286">
        <v>20.833333333333332</v>
      </c>
      <c r="K286">
        <v>20.833333333333332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294.63149208513562</v>
      </c>
      <c r="AO286">
        <v>161.69462870513883</v>
      </c>
      <c r="AP286">
        <v>833.13518454464679</v>
      </c>
      <c r="AQ286">
        <v>869.96712670289207</v>
      </c>
      <c r="AR286">
        <v>151.80155677212178</v>
      </c>
      <c r="AS286">
        <v>1482.0711540438524</v>
      </c>
      <c r="AT286">
        <v>78.975631752590218</v>
      </c>
      <c r="AU286">
        <v>266.16259779487331</v>
      </c>
      <c r="AV286"/>
      <c r="AW286"/>
      <c r="FY286" s="211">
        <v>281</v>
      </c>
      <c r="FZ286">
        <v>141.03880057948751</v>
      </c>
      <c r="GA286">
        <v>181.45158451445235</v>
      </c>
      <c r="GB286">
        <v>57.301751929183482</v>
      </c>
      <c r="GC286">
        <v>53.579996655429312</v>
      </c>
      <c r="GD286">
        <v>42.758757812578544</v>
      </c>
      <c r="GE286">
        <v>73.547345036532107</v>
      </c>
      <c r="GF286">
        <v>97.394466654438432</v>
      </c>
      <c r="GG286">
        <v>25.867496764497982</v>
      </c>
      <c r="GH286">
        <v>21.843706376088363</v>
      </c>
      <c r="GI286">
        <v>89.217812718506465</v>
      </c>
      <c r="GJ286"/>
      <c r="GK286"/>
      <c r="GL286"/>
      <c r="GM286"/>
    </row>
    <row r="287" spans="1:195" s="7" customFormat="1">
      <c r="A287" s="1"/>
      <c r="B287">
        <v>0.62360658697231575</v>
      </c>
      <c r="C287">
        <v>2</v>
      </c>
      <c r="D287">
        <v>39799</v>
      </c>
      <c r="E287">
        <v>10.416666666666666</v>
      </c>
      <c r="F287">
        <v>62.5</v>
      </c>
      <c r="G287">
        <v>83.333333333333329</v>
      </c>
      <c r="H287">
        <v>31.25</v>
      </c>
      <c r="I287">
        <v>0</v>
      </c>
      <c r="J287">
        <v>0</v>
      </c>
      <c r="K287">
        <v>10.416666666666666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299.93154456558852</v>
      </c>
      <c r="AO287">
        <v>210.03251531888409</v>
      </c>
      <c r="AP287">
        <v>1009.3870090016748</v>
      </c>
      <c r="AQ287">
        <v>1095.4966047090322</v>
      </c>
      <c r="AR287">
        <v>195.31779373229662</v>
      </c>
      <c r="AS287">
        <v>1850.2563288988263</v>
      </c>
      <c r="AT287">
        <v>106.56670511072944</v>
      </c>
      <c r="AU287">
        <v>359.64736975632701</v>
      </c>
      <c r="AV287"/>
      <c r="AW287"/>
      <c r="FY287" s="211">
        <v>282</v>
      </c>
      <c r="FZ287">
        <v>123.72921973253167</v>
      </c>
      <c r="GA287">
        <v>160.06620311870284</v>
      </c>
      <c r="GB287">
        <v>51.142133754539103</v>
      </c>
      <c r="GC287">
        <v>46.852255638170476</v>
      </c>
      <c r="GD287">
        <v>39.421605081746712</v>
      </c>
      <c r="GE287">
        <v>61.33575630729262</v>
      </c>
      <c r="GF287">
        <v>128.44863360094763</v>
      </c>
      <c r="GG287">
        <v>89.285891757610244</v>
      </c>
      <c r="GH287">
        <v>41.536198195727103</v>
      </c>
      <c r="GI287">
        <v>92.572728907216401</v>
      </c>
      <c r="GJ287"/>
      <c r="GK287"/>
      <c r="GL287"/>
      <c r="GM287"/>
    </row>
    <row r="288" spans="1:195" s="7" customFormat="1">
      <c r="A288" s="1"/>
      <c r="B288">
        <v>0.3639100872488239</v>
      </c>
      <c r="C288">
        <v>7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10.416666666666666</v>
      </c>
      <c r="J288">
        <v>41.666666666666664</v>
      </c>
      <c r="K288">
        <v>114.58333333333333</v>
      </c>
      <c r="L288">
        <v>31.25</v>
      </c>
      <c r="M288">
        <v>10.416666666666666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219.96590504762685</v>
      </c>
      <c r="AO288">
        <v>93.35484571841377</v>
      </c>
      <c r="AP288">
        <v>274.10572151440311</v>
      </c>
      <c r="AQ288">
        <v>539.70710093592345</v>
      </c>
      <c r="AR288">
        <v>90.093815812177041</v>
      </c>
      <c r="AS288">
        <v>979.18262154685476</v>
      </c>
      <c r="AT288">
        <v>42.66389314817139</v>
      </c>
      <c r="AU288">
        <v>57.443587798813851</v>
      </c>
      <c r="AV288"/>
      <c r="AW288"/>
      <c r="FY288" s="211">
        <v>283</v>
      </c>
      <c r="FZ288">
        <v>123.74712452712465</v>
      </c>
      <c r="GA288">
        <v>140.16865420349478</v>
      </c>
      <c r="GB288">
        <v>41.941756800933597</v>
      </c>
      <c r="GC288">
        <v>38.728285169384421</v>
      </c>
      <c r="GD288">
        <v>45.046935210609711</v>
      </c>
      <c r="GE288">
        <v>104.730073506073</v>
      </c>
      <c r="GF288">
        <v>135.45670201733185</v>
      </c>
      <c r="GG288">
        <v>72.606357711983037</v>
      </c>
      <c r="GH288">
        <v>68.795623309982119</v>
      </c>
      <c r="GI288">
        <v>101.59840316035279</v>
      </c>
      <c r="GJ288"/>
      <c r="GK288"/>
      <c r="GL288"/>
      <c r="GM288"/>
    </row>
    <row r="289" spans="1:195" s="7" customFormat="1">
      <c r="A289" s="1"/>
      <c r="B289">
        <v>0.45413277690959042</v>
      </c>
      <c r="C289">
        <v>6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20.833333333333332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234.12460821067208</v>
      </c>
      <c r="AO289">
        <v>149.85194817476838</v>
      </c>
      <c r="AP289">
        <v>877.36598350082807</v>
      </c>
      <c r="AQ289">
        <v>820.53321665145677</v>
      </c>
      <c r="AR289">
        <v>141.64774712994998</v>
      </c>
      <c r="AS289">
        <v>1355.7947013062224</v>
      </c>
      <c r="AT289">
        <v>78.269366936703094</v>
      </c>
      <c r="AU289">
        <v>302.67180614688669</v>
      </c>
      <c r="AV289"/>
      <c r="AW289"/>
      <c r="FY289" s="211">
        <v>284</v>
      </c>
      <c r="FZ289">
        <v>114.66950973582991</v>
      </c>
      <c r="GA289">
        <v>132.47276109985785</v>
      </c>
      <c r="GB289">
        <v>59.354719491860678</v>
      </c>
      <c r="GC289">
        <v>44.301531317454213</v>
      </c>
      <c r="GD289">
        <v>46.276404995901807</v>
      </c>
      <c r="GE289">
        <v>90.930956708252452</v>
      </c>
      <c r="GF289">
        <v>98.534138642914513</v>
      </c>
      <c r="GG289">
        <v>53.522829622534552</v>
      </c>
      <c r="GH289">
        <v>41.840256790805817</v>
      </c>
      <c r="GI289">
        <v>91.540891041474964</v>
      </c>
      <c r="GJ289"/>
      <c r="GK289"/>
      <c r="GL289"/>
      <c r="GM289"/>
    </row>
    <row r="290" spans="1:195" s="7" customFormat="1">
      <c r="A290" s="1"/>
      <c r="B290">
        <v>0.74252222571376669</v>
      </c>
      <c r="C290">
        <v>3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228.04464804071145</v>
      </c>
      <c r="AO290">
        <v>126.57591839517117</v>
      </c>
      <c r="AP290">
        <v>528.20721845481614</v>
      </c>
      <c r="AQ290">
        <v>746.71596191128356</v>
      </c>
      <c r="AR290">
        <v>120.10773742274479</v>
      </c>
      <c r="AS290">
        <v>1091.9186426875979</v>
      </c>
      <c r="AT290">
        <v>70.696023426778453</v>
      </c>
      <c r="AU290">
        <v>117.16041283142863</v>
      </c>
      <c r="AV290"/>
      <c r="AW290"/>
      <c r="FY290" s="211">
        <v>285</v>
      </c>
      <c r="FZ290">
        <v>100.68682578538804</v>
      </c>
      <c r="GA290">
        <v>119.47333812485728</v>
      </c>
      <c r="GB290">
        <v>46.720123699359441</v>
      </c>
      <c r="GC290">
        <v>55.903192875574824</v>
      </c>
      <c r="GD290">
        <v>48.378185989573353</v>
      </c>
      <c r="GE290">
        <v>74.195046858212066</v>
      </c>
      <c r="GF290">
        <v>98.295832970314947</v>
      </c>
      <c r="GG290">
        <v>34.535443676085073</v>
      </c>
      <c r="GH290">
        <v>12.196599733907323</v>
      </c>
      <c r="GI290">
        <v>81.820535367965178</v>
      </c>
      <c r="GJ290"/>
      <c r="GK290"/>
      <c r="GL290"/>
      <c r="GM290"/>
    </row>
    <row r="291" spans="1:195" s="7" customFormat="1">
      <c r="A291" s="1"/>
      <c r="B291">
        <v>0.17753740361798775</v>
      </c>
      <c r="C291">
        <v>4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213.60257961862004</v>
      </c>
      <c r="AO291">
        <v>106.82383976374243</v>
      </c>
      <c r="AP291">
        <v>503.48038891543592</v>
      </c>
      <c r="AQ291">
        <v>625.01644638459925</v>
      </c>
      <c r="AR291">
        <v>101.095116260005</v>
      </c>
      <c r="AS291">
        <v>1091.7464666458663</v>
      </c>
      <c r="AT291">
        <v>54.571107628088264</v>
      </c>
      <c r="AU291">
        <v>313.00243876859258</v>
      </c>
      <c r="AV291"/>
      <c r="AW291"/>
      <c r="FY291" s="211">
        <v>286</v>
      </c>
      <c r="FZ291">
        <v>139.86865898805149</v>
      </c>
      <c r="GA291">
        <v>134.91898585700352</v>
      </c>
      <c r="GB291">
        <v>35.274659896811869</v>
      </c>
      <c r="GC291">
        <v>47.610042321744743</v>
      </c>
      <c r="GD291">
        <v>51.337131096503697</v>
      </c>
      <c r="GE291">
        <v>64.736821465032648</v>
      </c>
      <c r="GF291">
        <v>61.232261223336671</v>
      </c>
      <c r="GG291">
        <v>69.346478277571634</v>
      </c>
      <c r="GH291">
        <v>65.675333106188617</v>
      </c>
      <c r="GI291">
        <v>87.354334920150123</v>
      </c>
      <c r="GJ291"/>
      <c r="GK291"/>
      <c r="GL291"/>
      <c r="GM291"/>
    </row>
    <row r="292" spans="1:195" s="7" customFormat="1">
      <c r="A292" s="1"/>
      <c r="B292">
        <v>0.22467322379099031</v>
      </c>
      <c r="C292">
        <v>8</v>
      </c>
      <c r="D292">
        <v>39847</v>
      </c>
      <c r="E292">
        <v>0</v>
      </c>
      <c r="F292">
        <v>69.444444444444443</v>
      </c>
      <c r="G292">
        <v>0</v>
      </c>
      <c r="H292">
        <v>0</v>
      </c>
      <c r="I292">
        <v>0</v>
      </c>
      <c r="J292">
        <v>0</v>
      </c>
      <c r="K292">
        <v>10.416666666666666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266.74190285476311</v>
      </c>
      <c r="AO292">
        <v>159.65229498249323</v>
      </c>
      <c r="AP292">
        <v>834.06931342875305</v>
      </c>
      <c r="AQ292">
        <v>837.85374885336967</v>
      </c>
      <c r="AR292">
        <v>149.49745311102524</v>
      </c>
      <c r="AS292">
        <v>1497.5146828806201</v>
      </c>
      <c r="AT292">
        <v>77.987548637941998</v>
      </c>
      <c r="AU292">
        <v>445.91199378249502</v>
      </c>
      <c r="AV292"/>
      <c r="AW292"/>
      <c r="FY292" s="211">
        <v>287</v>
      </c>
      <c r="FZ292">
        <v>126.10010259273072</v>
      </c>
      <c r="GA292">
        <v>145.79822504701582</v>
      </c>
      <c r="GB292">
        <v>35.460302438142449</v>
      </c>
      <c r="GC292">
        <v>31.993409295752617</v>
      </c>
      <c r="GD292">
        <v>34.473746911336036</v>
      </c>
      <c r="GE292">
        <v>62.067933984837083</v>
      </c>
      <c r="GF292">
        <v>82.119122207168502</v>
      </c>
      <c r="GG292">
        <v>51.956814504050236</v>
      </c>
      <c r="GH292">
        <v>48.153906369217964</v>
      </c>
      <c r="GI292">
        <v>75.949082981159023</v>
      </c>
      <c r="GJ292"/>
      <c r="GK292"/>
      <c r="GL292"/>
      <c r="GM292"/>
    </row>
    <row r="293" spans="1:195" s="7" customFormat="1">
      <c r="A293" s="1"/>
      <c r="B293">
        <v>0.25789375816163962</v>
      </c>
      <c r="C293">
        <v>1</v>
      </c>
      <c r="D293">
        <v>39847</v>
      </c>
      <c r="E293">
        <v>0</v>
      </c>
      <c r="F293">
        <v>72.916666666666671</v>
      </c>
      <c r="G293">
        <v>125</v>
      </c>
      <c r="H293">
        <v>10.416666666666666</v>
      </c>
      <c r="I293">
        <v>26.041666666666668</v>
      </c>
      <c r="J293">
        <v>65.104166666666671</v>
      </c>
      <c r="K293">
        <v>52.083333333333336</v>
      </c>
      <c r="L293">
        <v>169.27083333333334</v>
      </c>
      <c r="M293">
        <v>104.16666666666667</v>
      </c>
      <c r="N293">
        <v>52.083333333333336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258.83911460345473</v>
      </c>
      <c r="AO293">
        <v>138.06518164258819</v>
      </c>
      <c r="AP293">
        <v>749.09854997957211</v>
      </c>
      <c r="AQ293">
        <v>733.97662910251029</v>
      </c>
      <c r="AR293">
        <v>129.94220330438583</v>
      </c>
      <c r="AS293">
        <v>1428.0317593934769</v>
      </c>
      <c r="AT293">
        <v>65.335729085733362</v>
      </c>
      <c r="AU293">
        <v>264.66291450779795</v>
      </c>
      <c r="AV293"/>
      <c r="AW293"/>
      <c r="FY293" s="211">
        <v>288</v>
      </c>
      <c r="FZ293">
        <v>111.96502538521482</v>
      </c>
      <c r="GA293">
        <v>164.35819005766703</v>
      </c>
      <c r="GB293">
        <v>60.079710599663677</v>
      </c>
      <c r="GC293">
        <v>52.593763694599787</v>
      </c>
      <c r="GD293">
        <v>36.342882553646056</v>
      </c>
      <c r="GE293">
        <v>29.374610520575711</v>
      </c>
      <c r="GF293">
        <v>67.964064638305828</v>
      </c>
      <c r="GG293">
        <v>62.512999325441378</v>
      </c>
      <c r="GH293">
        <v>41.934963630359185</v>
      </c>
      <c r="GI293">
        <v>77.974769101898445</v>
      </c>
      <c r="GJ293"/>
      <c r="GK293"/>
      <c r="GL293"/>
      <c r="GM293"/>
    </row>
    <row r="294" spans="1:195" s="7" customFormat="1">
      <c r="A294" s="1"/>
      <c r="B294">
        <v>0.7003227059706747</v>
      </c>
      <c r="C294">
        <v>9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10.416666666666666</v>
      </c>
      <c r="L294">
        <v>72.916666666666671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272.62456247938928</v>
      </c>
      <c r="AO294">
        <v>154.61404209484277</v>
      </c>
      <c r="AP294">
        <v>614.79543329844284</v>
      </c>
      <c r="AQ294">
        <v>871.61491918067748</v>
      </c>
      <c r="AR294">
        <v>146.18045370939075</v>
      </c>
      <c r="AS294">
        <v>1450.5650246688881</v>
      </c>
      <c r="AT294">
        <v>69.579409259488514</v>
      </c>
      <c r="AU294">
        <v>251.14017828625151</v>
      </c>
      <c r="AV294"/>
      <c r="AW294"/>
      <c r="FY294" s="211">
        <v>289</v>
      </c>
      <c r="FZ294">
        <v>107.9726782205571</v>
      </c>
      <c r="GA294">
        <v>122.85530772428304</v>
      </c>
      <c r="GB294">
        <v>47.971281223894593</v>
      </c>
      <c r="GC294">
        <v>43.783277837855024</v>
      </c>
      <c r="GD294">
        <v>35.129459155287876</v>
      </c>
      <c r="GE294">
        <v>58.244782326618676</v>
      </c>
      <c r="GF294">
        <v>116.2684533414152</v>
      </c>
      <c r="GG294">
        <v>117.30413934196859</v>
      </c>
      <c r="GH294">
        <v>90.418306111086977</v>
      </c>
      <c r="GI294">
        <v>92.19706077494682</v>
      </c>
      <c r="GJ294"/>
      <c r="GK294"/>
      <c r="GL294"/>
      <c r="GM294"/>
    </row>
    <row r="295" spans="1:195" s="7" customFormat="1">
      <c r="A295" s="1"/>
      <c r="B295">
        <v>0.71638981104489208</v>
      </c>
      <c r="C295">
        <v>8</v>
      </c>
      <c r="D295">
        <v>39847</v>
      </c>
      <c r="E295">
        <v>0</v>
      </c>
      <c r="F295">
        <v>69.444444444444443</v>
      </c>
      <c r="G295">
        <v>0</v>
      </c>
      <c r="H295">
        <v>0</v>
      </c>
      <c r="I295">
        <v>0</v>
      </c>
      <c r="J295">
        <v>0</v>
      </c>
      <c r="K295">
        <v>10.416666666666666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264.17227358443745</v>
      </c>
      <c r="AO295">
        <v>129.29415540737702</v>
      </c>
      <c r="AP295">
        <v>538.25990006729921</v>
      </c>
      <c r="AQ295">
        <v>721.31170270036364</v>
      </c>
      <c r="AR295">
        <v>122.14205763146285</v>
      </c>
      <c r="AS295">
        <v>1179.3274106876138</v>
      </c>
      <c r="AT295">
        <v>54.91825949073143</v>
      </c>
      <c r="AU295">
        <v>137.41309992725945</v>
      </c>
      <c r="AV295"/>
      <c r="AW295"/>
      <c r="FY295" s="211">
        <v>290</v>
      </c>
      <c r="FZ295">
        <v>99.219337422557643</v>
      </c>
      <c r="GA295">
        <v>155.64607814766583</v>
      </c>
      <c r="GB295">
        <v>60.574881582478014</v>
      </c>
      <c r="GC295">
        <v>49.22563692966385</v>
      </c>
      <c r="GD295">
        <v>48.98866190628496</v>
      </c>
      <c r="GE295">
        <v>82.351530416376605</v>
      </c>
      <c r="GF295">
        <v>137.33692992330677</v>
      </c>
      <c r="GG295">
        <v>125.88701223320884</v>
      </c>
      <c r="GH295">
        <v>90.76517860801313</v>
      </c>
      <c r="GI295">
        <v>109.06435148008416</v>
      </c>
      <c r="GJ295"/>
      <c r="GK295"/>
      <c r="GL295"/>
      <c r="GM295"/>
    </row>
    <row r="296" spans="1:195" s="7" customFormat="1">
      <c r="A296" s="1"/>
      <c r="B296">
        <v>0.43903441274316624</v>
      </c>
      <c r="C296">
        <v>4</v>
      </c>
      <c r="D296">
        <v>39847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 s="80"/>
      <c r="AK296" s="81"/>
      <c r="AL296" s="81"/>
      <c r="AM296" s="43">
        <v>280</v>
      </c>
      <c r="AN296">
        <v>289.42807597992868</v>
      </c>
      <c r="AO296">
        <v>160.1836641044975</v>
      </c>
      <c r="AP296">
        <v>713.76169115728885</v>
      </c>
      <c r="AQ296">
        <v>836.98561347062423</v>
      </c>
      <c r="AR296">
        <v>150.19397208955141</v>
      </c>
      <c r="AS296">
        <v>1328.7662853461325</v>
      </c>
      <c r="AT296">
        <v>73.630875113646368</v>
      </c>
      <c r="AU296">
        <v>78.088540850505197</v>
      </c>
      <c r="AV296"/>
      <c r="AW296"/>
      <c r="FY296" s="211">
        <v>291</v>
      </c>
      <c r="FZ296">
        <v>119.74219959570635</v>
      </c>
      <c r="GA296">
        <v>147.58771794396077</v>
      </c>
      <c r="GB296">
        <v>56.589393611022501</v>
      </c>
      <c r="GC296">
        <v>58.365807298494296</v>
      </c>
      <c r="GD296">
        <v>82.904352422250327</v>
      </c>
      <c r="GE296">
        <v>139.25168783619458</v>
      </c>
      <c r="GF296">
        <v>106.1832267858634</v>
      </c>
      <c r="GG296">
        <v>60.510312747745033</v>
      </c>
      <c r="GH296">
        <v>38.804297305999526</v>
      </c>
      <c r="GI296">
        <v>116.89180240085558</v>
      </c>
      <c r="GJ296"/>
      <c r="GK296"/>
      <c r="GL296"/>
      <c r="GM296"/>
    </row>
    <row r="297" spans="1:195" s="7" customFormat="1">
      <c r="A297" s="1"/>
      <c r="B297">
        <v>0.44845989580175871</v>
      </c>
      <c r="C297">
        <v>8</v>
      </c>
      <c r="D297">
        <v>39847</v>
      </c>
      <c r="E297">
        <v>0</v>
      </c>
      <c r="F297">
        <v>69.444444444444443</v>
      </c>
      <c r="G297">
        <v>0</v>
      </c>
      <c r="H297">
        <v>0</v>
      </c>
      <c r="I297">
        <v>0</v>
      </c>
      <c r="J297">
        <v>0</v>
      </c>
      <c r="K297">
        <v>10.416666666666666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 s="80"/>
      <c r="AK297" s="81"/>
      <c r="AL297" s="81"/>
      <c r="AM297" s="43">
        <v>281</v>
      </c>
      <c r="AN297">
        <v>270.91032031357196</v>
      </c>
      <c r="AO297">
        <v>141.49426427099274</v>
      </c>
      <c r="AP297">
        <v>588.82017883648166</v>
      </c>
      <c r="AQ297">
        <v>784.00171904119452</v>
      </c>
      <c r="AR297">
        <v>133.81228411897595</v>
      </c>
      <c r="AS297">
        <v>1300.242428914059</v>
      </c>
      <c r="AT297">
        <v>62.888013346642879</v>
      </c>
      <c r="AU297">
        <v>81.070750685119052</v>
      </c>
      <c r="AV297"/>
      <c r="AW297"/>
      <c r="FY297" s="211">
        <v>292</v>
      </c>
      <c r="FZ297">
        <v>119.71609684068119</v>
      </c>
      <c r="GA297">
        <v>143.46729372636898</v>
      </c>
      <c r="GB297">
        <v>46.304407366533695</v>
      </c>
      <c r="GC297">
        <v>42.609900426701088</v>
      </c>
      <c r="GD297">
        <v>36.726396232207705</v>
      </c>
      <c r="GE297">
        <v>62.660158349820748</v>
      </c>
      <c r="GF297">
        <v>66.822705667321983</v>
      </c>
      <c r="GG297">
        <v>46.593850323277827</v>
      </c>
      <c r="GH297">
        <v>65.516479732240569</v>
      </c>
      <c r="GI297">
        <v>79.347651796544255</v>
      </c>
      <c r="GJ297"/>
      <c r="GK297"/>
      <c r="GL297"/>
      <c r="GM297"/>
    </row>
    <row r="298" spans="1:195" s="7" customFormat="1">
      <c r="A298" s="1"/>
      <c r="B298">
        <v>0.53638448139061135</v>
      </c>
      <c r="C298">
        <v>8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31.25</v>
      </c>
      <c r="K298">
        <v>41.666666666666664</v>
      </c>
      <c r="L298">
        <v>41.666666666666664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293.26761235458991</v>
      </c>
      <c r="AO298">
        <v>147.04587563284252</v>
      </c>
      <c r="AP298">
        <v>578.81039128051884</v>
      </c>
      <c r="AQ298">
        <v>834.39062609448479</v>
      </c>
      <c r="AR298">
        <v>138.54543900933373</v>
      </c>
      <c r="AS298">
        <v>1517.4546061906865</v>
      </c>
      <c r="AT298">
        <v>67.421513238611809</v>
      </c>
      <c r="AU298">
        <v>189.59289606055478</v>
      </c>
      <c r="AV298"/>
      <c r="AW298"/>
      <c r="FY298" s="211">
        <v>293</v>
      </c>
      <c r="FZ298">
        <v>109.61447702382668</v>
      </c>
      <c r="GA298">
        <v>140.3936585600174</v>
      </c>
      <c r="GB298">
        <v>64.126183926130849</v>
      </c>
      <c r="GC298">
        <v>36.299081434120779</v>
      </c>
      <c r="GD298">
        <v>26.433549339501262</v>
      </c>
      <c r="GE298">
        <v>77.536877949234281</v>
      </c>
      <c r="GF298">
        <v>133.01291313429516</v>
      </c>
      <c r="GG298">
        <v>63.929415281190117</v>
      </c>
      <c r="GH298">
        <v>38.161878497982507</v>
      </c>
      <c r="GI298">
        <v>86.302115536847097</v>
      </c>
      <c r="GJ298"/>
      <c r="GK298"/>
      <c r="GL298"/>
      <c r="GM298"/>
    </row>
    <row r="299" spans="1:195" s="7" customFormat="1">
      <c r="A299" s="1"/>
      <c r="B299">
        <v>0.78672575081222429</v>
      </c>
      <c r="C299">
        <v>6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10.416666666666666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245.10011286031508</v>
      </c>
      <c r="AO299">
        <v>162.8695245818611</v>
      </c>
      <c r="AP299">
        <v>840.14004546373667</v>
      </c>
      <c r="AQ299">
        <v>872.81991561727</v>
      </c>
      <c r="AR299">
        <v>154.29977153001261</v>
      </c>
      <c r="AS299">
        <v>1526.4872863271091</v>
      </c>
      <c r="AT299">
        <v>83.470329945919048</v>
      </c>
      <c r="AU299">
        <v>387.64597018869387</v>
      </c>
      <c r="AV299"/>
      <c r="AW299"/>
      <c r="FY299" s="211">
        <v>294</v>
      </c>
      <c r="FZ299">
        <v>122.79413339874415</v>
      </c>
      <c r="GA299">
        <v>141.06412284695392</v>
      </c>
      <c r="GB299">
        <v>43.253743143927068</v>
      </c>
      <c r="GC299">
        <v>46.691896609591389</v>
      </c>
      <c r="GD299">
        <v>30.311954631509455</v>
      </c>
      <c r="GE299">
        <v>21.80953111415986</v>
      </c>
      <c r="GF299">
        <v>53.777550342935136</v>
      </c>
      <c r="GG299">
        <v>38.220127518565683</v>
      </c>
      <c r="GH299">
        <v>19.457139364832202</v>
      </c>
      <c r="GI299">
        <v>63.836782595865138</v>
      </c>
      <c r="GJ299"/>
      <c r="GK299"/>
      <c r="GL299"/>
      <c r="GM299"/>
    </row>
    <row r="300" spans="1:195" s="7" customFormat="1">
      <c r="A300" s="1"/>
      <c r="B300">
        <v>0.47568768989467114</v>
      </c>
      <c r="C300">
        <v>3</v>
      </c>
      <c r="D300">
        <v>39910</v>
      </c>
      <c r="E300">
        <v>0</v>
      </c>
      <c r="F300">
        <v>86.805555555555557</v>
      </c>
      <c r="G300">
        <v>86.805555555555557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271.72713507433207</v>
      </c>
      <c r="AO300">
        <v>143.43311682451605</v>
      </c>
      <c r="AP300">
        <v>483.43542842477325</v>
      </c>
      <c r="AQ300">
        <v>773.44399944688678</v>
      </c>
      <c r="AR300">
        <v>136.54031593945521</v>
      </c>
      <c r="AS300">
        <v>1345.0010052024275</v>
      </c>
      <c r="AT300">
        <v>64.282374341544468</v>
      </c>
      <c r="AU300">
        <v>178.98591892713381</v>
      </c>
      <c r="AV300"/>
      <c r="AW300"/>
      <c r="FY300" s="211">
        <v>295</v>
      </c>
      <c r="FZ300">
        <v>141.9086578234637</v>
      </c>
      <c r="GA300">
        <v>162.55954032843931</v>
      </c>
      <c r="GB300">
        <v>48.693611387671076</v>
      </c>
      <c r="GC300">
        <v>43.38748491426783</v>
      </c>
      <c r="GD300">
        <v>30.468420174178334</v>
      </c>
      <c r="GE300">
        <v>39.836058555944682</v>
      </c>
      <c r="GF300">
        <v>95.25336857664</v>
      </c>
      <c r="GG300">
        <v>94.604361621604667</v>
      </c>
      <c r="GH300">
        <v>82.132482261507562</v>
      </c>
      <c r="GI300">
        <v>88.378961118145398</v>
      </c>
      <c r="GJ300"/>
      <c r="GK300"/>
      <c r="GL300"/>
      <c r="GM300"/>
    </row>
    <row r="301" spans="1:195" s="7" customFormat="1">
      <c r="A301" s="1"/>
      <c r="B301">
        <v>0.54540684807074147</v>
      </c>
      <c r="C301">
        <v>5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296.2140534707645</v>
      </c>
      <c r="AO301">
        <v>127.64228485907411</v>
      </c>
      <c r="AP301">
        <v>490.94640379566511</v>
      </c>
      <c r="AQ301">
        <v>672.20512508123738</v>
      </c>
      <c r="AR301">
        <v>120.05057950641103</v>
      </c>
      <c r="AS301">
        <v>1244.4902862707486</v>
      </c>
      <c r="AT301">
        <v>58.222402180834429</v>
      </c>
      <c r="AU301">
        <v>127.19045233988763</v>
      </c>
      <c r="AV301"/>
      <c r="AW301"/>
      <c r="FY301" s="211">
        <v>296</v>
      </c>
      <c r="FZ301">
        <v>107.71014083742986</v>
      </c>
      <c r="GA301">
        <v>98.743671101365038</v>
      </c>
      <c r="GB301">
        <v>32.608999579711465</v>
      </c>
      <c r="GC301">
        <v>44.939062125187959</v>
      </c>
      <c r="GD301">
        <v>42.276158299746832</v>
      </c>
      <c r="GE301">
        <v>71.750929065017829</v>
      </c>
      <c r="GF301">
        <v>110.82364175051306</v>
      </c>
      <c r="GG301">
        <v>91.766421027563638</v>
      </c>
      <c r="GH301">
        <v>64.697396634418453</v>
      </c>
      <c r="GI301">
        <v>87.641661486266528</v>
      </c>
      <c r="GJ301"/>
      <c r="GK301"/>
      <c r="GL301"/>
      <c r="GM301"/>
    </row>
    <row r="302" spans="1:195" s="7" customFormat="1">
      <c r="A302" s="1"/>
      <c r="B302">
        <v>0.12879492273898308</v>
      </c>
      <c r="C302">
        <v>4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231.45152554799111</v>
      </c>
      <c r="AO302">
        <v>137.94772941382007</v>
      </c>
      <c r="AP302">
        <v>626.00303354485163</v>
      </c>
      <c r="AQ302">
        <v>757.35470715239501</v>
      </c>
      <c r="AR302">
        <v>131.41557233563881</v>
      </c>
      <c r="AS302">
        <v>1379.3915200936781</v>
      </c>
      <c r="AT302">
        <v>71.628592768813689</v>
      </c>
      <c r="AU302">
        <v>151.72984939850224</v>
      </c>
      <c r="AV302"/>
      <c r="AW302"/>
      <c r="FY302" s="211">
        <v>297</v>
      </c>
      <c r="FZ302">
        <v>156.02064952998046</v>
      </c>
      <c r="GA302">
        <v>172.21141169787285</v>
      </c>
      <c r="GB302">
        <v>50.111356184926549</v>
      </c>
      <c r="GC302">
        <v>46.542001655292381</v>
      </c>
      <c r="GD302">
        <v>35.81570472186273</v>
      </c>
      <c r="GE302">
        <v>48.09378793635549</v>
      </c>
      <c r="GF302">
        <v>65.872527634271194</v>
      </c>
      <c r="GG302">
        <v>45.492250357242945</v>
      </c>
      <c r="GH302">
        <v>47.427174160021323</v>
      </c>
      <c r="GI302">
        <v>81.519086056049119</v>
      </c>
      <c r="GJ302"/>
      <c r="GK302"/>
      <c r="GL302"/>
      <c r="GM302"/>
    </row>
    <row r="303" spans="1:195" s="7" customFormat="1">
      <c r="A303" s="1"/>
      <c r="B303">
        <v>0.77737998985231904</v>
      </c>
      <c r="C303">
        <v>3</v>
      </c>
      <c r="D303">
        <v>39910</v>
      </c>
      <c r="E303">
        <v>0</v>
      </c>
      <c r="F303">
        <v>86.805555555555557</v>
      </c>
      <c r="G303">
        <v>86.805555555555557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222.76626200646874</v>
      </c>
      <c r="AO303">
        <v>118.60075231062274</v>
      </c>
      <c r="AP303">
        <v>453.95564664309325</v>
      </c>
      <c r="AQ303">
        <v>694.07264633141051</v>
      </c>
      <c r="AR303">
        <v>113.64741169289788</v>
      </c>
      <c r="AS303">
        <v>1216.3112054027613</v>
      </c>
      <c r="AT303">
        <v>57.391005319904821</v>
      </c>
      <c r="AU303">
        <v>-1.0759921686867031</v>
      </c>
      <c r="AV303"/>
      <c r="AW303"/>
      <c r="FY303" s="211">
        <v>298</v>
      </c>
      <c r="FZ303">
        <v>112.08829080238749</v>
      </c>
      <c r="GA303">
        <v>182.72600179469683</v>
      </c>
      <c r="GB303">
        <v>63.660767823611955</v>
      </c>
      <c r="GC303">
        <v>43.159235146496925</v>
      </c>
      <c r="GD303">
        <v>60.550791416445485</v>
      </c>
      <c r="GE303">
        <v>107.88911869027504</v>
      </c>
      <c r="GF303">
        <v>81.510470795058183</v>
      </c>
      <c r="GG303">
        <v>48.351618841458532</v>
      </c>
      <c r="GH303">
        <v>42.093163884140097</v>
      </c>
      <c r="GI303">
        <v>97.514665416355157</v>
      </c>
      <c r="GJ303"/>
      <c r="GK303"/>
      <c r="GL303"/>
      <c r="GM303"/>
    </row>
    <row r="304" spans="1:195" s="7" customFormat="1">
      <c r="A304" s="1"/>
      <c r="B304">
        <v>0.56892605937785135</v>
      </c>
      <c r="C304">
        <v>10</v>
      </c>
      <c r="D304">
        <v>39910</v>
      </c>
      <c r="E304">
        <v>0</v>
      </c>
      <c r="F304">
        <v>0</v>
      </c>
      <c r="G304">
        <v>208.33333333333334</v>
      </c>
      <c r="H304">
        <v>0</v>
      </c>
      <c r="I304">
        <v>0</v>
      </c>
      <c r="J304">
        <v>0</v>
      </c>
      <c r="K304">
        <v>52.083333333333336</v>
      </c>
      <c r="L304">
        <v>31.25</v>
      </c>
      <c r="M304">
        <v>20.833333333333332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245.23587996958014</v>
      </c>
      <c r="AO304">
        <v>123.93570851071868</v>
      </c>
      <c r="AP304">
        <v>574.78650462923781</v>
      </c>
      <c r="AQ304">
        <v>705.1009795073719</v>
      </c>
      <c r="AR304">
        <v>117.14360277191921</v>
      </c>
      <c r="AS304">
        <v>1212.7582533645661</v>
      </c>
      <c r="AT304">
        <v>60.389106192597133</v>
      </c>
      <c r="AU304">
        <v>132.62263540207456</v>
      </c>
      <c r="AV304"/>
      <c r="AW304"/>
      <c r="FY304" s="211">
        <v>299</v>
      </c>
      <c r="FZ304">
        <v>105.39004853042063</v>
      </c>
      <c r="GA304">
        <v>152.01545755295487</v>
      </c>
      <c r="GB304">
        <v>71.529745202317244</v>
      </c>
      <c r="GC304">
        <v>41.479595499000048</v>
      </c>
      <c r="GD304">
        <v>26.895221619284378</v>
      </c>
      <c r="GE304">
        <v>54.512004330925279</v>
      </c>
      <c r="GF304">
        <v>128.081393503702</v>
      </c>
      <c r="GG304">
        <v>118.9569831469173</v>
      </c>
      <c r="GH304">
        <v>96.854848987234249</v>
      </c>
      <c r="GI304">
        <v>96.941634605774084</v>
      </c>
      <c r="GJ304"/>
      <c r="GK304"/>
      <c r="GL304"/>
      <c r="GM304"/>
    </row>
    <row r="305" spans="1:195" s="7" customFormat="1">
      <c r="A305" s="1"/>
      <c r="B305">
        <v>0.40608397901781768</v>
      </c>
      <c r="C305">
        <v>5</v>
      </c>
      <c r="D305">
        <v>39910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230.60327017231776</v>
      </c>
      <c r="AO305">
        <v>147.37812372851744</v>
      </c>
      <c r="AP305">
        <v>682.12475680558384</v>
      </c>
      <c r="AQ305">
        <v>832.14474605791395</v>
      </c>
      <c r="AR305">
        <v>138.86249700778799</v>
      </c>
      <c r="AS305">
        <v>1344.9513250404577</v>
      </c>
      <c r="AT305">
        <v>76.557914483425918</v>
      </c>
      <c r="AU305">
        <v>294.27131133497159</v>
      </c>
      <c r="AV305"/>
      <c r="AW305"/>
      <c r="FY305" s="211">
        <v>300</v>
      </c>
      <c r="FZ305">
        <v>132.48460683920567</v>
      </c>
      <c r="GA305">
        <v>183.7771370502295</v>
      </c>
      <c r="GB305">
        <v>48.531916139483691</v>
      </c>
      <c r="GC305">
        <v>44.006708833307535</v>
      </c>
      <c r="GD305">
        <v>44.024680958945702</v>
      </c>
      <c r="GE305">
        <v>72.854595026560077</v>
      </c>
      <c r="GF305">
        <v>142.7064851874168</v>
      </c>
      <c r="GG305">
        <v>93.694279662291166</v>
      </c>
      <c r="GH305">
        <v>43.589365540110357</v>
      </c>
      <c r="GI305">
        <v>100.21543531105064</v>
      </c>
      <c r="GJ305"/>
      <c r="GK305"/>
      <c r="GL305"/>
      <c r="GM305"/>
    </row>
    <row r="306" spans="1:195" s="7" customFormat="1">
      <c r="A306" s="1"/>
      <c r="B306">
        <v>0.80549809917064374</v>
      </c>
      <c r="C306">
        <v>8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31.25</v>
      </c>
      <c r="K306">
        <v>41.666666666666664</v>
      </c>
      <c r="L306">
        <v>41.666666666666664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288.20478476711389</v>
      </c>
      <c r="AO306">
        <v>177.50090164765155</v>
      </c>
      <c r="AP306">
        <v>775.90838494678326</v>
      </c>
      <c r="AQ306">
        <v>959.05959864963972</v>
      </c>
      <c r="AR306">
        <v>165.65716474157006</v>
      </c>
      <c r="AS306">
        <v>1696.1220888044272</v>
      </c>
      <c r="AT306">
        <v>83.305591046542901</v>
      </c>
      <c r="AU306">
        <v>336.89215267494825</v>
      </c>
      <c r="AV306"/>
      <c r="AW306"/>
      <c r="FY306" s="211">
        <v>301</v>
      </c>
      <c r="FZ306">
        <v>132.11375956093144</v>
      </c>
      <c r="GA306">
        <v>175.58370821375482</v>
      </c>
      <c r="GB306">
        <v>66.275448755520529</v>
      </c>
      <c r="GC306">
        <v>36.64821196737168</v>
      </c>
      <c r="GD306">
        <v>26.52410235678785</v>
      </c>
      <c r="GE306">
        <v>57.638242321670973</v>
      </c>
      <c r="GF306">
        <v>117.21566590398533</v>
      </c>
      <c r="GG306">
        <v>96.865879978793942</v>
      </c>
      <c r="GH306">
        <v>65.253805560181405</v>
      </c>
      <c r="GI306">
        <v>91.599089346298967</v>
      </c>
      <c r="GJ306"/>
      <c r="GK306"/>
      <c r="GL306"/>
      <c r="GM306"/>
    </row>
    <row r="307" spans="1:195" s="7" customFormat="1">
      <c r="A307" s="1"/>
      <c r="B307">
        <v>0.2627966358789906</v>
      </c>
      <c r="C307">
        <v>4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381.92573615072388</v>
      </c>
      <c r="AO307">
        <v>184.79000348461176</v>
      </c>
      <c r="AP307">
        <v>943.16050710507011</v>
      </c>
      <c r="AQ307">
        <v>926.83079794809237</v>
      </c>
      <c r="AR307">
        <v>173.59485429978128</v>
      </c>
      <c r="AS307">
        <v>2115.5771026928155</v>
      </c>
      <c r="AT307">
        <v>85.035392455143324</v>
      </c>
      <c r="AU307">
        <v>584.18860890461997</v>
      </c>
      <c r="AV307"/>
      <c r="AW307"/>
      <c r="FY307" s="211">
        <v>302</v>
      </c>
      <c r="FZ307">
        <v>106.73830406817787</v>
      </c>
      <c r="GA307">
        <v>153.20955896798856</v>
      </c>
      <c r="GB307">
        <v>58.826766832424255</v>
      </c>
      <c r="GC307">
        <v>50.041760634205183</v>
      </c>
      <c r="GD307">
        <v>50.008767176739553</v>
      </c>
      <c r="GE307">
        <v>82.750014823674562</v>
      </c>
      <c r="GF307">
        <v>117.30023499279748</v>
      </c>
      <c r="GG307">
        <v>129.14809033929663</v>
      </c>
      <c r="GH307">
        <v>117.86566173936757</v>
      </c>
      <c r="GI307">
        <v>108.5934612661226</v>
      </c>
      <c r="GJ307"/>
      <c r="GK307"/>
      <c r="GL307"/>
      <c r="GM307"/>
    </row>
    <row r="308" spans="1:195" s="7" customFormat="1">
      <c r="A308" s="1"/>
      <c r="B308">
        <v>9.9871314135773881E-2</v>
      </c>
      <c r="C308">
        <v>10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187.23850706591497</v>
      </c>
      <c r="AO308">
        <v>126.0753518089784</v>
      </c>
      <c r="AP308">
        <v>583.5359832798456</v>
      </c>
      <c r="AQ308">
        <v>709.76494046169807</v>
      </c>
      <c r="AR308">
        <v>119.18785973355739</v>
      </c>
      <c r="AS308">
        <v>1200.4475234254203</v>
      </c>
      <c r="AT308">
        <v>68.625831582201002</v>
      </c>
      <c r="AU308">
        <v>112.2540548144847</v>
      </c>
      <c r="AV308"/>
      <c r="AW308"/>
      <c r="FY308" s="211">
        <v>303</v>
      </c>
      <c r="FZ308">
        <v>118.96020141837452</v>
      </c>
      <c r="GA308">
        <v>147.60680924858332</v>
      </c>
      <c r="GB308">
        <v>62.846867259752315</v>
      </c>
      <c r="GC308">
        <v>56.709169922103193</v>
      </c>
      <c r="GD308">
        <v>43.096271317456832</v>
      </c>
      <c r="GE308">
        <v>56.223575818935359</v>
      </c>
      <c r="GF308">
        <v>50.857603399316957</v>
      </c>
      <c r="GG308">
        <v>25.104499715335379</v>
      </c>
      <c r="GH308">
        <v>40.59092286942834</v>
      </c>
      <c r="GI308">
        <v>80.430991090679285</v>
      </c>
      <c r="GJ308"/>
      <c r="GK308"/>
      <c r="GL308"/>
      <c r="GM308"/>
    </row>
    <row r="309" spans="1:195" s="7" customFormat="1">
      <c r="A309" s="1"/>
      <c r="B309">
        <v>6.3055516032177295E-2</v>
      </c>
      <c r="C309">
        <v>10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282.09412949607224</v>
      </c>
      <c r="AO309">
        <v>136.98448555799831</v>
      </c>
      <c r="AP309">
        <v>616.31406331021344</v>
      </c>
      <c r="AQ309">
        <v>775.81015068314605</v>
      </c>
      <c r="AR309">
        <v>129.62613184280755</v>
      </c>
      <c r="AS309">
        <v>1293.6953112021117</v>
      </c>
      <c r="AT309">
        <v>65.879852671334689</v>
      </c>
      <c r="AU309">
        <v>223.13491747465702</v>
      </c>
      <c r="AV309"/>
      <c r="AW309"/>
      <c r="FY309" s="211">
        <v>304</v>
      </c>
      <c r="FZ309">
        <v>135.34057978860886</v>
      </c>
      <c r="GA309">
        <v>142.16516679741676</v>
      </c>
      <c r="GB309">
        <v>33.322356916319464</v>
      </c>
      <c r="GC309">
        <v>35.330607499389522</v>
      </c>
      <c r="GD309">
        <v>34.38455480643843</v>
      </c>
      <c r="GE309">
        <v>85.83924921239722</v>
      </c>
      <c r="GF309">
        <v>124.58141092156683</v>
      </c>
      <c r="GG309">
        <v>44.89990298568592</v>
      </c>
      <c r="GH309">
        <v>31.490436275509989</v>
      </c>
      <c r="GI309">
        <v>84.851605692642636</v>
      </c>
      <c r="GJ309"/>
      <c r="GK309"/>
      <c r="GL309"/>
      <c r="GM309"/>
    </row>
    <row r="310" spans="1:195" s="7" customFormat="1">
      <c r="A310" s="1"/>
      <c r="B310">
        <v>0.4447414827337095</v>
      </c>
      <c r="C310">
        <v>7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10.416666666666666</v>
      </c>
      <c r="K310">
        <v>31.25</v>
      </c>
      <c r="L310">
        <v>0</v>
      </c>
      <c r="M310">
        <v>72.916666666666671</v>
      </c>
      <c r="N310">
        <v>62.5</v>
      </c>
      <c r="O310">
        <v>20.833333333333332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200.280879338066</v>
      </c>
      <c r="AO310">
        <v>99.039499255563854</v>
      </c>
      <c r="AP310">
        <v>393.70955917463152</v>
      </c>
      <c r="AQ310">
        <v>581.21698156708396</v>
      </c>
      <c r="AR310">
        <v>95.008237638460642</v>
      </c>
      <c r="AS310">
        <v>981.36218068589858</v>
      </c>
      <c r="AT310">
        <v>46.774976606536605</v>
      </c>
      <c r="AU310">
        <v>81.132543946191973</v>
      </c>
      <c r="AV310"/>
      <c r="AW310"/>
      <c r="FY310" s="211">
        <v>305</v>
      </c>
      <c r="FZ310">
        <v>122.82428251386635</v>
      </c>
      <c r="GA310">
        <v>148.33644529298022</v>
      </c>
      <c r="GB310">
        <v>37.6223565279154</v>
      </c>
      <c r="GC310">
        <v>43.7490570508335</v>
      </c>
      <c r="GD310">
        <v>51.122300158934173</v>
      </c>
      <c r="GE310">
        <v>73.799565612137854</v>
      </c>
      <c r="GF310">
        <v>65.47984067435452</v>
      </c>
      <c r="GG310">
        <v>77.295744167890575</v>
      </c>
      <c r="GH310">
        <v>92.306241785144636</v>
      </c>
      <c r="GI310">
        <v>91.242074634324226</v>
      </c>
      <c r="GJ310"/>
      <c r="GK310"/>
      <c r="GL310"/>
      <c r="GM310"/>
    </row>
    <row r="311" spans="1:195" s="7" customFormat="1">
      <c r="A311" s="1"/>
      <c r="B311">
        <v>0.36997213956521247</v>
      </c>
      <c r="C311">
        <v>6</v>
      </c>
      <c r="D311">
        <v>39949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234.59609899178736</v>
      </c>
      <c r="AO311">
        <v>140.07767856081563</v>
      </c>
      <c r="AP311">
        <v>546.6919599909678</v>
      </c>
      <c r="AQ311">
        <v>827.22294676186254</v>
      </c>
      <c r="AR311">
        <v>133.75218069291486</v>
      </c>
      <c r="AS311">
        <v>1394.7254122717757</v>
      </c>
      <c r="AT311">
        <v>71.286514503883751</v>
      </c>
      <c r="AU311">
        <v>129.82121594424402</v>
      </c>
      <c r="AV311"/>
      <c r="AW311"/>
      <c r="FY311" s="211">
        <v>306</v>
      </c>
      <c r="FZ311">
        <v>117.52301610572502</v>
      </c>
      <c r="GA311">
        <v>148.12154453855632</v>
      </c>
      <c r="GB311">
        <v>57.645058435261525</v>
      </c>
      <c r="GC311">
        <v>39.861377064065763</v>
      </c>
      <c r="GD311">
        <v>32.53937591376053</v>
      </c>
      <c r="GE311">
        <v>62.652790454122346</v>
      </c>
      <c r="GF311">
        <v>136.15614881617853</v>
      </c>
      <c r="GG311">
        <v>95.041408906612077</v>
      </c>
      <c r="GH311">
        <v>44.743948196771434</v>
      </c>
      <c r="GI311">
        <v>91.059754148683538</v>
      </c>
      <c r="GJ311"/>
      <c r="GK311"/>
      <c r="GL311"/>
      <c r="GM311"/>
    </row>
    <row r="312" spans="1:195" s="7" customFormat="1">
      <c r="A312" s="1"/>
      <c r="B312">
        <v>0.86487969305939005</v>
      </c>
      <c r="C312">
        <v>3</v>
      </c>
      <c r="D312">
        <v>39949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264.37637596676348</v>
      </c>
      <c r="AO312">
        <v>140.44927956917056</v>
      </c>
      <c r="AP312">
        <v>484.96538333181002</v>
      </c>
      <c r="AQ312">
        <v>752.95808190722062</v>
      </c>
      <c r="AR312">
        <v>131.97517363697361</v>
      </c>
      <c r="AS312">
        <v>1419.0419645973532</v>
      </c>
      <c r="AT312">
        <v>61.209748041466021</v>
      </c>
      <c r="AU312">
        <v>261.68150645315222</v>
      </c>
      <c r="AV312"/>
      <c r="AW312"/>
      <c r="FY312" s="211">
        <v>307</v>
      </c>
      <c r="FZ312">
        <v>116.22636719181949</v>
      </c>
      <c r="GA312">
        <v>150.7485487232577</v>
      </c>
      <c r="GB312">
        <v>47.86894047253265</v>
      </c>
      <c r="GC312">
        <v>36.310330550804849</v>
      </c>
      <c r="GD312">
        <v>29.744512658336014</v>
      </c>
      <c r="GE312">
        <v>95.163241489176613</v>
      </c>
      <c r="GF312">
        <v>133.00539678084604</v>
      </c>
      <c r="GG312">
        <v>57.984132992411176</v>
      </c>
      <c r="GH312">
        <v>79.298843811101023</v>
      </c>
      <c r="GI312">
        <v>93.592074503947913</v>
      </c>
      <c r="GJ312"/>
      <c r="GK312"/>
      <c r="GL312"/>
      <c r="GM312"/>
    </row>
    <row r="313" spans="1:195" s="7" customFormat="1">
      <c r="A313" s="1"/>
      <c r="B313">
        <v>0.75626703430274045</v>
      </c>
      <c r="C313">
        <v>4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215.75507543248409</v>
      </c>
      <c r="AO313">
        <v>127.01420349344346</v>
      </c>
      <c r="AP313">
        <v>512.42303734979646</v>
      </c>
      <c r="AQ313">
        <v>749.10594993387508</v>
      </c>
      <c r="AR313">
        <v>122.18652557646305</v>
      </c>
      <c r="AS313">
        <v>1310.8625004021865</v>
      </c>
      <c r="AT313">
        <v>65.073007899472998</v>
      </c>
      <c r="AU313">
        <v>56.591875410917879</v>
      </c>
      <c r="AV313"/>
      <c r="AW313"/>
      <c r="FY313" s="211">
        <v>308</v>
      </c>
      <c r="FZ313">
        <v>64.14820276853527</v>
      </c>
      <c r="GA313">
        <v>107.80508630024342</v>
      </c>
      <c r="GB313">
        <v>40.912972194550704</v>
      </c>
      <c r="GC313">
        <v>42.142384884142658</v>
      </c>
      <c r="GD313">
        <v>55.936915073663634</v>
      </c>
      <c r="GE313">
        <v>90.882281850928905</v>
      </c>
      <c r="GF313">
        <v>68.605399542683884</v>
      </c>
      <c r="GG313">
        <v>68.577670041319053</v>
      </c>
      <c r="GH313">
        <v>90.906648600143726</v>
      </c>
      <c r="GI313">
        <v>86.839788123342586</v>
      </c>
      <c r="GJ313"/>
      <c r="GK313"/>
      <c r="GL313"/>
      <c r="GM313"/>
    </row>
    <row r="314" spans="1:195" s="7" customFormat="1">
      <c r="A314" s="1"/>
      <c r="B314">
        <v>8.2956749957805442E-2</v>
      </c>
      <c r="C314">
        <v>6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293.16596135513544</v>
      </c>
      <c r="AO314">
        <v>155.72891476945816</v>
      </c>
      <c r="AP314">
        <v>575.18872742035808</v>
      </c>
      <c r="AQ314">
        <v>839.54412461092545</v>
      </c>
      <c r="AR314">
        <v>145.69637593114143</v>
      </c>
      <c r="AS314">
        <v>1648.214486172792</v>
      </c>
      <c r="AT314">
        <v>70.316329899929642</v>
      </c>
      <c r="AU314">
        <v>219.52555679857491</v>
      </c>
      <c r="AV314"/>
      <c r="AW314"/>
      <c r="FY314" s="211">
        <v>309</v>
      </c>
      <c r="FZ314">
        <v>108.22443657810085</v>
      </c>
      <c r="GA314">
        <v>122.82112788690445</v>
      </c>
      <c r="GB314">
        <v>46.306164792284797</v>
      </c>
      <c r="GC314">
        <v>35.713381720197326</v>
      </c>
      <c r="GD314">
        <v>33.617066735872434</v>
      </c>
      <c r="GE314">
        <v>63.407714565509607</v>
      </c>
      <c r="GF314">
        <v>81.469841034731346</v>
      </c>
      <c r="GG314">
        <v>53.170385533672189</v>
      </c>
      <c r="GH314">
        <v>32.664499527581903</v>
      </c>
      <c r="GI314">
        <v>72.474057983027819</v>
      </c>
      <c r="GJ314"/>
      <c r="GK314"/>
      <c r="GL314"/>
      <c r="GM314"/>
    </row>
    <row r="315" spans="1:195" s="7" customFormat="1">
      <c r="A315" s="1"/>
      <c r="B315">
        <v>0.23044193095411392</v>
      </c>
      <c r="C315">
        <v>1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10.416666666666666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259.78713778354961</v>
      </c>
      <c r="AO315">
        <v>155.24202826543953</v>
      </c>
      <c r="AP315">
        <v>607.19272295769247</v>
      </c>
      <c r="AQ315">
        <v>892.65693297853011</v>
      </c>
      <c r="AR315">
        <v>147.31907214298354</v>
      </c>
      <c r="AS315">
        <v>1530.2137997366033</v>
      </c>
      <c r="AT315">
        <v>77.003037090336989</v>
      </c>
      <c r="AU315">
        <v>167.23432981168855</v>
      </c>
      <c r="AV315"/>
      <c r="AW315"/>
      <c r="FY315" s="211">
        <v>310</v>
      </c>
      <c r="FZ315">
        <v>110.79773377460484</v>
      </c>
      <c r="GA315">
        <v>137.92487054421136</v>
      </c>
      <c r="GB315">
        <v>49.508087242906178</v>
      </c>
      <c r="GC315">
        <v>44.834698476832685</v>
      </c>
      <c r="GD315">
        <v>35.747541034820834</v>
      </c>
      <c r="GE315">
        <v>64.067703351311522</v>
      </c>
      <c r="GF315">
        <v>143.51382370953161</v>
      </c>
      <c r="GG315">
        <v>84.828862109274127</v>
      </c>
      <c r="GH315">
        <v>31.824971977198658</v>
      </c>
      <c r="GI315">
        <v>90.407235595083506</v>
      </c>
      <c r="GJ315"/>
      <c r="GK315"/>
      <c r="GL315"/>
      <c r="GM315"/>
    </row>
    <row r="316" spans="1:195" s="7" customFormat="1">
      <c r="A316" s="1"/>
      <c r="B316">
        <v>0.81679754919132086</v>
      </c>
      <c r="C316">
        <v>2</v>
      </c>
      <c r="D316">
        <v>39949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250.77011414965514</v>
      </c>
      <c r="AO316">
        <v>160.27087429327202</v>
      </c>
      <c r="AP316">
        <v>653.58335161317643</v>
      </c>
      <c r="AQ316">
        <v>905.88521054860109</v>
      </c>
      <c r="AR316">
        <v>151.51138174949463</v>
      </c>
      <c r="AS316">
        <v>1416.407252395006</v>
      </c>
      <c r="AT316">
        <v>73.103231213109353</v>
      </c>
      <c r="AU316">
        <v>251.4709037912256</v>
      </c>
      <c r="AV316"/>
      <c r="AW316"/>
      <c r="FY316" s="211">
        <v>311</v>
      </c>
      <c r="FZ316">
        <v>125.84012206225965</v>
      </c>
      <c r="GA316">
        <v>152.27728068822319</v>
      </c>
      <c r="GB316">
        <v>53.655147559434084</v>
      </c>
      <c r="GC316">
        <v>34.232662126000541</v>
      </c>
      <c r="GD316">
        <v>35.562815503839012</v>
      </c>
      <c r="GE316">
        <v>75.728192527413754</v>
      </c>
      <c r="GF316">
        <v>75.583253743315879</v>
      </c>
      <c r="GG316">
        <v>65.599219618672862</v>
      </c>
      <c r="GH316">
        <v>94.324172514809419</v>
      </c>
      <c r="GI316">
        <v>88.354977912098732</v>
      </c>
      <c r="GJ316"/>
      <c r="GK316"/>
      <c r="GL316"/>
      <c r="GM316"/>
    </row>
    <row r="317" spans="1:195" s="7" customFormat="1">
      <c r="A317" s="1"/>
      <c r="B317">
        <v>1.9559168232740953E-2</v>
      </c>
      <c r="C317">
        <v>10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244.52577525154101</v>
      </c>
      <c r="AO317">
        <v>147.18796034840207</v>
      </c>
      <c r="AP317">
        <v>679.24656958148398</v>
      </c>
      <c r="AQ317">
        <v>865.71791396529693</v>
      </c>
      <c r="AR317">
        <v>139.29346123043499</v>
      </c>
      <c r="AS317">
        <v>1362.3184511685829</v>
      </c>
      <c r="AT317">
        <v>73.050098652264168</v>
      </c>
      <c r="AU317">
        <v>212.23921737675889</v>
      </c>
      <c r="AV317"/>
      <c r="AW317"/>
      <c r="FY317" s="211">
        <v>312</v>
      </c>
      <c r="FZ317">
        <v>108.14310834854219</v>
      </c>
      <c r="GA317">
        <v>121.32322131601413</v>
      </c>
      <c r="GB317">
        <v>41.261689128120956</v>
      </c>
      <c r="GC317">
        <v>46.34690289520227</v>
      </c>
      <c r="GD317">
        <v>31.746328558771275</v>
      </c>
      <c r="GE317">
        <v>16.475960053541851</v>
      </c>
      <c r="GF317">
        <v>39.793167000248609</v>
      </c>
      <c r="GG317">
        <v>62.766514067638369</v>
      </c>
      <c r="GH317">
        <v>67.051885478508382</v>
      </c>
      <c r="GI317">
        <v>67.260664255319227</v>
      </c>
      <c r="GJ317"/>
      <c r="GK317"/>
      <c r="GL317"/>
      <c r="GM317"/>
    </row>
    <row r="318" spans="1:195" s="7" customFormat="1">
      <c r="A318" s="1"/>
      <c r="B318">
        <v>0.82603827033835842</v>
      </c>
      <c r="C318">
        <v>7</v>
      </c>
      <c r="D318">
        <v>39987</v>
      </c>
      <c r="E318">
        <v>0</v>
      </c>
      <c r="F318">
        <v>0</v>
      </c>
      <c r="G318">
        <v>0</v>
      </c>
      <c r="H318">
        <v>71.486928104575156</v>
      </c>
      <c r="I318">
        <v>0</v>
      </c>
      <c r="J318">
        <v>0</v>
      </c>
      <c r="K318">
        <v>0</v>
      </c>
      <c r="L318">
        <v>10.416666666666666</v>
      </c>
      <c r="M318">
        <v>10.416666666666666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310.67068602100369</v>
      </c>
      <c r="AO318">
        <v>174.05906590549617</v>
      </c>
      <c r="AP318">
        <v>696.50346133345215</v>
      </c>
      <c r="AQ318">
        <v>974.48262084079443</v>
      </c>
      <c r="AR318">
        <v>162.79113628722473</v>
      </c>
      <c r="AS318">
        <v>1697.0694800472854</v>
      </c>
      <c r="AT318">
        <v>85.10043765930827</v>
      </c>
      <c r="AU318">
        <v>115.15840104091473</v>
      </c>
      <c r="AV318"/>
      <c r="AW318"/>
      <c r="FY318" s="211">
        <v>313</v>
      </c>
      <c r="FZ318">
        <v>128.54219116141266</v>
      </c>
      <c r="GA318">
        <v>118.833533755668</v>
      </c>
      <c r="GB318">
        <v>44.396179924279785</v>
      </c>
      <c r="GC318">
        <v>42.073914938119152</v>
      </c>
      <c r="GD318">
        <v>47.166869404984915</v>
      </c>
      <c r="GE318">
        <v>115.50848558845617</v>
      </c>
      <c r="GF318">
        <v>111.27563155310045</v>
      </c>
      <c r="GG318">
        <v>7.7674923646187448</v>
      </c>
      <c r="GH318">
        <v>13.273340612515918</v>
      </c>
      <c r="GI318">
        <v>88.815654640459513</v>
      </c>
      <c r="GJ318"/>
      <c r="GK318"/>
      <c r="GL318"/>
      <c r="GM318"/>
    </row>
    <row r="319" spans="1:195" s="7" customFormat="1">
      <c r="A319" s="1"/>
      <c r="B319">
        <v>0.52669111521525336</v>
      </c>
      <c r="C319">
        <v>7</v>
      </c>
      <c r="D319">
        <v>39987</v>
      </c>
      <c r="E319">
        <v>0</v>
      </c>
      <c r="F319">
        <v>0</v>
      </c>
      <c r="G319">
        <v>0</v>
      </c>
      <c r="H319">
        <v>71.486928104575156</v>
      </c>
      <c r="I319">
        <v>0</v>
      </c>
      <c r="J319">
        <v>0</v>
      </c>
      <c r="K319">
        <v>0</v>
      </c>
      <c r="L319">
        <v>10.416666666666666</v>
      </c>
      <c r="M319">
        <v>10.416666666666666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263.35740234173289</v>
      </c>
      <c r="AO319">
        <v>126.58126425455873</v>
      </c>
      <c r="AP319">
        <v>579.30720263704347</v>
      </c>
      <c r="AQ319">
        <v>682.4269120599655</v>
      </c>
      <c r="AR319">
        <v>120.18053713870158</v>
      </c>
      <c r="AS319">
        <v>1328.4995332150693</v>
      </c>
      <c r="AT319">
        <v>61.159115115657841</v>
      </c>
      <c r="AU319">
        <v>94.380063166688871</v>
      </c>
      <c r="AV319"/>
      <c r="AW319"/>
      <c r="FY319" s="211">
        <v>314</v>
      </c>
      <c r="FZ319">
        <v>126.18566110830471</v>
      </c>
      <c r="GA319">
        <v>194.45540433489157</v>
      </c>
      <c r="GB319">
        <v>67.632393414281481</v>
      </c>
      <c r="GC319">
        <v>38.720240170173611</v>
      </c>
      <c r="GD319">
        <v>29.959510105303576</v>
      </c>
      <c r="GE319">
        <v>59.780249635565667</v>
      </c>
      <c r="GF319">
        <v>106.60962758789437</v>
      </c>
      <c r="GG319">
        <v>109.47301908170181</v>
      </c>
      <c r="GH319">
        <v>121.40263830905204</v>
      </c>
      <c r="GI319">
        <v>99.995126646689968</v>
      </c>
      <c r="GJ319"/>
      <c r="GK319"/>
      <c r="GL319"/>
      <c r="GM319"/>
    </row>
    <row r="320" spans="1:195" s="7" customFormat="1">
      <c r="A320" s="1"/>
      <c r="B320">
        <v>0.35368352258464686</v>
      </c>
      <c r="C320">
        <v>1</v>
      </c>
      <c r="D320">
        <v>39987</v>
      </c>
      <c r="E320">
        <v>0</v>
      </c>
      <c r="F320">
        <v>0</v>
      </c>
      <c r="G320">
        <v>77.570921985815602</v>
      </c>
      <c r="H320">
        <v>155.1418439716312</v>
      </c>
      <c r="I320">
        <v>0</v>
      </c>
      <c r="J320">
        <v>77.570921985815602</v>
      </c>
      <c r="K320">
        <v>10.416666666666666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210.62546521695339</v>
      </c>
      <c r="AO320">
        <v>136.10525002746809</v>
      </c>
      <c r="AP320">
        <v>493.35889003796865</v>
      </c>
      <c r="AQ320">
        <v>752.20587089597575</v>
      </c>
      <c r="AR320">
        <v>128.31359135294011</v>
      </c>
      <c r="AS320">
        <v>1346.1542486593446</v>
      </c>
      <c r="AT320">
        <v>64.912927102533089</v>
      </c>
      <c r="AU320">
        <v>156.69697971188151</v>
      </c>
      <c r="AV320"/>
      <c r="AW320"/>
      <c r="FY320" s="211">
        <v>315</v>
      </c>
      <c r="FZ320">
        <v>104.36474698304002</v>
      </c>
      <c r="GA320">
        <v>129.59448907929362</v>
      </c>
      <c r="GB320">
        <v>32.621646062868855</v>
      </c>
      <c r="GC320">
        <v>37.260105322535452</v>
      </c>
      <c r="GD320">
        <v>69.322260889232695</v>
      </c>
      <c r="GE320">
        <v>137.81397694710034</v>
      </c>
      <c r="GF320">
        <v>84.07648169987327</v>
      </c>
      <c r="GG320">
        <v>55.095705715143637</v>
      </c>
      <c r="GH320">
        <v>78.581204754797682</v>
      </c>
      <c r="GI320">
        <v>100.9950918510722</v>
      </c>
      <c r="GJ320"/>
      <c r="GK320"/>
      <c r="GL320"/>
      <c r="GM320"/>
    </row>
    <row r="321" spans="1:195" s="7" customFormat="1">
      <c r="A321" s="1"/>
      <c r="B321">
        <v>0.54152269466556469</v>
      </c>
      <c r="C321">
        <v>6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10.416666666666666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255.06999792115212</v>
      </c>
      <c r="AO321">
        <v>145.7757278403804</v>
      </c>
      <c r="AP321">
        <v>688.58278419547241</v>
      </c>
      <c r="AQ321">
        <v>803.77790841838134</v>
      </c>
      <c r="AR321">
        <v>137.59732465783088</v>
      </c>
      <c r="AS321">
        <v>1360.3170401544169</v>
      </c>
      <c r="AT321">
        <v>74.552573571214637</v>
      </c>
      <c r="AU321">
        <v>229.43995313638857</v>
      </c>
      <c r="AV321"/>
      <c r="AW321"/>
      <c r="FY321" s="211">
        <v>316</v>
      </c>
      <c r="FZ321">
        <v>107.46141417878657</v>
      </c>
      <c r="GA321">
        <v>133.39959098177695</v>
      </c>
      <c r="GB321">
        <v>42.485969321700345</v>
      </c>
      <c r="GC321">
        <v>26.512076742926798</v>
      </c>
      <c r="GD321">
        <v>22.474802632291844</v>
      </c>
      <c r="GE321">
        <v>82.480272911696773</v>
      </c>
      <c r="GF321">
        <v>112.33707161327825</v>
      </c>
      <c r="GG321">
        <v>13.529245992295509</v>
      </c>
      <c r="GH321">
        <v>29.172987658863882</v>
      </c>
      <c r="GI321">
        <v>72.239074554952182</v>
      </c>
      <c r="GJ321"/>
      <c r="GK321"/>
      <c r="GL321"/>
      <c r="GM321"/>
    </row>
    <row r="322" spans="1:195" s="7" customFormat="1">
      <c r="A322" s="1"/>
      <c r="B322">
        <v>0.36586770667574342</v>
      </c>
      <c r="C322">
        <v>2</v>
      </c>
      <c r="D322">
        <v>39987</v>
      </c>
      <c r="E322">
        <v>0</v>
      </c>
      <c r="F322">
        <v>0</v>
      </c>
      <c r="G322">
        <v>0</v>
      </c>
      <c r="H322">
        <v>57.779947916666664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288.72932941428041</v>
      </c>
      <c r="AO322">
        <v>143.41167729476541</v>
      </c>
      <c r="AP322">
        <v>495.13813471635649</v>
      </c>
      <c r="AQ322">
        <v>825.34442257973706</v>
      </c>
      <c r="AR322">
        <v>136.51095793752717</v>
      </c>
      <c r="AS322">
        <v>1442.547196020246</v>
      </c>
      <c r="AT322">
        <v>64.126150007534974</v>
      </c>
      <c r="AU322">
        <v>168.83539472551919</v>
      </c>
      <c r="AV322"/>
      <c r="AW322"/>
      <c r="FY322" s="211">
        <v>317</v>
      </c>
      <c r="FZ322">
        <v>109.31680521430852</v>
      </c>
      <c r="GA322">
        <v>141.60362483020234</v>
      </c>
      <c r="GB322">
        <v>38.10844648678696</v>
      </c>
      <c r="GC322">
        <v>45.561809526520058</v>
      </c>
      <c r="GD322">
        <v>49.28549811747947</v>
      </c>
      <c r="GE322">
        <v>60.786714638657912</v>
      </c>
      <c r="GF322">
        <v>66.544987190700354</v>
      </c>
      <c r="GG322">
        <v>81.086454168349647</v>
      </c>
      <c r="GH322">
        <v>75.995767633002885</v>
      </c>
      <c r="GI322">
        <v>85.498354077131836</v>
      </c>
      <c r="GJ322"/>
      <c r="GK322"/>
      <c r="GL322"/>
      <c r="GM322"/>
    </row>
    <row r="323" spans="1:195" s="7" customFormat="1">
      <c r="A323" s="1"/>
      <c r="B323">
        <v>0.41956947611991424</v>
      </c>
      <c r="C323">
        <v>2</v>
      </c>
      <c r="D323">
        <v>39987</v>
      </c>
      <c r="E323">
        <v>0</v>
      </c>
      <c r="F323">
        <v>0</v>
      </c>
      <c r="G323">
        <v>0</v>
      </c>
      <c r="H323">
        <v>57.779947916666664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199.49480395990159</v>
      </c>
      <c r="AO323">
        <v>155.24082581788664</v>
      </c>
      <c r="AP323">
        <v>795.78593185375325</v>
      </c>
      <c r="AQ323">
        <v>839.94238917423354</v>
      </c>
      <c r="AR323">
        <v>144.8681063002044</v>
      </c>
      <c r="AS323">
        <v>1383.1257593869193</v>
      </c>
      <c r="AT323">
        <v>80.510900697051923</v>
      </c>
      <c r="AU323">
        <v>159.03550500399899</v>
      </c>
      <c r="AV323"/>
      <c r="AW323"/>
      <c r="FY323" s="211">
        <v>318</v>
      </c>
      <c r="FZ323">
        <v>119.53282410141526</v>
      </c>
      <c r="GA323">
        <v>179.46595657004201</v>
      </c>
      <c r="GB323">
        <v>68.088827016675708</v>
      </c>
      <c r="GC323">
        <v>50.60303314253936</v>
      </c>
      <c r="GD323">
        <v>31.095326045047948</v>
      </c>
      <c r="GE323">
        <v>50.221641896586704</v>
      </c>
      <c r="GF323">
        <v>77.865905036927728</v>
      </c>
      <c r="GG323">
        <v>34.012923534206344</v>
      </c>
      <c r="GH323">
        <v>36.639318473741518</v>
      </c>
      <c r="GI323">
        <v>79.288274701624829</v>
      </c>
      <c r="GJ323"/>
      <c r="GK323"/>
      <c r="GL323"/>
      <c r="GM323"/>
    </row>
    <row r="324" spans="1:195" s="7" customFormat="1">
      <c r="A324" s="1"/>
      <c r="B324">
        <v>0.4617979521198341</v>
      </c>
      <c r="C324">
        <v>4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283.77238342045325</v>
      </c>
      <c r="AO324">
        <v>138.38644368067887</v>
      </c>
      <c r="AP324">
        <v>532.74978624475375</v>
      </c>
      <c r="AQ324">
        <v>716.75734937955383</v>
      </c>
      <c r="AR324">
        <v>129.70594787138646</v>
      </c>
      <c r="AS324">
        <v>1418.852969338514</v>
      </c>
      <c r="AT324">
        <v>62.926833469378558</v>
      </c>
      <c r="AU324">
        <v>-11.483354928244985</v>
      </c>
      <c r="AV324"/>
      <c r="AW324"/>
      <c r="FY324" s="211">
        <v>319</v>
      </c>
      <c r="FZ324">
        <v>91.1063439956351</v>
      </c>
      <c r="GA324">
        <v>133.86277909431541</v>
      </c>
      <c r="GB324">
        <v>55.174270002447294</v>
      </c>
      <c r="GC324">
        <v>50.158298086835245</v>
      </c>
      <c r="GD324">
        <v>36.809304298196878</v>
      </c>
      <c r="GE324">
        <v>46.411074704580138</v>
      </c>
      <c r="GF324">
        <v>97.099307982034844</v>
      </c>
      <c r="GG324">
        <v>52.773398539891282</v>
      </c>
      <c r="GH324">
        <v>20.641045428898181</v>
      </c>
      <c r="GI324">
        <v>77.472266438940267</v>
      </c>
      <c r="GJ324"/>
      <c r="GK324"/>
      <c r="GL324"/>
      <c r="GM324"/>
    </row>
    <row r="325" spans="1:195" s="7" customFormat="1">
      <c r="A325" s="1"/>
      <c r="B325">
        <v>0.85841786077802507</v>
      </c>
      <c r="C325">
        <v>9</v>
      </c>
      <c r="D325">
        <v>39987</v>
      </c>
      <c r="E325">
        <v>0</v>
      </c>
      <c r="F325">
        <v>0</v>
      </c>
      <c r="G325">
        <v>0</v>
      </c>
      <c r="H325">
        <v>70.112179487179489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235.19233896094934</v>
      </c>
      <c r="AO325">
        <v>113.78894721690335</v>
      </c>
      <c r="AP325">
        <v>370.93779541068926</v>
      </c>
      <c r="AQ325">
        <v>649.8686763578828</v>
      </c>
      <c r="AR325">
        <v>107.65395729232525</v>
      </c>
      <c r="AS325">
        <v>1130.2874188342034</v>
      </c>
      <c r="AT325">
        <v>51.828313036651515</v>
      </c>
      <c r="AU325">
        <v>109.25951261362471</v>
      </c>
      <c r="AV325"/>
      <c r="AW325"/>
      <c r="FY325" s="211">
        <v>320</v>
      </c>
      <c r="FZ325">
        <v>156.01358374327762</v>
      </c>
      <c r="GA325">
        <v>187.18065036350731</v>
      </c>
      <c r="GB325">
        <v>59.20481229728037</v>
      </c>
      <c r="GC325">
        <v>44.61170526998589</v>
      </c>
      <c r="GD325">
        <v>28.25748092824179</v>
      </c>
      <c r="GE325">
        <v>55.065100665262946</v>
      </c>
      <c r="GF325">
        <v>127.43800159559019</v>
      </c>
      <c r="GG325">
        <v>46.994567831152722</v>
      </c>
      <c r="GH325">
        <v>15.92844949271762</v>
      </c>
      <c r="GI325">
        <v>88.422071106201969</v>
      </c>
      <c r="GJ325"/>
      <c r="GK325"/>
      <c r="GL325"/>
      <c r="GM325"/>
    </row>
    <row r="326" spans="1:195" s="7" customFormat="1">
      <c r="A326" s="1"/>
      <c r="B326">
        <v>0.84638446782824128</v>
      </c>
      <c r="C326">
        <v>1</v>
      </c>
      <c r="D326">
        <v>39987</v>
      </c>
      <c r="E326">
        <v>0</v>
      </c>
      <c r="F326">
        <v>0</v>
      </c>
      <c r="G326">
        <v>77.570921985815602</v>
      </c>
      <c r="H326">
        <v>155.1418439716312</v>
      </c>
      <c r="I326">
        <v>0</v>
      </c>
      <c r="J326">
        <v>77.570921985815602</v>
      </c>
      <c r="K326">
        <v>10.416666666666666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228.6846250900158</v>
      </c>
      <c r="AO326">
        <v>144.20080996752168</v>
      </c>
      <c r="AP326">
        <v>522.66221034621799</v>
      </c>
      <c r="AQ326">
        <v>793.45552781577533</v>
      </c>
      <c r="AR326">
        <v>136.48922184652716</v>
      </c>
      <c r="AS326">
        <v>1321.6922222492226</v>
      </c>
      <c r="AT326">
        <v>65.966299791421164</v>
      </c>
      <c r="AU326">
        <v>289.90537403287266</v>
      </c>
      <c r="AV326"/>
      <c r="AW326"/>
      <c r="FY326" s="211">
        <v>321</v>
      </c>
      <c r="FZ326">
        <v>100.43962021588645</v>
      </c>
      <c r="GA326">
        <v>108.62046635283653</v>
      </c>
      <c r="GB326">
        <v>38.22046253887568</v>
      </c>
      <c r="GC326">
        <v>40.803674818945616</v>
      </c>
      <c r="GD326">
        <v>43.787231400778715</v>
      </c>
      <c r="GE326">
        <v>86.446646662154734</v>
      </c>
      <c r="GF326">
        <v>93.016439271618893</v>
      </c>
      <c r="GG326">
        <v>42.209132156644159</v>
      </c>
      <c r="GH326">
        <v>40.794420140556454</v>
      </c>
      <c r="GI326">
        <v>81.565199772040103</v>
      </c>
      <c r="GJ326"/>
      <c r="GK326"/>
      <c r="GL326"/>
      <c r="GM326"/>
    </row>
    <row r="327" spans="1:195" s="7" customFormat="1">
      <c r="A327" s="1"/>
      <c r="B327">
        <v>0.81342574084319885</v>
      </c>
      <c r="C327">
        <v>2</v>
      </c>
      <c r="D327">
        <v>39987</v>
      </c>
      <c r="E327">
        <v>0</v>
      </c>
      <c r="F327">
        <v>0</v>
      </c>
      <c r="G327">
        <v>0</v>
      </c>
      <c r="H327">
        <v>57.779947916666664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245.75049535566541</v>
      </c>
      <c r="AO327">
        <v>139.69687151569011</v>
      </c>
      <c r="AP327">
        <v>568.71381585150357</v>
      </c>
      <c r="AQ327">
        <v>801.15784425606728</v>
      </c>
      <c r="AR327">
        <v>133.66579428554718</v>
      </c>
      <c r="AS327">
        <v>1286.8247493535675</v>
      </c>
      <c r="AT327">
        <v>69.450926636327495</v>
      </c>
      <c r="AU327">
        <v>22.458366070620706</v>
      </c>
      <c r="AV327"/>
      <c r="AW327"/>
      <c r="FY327" s="211">
        <v>322</v>
      </c>
      <c r="FZ327">
        <v>123.80100572425107</v>
      </c>
      <c r="GA327">
        <v>166.49218615692948</v>
      </c>
      <c r="GB327">
        <v>66.388480169034523</v>
      </c>
      <c r="GC327">
        <v>44.422527783334374</v>
      </c>
      <c r="GD327">
        <v>33.954679799639862</v>
      </c>
      <c r="GE327">
        <v>47.039444674055119</v>
      </c>
      <c r="GF327">
        <v>73.688473386012987</v>
      </c>
      <c r="GG327">
        <v>63.756236484877107</v>
      </c>
      <c r="GH327">
        <v>38.689692625885542</v>
      </c>
      <c r="GI327">
        <v>79.387462814503337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187.56742971498795</v>
      </c>
      <c r="AO328">
        <v>104.57746798798328</v>
      </c>
      <c r="AP328">
        <v>495.54195946798183</v>
      </c>
      <c r="AQ328">
        <v>602.1694411019073</v>
      </c>
      <c r="AR328">
        <v>100.89683982482622</v>
      </c>
      <c r="AS328">
        <v>1030.2698174788893</v>
      </c>
      <c r="AT328">
        <v>57.51654856515762</v>
      </c>
      <c r="AU328">
        <v>80.865714215314</v>
      </c>
      <c r="AV328"/>
      <c r="AW328"/>
      <c r="FY328" s="211">
        <v>323</v>
      </c>
      <c r="FZ328">
        <v>85.425575188060947</v>
      </c>
      <c r="GA328">
        <v>151.55516659916174</v>
      </c>
      <c r="GB328">
        <v>68.019109134561944</v>
      </c>
      <c r="GC328">
        <v>44.062962186681951</v>
      </c>
      <c r="GD328">
        <v>38.250612873960961</v>
      </c>
      <c r="GE328">
        <v>55.985717058926355</v>
      </c>
      <c r="GF328">
        <v>88.485381157074016</v>
      </c>
      <c r="GG328">
        <v>138.47915863859373</v>
      </c>
      <c r="GH328">
        <v>146.63985947716029</v>
      </c>
      <c r="GI328">
        <v>98.874695923263033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269.18550568484682</v>
      </c>
      <c r="AO329">
        <v>138.02023294442279</v>
      </c>
      <c r="AP329">
        <v>605.04627656607681</v>
      </c>
      <c r="AQ329">
        <v>717.65329394361538</v>
      </c>
      <c r="AR329">
        <v>131.97178006823688</v>
      </c>
      <c r="AS329">
        <v>1196.7540137775165</v>
      </c>
      <c r="AT329">
        <v>63.423620308379604</v>
      </c>
      <c r="AU329">
        <v>194.63811037741431</v>
      </c>
      <c r="AV329"/>
      <c r="AW329"/>
      <c r="FY329" s="211">
        <v>324</v>
      </c>
      <c r="FZ329">
        <v>122.19354495417274</v>
      </c>
      <c r="GA329">
        <v>162.32623227832914</v>
      </c>
      <c r="GB329">
        <v>61.612663426802662</v>
      </c>
      <c r="GC329">
        <v>43.843667489075742</v>
      </c>
      <c r="GD329">
        <v>34.715926608635954</v>
      </c>
      <c r="GE329">
        <v>63.112401122236179</v>
      </c>
      <c r="GF329">
        <v>88.87004678159856</v>
      </c>
      <c r="GG329">
        <v>70.309395684563285</v>
      </c>
      <c r="GH329">
        <v>67.382037422462261</v>
      </c>
      <c r="GI329">
        <v>87.724358014230205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245.05949149728548</v>
      </c>
      <c r="AO330">
        <v>162.64040569028342</v>
      </c>
      <c r="AP330">
        <v>726.95864455687627</v>
      </c>
      <c r="AQ330">
        <v>954.21387039385888</v>
      </c>
      <c r="AR330">
        <v>153.65434030140477</v>
      </c>
      <c r="AS330">
        <v>1476.9822185901598</v>
      </c>
      <c r="AT330">
        <v>83.42570742772763</v>
      </c>
      <c r="AU330">
        <v>46.202554933226359</v>
      </c>
      <c r="AV330"/>
      <c r="AW330"/>
      <c r="FY330" s="211">
        <v>325</v>
      </c>
      <c r="FZ330">
        <v>115.17472590683273</v>
      </c>
      <c r="GA330">
        <v>108.41265932463796</v>
      </c>
      <c r="GB330">
        <v>39.045352677645155</v>
      </c>
      <c r="GC330">
        <v>43.547593538309798</v>
      </c>
      <c r="GD330">
        <v>45.240531395884517</v>
      </c>
      <c r="GE330">
        <v>62.780259858013849</v>
      </c>
      <c r="GF330">
        <v>77.653296974525063</v>
      </c>
      <c r="GG330">
        <v>70.753483560858314</v>
      </c>
      <c r="GH330">
        <v>44.735393884797908</v>
      </c>
      <c r="GI330">
        <v>81.069811689141943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316.77182946310973</v>
      </c>
      <c r="AO331">
        <v>161.18729441895439</v>
      </c>
      <c r="AP331">
        <v>777.14863775202389</v>
      </c>
      <c r="AQ331">
        <v>829.7257093049576</v>
      </c>
      <c r="AR331">
        <v>150.59109430255836</v>
      </c>
      <c r="AS331">
        <v>1628.8140058373638</v>
      </c>
      <c r="AT331">
        <v>74.387429908819243</v>
      </c>
      <c r="AU331">
        <v>-10.008273617866312</v>
      </c>
      <c r="AV331"/>
      <c r="AW331"/>
      <c r="FY331" s="211">
        <v>326</v>
      </c>
      <c r="FZ331">
        <v>129.49931076619751</v>
      </c>
      <c r="GA331">
        <v>176.22632125413412</v>
      </c>
      <c r="GB331">
        <v>49.139884062449212</v>
      </c>
      <c r="GC331">
        <v>38.407111408370078</v>
      </c>
      <c r="GD331">
        <v>46.191468982655827</v>
      </c>
      <c r="GE331">
        <v>88.95765706012233</v>
      </c>
      <c r="GF331">
        <v>111.12836903574886</v>
      </c>
      <c r="GG331">
        <v>69.218898129016594</v>
      </c>
      <c r="GH331">
        <v>46.090396562732309</v>
      </c>
      <c r="GI331">
        <v>94.383636925830729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208.71648616276639</v>
      </c>
      <c r="AO332">
        <v>115.06850282197581</v>
      </c>
      <c r="AP332">
        <v>515.69662598920058</v>
      </c>
      <c r="AQ332">
        <v>642.09250658856911</v>
      </c>
      <c r="AR332">
        <v>109.73646029732247</v>
      </c>
      <c r="AS332">
        <v>1055.3685650207856</v>
      </c>
      <c r="AT332">
        <v>53.851813768574821</v>
      </c>
      <c r="AU332">
        <v>-90.240894309200854</v>
      </c>
      <c r="AV332"/>
      <c r="AW332"/>
      <c r="FY332" s="211">
        <v>327</v>
      </c>
      <c r="FZ332">
        <v>133.50787365372858</v>
      </c>
      <c r="GA332">
        <v>149.13654138536384</v>
      </c>
      <c r="GB332">
        <v>46.419355975784129</v>
      </c>
      <c r="GC332">
        <v>38.015284076338709</v>
      </c>
      <c r="GD332">
        <v>44.404954613028707</v>
      </c>
      <c r="GE332">
        <v>106.77200164158053</v>
      </c>
      <c r="GF332">
        <v>150.24750711071951</v>
      </c>
      <c r="GG332">
        <v>116.57454550791836</v>
      </c>
      <c r="GH332">
        <v>113.22404131870933</v>
      </c>
      <c r="GI332">
        <v>113.16965403431443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223.04548197388348</v>
      </c>
      <c r="AO333">
        <v>137.08550145221756</v>
      </c>
      <c r="AP333">
        <v>534.37838535493859</v>
      </c>
      <c r="AQ333">
        <v>753.7884618831398</v>
      </c>
      <c r="AR333">
        <v>128.47803065282133</v>
      </c>
      <c r="AS333">
        <v>1287.7030805242571</v>
      </c>
      <c r="AT333">
        <v>68.51224343216559</v>
      </c>
      <c r="AU333">
        <v>98.365697208323823</v>
      </c>
      <c r="AV333"/>
      <c r="AW333"/>
      <c r="FY333" s="211">
        <v>328</v>
      </c>
      <c r="FZ333">
        <v>87.593828091824761</v>
      </c>
      <c r="GA333">
        <v>124.96729935863316</v>
      </c>
      <c r="GB333">
        <v>55.697020148436337</v>
      </c>
      <c r="GC333">
        <v>47.654952470419246</v>
      </c>
      <c r="GD333">
        <v>46.59442614248924</v>
      </c>
      <c r="GE333">
        <v>83.529837651605149</v>
      </c>
      <c r="GF333">
        <v>122.1736979637477</v>
      </c>
      <c r="GG333">
        <v>98.415576360616797</v>
      </c>
      <c r="GH333">
        <v>70.855481669639218</v>
      </c>
      <c r="GI333">
        <v>97.142559696872027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209.6825789434034</v>
      </c>
      <c r="AO334">
        <v>127.57662892812341</v>
      </c>
      <c r="AP334">
        <v>399.42520676851819</v>
      </c>
      <c r="AQ334">
        <v>726.81403051880739</v>
      </c>
      <c r="AR334">
        <v>119.64345633526507</v>
      </c>
      <c r="AS334">
        <v>1150.8831231387885</v>
      </c>
      <c r="AT334">
        <v>58.682628374816012</v>
      </c>
      <c r="AU334">
        <v>54.121626011466539</v>
      </c>
      <c r="AV334"/>
      <c r="AW334"/>
      <c r="FY334" s="211">
        <v>329</v>
      </c>
      <c r="FZ334">
        <v>144.83333627019778</v>
      </c>
      <c r="GA334">
        <v>193.00165652318967</v>
      </c>
      <c r="GB334">
        <v>62.297105113798445</v>
      </c>
      <c r="GC334">
        <v>47.648814412770015</v>
      </c>
      <c r="GD334">
        <v>30.070766559642543</v>
      </c>
      <c r="GE334">
        <v>59.751017558339321</v>
      </c>
      <c r="GF334">
        <v>108.32918301815529</v>
      </c>
      <c r="GG334">
        <v>88.53639978638229</v>
      </c>
      <c r="GH334">
        <v>101.46004961223666</v>
      </c>
      <c r="GI334">
        <v>98.219345063382065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238.77923460071821</v>
      </c>
      <c r="AO335">
        <v>122.54438522736181</v>
      </c>
      <c r="AP335">
        <v>489.41069466641443</v>
      </c>
      <c r="AQ335">
        <v>661.50808857177481</v>
      </c>
      <c r="AR335">
        <v>116.11598235701216</v>
      </c>
      <c r="AS335">
        <v>1124.1108920809463</v>
      </c>
      <c r="AT335">
        <v>55.419825805238382</v>
      </c>
      <c r="AU335">
        <v>116.76003893459358</v>
      </c>
      <c r="AV335"/>
      <c r="AW335"/>
      <c r="FY335" s="211">
        <v>330</v>
      </c>
      <c r="FZ335">
        <v>106.36569631170907</v>
      </c>
      <c r="GA335">
        <v>131.54252574991196</v>
      </c>
      <c r="GB335">
        <v>42.150217598037969</v>
      </c>
      <c r="GC335">
        <v>42.862165610244553</v>
      </c>
      <c r="GD335">
        <v>51.705343667620774</v>
      </c>
      <c r="GE335">
        <v>97.780713798360324</v>
      </c>
      <c r="GF335">
        <v>102.73870183155584</v>
      </c>
      <c r="GG335">
        <v>105.46639397492511</v>
      </c>
      <c r="GH335">
        <v>108.11515050317718</v>
      </c>
      <c r="GI335">
        <v>101.61346784794613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190.13834860911911</v>
      </c>
      <c r="AO336">
        <v>138.70075799893385</v>
      </c>
      <c r="AP336">
        <v>542.01121097816861</v>
      </c>
      <c r="AQ336">
        <v>809.11642329321842</v>
      </c>
      <c r="AR336">
        <v>133.74155112312255</v>
      </c>
      <c r="AS336">
        <v>1198.5706554334945</v>
      </c>
      <c r="AT336">
        <v>73.842121396871519</v>
      </c>
      <c r="AU336">
        <v>80.547217458617723</v>
      </c>
      <c r="AV336"/>
      <c r="AW336"/>
      <c r="FY336" s="211">
        <v>331</v>
      </c>
      <c r="FZ336">
        <v>98.383915737514087</v>
      </c>
      <c r="GA336">
        <v>124.10253008075145</v>
      </c>
      <c r="GB336">
        <v>46.01063096826163</v>
      </c>
      <c r="GC336">
        <v>47.545155572155934</v>
      </c>
      <c r="GD336">
        <v>40.856153257492622</v>
      </c>
      <c r="GE336">
        <v>52.442365626846623</v>
      </c>
      <c r="GF336">
        <v>48.135642694677365</v>
      </c>
      <c r="GG336">
        <v>46.30482557836168</v>
      </c>
      <c r="GH336">
        <v>70.519103347692251</v>
      </c>
      <c r="GI336">
        <v>75.590077210436121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237.64803105148744</v>
      </c>
      <c r="AO337">
        <v>130.3029700174817</v>
      </c>
      <c r="AP337">
        <v>531.48165308372677</v>
      </c>
      <c r="AQ337">
        <v>675.90329333033719</v>
      </c>
      <c r="AR337">
        <v>122.8241567126336</v>
      </c>
      <c r="AS337">
        <v>1211.5088304115909</v>
      </c>
      <c r="AT337">
        <v>60.298902196838242</v>
      </c>
      <c r="AU337">
        <v>234.99851501215272</v>
      </c>
      <c r="AV337"/>
      <c r="AW337"/>
      <c r="FY337" s="211">
        <v>332</v>
      </c>
      <c r="FZ337">
        <v>139.14537264240468</v>
      </c>
      <c r="GA337">
        <v>126.89452995092599</v>
      </c>
      <c r="GB337">
        <v>37.750029993989514</v>
      </c>
      <c r="GC337">
        <v>43.382428939861136</v>
      </c>
      <c r="GD337">
        <v>42.771278638598304</v>
      </c>
      <c r="GE337">
        <v>67.206864462480723</v>
      </c>
      <c r="GF337">
        <v>108.72496970070812</v>
      </c>
      <c r="GG337">
        <v>93.665994404470723</v>
      </c>
      <c r="GH337">
        <v>77.25912318425388</v>
      </c>
      <c r="GI337">
        <v>94.25790582059058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294.94817573085203</v>
      </c>
      <c r="AO338">
        <v>125.41104271341317</v>
      </c>
      <c r="AP338">
        <v>434.91347016856525</v>
      </c>
      <c r="AQ338">
        <v>737.62018961852345</v>
      </c>
      <c r="AR338">
        <v>118.42291046221105</v>
      </c>
      <c r="AS338">
        <v>1224.6749090047381</v>
      </c>
      <c r="AT338">
        <v>59.939953052256755</v>
      </c>
      <c r="AU338">
        <v>209.12805110157734</v>
      </c>
      <c r="AV338"/>
      <c r="AW338"/>
      <c r="FY338" s="211">
        <v>333</v>
      </c>
      <c r="FZ338">
        <v>116.30764941348397</v>
      </c>
      <c r="GA338">
        <v>170.73544311717089</v>
      </c>
      <c r="GB338">
        <v>59.346502212383641</v>
      </c>
      <c r="GC338">
        <v>47.000764946067903</v>
      </c>
      <c r="GD338">
        <v>34.089218506419158</v>
      </c>
      <c r="GE338">
        <v>44.890957997077308</v>
      </c>
      <c r="GF338">
        <v>71.897740738220236</v>
      </c>
      <c r="GG338">
        <v>89.686647060365928</v>
      </c>
      <c r="GH338">
        <v>108.40897254840527</v>
      </c>
      <c r="GI338">
        <v>89.470250037143657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309.80202233408062</v>
      </c>
      <c r="AO339">
        <v>159.46769001122252</v>
      </c>
      <c r="AP339">
        <v>641.13201556850754</v>
      </c>
      <c r="AQ339">
        <v>915.77823823744495</v>
      </c>
      <c r="AR339">
        <v>149.33081768534842</v>
      </c>
      <c r="AS339">
        <v>1534.4563153891538</v>
      </c>
      <c r="AT339">
        <v>77.925041654206765</v>
      </c>
      <c r="AU339">
        <v>34.983803758360573</v>
      </c>
      <c r="AV339"/>
      <c r="AW339"/>
      <c r="FY339" s="211">
        <v>334</v>
      </c>
      <c r="FZ339">
        <v>118.22389523703649</v>
      </c>
      <c r="GA339">
        <v>156.57983605085735</v>
      </c>
      <c r="GB339">
        <v>51.923995988321799</v>
      </c>
      <c r="GC339">
        <v>47.692186972575072</v>
      </c>
      <c r="GD339">
        <v>43.921713907133984</v>
      </c>
      <c r="GE339">
        <v>57.736262613451224</v>
      </c>
      <c r="GF339">
        <v>89.146975923993523</v>
      </c>
      <c r="GG339">
        <v>86.313753346816313</v>
      </c>
      <c r="GH339">
        <v>61.485985270392277</v>
      </c>
      <c r="GI339">
        <v>89.594678682506199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260.25391984648127</v>
      </c>
      <c r="AO340">
        <v>139.70521532659646</v>
      </c>
      <c r="AP340">
        <v>486.93012496803055</v>
      </c>
      <c r="AQ340">
        <v>802.09027378210681</v>
      </c>
      <c r="AR340">
        <v>131.76205561470474</v>
      </c>
      <c r="AS340">
        <v>1408.5598459338364</v>
      </c>
      <c r="AT340">
        <v>66.686170815631201</v>
      </c>
      <c r="AU340">
        <v>107.12528258312361</v>
      </c>
      <c r="AV340"/>
      <c r="AW340"/>
      <c r="FY340" s="211">
        <v>335</v>
      </c>
      <c r="FZ340">
        <v>97.665948357838772</v>
      </c>
      <c r="GA340">
        <v>142.60036642050201</v>
      </c>
      <c r="GB340">
        <v>54.757707277046705</v>
      </c>
      <c r="GC340">
        <v>54.932250971879618</v>
      </c>
      <c r="GD340">
        <v>51.640058866220876</v>
      </c>
      <c r="GE340">
        <v>69.882439466553194</v>
      </c>
      <c r="GF340">
        <v>88.550363129052755</v>
      </c>
      <c r="GG340">
        <v>67.761837212855482</v>
      </c>
      <c r="GH340">
        <v>51.6240047404183</v>
      </c>
      <c r="GI340">
        <v>91.081705680048586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255.32011060288499</v>
      </c>
      <c r="AO341">
        <v>127.09239442954916</v>
      </c>
      <c r="AP341">
        <v>566.49506369956543</v>
      </c>
      <c r="AQ341">
        <v>688.41310881064715</v>
      </c>
      <c r="AR341">
        <v>121.44751634694475</v>
      </c>
      <c r="AS341">
        <v>1242.1301526730713</v>
      </c>
      <c r="AT341">
        <v>59.744654087269879</v>
      </c>
      <c r="AU341">
        <v>302.82468310580936</v>
      </c>
      <c r="AV341"/>
      <c r="AW341"/>
      <c r="FY341" s="211">
        <v>336</v>
      </c>
      <c r="FZ341">
        <v>120.40073632046693</v>
      </c>
      <c r="GA341">
        <v>187.61563518254044</v>
      </c>
      <c r="GB341">
        <v>62.105866572440505</v>
      </c>
      <c r="GC341">
        <v>39.161714126831271</v>
      </c>
      <c r="GD341">
        <v>33.116169687891102</v>
      </c>
      <c r="GE341">
        <v>71.509366667048184</v>
      </c>
      <c r="GF341">
        <v>143.4771872838115</v>
      </c>
      <c r="GG341">
        <v>94.527011868505056</v>
      </c>
      <c r="GH341">
        <v>48.937188590919348</v>
      </c>
      <c r="GI341">
        <v>97.077937964926605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279.2936786121636</v>
      </c>
      <c r="AO342">
        <v>151.25361170531934</v>
      </c>
      <c r="AP342">
        <v>633.67414440167852</v>
      </c>
      <c r="AQ342">
        <v>849.24305418725748</v>
      </c>
      <c r="AR342">
        <v>141.90003667381202</v>
      </c>
      <c r="AS342">
        <v>1410.1021320741231</v>
      </c>
      <c r="AT342">
        <v>69.450357600066425</v>
      </c>
      <c r="AU342">
        <v>183.50367367748953</v>
      </c>
      <c r="AV342"/>
      <c r="AW342"/>
      <c r="FY342" s="211">
        <v>337</v>
      </c>
      <c r="FZ342">
        <v>90.230349276122297</v>
      </c>
      <c r="GA342">
        <v>122.24989494598071</v>
      </c>
      <c r="GB342">
        <v>38.082721949390987</v>
      </c>
      <c r="GC342">
        <v>27.066125679273174</v>
      </c>
      <c r="GD342">
        <v>55.096548477023092</v>
      </c>
      <c r="GE342">
        <v>97.636396211723422</v>
      </c>
      <c r="GF342">
        <v>33.963671733934135</v>
      </c>
      <c r="GG342">
        <v>16.115672159380651</v>
      </c>
      <c r="GH342">
        <v>19.801240786662163</v>
      </c>
      <c r="GI342">
        <v>69.543794404801247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301.49944976291795</v>
      </c>
      <c r="AO343">
        <v>182.02763819415131</v>
      </c>
      <c r="AP343">
        <v>701.1290813702808</v>
      </c>
      <c r="AQ343">
        <v>1011.4717593174863</v>
      </c>
      <c r="AR343">
        <v>172.09737530435146</v>
      </c>
      <c r="AS343">
        <v>1569.1591081207009</v>
      </c>
      <c r="AT343">
        <v>86.213368072110498</v>
      </c>
      <c r="AU343">
        <v>175.91756034846813</v>
      </c>
      <c r="AV343"/>
      <c r="AW343"/>
      <c r="FY343" s="211">
        <v>338</v>
      </c>
      <c r="FZ343">
        <v>131.00707296150401</v>
      </c>
      <c r="GA343">
        <v>176.00934232633998</v>
      </c>
      <c r="GB343">
        <v>43.958532689659741</v>
      </c>
      <c r="GC343">
        <v>45.263469984813341</v>
      </c>
      <c r="GD343">
        <v>56.579879219225745</v>
      </c>
      <c r="GE343">
        <v>101.98187380356356</v>
      </c>
      <c r="GF343">
        <v>118.28462980320766</v>
      </c>
      <c r="GG343">
        <v>66.444655794546946</v>
      </c>
      <c r="GH343">
        <v>55.917401159720292</v>
      </c>
      <c r="GI343">
        <v>103.38498434198085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284.05054167835726</v>
      </c>
      <c r="AO344">
        <v>156.73953299786294</v>
      </c>
      <c r="AP344">
        <v>665.34916246233149</v>
      </c>
      <c r="AQ344">
        <v>834.62467955428349</v>
      </c>
      <c r="AR344">
        <v>146.15179586650311</v>
      </c>
      <c r="AS344">
        <v>1428.3019123672693</v>
      </c>
      <c r="AT344">
        <v>71.406663815901624</v>
      </c>
      <c r="AU344">
        <v>204.22163089828601</v>
      </c>
      <c r="AV344"/>
      <c r="AW344"/>
      <c r="FY344" s="211">
        <v>339</v>
      </c>
      <c r="FZ344">
        <v>103.86222281554338</v>
      </c>
      <c r="GA344">
        <v>140.34917660957512</v>
      </c>
      <c r="GB344">
        <v>51.867303931303667</v>
      </c>
      <c r="GC344">
        <v>48.15284567311614</v>
      </c>
      <c r="GD344">
        <v>52.420752436992316</v>
      </c>
      <c r="GE344">
        <v>90.146146023923308</v>
      </c>
      <c r="GF344">
        <v>104.59476474430242</v>
      </c>
      <c r="GG344">
        <v>61.982571426462314</v>
      </c>
      <c r="GH344">
        <v>32.329105482676454</v>
      </c>
      <c r="GI344">
        <v>90.895363106332312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238.95010757682775</v>
      </c>
      <c r="AO345">
        <v>159.41061178251613</v>
      </c>
      <c r="AP345">
        <v>649.64432234498634</v>
      </c>
      <c r="AQ345">
        <v>934.14767391809403</v>
      </c>
      <c r="AR345">
        <v>150.17423795649617</v>
      </c>
      <c r="AS345">
        <v>1494.1491896640237</v>
      </c>
      <c r="AT345">
        <v>80.791251245811168</v>
      </c>
      <c r="AU345">
        <v>152.07102056571557</v>
      </c>
      <c r="AV345"/>
      <c r="AW345"/>
      <c r="FY345" s="211">
        <v>340</v>
      </c>
      <c r="FZ345">
        <v>101.30500554712914</v>
      </c>
      <c r="GA345">
        <v>162.46998661647717</v>
      </c>
      <c r="GB345">
        <v>69.791811365093238</v>
      </c>
      <c r="GC345">
        <v>47.177255782988361</v>
      </c>
      <c r="GD345">
        <v>43.441295797362258</v>
      </c>
      <c r="GE345">
        <v>73.266313844861941</v>
      </c>
      <c r="GF345">
        <v>103.36946008762834</v>
      </c>
      <c r="GG345">
        <v>91.684287878177599</v>
      </c>
      <c r="GH345">
        <v>71.446031107453749</v>
      </c>
      <c r="GI345">
        <v>96.578270929768138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281.13967828343755</v>
      </c>
      <c r="AO346">
        <v>165.83740308802902</v>
      </c>
      <c r="AP346">
        <v>806.41472847233422</v>
      </c>
      <c r="AQ346">
        <v>890.34037689348906</v>
      </c>
      <c r="AR346">
        <v>154.06221334626383</v>
      </c>
      <c r="AS346">
        <v>1613.9016926600982</v>
      </c>
      <c r="AT346">
        <v>80.378471951787319</v>
      </c>
      <c r="AU346">
        <v>199.33501526757806</v>
      </c>
      <c r="AV346"/>
      <c r="AW346"/>
      <c r="FY346" s="211">
        <v>341</v>
      </c>
      <c r="FZ346">
        <v>92.983195354180637</v>
      </c>
      <c r="GA346">
        <v>143.06089661247455</v>
      </c>
      <c r="GB346">
        <v>58.025087714103776</v>
      </c>
      <c r="GC346">
        <v>39.969704758685765</v>
      </c>
      <c r="GD346">
        <v>31.324848957897508</v>
      </c>
      <c r="GE346">
        <v>39.25536135366314</v>
      </c>
      <c r="GF346">
        <v>59.898879187005242</v>
      </c>
      <c r="GG346">
        <v>67.083485337140047</v>
      </c>
      <c r="GH346">
        <v>55.013621793074734</v>
      </c>
      <c r="GI346">
        <v>71.456976226246979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211.31544042553159</v>
      </c>
      <c r="AO347">
        <v>119.04795926224574</v>
      </c>
      <c r="AP347">
        <v>470.33734778289966</v>
      </c>
      <c r="AQ347">
        <v>649.89040007418964</v>
      </c>
      <c r="AR347">
        <v>113.09242635206768</v>
      </c>
      <c r="AS347">
        <v>1264.0260452486721</v>
      </c>
      <c r="AT347">
        <v>62.415863615314834</v>
      </c>
      <c r="AU347">
        <v>63.537594338188249</v>
      </c>
      <c r="AV347"/>
      <c r="AW347"/>
      <c r="FY347" s="211">
        <v>342</v>
      </c>
      <c r="FZ347">
        <v>124.63390546235631</v>
      </c>
      <c r="GA347">
        <v>175.43304017471164</v>
      </c>
      <c r="GB347">
        <v>65.636329262063001</v>
      </c>
      <c r="GC347">
        <v>34.198092911038458</v>
      </c>
      <c r="GD347">
        <v>31.955584110347921</v>
      </c>
      <c r="GE347">
        <v>50.674344856693395</v>
      </c>
      <c r="GF347">
        <v>59.962571598785061</v>
      </c>
      <c r="GG347">
        <v>41.949374665383452</v>
      </c>
      <c r="GH347">
        <v>39.536993308279413</v>
      </c>
      <c r="GI347">
        <v>75.64427459693141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287.21306152772826</v>
      </c>
      <c r="AO348">
        <v>145.30952002559064</v>
      </c>
      <c r="AP348">
        <v>489.63453698588251</v>
      </c>
      <c r="AQ348">
        <v>831.05849773828368</v>
      </c>
      <c r="AR348">
        <v>140.54908159505999</v>
      </c>
      <c r="AS348">
        <v>1399.7154176526797</v>
      </c>
      <c r="AT348">
        <v>69.778639567344442</v>
      </c>
      <c r="AU348">
        <v>130.34302846051651</v>
      </c>
      <c r="AV348"/>
      <c r="AW348"/>
      <c r="FY348" s="211">
        <v>343</v>
      </c>
      <c r="FZ348">
        <v>75.755074859424965</v>
      </c>
      <c r="GA348">
        <v>91.658514742877728</v>
      </c>
      <c r="GB348">
        <v>54.778588473554244</v>
      </c>
      <c r="GC348">
        <v>43.014688601119964</v>
      </c>
      <c r="GD348">
        <v>38.311563785973405</v>
      </c>
      <c r="GE348">
        <v>52.567708428135454</v>
      </c>
      <c r="GF348">
        <v>51.160442841686468</v>
      </c>
      <c r="GG348">
        <v>49.303607158870527</v>
      </c>
      <c r="GH348">
        <v>44.917352272472719</v>
      </c>
      <c r="GI348">
        <v>69.064275469033845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230.52581473822585</v>
      </c>
      <c r="AO349">
        <v>145.40039778262096</v>
      </c>
      <c r="AP349">
        <v>663.77861668635899</v>
      </c>
      <c r="AQ349">
        <v>831.83414657673779</v>
      </c>
      <c r="AR349">
        <v>136.82089212935733</v>
      </c>
      <c r="AS349">
        <v>1424.8404703123363</v>
      </c>
      <c r="AT349">
        <v>73.59400971598042</v>
      </c>
      <c r="AU349">
        <v>130.76696523024307</v>
      </c>
      <c r="AV349"/>
      <c r="AW349"/>
      <c r="FY349" s="211">
        <v>344</v>
      </c>
      <c r="FZ349">
        <v>125.61144281245407</v>
      </c>
      <c r="GA349">
        <v>156.92179536472901</v>
      </c>
      <c r="GB349">
        <v>52.404786021568015</v>
      </c>
      <c r="GC349">
        <v>44.343113508590271</v>
      </c>
      <c r="GD349">
        <v>27.31111277400008</v>
      </c>
      <c r="GE349">
        <v>58.556073210668828</v>
      </c>
      <c r="GF349">
        <v>111.74995554466317</v>
      </c>
      <c r="GG349">
        <v>50.829698498688366</v>
      </c>
      <c r="GH349">
        <v>42.960205729498732</v>
      </c>
      <c r="GI349">
        <v>82.661183059244266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276.86471793017756</v>
      </c>
      <c r="AO350">
        <v>143.5971660701457</v>
      </c>
      <c r="AP350">
        <v>610.91065261044423</v>
      </c>
      <c r="AQ350">
        <v>802.6192839930842</v>
      </c>
      <c r="AR350">
        <v>134.8796418632042</v>
      </c>
      <c r="AS350">
        <v>1451.4921788985619</v>
      </c>
      <c r="AT350">
        <v>65.4348659738951</v>
      </c>
      <c r="AU350">
        <v>197.12547552677549</v>
      </c>
      <c r="AV350"/>
      <c r="AW350"/>
      <c r="FY350" s="211">
        <v>345</v>
      </c>
      <c r="FZ350">
        <v>95.3248751782819</v>
      </c>
      <c r="GA350">
        <v>129.07529694682952</v>
      </c>
      <c r="GB350">
        <v>66.767560014294546</v>
      </c>
      <c r="GC350">
        <v>53.145773808027997</v>
      </c>
      <c r="GD350">
        <v>38.340463427991999</v>
      </c>
      <c r="GE350">
        <v>77.276718557510804</v>
      </c>
      <c r="GF350">
        <v>123.04951611024232</v>
      </c>
      <c r="GG350">
        <v>57.872946809040691</v>
      </c>
      <c r="GH350">
        <v>41.522106019444372</v>
      </c>
      <c r="GI350">
        <v>91.435616072418739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272.56152898439927</v>
      </c>
      <c r="AO351">
        <v>145.92019028210476</v>
      </c>
      <c r="AP351">
        <v>668.50160623080114</v>
      </c>
      <c r="AQ351">
        <v>770.49668212241636</v>
      </c>
      <c r="AR351">
        <v>136.75799651828169</v>
      </c>
      <c r="AS351">
        <v>1382.9835070750073</v>
      </c>
      <c r="AT351">
        <v>68.932251024969574</v>
      </c>
      <c r="AU351">
        <v>276.44375893647168</v>
      </c>
      <c r="AV351"/>
      <c r="AW351"/>
      <c r="FY351" s="211">
        <v>346</v>
      </c>
      <c r="FZ351">
        <v>112.87112160847678</v>
      </c>
      <c r="GA351">
        <v>158.35982840118675</v>
      </c>
      <c r="GB351">
        <v>54.805134760999664</v>
      </c>
      <c r="GC351">
        <v>31.129942852608224</v>
      </c>
      <c r="GD351">
        <v>24.195074252607423</v>
      </c>
      <c r="GE351">
        <v>44.891586223009526</v>
      </c>
      <c r="GF351">
        <v>82.288245012684357</v>
      </c>
      <c r="GG351">
        <v>68.603793377773997</v>
      </c>
      <c r="GH351">
        <v>68.018871149544538</v>
      </c>
      <c r="GI351">
        <v>76.493116997518086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255.04131423762027</v>
      </c>
      <c r="AO352">
        <v>159.74380105505352</v>
      </c>
      <c r="AP352">
        <v>667.7639668710915</v>
      </c>
      <c r="AQ352">
        <v>897.92881426538099</v>
      </c>
      <c r="AR352">
        <v>148.63124186882453</v>
      </c>
      <c r="AS352">
        <v>1413.8180042835372</v>
      </c>
      <c r="AT352">
        <v>70.056862232964534</v>
      </c>
      <c r="AU352">
        <v>316.05020952351805</v>
      </c>
      <c r="AV352"/>
      <c r="AW352"/>
      <c r="FY352" s="211">
        <v>347</v>
      </c>
      <c r="FZ352">
        <v>122.20940116947665</v>
      </c>
      <c r="GA352">
        <v>161.65347339983876</v>
      </c>
      <c r="GB352">
        <v>44.76071259990259</v>
      </c>
      <c r="GC352">
        <v>32.537410501065736</v>
      </c>
      <c r="GD352">
        <v>40.537739359065974</v>
      </c>
      <c r="GE352">
        <v>69.99112070238661</v>
      </c>
      <c r="GF352">
        <v>75.118812025021782</v>
      </c>
      <c r="GG352">
        <v>75.250718382964664</v>
      </c>
      <c r="GH352">
        <v>64.128858587899373</v>
      </c>
      <c r="GI352">
        <v>82.879546634626919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298.05273472054813</v>
      </c>
      <c r="AO353">
        <v>108.52713135051079</v>
      </c>
      <c r="AP353">
        <v>324.98305373319999</v>
      </c>
      <c r="AQ353">
        <v>569.78641562429186</v>
      </c>
      <c r="AR353">
        <v>102.04803956928666</v>
      </c>
      <c r="AS353">
        <v>1292.8589512467806</v>
      </c>
      <c r="AT353">
        <v>43.984258006205089</v>
      </c>
      <c r="AU353">
        <v>-55.320266796506893</v>
      </c>
      <c r="AV353"/>
      <c r="AW353"/>
      <c r="FY353" s="211">
        <v>348</v>
      </c>
      <c r="FZ353">
        <v>135.52666351940167</v>
      </c>
      <c r="GA353">
        <v>128.09692788625546</v>
      </c>
      <c r="GB353">
        <v>48.445366723242358</v>
      </c>
      <c r="GC353">
        <v>56.034752546033026</v>
      </c>
      <c r="GD353">
        <v>42.398209727585218</v>
      </c>
      <c r="GE353">
        <v>71.132624728569894</v>
      </c>
      <c r="GF353">
        <v>108.53767937501249</v>
      </c>
      <c r="GG353">
        <v>87.325286042402695</v>
      </c>
      <c r="GH353">
        <v>85.079237558108701</v>
      </c>
      <c r="GI353">
        <v>97.81222768366392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279.26825426568007</v>
      </c>
      <c r="AO354">
        <v>165.0217991920351</v>
      </c>
      <c r="AP354">
        <v>720.84603898139949</v>
      </c>
      <c r="AQ354">
        <v>898.83184208456214</v>
      </c>
      <c r="AR354">
        <v>155.40812277004076</v>
      </c>
      <c r="AS354">
        <v>1424.014943988298</v>
      </c>
      <c r="AT354">
        <v>76.352236594968318</v>
      </c>
      <c r="AU354">
        <v>160.88441774606383</v>
      </c>
      <c r="AV354"/>
      <c r="AW354"/>
      <c r="FY354" s="211">
        <v>349</v>
      </c>
      <c r="FZ354">
        <v>83.968121172197556</v>
      </c>
      <c r="GA354">
        <v>130.33835506614423</v>
      </c>
      <c r="GB354">
        <v>55.756414229922648</v>
      </c>
      <c r="GC354">
        <v>48.026868011135228</v>
      </c>
      <c r="GD354">
        <v>43.08446976995473</v>
      </c>
      <c r="GE354">
        <v>73.522050266704625</v>
      </c>
      <c r="GF354">
        <v>101.76671182701926</v>
      </c>
      <c r="GG354">
        <v>71.575181763081062</v>
      </c>
      <c r="GH354">
        <v>69.77148053448694</v>
      </c>
      <c r="GI354">
        <v>88.885091256280077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278.99636690186571</v>
      </c>
      <c r="AO355">
        <v>144.54802549908223</v>
      </c>
      <c r="AP355">
        <v>646.64688672235866</v>
      </c>
      <c r="AQ355">
        <v>776.60025225022741</v>
      </c>
      <c r="AR355">
        <v>134.63572557627603</v>
      </c>
      <c r="AS355">
        <v>1380.8534207935079</v>
      </c>
      <c r="AT355">
        <v>70.376406213770906</v>
      </c>
      <c r="AU355">
        <v>157.03783666347522</v>
      </c>
      <c r="AV355"/>
      <c r="AW355"/>
      <c r="FY355" s="211">
        <v>350</v>
      </c>
      <c r="FZ355">
        <v>115.90160691617984</v>
      </c>
      <c r="GA355">
        <v>125.76526279224335</v>
      </c>
      <c r="GB355">
        <v>50.977656835079806</v>
      </c>
      <c r="GC355">
        <v>36.869759882317034</v>
      </c>
      <c r="GD355">
        <v>39.158260907410323</v>
      </c>
      <c r="GE355">
        <v>94.449536571099145</v>
      </c>
      <c r="GF355">
        <v>132.64349612340044</v>
      </c>
      <c r="GG355">
        <v>86.380878136878636</v>
      </c>
      <c r="GH355">
        <v>69.157277860681248</v>
      </c>
      <c r="GI355">
        <v>97.66362043126712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294.50065771175753</v>
      </c>
      <c r="AO356">
        <v>153.94290376437439</v>
      </c>
      <c r="AP356">
        <v>690.3035456422009</v>
      </c>
      <c r="AQ356">
        <v>860.52971895693997</v>
      </c>
      <c r="AR356">
        <v>144.62264660668637</v>
      </c>
      <c r="AS356">
        <v>1368.4832462679401</v>
      </c>
      <c r="AT356">
        <v>72.141759848869299</v>
      </c>
      <c r="AU356">
        <v>85.108079469946802</v>
      </c>
      <c r="AV356"/>
      <c r="AW356"/>
      <c r="FY356" s="211">
        <v>351</v>
      </c>
      <c r="FZ356">
        <v>152.20966778590599</v>
      </c>
      <c r="GA356">
        <v>159.70438350116331</v>
      </c>
      <c r="GB356">
        <v>59.496129308691017</v>
      </c>
      <c r="GC356">
        <v>50.196233028981744</v>
      </c>
      <c r="GD356">
        <v>50.691442067468465</v>
      </c>
      <c r="GE356">
        <v>86.264611704780819</v>
      </c>
      <c r="GF356">
        <v>103.7307622247145</v>
      </c>
      <c r="GG356">
        <v>103.12537650991385</v>
      </c>
      <c r="GH356">
        <v>95.164055088432619</v>
      </c>
      <c r="GI356">
        <v>109.26386710797941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211.76638308542866</v>
      </c>
      <c r="AO357">
        <v>113.89830761420694</v>
      </c>
      <c r="AP357">
        <v>460.28640882698039</v>
      </c>
      <c r="AQ357">
        <v>658.07205729447242</v>
      </c>
      <c r="AR357">
        <v>106.88813615580935</v>
      </c>
      <c r="AS357">
        <v>1122.9545985531749</v>
      </c>
      <c r="AT357">
        <v>58.165934282659258</v>
      </c>
      <c r="AU357">
        <v>144.18477806726477</v>
      </c>
      <c r="AV357"/>
      <c r="AW357"/>
      <c r="FY357" s="211">
        <v>352</v>
      </c>
      <c r="FZ357">
        <v>91.777912518957748</v>
      </c>
      <c r="GA357">
        <v>128.8664909258907</v>
      </c>
      <c r="GB357">
        <v>49.184462664401131</v>
      </c>
      <c r="GC357">
        <v>39.351208903382599</v>
      </c>
      <c r="GD357">
        <v>49.844535980911189</v>
      </c>
      <c r="GE357">
        <v>129.15563660547741</v>
      </c>
      <c r="GF357">
        <v>138.8149598084803</v>
      </c>
      <c r="GG357">
        <v>53.886019748800628</v>
      </c>
      <c r="GH357">
        <v>60.626505776340572</v>
      </c>
      <c r="GI357">
        <v>100.59218781702843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216.30971805208537</v>
      </c>
      <c r="AO358">
        <v>116.57254797120933</v>
      </c>
      <c r="AP358">
        <v>348.36331467510934</v>
      </c>
      <c r="AQ358">
        <v>699.62451094658991</v>
      </c>
      <c r="AR358">
        <v>112.86368903683659</v>
      </c>
      <c r="AS358">
        <v>1166.1425958351999</v>
      </c>
      <c r="AT358">
        <v>56.576476008032223</v>
      </c>
      <c r="AU358">
        <v>5.2606651790370762</v>
      </c>
      <c r="AV358"/>
      <c r="AW358"/>
      <c r="FY358" s="211">
        <v>353</v>
      </c>
      <c r="FZ358">
        <v>112.42921431845818</v>
      </c>
      <c r="GA358">
        <v>136.74886412320046</v>
      </c>
      <c r="GB358">
        <v>57.104951132230255</v>
      </c>
      <c r="GC358">
        <v>37.512206117548843</v>
      </c>
      <c r="GD358">
        <v>36.372104165149324</v>
      </c>
      <c r="GE358">
        <v>69.657984242591908</v>
      </c>
      <c r="GF358">
        <v>68.646803878257884</v>
      </c>
      <c r="GG358">
        <v>84.854410971265409</v>
      </c>
      <c r="GH358">
        <v>112.94441479887521</v>
      </c>
      <c r="GI358">
        <v>88.58452023946991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230.83153125413719</v>
      </c>
      <c r="AO359">
        <v>106.91979892318948</v>
      </c>
      <c r="AP359">
        <v>440.87579231737698</v>
      </c>
      <c r="AQ359">
        <v>570.53181663314933</v>
      </c>
      <c r="AR359">
        <v>102.33493157926476</v>
      </c>
      <c r="AS359">
        <v>1164.2461814483343</v>
      </c>
      <c r="AT359">
        <v>50.822472730062238</v>
      </c>
      <c r="AU359">
        <v>268.51587225007768</v>
      </c>
      <c r="AV359"/>
      <c r="AW359"/>
      <c r="FY359" s="211">
        <v>354</v>
      </c>
      <c r="FZ359">
        <v>114.42709975108363</v>
      </c>
      <c r="GA359">
        <v>164.02866381090413</v>
      </c>
      <c r="GB359">
        <v>67.624439674338575</v>
      </c>
      <c r="GC359">
        <v>41.617042721891735</v>
      </c>
      <c r="GD359">
        <v>53.02714647412764</v>
      </c>
      <c r="GE359">
        <v>84.850417810074532</v>
      </c>
      <c r="GF359">
        <v>44.127567853409829</v>
      </c>
      <c r="GG359">
        <v>35.905203759717693</v>
      </c>
      <c r="GH359">
        <v>39.368713785175146</v>
      </c>
      <c r="GI359">
        <v>85.280836752949597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214.72650707533671</v>
      </c>
      <c r="AO360">
        <v>132.91972622803257</v>
      </c>
      <c r="AP360">
        <v>682.05296303894306</v>
      </c>
      <c r="AQ360">
        <v>753.34936652410488</v>
      </c>
      <c r="AR360">
        <v>125.5004574811343</v>
      </c>
      <c r="AS360">
        <v>1222.6295077894672</v>
      </c>
      <c r="AT360">
        <v>64.367367349423503</v>
      </c>
      <c r="AU360">
        <v>139.77749787751202</v>
      </c>
      <c r="AV360"/>
      <c r="AW360"/>
      <c r="FY360" s="211">
        <v>355</v>
      </c>
      <c r="FZ360">
        <v>106.74477699405318</v>
      </c>
      <c r="GA360">
        <v>146.02569605848367</v>
      </c>
      <c r="GB360">
        <v>56.436342788203831</v>
      </c>
      <c r="GC360">
        <v>43.67830233596451</v>
      </c>
      <c r="GD360">
        <v>45.242528197144878</v>
      </c>
      <c r="GE360">
        <v>81.807624247672507</v>
      </c>
      <c r="GF360">
        <v>99.27970146434798</v>
      </c>
      <c r="GG360">
        <v>69.694312826067375</v>
      </c>
      <c r="GH360">
        <v>70.699038677192732</v>
      </c>
      <c r="GI360">
        <v>93.869974649141355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258.75919928324112</v>
      </c>
      <c r="AO361">
        <v>144.92130158579894</v>
      </c>
      <c r="AP361">
        <v>554.40324308029085</v>
      </c>
      <c r="AQ361">
        <v>773.81087294408292</v>
      </c>
      <c r="AR361">
        <v>136.58112674282677</v>
      </c>
      <c r="AS361">
        <v>1413.3881040380527</v>
      </c>
      <c r="AT361">
        <v>69.128771649284388</v>
      </c>
      <c r="AU361">
        <v>125.00051540597401</v>
      </c>
      <c r="AV361"/>
      <c r="AW361"/>
      <c r="FY361" s="211">
        <v>356</v>
      </c>
      <c r="FZ361">
        <v>120.77812805789151</v>
      </c>
      <c r="GA361">
        <v>141.47876542500748</v>
      </c>
      <c r="GB361">
        <v>36.569939030928964</v>
      </c>
      <c r="GC361">
        <v>35.986367932523429</v>
      </c>
      <c r="GD361">
        <v>48.155706463116722</v>
      </c>
      <c r="GE361">
        <v>133.92497307051056</v>
      </c>
      <c r="GF361">
        <v>177.56441089107577</v>
      </c>
      <c r="GG361">
        <v>66.506347874258978</v>
      </c>
      <c r="GH361">
        <v>45.941520229621752</v>
      </c>
      <c r="GI361">
        <v>107.1131078577105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220.46959573808755</v>
      </c>
      <c r="AO362">
        <v>119.87363766053799</v>
      </c>
      <c r="AP362">
        <v>458.67754589753474</v>
      </c>
      <c r="AQ362">
        <v>721.65671463640933</v>
      </c>
      <c r="AR362">
        <v>114.99130434346129</v>
      </c>
      <c r="AS362">
        <v>1251.4803861902258</v>
      </c>
      <c r="AT362">
        <v>58.884477476885117</v>
      </c>
      <c r="AU362">
        <v>44.961792183459622</v>
      </c>
      <c r="AV362"/>
      <c r="AW362"/>
      <c r="FY362" s="211">
        <v>357</v>
      </c>
      <c r="FZ362">
        <v>116.50176504899331</v>
      </c>
      <c r="GA362">
        <v>144.46467184865139</v>
      </c>
      <c r="GB362">
        <v>59.77414136653077</v>
      </c>
      <c r="GC362">
        <v>49.859312684738363</v>
      </c>
      <c r="GD362">
        <v>52.442489285313314</v>
      </c>
      <c r="GE362">
        <v>84.896315882230041</v>
      </c>
      <c r="GF362">
        <v>75.457224083029047</v>
      </c>
      <c r="GG362">
        <v>66.171500304378441</v>
      </c>
      <c r="GH362">
        <v>63.182012392298191</v>
      </c>
      <c r="GI362">
        <v>93.847956837457318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234.1000036406239</v>
      </c>
      <c r="AO363">
        <v>134.01053433591858</v>
      </c>
      <c r="AP363">
        <v>438.85246700314354</v>
      </c>
      <c r="AQ363">
        <v>769.06779336224895</v>
      </c>
      <c r="AR363">
        <v>125.46904197686619</v>
      </c>
      <c r="AS363">
        <v>1208.816467627662</v>
      </c>
      <c r="AT363">
        <v>63.228483662534707</v>
      </c>
      <c r="AU363">
        <v>132.39898432431431</v>
      </c>
      <c r="AV363"/>
      <c r="AW363"/>
      <c r="FY363" s="211">
        <v>358</v>
      </c>
      <c r="FZ363">
        <v>106.54135520265768</v>
      </c>
      <c r="GA363">
        <v>125.89451839188634</v>
      </c>
      <c r="GB363">
        <v>42.591673244599207</v>
      </c>
      <c r="GC363">
        <v>42.182360942716848</v>
      </c>
      <c r="GD363">
        <v>41.48990230440743</v>
      </c>
      <c r="GE363">
        <v>58.484128938215861</v>
      </c>
      <c r="GF363">
        <v>65.171901584641105</v>
      </c>
      <c r="GG363">
        <v>90.49112107045967</v>
      </c>
      <c r="GH363">
        <v>100.85323006673832</v>
      </c>
      <c r="GI363">
        <v>85.655552731415938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335.14283793390922</v>
      </c>
      <c r="AO364">
        <v>154.79052714536459</v>
      </c>
      <c r="AP364">
        <v>589.55685312245123</v>
      </c>
      <c r="AQ364">
        <v>860.38897579027537</v>
      </c>
      <c r="AR364">
        <v>146.82483783332395</v>
      </c>
      <c r="AS364">
        <v>1496.9176604544607</v>
      </c>
      <c r="AT364">
        <v>71.132245933239147</v>
      </c>
      <c r="AU364">
        <v>225.58464418896415</v>
      </c>
      <c r="AV364"/>
      <c r="AW364"/>
      <c r="FY364" s="211">
        <v>359</v>
      </c>
      <c r="FZ364">
        <v>91.381212700539606</v>
      </c>
      <c r="GA364">
        <v>118.69446869984448</v>
      </c>
      <c r="GB364">
        <v>54.53093735744477</v>
      </c>
      <c r="GC364">
        <v>47.012776052594383</v>
      </c>
      <c r="GD364">
        <v>34.545457360732151</v>
      </c>
      <c r="GE364">
        <v>65.888104262823433</v>
      </c>
      <c r="GF364">
        <v>124.4747178940801</v>
      </c>
      <c r="GG364">
        <v>74.784756099285715</v>
      </c>
      <c r="GH364">
        <v>71.545032312703967</v>
      </c>
      <c r="GI364">
        <v>90.452369922044838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248.21303419477644</v>
      </c>
      <c r="AO365">
        <v>141.77715765672514</v>
      </c>
      <c r="AP365">
        <v>685.79326472554953</v>
      </c>
      <c r="AQ365">
        <v>766.69474389692641</v>
      </c>
      <c r="AR365">
        <v>133.70227193306954</v>
      </c>
      <c r="AS365">
        <v>1324.2167657479954</v>
      </c>
      <c r="AT365">
        <v>69.87309561071163</v>
      </c>
      <c r="AU365">
        <v>184.56326011277662</v>
      </c>
      <c r="AV365"/>
      <c r="AW365"/>
      <c r="FY365" s="211">
        <v>360</v>
      </c>
      <c r="FZ365">
        <v>130.82181478685246</v>
      </c>
      <c r="GA365">
        <v>159.51890710131426</v>
      </c>
      <c r="GB365">
        <v>54.240285290972665</v>
      </c>
      <c r="GC365">
        <v>43.224405445584289</v>
      </c>
      <c r="GD365">
        <v>37.101367845081505</v>
      </c>
      <c r="GE365">
        <v>54.402063358074081</v>
      </c>
      <c r="GF365">
        <v>66.872118213065065</v>
      </c>
      <c r="GG365">
        <v>97.898681427478436</v>
      </c>
      <c r="GH365">
        <v>106.94552448111622</v>
      </c>
      <c r="GI365">
        <v>89.588601263416237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247.43188689532053</v>
      </c>
      <c r="AO366">
        <v>155.42740938641617</v>
      </c>
      <c r="AP366">
        <v>688.41487427177071</v>
      </c>
      <c r="AQ366">
        <v>848.9673564565569</v>
      </c>
      <c r="AR366">
        <v>147.63619665230735</v>
      </c>
      <c r="AS366">
        <v>1416.1299082810228</v>
      </c>
      <c r="AT366">
        <v>77.480510116739055</v>
      </c>
      <c r="AU366">
        <v>335.86572618679162</v>
      </c>
      <c r="AV366"/>
      <c r="AW366"/>
      <c r="FY366" s="211">
        <v>361</v>
      </c>
      <c r="FZ366">
        <v>109.46347238957122</v>
      </c>
      <c r="GA366">
        <v>126.98848595385404</v>
      </c>
      <c r="GB366">
        <v>38.827110379634327</v>
      </c>
      <c r="GC366">
        <v>41.181215515249342</v>
      </c>
      <c r="GD366">
        <v>52.492429771658792</v>
      </c>
      <c r="GE366">
        <v>117.97267491048423</v>
      </c>
      <c r="GF366">
        <v>130.27192820402038</v>
      </c>
      <c r="GG366">
        <v>84.579143589823531</v>
      </c>
      <c r="GH366">
        <v>105.02826082425115</v>
      </c>
      <c r="GI366">
        <v>107.84333678563527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335.41302264003997</v>
      </c>
      <c r="AO367">
        <v>171.31027580275449</v>
      </c>
      <c r="AP367">
        <v>721.6741965171916</v>
      </c>
      <c r="AQ367">
        <v>969.8465283280317</v>
      </c>
      <c r="AR367">
        <v>163.17764981072943</v>
      </c>
      <c r="AS367">
        <v>1514.1704426831127</v>
      </c>
      <c r="AT367">
        <v>84.89298618237973</v>
      </c>
      <c r="AU367">
        <v>94.509965779618199</v>
      </c>
      <c r="AV367"/>
      <c r="AW367"/>
      <c r="FY367" s="211">
        <v>362</v>
      </c>
      <c r="FZ367">
        <v>134.95230865009268</v>
      </c>
      <c r="GA367">
        <v>141.90260975146577</v>
      </c>
      <c r="GB367">
        <v>33.533742565564026</v>
      </c>
      <c r="GC367">
        <v>41.847414350114654</v>
      </c>
      <c r="GD367">
        <v>47.907320117363156</v>
      </c>
      <c r="GE367">
        <v>82.453805916591733</v>
      </c>
      <c r="GF367">
        <v>73.621244631331862</v>
      </c>
      <c r="GG367">
        <v>37.9063450787229</v>
      </c>
      <c r="GH367">
        <v>41.070840597320014</v>
      </c>
      <c r="GI367">
        <v>82.382572894987661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295.81979964781442</v>
      </c>
      <c r="AO368">
        <v>163.06477167155145</v>
      </c>
      <c r="AP368">
        <v>656.98608640991256</v>
      </c>
      <c r="AQ368">
        <v>842.09992074967067</v>
      </c>
      <c r="AR368">
        <v>152.02272024926748</v>
      </c>
      <c r="AS368">
        <v>1621.7621269309755</v>
      </c>
      <c r="AT368">
        <v>73.276066310150085</v>
      </c>
      <c r="AU368">
        <v>167.06724984034022</v>
      </c>
      <c r="AV368"/>
      <c r="AW368"/>
      <c r="FY368" s="211">
        <v>363</v>
      </c>
      <c r="FZ368">
        <v>128.97783832958396</v>
      </c>
      <c r="GA368">
        <v>186.97444497585448</v>
      </c>
      <c r="GB368">
        <v>68.123126424337414</v>
      </c>
      <c r="GC368">
        <v>48.501286125799439</v>
      </c>
      <c r="GD368">
        <v>42.21604647383208</v>
      </c>
      <c r="GE368">
        <v>77.149658354815017</v>
      </c>
      <c r="GF368">
        <v>141.72084743758828</v>
      </c>
      <c r="GG368">
        <v>143.98250619671026</v>
      </c>
      <c r="GH368">
        <v>121.33400574258518</v>
      </c>
      <c r="GI368">
        <v>115.91644922547013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263.87321949350587</v>
      </c>
      <c r="AO369">
        <v>140.94324063248214</v>
      </c>
      <c r="AP369">
        <v>520.0701541073106</v>
      </c>
      <c r="AQ369">
        <v>804.85547398704739</v>
      </c>
      <c r="AR369">
        <v>134.19418392676002</v>
      </c>
      <c r="AS369">
        <v>1420.2370819106688</v>
      </c>
      <c r="AT369">
        <v>70.153889838298113</v>
      </c>
      <c r="AU369">
        <v>80.487955555914183</v>
      </c>
      <c r="AV369"/>
      <c r="AW369"/>
      <c r="FY369" s="211">
        <v>364</v>
      </c>
      <c r="FZ369">
        <v>79.443123742764797</v>
      </c>
      <c r="GA369">
        <v>127.57777636426633</v>
      </c>
      <c r="GB369">
        <v>53.502259712022195</v>
      </c>
      <c r="GC369">
        <v>25.866453790987773</v>
      </c>
      <c r="GD369">
        <v>22.706976149958443</v>
      </c>
      <c r="GE369">
        <v>42.694471170225981</v>
      </c>
      <c r="GF369">
        <v>52.413206004377159</v>
      </c>
      <c r="GG369">
        <v>41.29740442199045</v>
      </c>
      <c r="GH369">
        <v>48.265594835565224</v>
      </c>
      <c r="GI369">
        <v>59.926226846989785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278.1488675214523</v>
      </c>
      <c r="AO370">
        <v>134.24647638405872</v>
      </c>
      <c r="AP370">
        <v>556.21992027541614</v>
      </c>
      <c r="AQ370">
        <v>730.25713239367246</v>
      </c>
      <c r="AR370">
        <v>127.28812436933299</v>
      </c>
      <c r="AS370">
        <v>1437.1613933394735</v>
      </c>
      <c r="AT370">
        <v>60.69918836013516</v>
      </c>
      <c r="AU370">
        <v>465.15902416335575</v>
      </c>
      <c r="AV370"/>
      <c r="AW370"/>
      <c r="FY370" s="211">
        <v>365</v>
      </c>
      <c r="FZ370">
        <v>112.58286167264619</v>
      </c>
      <c r="GA370">
        <v>150.92482265481675</v>
      </c>
      <c r="GB370">
        <v>55.124790444283946</v>
      </c>
      <c r="GC370">
        <v>43.630711587598427</v>
      </c>
      <c r="GD370">
        <v>36.921935880264144</v>
      </c>
      <c r="GE370">
        <v>57.75152739184189</v>
      </c>
      <c r="GF370">
        <v>75.479995277337011</v>
      </c>
      <c r="GG370">
        <v>59.922588625061145</v>
      </c>
      <c r="GH370">
        <v>52.168049982312581</v>
      </c>
      <c r="GI370">
        <v>80.76965642941002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283.71035078339617</v>
      </c>
      <c r="AO371">
        <v>148.09783060004898</v>
      </c>
      <c r="AP371">
        <v>556.7992832228847</v>
      </c>
      <c r="AQ371">
        <v>813.47829823827215</v>
      </c>
      <c r="AR371">
        <v>140.76699141923319</v>
      </c>
      <c r="AS371">
        <v>1600.9585490867864</v>
      </c>
      <c r="AT371">
        <v>68.367905281433863</v>
      </c>
      <c r="AU371">
        <v>172.462361342695</v>
      </c>
      <c r="AV371"/>
      <c r="AW371"/>
      <c r="FY371" s="211">
        <v>366</v>
      </c>
      <c r="FZ371">
        <v>112.4257088647193</v>
      </c>
      <c r="GA371">
        <v>127.94291181720502</v>
      </c>
      <c r="GB371">
        <v>42.371642164626898</v>
      </c>
      <c r="GC371">
        <v>42.545473606402247</v>
      </c>
      <c r="GD371">
        <v>41.240679905767912</v>
      </c>
      <c r="GE371">
        <v>104.25021967678158</v>
      </c>
      <c r="GF371">
        <v>151.88383609886486</v>
      </c>
      <c r="GG371">
        <v>82.953931506385416</v>
      </c>
      <c r="GH371">
        <v>80.004692523438152</v>
      </c>
      <c r="GI371">
        <v>102.59366174266208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1.8156463984709309E-3</v>
      </c>
      <c r="H372" s="59">
        <f t="shared" ref="H372:AK372" si="356">+H36</f>
        <v>1.15313E-2</v>
      </c>
      <c r="I372" s="59">
        <f t="shared" si="356"/>
        <v>7.3236110182017297E-2</v>
      </c>
      <c r="J372" s="59">
        <f t="shared" si="356"/>
        <v>0.21595370395129135</v>
      </c>
      <c r="K372" s="59">
        <f t="shared" si="356"/>
        <v>0.46512776829954805</v>
      </c>
      <c r="L372" s="59">
        <f t="shared" si="356"/>
        <v>0.84339548649291773</v>
      </c>
      <c r="M372" s="59">
        <f t="shared" si="356"/>
        <v>1.3715374031368122</v>
      </c>
      <c r="N372" s="59">
        <f t="shared" si="356"/>
        <v>2.0689726212277471</v>
      </c>
      <c r="O372" s="59">
        <f t="shared" si="356"/>
        <v>2.9540596886648949</v>
      </c>
      <c r="P372" s="59">
        <f t="shared" si="356"/>
        <v>4.0442970220427874</v>
      </c>
      <c r="Q372" s="59">
        <f t="shared" si="356"/>
        <v>5.3564649931760897</v>
      </c>
      <c r="R372" s="59">
        <f t="shared" si="356"/>
        <v>6.9067313280301672</v>
      </c>
      <c r="S372" s="59">
        <f t="shared" si="356"/>
        <v>8.7107320401763371</v>
      </c>
      <c r="T372" s="59">
        <f t="shared" si="356"/>
        <v>10.783635296383494</v>
      </c>
      <c r="U372" s="59">
        <f t="shared" si="356"/>
        <v>13.140192940241995</v>
      </c>
      <c r="V372" s="59">
        <f t="shared" si="356"/>
        <v>15.794782826216199</v>
      </c>
      <c r="W372" s="59">
        <f t="shared" si="356"/>
        <v>18.761444142752168</v>
      </c>
      <c r="X372" s="59">
        <f t="shared" si="356"/>
        <v>22.053907275344272</v>
      </c>
      <c r="Y372" s="59">
        <f t="shared" si="356"/>
        <v>25.685619341716023</v>
      </c>
      <c r="Z372" s="59">
        <f t="shared" si="356"/>
        <v>29.669766243653644</v>
      </c>
      <c r="AA372" s="59">
        <f t="shared" si="356"/>
        <v>34.019291877443351</v>
      </c>
      <c r="AB372" s="59">
        <f t="shared" si="356"/>
        <v>38.746914998997923</v>
      </c>
      <c r="AC372" s="59">
        <f t="shared" si="356"/>
        <v>43.865144132683035</v>
      </c>
      <c r="AD372" s="59">
        <f t="shared" si="356"/>
        <v>49.386290832891866</v>
      </c>
      <c r="AE372" s="59">
        <f t="shared" si="356"/>
        <v>55.322481546779947</v>
      </c>
      <c r="AF372" s="59">
        <f t="shared" si="356"/>
        <v>61.685668279953298</v>
      </c>
      <c r="AG372" s="59">
        <f t="shared" si="356"/>
        <v>68.487638230609974</v>
      </c>
      <c r="AH372" s="59">
        <f t="shared" si="356"/>
        <v>75.740022529057185</v>
      </c>
      <c r="AI372" s="59">
        <f t="shared" si="356"/>
        <v>83.454304196797253</v>
      </c>
      <c r="AJ372" s="59">
        <f t="shared" si="356"/>
        <v>91.64182542111466</v>
      </c>
      <c r="AK372" s="59">
        <f t="shared" si="356"/>
        <v>100.31379422630621</v>
      </c>
      <c r="AL372" s="78"/>
      <c r="AM372" s="43">
        <v>356</v>
      </c>
      <c r="AN372">
        <v>306.54785574842947</v>
      </c>
      <c r="AO372">
        <v>173.54093054979606</v>
      </c>
      <c r="AP372">
        <v>866.84762659651415</v>
      </c>
      <c r="AQ372">
        <v>914.01926683264571</v>
      </c>
      <c r="AR372">
        <v>162.48831034698395</v>
      </c>
      <c r="AS372">
        <v>1539.8110472280125</v>
      </c>
      <c r="AT372">
        <v>77.073465074171324</v>
      </c>
      <c r="AU372">
        <v>341.96094002684526</v>
      </c>
      <c r="AV372"/>
      <c r="AW372"/>
      <c r="FY372" s="211">
        <v>367</v>
      </c>
      <c r="FZ372">
        <v>129.99683948392553</v>
      </c>
      <c r="GA372">
        <v>160.19792952275867</v>
      </c>
      <c r="GB372">
        <v>45.362039844631475</v>
      </c>
      <c r="GC372">
        <v>46.283758398273072</v>
      </c>
      <c r="GD372">
        <v>48.588668459933501</v>
      </c>
      <c r="GE372">
        <v>78.702437324530692</v>
      </c>
      <c r="GF372">
        <v>77.406064676568363</v>
      </c>
      <c r="GG372">
        <v>21.680726017037088</v>
      </c>
      <c r="GH372">
        <v>19.837595215439947</v>
      </c>
      <c r="GI372">
        <v>83.585681548634156</v>
      </c>
      <c r="GJ372"/>
      <c r="GK372"/>
      <c r="GL372"/>
      <c r="GM372"/>
    </row>
    <row r="373" spans="1:195" s="7" customFormat="1">
      <c r="A373" s="95"/>
      <c r="B373" s="71">
        <f t="shared" ref="B373:B378" si="357">+C4</f>
        <v>39646</v>
      </c>
      <c r="C373" s="18">
        <f t="shared" ref="C373:C382" si="358">+D70</f>
        <v>158.33333333333334</v>
      </c>
      <c r="D373" s="18">
        <f t="shared" ref="D373:D382" si="359">SUM(G373:AK373)</f>
        <v>87.453612755955533</v>
      </c>
      <c r="E373" s="19">
        <f t="shared" ref="E373:E382" si="360">IF(C373&lt;1, 0.000001, D373/C373)</f>
        <v>0.55233860687971914</v>
      </c>
      <c r="F373" s="19"/>
      <c r="G373" s="18">
        <f>AVERAGE(E228:E237)*G$372</f>
        <v>0</v>
      </c>
      <c r="H373" s="18">
        <f t="shared" ref="H373:AK373" si="361">AVERAGE(F228:F237)*H$372</f>
        <v>2.4023541666666662E-2</v>
      </c>
      <c r="I373" s="18">
        <f t="shared" si="361"/>
        <v>2.5937789022797797</v>
      </c>
      <c r="J373" s="18">
        <f t="shared" si="361"/>
        <v>10.572733422615304</v>
      </c>
      <c r="K373" s="18">
        <f t="shared" si="361"/>
        <v>17.442291311233049</v>
      </c>
      <c r="L373" s="18">
        <f t="shared" si="361"/>
        <v>3.5141478603871565</v>
      </c>
      <c r="M373" s="18">
        <f t="shared" si="361"/>
        <v>27.145011103749404</v>
      </c>
      <c r="N373" s="18">
        <f t="shared" si="361"/>
        <v>10.775899068894516</v>
      </c>
      <c r="O373" s="18">
        <f t="shared" si="361"/>
        <v>15.38572754512966</v>
      </c>
      <c r="P373" s="18">
        <f t="shared" si="361"/>
        <v>0</v>
      </c>
      <c r="Q373" s="18">
        <f t="shared" si="361"/>
        <v>0</v>
      </c>
      <c r="R373" s="18">
        <f t="shared" si="361"/>
        <v>0</v>
      </c>
      <c r="S373" s="18">
        <f t="shared" si="361"/>
        <v>0</v>
      </c>
      <c r="T373" s="18">
        <f t="shared" si="361"/>
        <v>0</v>
      </c>
      <c r="U373" s="18">
        <f t="shared" si="361"/>
        <v>0</v>
      </c>
      <c r="V373" s="18">
        <f t="shared" si="361"/>
        <v>0</v>
      </c>
      <c r="W373" s="18">
        <f t="shared" si="361"/>
        <v>0</v>
      </c>
      <c r="X373" s="18">
        <f t="shared" si="361"/>
        <v>0</v>
      </c>
      <c r="Y373" s="18">
        <f t="shared" si="361"/>
        <v>0</v>
      </c>
      <c r="Z373" s="18">
        <f t="shared" si="361"/>
        <v>0</v>
      </c>
      <c r="AA373" s="18">
        <f t="shared" si="361"/>
        <v>0</v>
      </c>
      <c r="AB373" s="18">
        <f t="shared" si="361"/>
        <v>0</v>
      </c>
      <c r="AC373" s="18">
        <f t="shared" si="361"/>
        <v>0</v>
      </c>
      <c r="AD373" s="18">
        <f t="shared" si="361"/>
        <v>0</v>
      </c>
      <c r="AE373" s="18">
        <f t="shared" si="361"/>
        <v>0</v>
      </c>
      <c r="AF373" s="18">
        <f t="shared" si="361"/>
        <v>0</v>
      </c>
      <c r="AG373" s="18">
        <f t="shared" si="361"/>
        <v>0</v>
      </c>
      <c r="AH373" s="18">
        <f t="shared" si="361"/>
        <v>0</v>
      </c>
      <c r="AI373" s="18">
        <f t="shared" si="361"/>
        <v>0</v>
      </c>
      <c r="AJ373" s="18">
        <f t="shared" si="361"/>
        <v>0</v>
      </c>
      <c r="AK373" s="18">
        <f t="shared" si="361"/>
        <v>0</v>
      </c>
      <c r="AL373" s="78"/>
      <c r="AM373" s="43">
        <v>357</v>
      </c>
      <c r="AN373">
        <v>278.99249828767535</v>
      </c>
      <c r="AO373">
        <v>148.56887054175598</v>
      </c>
      <c r="AP373">
        <v>585.52139419495609</v>
      </c>
      <c r="AQ373">
        <v>806.59738973362028</v>
      </c>
      <c r="AR373">
        <v>139.97715981882877</v>
      </c>
      <c r="AS373">
        <v>1438.0332856955501</v>
      </c>
      <c r="AT373">
        <v>72.433961033998074</v>
      </c>
      <c r="AU373">
        <v>87.435850767817968</v>
      </c>
      <c r="AV373"/>
      <c r="AW373"/>
      <c r="FY373" s="211">
        <v>368</v>
      </c>
      <c r="FZ373">
        <v>97.536241032113054</v>
      </c>
      <c r="GA373">
        <v>107.19230941845679</v>
      </c>
      <c r="GB373">
        <v>51.450460323643156</v>
      </c>
      <c r="GC373">
        <v>47.860396963095226</v>
      </c>
      <c r="GD373">
        <v>49.595262906071703</v>
      </c>
      <c r="GE373">
        <v>104.31228325743011</v>
      </c>
      <c r="GF373">
        <v>137.47021241652064</v>
      </c>
      <c r="GG373">
        <v>82.075380266117349</v>
      </c>
      <c r="GH373">
        <v>75.122447791571361</v>
      </c>
      <c r="GI373">
        <v>103.83748960127703</v>
      </c>
      <c r="GJ373"/>
      <c r="GK373"/>
      <c r="GL373"/>
      <c r="GM373"/>
    </row>
    <row r="374" spans="1:195" s="7" customFormat="1">
      <c r="A374" s="95"/>
      <c r="B374" s="71">
        <f t="shared" si="357"/>
        <v>39673</v>
      </c>
      <c r="C374" s="18">
        <f t="shared" si="358"/>
        <v>158.94345238095238</v>
      </c>
      <c r="D374" s="18">
        <f t="shared" si="359"/>
        <v>213.12337538983724</v>
      </c>
      <c r="E374" s="19">
        <f t="shared" si="360"/>
        <v>1.3408754635518267</v>
      </c>
      <c r="F374" s="19">
        <f>IF(F388&lt;0,0,F388)</f>
        <v>3.2848767931578191E-2</v>
      </c>
      <c r="G374" s="18">
        <f>AVERAGE(E238:E247)*G$372</f>
        <v>0</v>
      </c>
      <c r="H374" s="18">
        <f t="shared" ref="H374:AK374" si="362">AVERAGE(F238:F247)*H$372</f>
        <v>1.2011770833333331E-2</v>
      </c>
      <c r="I374" s="18">
        <f t="shared" si="362"/>
        <v>0.92308013875250972</v>
      </c>
      <c r="J374" s="18">
        <f t="shared" si="362"/>
        <v>2.2945081044824707</v>
      </c>
      <c r="K374" s="18">
        <f t="shared" si="362"/>
        <v>11.766625090911187</v>
      </c>
      <c r="L374" s="18">
        <f t="shared" si="362"/>
        <v>26.707523738942395</v>
      </c>
      <c r="M374" s="18">
        <f t="shared" si="362"/>
        <v>35.431382914367653</v>
      </c>
      <c r="N374" s="18">
        <f t="shared" si="362"/>
        <v>64.224358450611305</v>
      </c>
      <c r="O374" s="18">
        <f t="shared" si="362"/>
        <v>33.848600599285255</v>
      </c>
      <c r="P374" s="18">
        <f t="shared" si="362"/>
        <v>37.915284581651129</v>
      </c>
      <c r="Q374" s="18">
        <f t="shared" si="362"/>
        <v>0</v>
      </c>
      <c r="R374" s="18">
        <f t="shared" si="362"/>
        <v>0</v>
      </c>
      <c r="S374" s="18">
        <f t="shared" si="362"/>
        <v>0</v>
      </c>
      <c r="T374" s="18">
        <f t="shared" si="362"/>
        <v>0</v>
      </c>
      <c r="U374" s="18">
        <f t="shared" si="362"/>
        <v>0</v>
      </c>
      <c r="V374" s="18">
        <f t="shared" si="362"/>
        <v>0</v>
      </c>
      <c r="W374" s="18">
        <f t="shared" si="362"/>
        <v>0</v>
      </c>
      <c r="X374" s="18">
        <f t="shared" si="362"/>
        <v>0</v>
      </c>
      <c r="Y374" s="18">
        <f t="shared" si="362"/>
        <v>0</v>
      </c>
      <c r="Z374" s="18">
        <f t="shared" si="362"/>
        <v>0</v>
      </c>
      <c r="AA374" s="18">
        <f t="shared" si="362"/>
        <v>0</v>
      </c>
      <c r="AB374" s="18">
        <f t="shared" si="362"/>
        <v>0</v>
      </c>
      <c r="AC374" s="18">
        <f t="shared" si="362"/>
        <v>0</v>
      </c>
      <c r="AD374" s="18">
        <f t="shared" si="362"/>
        <v>0</v>
      </c>
      <c r="AE374" s="18">
        <f t="shared" si="362"/>
        <v>0</v>
      </c>
      <c r="AF374" s="18">
        <f t="shared" si="362"/>
        <v>0</v>
      </c>
      <c r="AG374" s="18">
        <f t="shared" si="362"/>
        <v>0</v>
      </c>
      <c r="AH374" s="18">
        <f t="shared" si="362"/>
        <v>0</v>
      </c>
      <c r="AI374" s="18">
        <f t="shared" si="362"/>
        <v>0</v>
      </c>
      <c r="AJ374" s="18">
        <f t="shared" si="362"/>
        <v>0</v>
      </c>
      <c r="AK374" s="18">
        <f t="shared" si="362"/>
        <v>0</v>
      </c>
      <c r="AL374" s="78"/>
      <c r="AM374" s="43">
        <v>358</v>
      </c>
      <c r="AN374">
        <v>234.27347932243538</v>
      </c>
      <c r="AO374">
        <v>138.19493616544088</v>
      </c>
      <c r="AP374">
        <v>529.1106486798958</v>
      </c>
      <c r="AQ374">
        <v>759.35574447773843</v>
      </c>
      <c r="AR374">
        <v>130.19086372869444</v>
      </c>
      <c r="AS374">
        <v>1235.6575211931627</v>
      </c>
      <c r="AT374">
        <v>69.399512763599347</v>
      </c>
      <c r="AU374">
        <v>196.34166356087496</v>
      </c>
      <c r="AV374"/>
      <c r="AW374"/>
      <c r="FY374" s="211">
        <v>369</v>
      </c>
      <c r="FZ374">
        <v>86.824079660553963</v>
      </c>
      <c r="GA374">
        <v>99.764099587270408</v>
      </c>
      <c r="GB374">
        <v>40.815920784389206</v>
      </c>
      <c r="GC374">
        <v>41.310291008885713</v>
      </c>
      <c r="GD374">
        <v>50.089980356575708</v>
      </c>
      <c r="GE374">
        <v>83.112709230502588</v>
      </c>
      <c r="GF374">
        <v>72.257584740954741</v>
      </c>
      <c r="GG374">
        <v>63.317931907765939</v>
      </c>
      <c r="GH374">
        <v>66.553178828421011</v>
      </c>
      <c r="GI374">
        <v>82.475661690936846</v>
      </c>
      <c r="GJ374"/>
      <c r="GK374"/>
      <c r="GL374"/>
      <c r="GM374"/>
    </row>
    <row r="375" spans="1:195" s="7" customFormat="1">
      <c r="A375" s="95"/>
      <c r="B375" s="71">
        <f t="shared" si="357"/>
        <v>39714</v>
      </c>
      <c r="C375" s="18">
        <f t="shared" si="358"/>
        <v>262.64880952380952</v>
      </c>
      <c r="D375" s="18">
        <f t="shared" si="359"/>
        <v>85.685494193812701</v>
      </c>
      <c r="E375" s="19">
        <f t="shared" si="360"/>
        <v>0.32623598922516789</v>
      </c>
      <c r="F375" s="19">
        <f>IF(F389&lt;0,0,F389)</f>
        <v>0</v>
      </c>
      <c r="G375" s="18">
        <f>AVERAGE(E248:E257)*G$372</f>
        <v>1.7730921860067684E-2</v>
      </c>
      <c r="H375" s="18">
        <f t="shared" ref="H375:AK375" si="363">AVERAGE(F248:F257)*H$372</f>
        <v>0.82473676525297612</v>
      </c>
      <c r="I375" s="18">
        <f t="shared" si="363"/>
        <v>6.1302547585393938</v>
      </c>
      <c r="J375" s="18">
        <f t="shared" si="363"/>
        <v>11.106993888119803</v>
      </c>
      <c r="K375" s="18">
        <f t="shared" si="363"/>
        <v>12.778900925938105</v>
      </c>
      <c r="L375" s="18">
        <f t="shared" si="363"/>
        <v>0</v>
      </c>
      <c r="M375" s="18">
        <f t="shared" si="363"/>
        <v>0</v>
      </c>
      <c r="N375" s="18">
        <f t="shared" si="363"/>
        <v>17.241438510231223</v>
      </c>
      <c r="O375" s="18">
        <f t="shared" si="363"/>
        <v>12.308582036103727</v>
      </c>
      <c r="P375" s="18">
        <f t="shared" si="363"/>
        <v>25.276856387767417</v>
      </c>
      <c r="Q375" s="18">
        <f t="shared" si="363"/>
        <v>0</v>
      </c>
      <c r="R375" s="18">
        <f t="shared" si="363"/>
        <v>0</v>
      </c>
      <c r="S375" s="18">
        <f t="shared" si="363"/>
        <v>0</v>
      </c>
      <c r="T375" s="18">
        <f t="shared" si="363"/>
        <v>0</v>
      </c>
      <c r="U375" s="18">
        <f t="shared" si="363"/>
        <v>0</v>
      </c>
      <c r="V375" s="18">
        <f t="shared" si="363"/>
        <v>0</v>
      </c>
      <c r="W375" s="18">
        <f t="shared" si="363"/>
        <v>0</v>
      </c>
      <c r="X375" s="18">
        <f t="shared" si="363"/>
        <v>0</v>
      </c>
      <c r="Y375" s="18">
        <f t="shared" si="363"/>
        <v>0</v>
      </c>
      <c r="Z375" s="18">
        <f t="shared" si="363"/>
        <v>0</v>
      </c>
      <c r="AA375" s="18">
        <f t="shared" si="363"/>
        <v>0</v>
      </c>
      <c r="AB375" s="18">
        <f t="shared" si="363"/>
        <v>0</v>
      </c>
      <c r="AC375" s="18">
        <f t="shared" si="363"/>
        <v>0</v>
      </c>
      <c r="AD375" s="18">
        <f t="shared" si="363"/>
        <v>0</v>
      </c>
      <c r="AE375" s="18">
        <f t="shared" si="363"/>
        <v>0</v>
      </c>
      <c r="AF375" s="18">
        <f t="shared" si="363"/>
        <v>0</v>
      </c>
      <c r="AG375" s="18">
        <f t="shared" si="363"/>
        <v>0</v>
      </c>
      <c r="AH375" s="18">
        <f t="shared" si="363"/>
        <v>0</v>
      </c>
      <c r="AI375" s="18">
        <f t="shared" si="363"/>
        <v>0</v>
      </c>
      <c r="AJ375" s="18">
        <f t="shared" si="363"/>
        <v>0</v>
      </c>
      <c r="AK375" s="18">
        <f t="shared" si="363"/>
        <v>0</v>
      </c>
      <c r="AL375" s="78"/>
      <c r="AM375" s="43">
        <v>359</v>
      </c>
      <c r="AN375">
        <v>270.28862747678437</v>
      </c>
      <c r="AO375">
        <v>142.34582627097592</v>
      </c>
      <c r="AP375">
        <v>529.40556574023617</v>
      </c>
      <c r="AQ375">
        <v>773.30983266209341</v>
      </c>
      <c r="AR375">
        <v>136.26359310583314</v>
      </c>
      <c r="AS375">
        <v>1500.7648025792496</v>
      </c>
      <c r="AT375">
        <v>65.790658513563031</v>
      </c>
      <c r="AU375">
        <v>85.518862144768121</v>
      </c>
      <c r="AV375"/>
      <c r="AW375"/>
      <c r="FY375" s="211">
        <v>370</v>
      </c>
      <c r="FZ375">
        <v>111.55913253385378</v>
      </c>
      <c r="GA375">
        <v>133.52552297918675</v>
      </c>
      <c r="GB375">
        <v>47.250267061646724</v>
      </c>
      <c r="GC375">
        <v>48.217970118559244</v>
      </c>
      <c r="GD375">
        <v>43.875203693538523</v>
      </c>
      <c r="GE375">
        <v>102.71158432367245</v>
      </c>
      <c r="GF375">
        <v>154.74405619241642</v>
      </c>
      <c r="GG375">
        <v>59.39687622749306</v>
      </c>
      <c r="GH375">
        <v>52.296931427792394</v>
      </c>
      <c r="GI375">
        <v>101.62485130622817</v>
      </c>
      <c r="GJ375"/>
      <c r="GK375"/>
      <c r="GL375"/>
      <c r="GM375"/>
    </row>
    <row r="376" spans="1:195" s="7" customFormat="1">
      <c r="A376" s="95"/>
      <c r="B376" s="71">
        <f t="shared" si="357"/>
        <v>39747</v>
      </c>
      <c r="C376" s="18">
        <f t="shared" si="358"/>
        <v>341.41183887951132</v>
      </c>
      <c r="D376" s="18">
        <f t="shared" si="359"/>
        <v>96.36826297182138</v>
      </c>
      <c r="E376" s="19">
        <f t="shared" si="360"/>
        <v>0.2822639756374441</v>
      </c>
      <c r="F376" s="19">
        <f>IF(F390&lt;0,0,F390)</f>
        <v>0</v>
      </c>
      <c r="G376" s="18">
        <f>AVERAGE(E258:E267)*G$372</f>
        <v>0</v>
      </c>
      <c r="H376" s="18">
        <f t="shared" ref="H376:AK376" si="364">AVERAGE(F258:F267)*H$372</f>
        <v>0.90554255118534477</v>
      </c>
      <c r="I376" s="18">
        <f t="shared" si="364"/>
        <v>7.9168635768504059</v>
      </c>
      <c r="J376" s="18">
        <f t="shared" si="364"/>
        <v>12.034919959785507</v>
      </c>
      <c r="K376" s="18">
        <f t="shared" si="364"/>
        <v>18.521422970640145</v>
      </c>
      <c r="L376" s="18">
        <f t="shared" si="364"/>
        <v>41.890239835751451</v>
      </c>
      <c r="M376" s="18">
        <f t="shared" si="364"/>
        <v>9.2215109491206118</v>
      </c>
      <c r="N376" s="18">
        <f t="shared" si="364"/>
        <v>5.8777631284879179</v>
      </c>
      <c r="O376" s="18">
        <f t="shared" si="364"/>
        <v>0</v>
      </c>
      <c r="P376" s="18">
        <f t="shared" si="364"/>
        <v>0</v>
      </c>
      <c r="Q376" s="18">
        <f t="shared" si="364"/>
        <v>0</v>
      </c>
      <c r="R376" s="18">
        <f t="shared" si="364"/>
        <v>0</v>
      </c>
      <c r="S376" s="18">
        <f t="shared" si="364"/>
        <v>0</v>
      </c>
      <c r="T376" s="18">
        <f t="shared" si="364"/>
        <v>0</v>
      </c>
      <c r="U376" s="18">
        <f t="shared" si="364"/>
        <v>0</v>
      </c>
      <c r="V376" s="18">
        <f t="shared" si="364"/>
        <v>0</v>
      </c>
      <c r="W376" s="18">
        <f t="shared" si="364"/>
        <v>0</v>
      </c>
      <c r="X376" s="18">
        <f t="shared" si="364"/>
        <v>0</v>
      </c>
      <c r="Y376" s="18">
        <f t="shared" si="364"/>
        <v>0</v>
      </c>
      <c r="Z376" s="18">
        <f t="shared" si="364"/>
        <v>0</v>
      </c>
      <c r="AA376" s="18">
        <f t="shared" si="364"/>
        <v>0</v>
      </c>
      <c r="AB376" s="18">
        <f t="shared" si="364"/>
        <v>0</v>
      </c>
      <c r="AC376" s="18">
        <f t="shared" si="364"/>
        <v>0</v>
      </c>
      <c r="AD376" s="18">
        <f t="shared" si="364"/>
        <v>0</v>
      </c>
      <c r="AE376" s="18">
        <f t="shared" si="364"/>
        <v>0</v>
      </c>
      <c r="AF376" s="18">
        <f t="shared" si="364"/>
        <v>0</v>
      </c>
      <c r="AG376" s="18">
        <f t="shared" si="364"/>
        <v>0</v>
      </c>
      <c r="AH376" s="18">
        <f t="shared" si="364"/>
        <v>0</v>
      </c>
      <c r="AI376" s="18">
        <f t="shared" si="364"/>
        <v>0</v>
      </c>
      <c r="AJ376" s="18">
        <f t="shared" si="364"/>
        <v>0</v>
      </c>
      <c r="AK376" s="18">
        <f t="shared" si="364"/>
        <v>0</v>
      </c>
      <c r="AL376" s="78"/>
      <c r="AM376" s="43">
        <v>360</v>
      </c>
      <c r="AN376">
        <v>259.894831655953</v>
      </c>
      <c r="AO376">
        <v>144.65948941179408</v>
      </c>
      <c r="AP376">
        <v>543.21600891180708</v>
      </c>
      <c r="AQ376">
        <v>840.61376921295516</v>
      </c>
      <c r="AR376">
        <v>135.95407465851082</v>
      </c>
      <c r="AS376">
        <v>1285.1336925053502</v>
      </c>
      <c r="AT376">
        <v>72.93489182094082</v>
      </c>
      <c r="AU376">
        <v>85.891715803235186</v>
      </c>
      <c r="AV376"/>
      <c r="AW376"/>
      <c r="FY376" s="211">
        <v>371</v>
      </c>
      <c r="FZ376">
        <v>94.274360545547609</v>
      </c>
      <c r="GA376">
        <v>139.17917974621676</v>
      </c>
      <c r="GB376">
        <v>42.742058700634246</v>
      </c>
      <c r="GC376">
        <v>44.294275451716175</v>
      </c>
      <c r="GD376">
        <v>45.547522493803811</v>
      </c>
      <c r="GE376">
        <v>66.997511894503106</v>
      </c>
      <c r="GF376">
        <v>108.45815713884318</v>
      </c>
      <c r="GG376">
        <v>78.452838076060615</v>
      </c>
      <c r="GH376">
        <v>32.099887392466258</v>
      </c>
      <c r="GI376">
        <v>84.227036604340398</v>
      </c>
      <c r="GJ376"/>
      <c r="GK376"/>
      <c r="GL376"/>
      <c r="GM376"/>
    </row>
    <row r="377" spans="1:195" s="7" customFormat="1">
      <c r="A377" s="95"/>
      <c r="B377" s="71">
        <f t="shared" si="357"/>
        <v>39775</v>
      </c>
      <c r="C377" s="18">
        <f t="shared" si="358"/>
        <v>417.64390701890693</v>
      </c>
      <c r="D377" s="18">
        <f t="shared" si="359"/>
        <v>228.06977336094141</v>
      </c>
      <c r="E377" s="19">
        <f t="shared" si="360"/>
        <v>0.54608667701841174</v>
      </c>
      <c r="F377" s="19">
        <f>IF(F391&lt;0,0,F391)</f>
        <v>2.3569106977070226E-2</v>
      </c>
      <c r="G377" s="18">
        <f>AVERAGE(E268:E277)*G$372</f>
        <v>0</v>
      </c>
      <c r="H377" s="18">
        <f t="shared" ref="H377:AK377" si="365">AVERAGE(F268:F277)*H$372</f>
        <v>0.5285179166666667</v>
      </c>
      <c r="I377" s="18">
        <f t="shared" si="365"/>
        <v>11.492305345460537</v>
      </c>
      <c r="J377" s="18">
        <f t="shared" si="365"/>
        <v>2.0245659745433562</v>
      </c>
      <c r="K377" s="18">
        <f t="shared" si="365"/>
        <v>14.843566090620048</v>
      </c>
      <c r="L377" s="18">
        <f t="shared" si="365"/>
        <v>80.389204113926496</v>
      </c>
      <c r="M377" s="18">
        <f t="shared" si="365"/>
        <v>88.538494074872006</v>
      </c>
      <c r="N377" s="18">
        <f t="shared" si="365"/>
        <v>24.09882882680046</v>
      </c>
      <c r="O377" s="18">
        <f t="shared" si="365"/>
        <v>6.1542910180518637</v>
      </c>
      <c r="P377" s="18">
        <f t="shared" si="365"/>
        <v>0</v>
      </c>
      <c r="Q377" s="18">
        <f t="shared" si="365"/>
        <v>0</v>
      </c>
      <c r="R377" s="18">
        <f t="shared" si="365"/>
        <v>0</v>
      </c>
      <c r="S377" s="18">
        <f t="shared" si="365"/>
        <v>0</v>
      </c>
      <c r="T377" s="18">
        <f t="shared" si="365"/>
        <v>0</v>
      </c>
      <c r="U377" s="18">
        <f t="shared" si="365"/>
        <v>0</v>
      </c>
      <c r="V377" s="18">
        <f t="shared" si="365"/>
        <v>0</v>
      </c>
      <c r="W377" s="18">
        <f t="shared" si="365"/>
        <v>0</v>
      </c>
      <c r="X377" s="18">
        <f t="shared" si="365"/>
        <v>0</v>
      </c>
      <c r="Y377" s="18">
        <f t="shared" si="365"/>
        <v>0</v>
      </c>
      <c r="Z377" s="18">
        <f t="shared" si="365"/>
        <v>0</v>
      </c>
      <c r="AA377" s="18">
        <f t="shared" si="365"/>
        <v>0</v>
      </c>
      <c r="AB377" s="18">
        <f t="shared" si="365"/>
        <v>0</v>
      </c>
      <c r="AC377" s="18">
        <f t="shared" si="365"/>
        <v>0</v>
      </c>
      <c r="AD377" s="18">
        <f t="shared" si="365"/>
        <v>0</v>
      </c>
      <c r="AE377" s="18">
        <f t="shared" si="365"/>
        <v>0</v>
      </c>
      <c r="AF377" s="18">
        <f t="shared" si="365"/>
        <v>0</v>
      </c>
      <c r="AG377" s="18">
        <f t="shared" si="365"/>
        <v>0</v>
      </c>
      <c r="AH377" s="18">
        <f t="shared" si="365"/>
        <v>0</v>
      </c>
      <c r="AI377" s="18">
        <f t="shared" si="365"/>
        <v>0</v>
      </c>
      <c r="AJ377" s="18">
        <f t="shared" si="365"/>
        <v>0</v>
      </c>
      <c r="AK377" s="18">
        <f t="shared" si="365"/>
        <v>0</v>
      </c>
      <c r="AL377" s="78"/>
      <c r="AM377" s="43">
        <v>361</v>
      </c>
      <c r="AN377">
        <v>274.1126013358359</v>
      </c>
      <c r="AO377">
        <v>173.78259332795204</v>
      </c>
      <c r="AP377">
        <v>975.92177513173965</v>
      </c>
      <c r="AQ377">
        <v>914.64805832418222</v>
      </c>
      <c r="AR377">
        <v>163.79489545440066</v>
      </c>
      <c r="AS377">
        <v>1568.3931908067168</v>
      </c>
      <c r="AT377">
        <v>89.738244689754126</v>
      </c>
      <c r="AU377">
        <v>259.33299498037314</v>
      </c>
      <c r="AV377"/>
      <c r="AW377"/>
      <c r="FY377" s="211">
        <v>372</v>
      </c>
      <c r="FZ377">
        <v>131.19421048609215</v>
      </c>
      <c r="GA377">
        <v>146.35825370947194</v>
      </c>
      <c r="GB377">
        <v>56.255089877101192</v>
      </c>
      <c r="GC377">
        <v>46.325896785416155</v>
      </c>
      <c r="GD377">
        <v>31.43622096396043</v>
      </c>
      <c r="GE377">
        <v>60.656733023882985</v>
      </c>
      <c r="GF377">
        <v>118.23976770725864</v>
      </c>
      <c r="GG377">
        <v>158.24054117880718</v>
      </c>
      <c r="GH377">
        <v>182.15857480542564</v>
      </c>
      <c r="GI377">
        <v>111.96373985673006</v>
      </c>
      <c r="GJ377"/>
      <c r="GK377"/>
      <c r="GL377"/>
      <c r="GM377"/>
    </row>
    <row r="378" spans="1:195" s="7" customFormat="1">
      <c r="A378" s="95"/>
      <c r="B378" s="71">
        <f t="shared" si="357"/>
        <v>39799</v>
      </c>
      <c r="C378" s="18">
        <f t="shared" si="358"/>
        <v>1094.2816782890313</v>
      </c>
      <c r="D378" s="18">
        <f t="shared" si="359"/>
        <v>292.95915365672533</v>
      </c>
      <c r="E378" s="19">
        <f t="shared" si="360"/>
        <v>0.26771822965617303</v>
      </c>
      <c r="F378" s="19">
        <f t="shared" ref="F378:F382" si="366">IF(F392&lt;0,0,F392)</f>
        <v>0</v>
      </c>
      <c r="G378" s="18">
        <f>AVERAGE(E278:E287)*G$372</f>
        <v>2.7351083566709535E-2</v>
      </c>
      <c r="H378" s="18">
        <f t="shared" ref="H378:AK378" si="367">AVERAGE(F278:F287)*H$372</f>
        <v>6.1419643498954066</v>
      </c>
      <c r="I378" s="18">
        <f t="shared" si="367"/>
        <v>23.06972303827909</v>
      </c>
      <c r="J378" s="18">
        <f t="shared" si="367"/>
        <v>0.67485532484778543</v>
      </c>
      <c r="K378" s="18">
        <f t="shared" si="367"/>
        <v>0</v>
      </c>
      <c r="L378" s="18">
        <f t="shared" si="367"/>
        <v>94.120906731278467</v>
      </c>
      <c r="M378" s="18">
        <f t="shared" si="367"/>
        <v>143.25812080112726</v>
      </c>
      <c r="N378" s="18">
        <f t="shared" si="367"/>
        <v>25.666232327730569</v>
      </c>
      <c r="O378" s="18">
        <f t="shared" si="367"/>
        <v>0</v>
      </c>
      <c r="P378" s="18">
        <f t="shared" si="367"/>
        <v>0</v>
      </c>
      <c r="Q378" s="18">
        <f t="shared" si="367"/>
        <v>0</v>
      </c>
      <c r="R378" s="18">
        <f t="shared" si="367"/>
        <v>0</v>
      </c>
      <c r="S378" s="18">
        <f t="shared" si="367"/>
        <v>0</v>
      </c>
      <c r="T378" s="18">
        <f t="shared" si="367"/>
        <v>0</v>
      </c>
      <c r="U378" s="18">
        <f t="shared" si="367"/>
        <v>0</v>
      </c>
      <c r="V378" s="18">
        <f t="shared" si="367"/>
        <v>0</v>
      </c>
      <c r="W378" s="18">
        <f t="shared" si="367"/>
        <v>0</v>
      </c>
      <c r="X378" s="18">
        <f t="shared" si="367"/>
        <v>0</v>
      </c>
      <c r="Y378" s="18">
        <f t="shared" si="367"/>
        <v>0</v>
      </c>
      <c r="Z378" s="18">
        <f t="shared" si="367"/>
        <v>0</v>
      </c>
      <c r="AA378" s="18">
        <f t="shared" si="367"/>
        <v>0</v>
      </c>
      <c r="AB378" s="18">
        <f t="shared" si="367"/>
        <v>0</v>
      </c>
      <c r="AC378" s="18">
        <f t="shared" si="367"/>
        <v>0</v>
      </c>
      <c r="AD378" s="18">
        <f t="shared" si="367"/>
        <v>0</v>
      </c>
      <c r="AE378" s="18">
        <f t="shared" si="367"/>
        <v>0</v>
      </c>
      <c r="AF378" s="18">
        <f t="shared" si="367"/>
        <v>0</v>
      </c>
      <c r="AG378" s="18">
        <f t="shared" si="367"/>
        <v>0</v>
      </c>
      <c r="AH378" s="18">
        <f t="shared" si="367"/>
        <v>0</v>
      </c>
      <c r="AI378" s="18">
        <f t="shared" si="367"/>
        <v>0</v>
      </c>
      <c r="AJ378" s="18">
        <f t="shared" si="367"/>
        <v>0</v>
      </c>
      <c r="AK378" s="18">
        <f t="shared" si="367"/>
        <v>0</v>
      </c>
      <c r="AL378" s="78"/>
      <c r="AM378" s="43">
        <v>362</v>
      </c>
      <c r="AN378">
        <v>232.56442434767069</v>
      </c>
      <c r="AO378">
        <v>129.55037673553701</v>
      </c>
      <c r="AP378">
        <v>605.96500524706858</v>
      </c>
      <c r="AQ378">
        <v>717.57820455355443</v>
      </c>
      <c r="AR378">
        <v>122.5744329576914</v>
      </c>
      <c r="AS378">
        <v>1268.4969992128324</v>
      </c>
      <c r="AT378">
        <v>66.151283077543937</v>
      </c>
      <c r="AU378">
        <v>114.06413056321627</v>
      </c>
      <c r="AV378"/>
      <c r="AW378"/>
      <c r="FY378" s="211">
        <v>373</v>
      </c>
      <c r="FZ378">
        <v>115.47456166816255</v>
      </c>
      <c r="GA378">
        <v>127.94058666192744</v>
      </c>
      <c r="GB378">
        <v>44.778697318322777</v>
      </c>
      <c r="GC378">
        <v>45.03789820398174</v>
      </c>
      <c r="GD378">
        <v>30.30693208994871</v>
      </c>
      <c r="GE378">
        <v>72.653974841823455</v>
      </c>
      <c r="GF378">
        <v>130.65161117771419</v>
      </c>
      <c r="GG378">
        <v>63.273021109752754</v>
      </c>
      <c r="GH378">
        <v>61.296421475975684</v>
      </c>
      <c r="GI378">
        <v>88.759698717046987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368">+C10</f>
        <v>39847</v>
      </c>
      <c r="C379" s="18">
        <f t="shared" si="358"/>
        <v>122.91666666666666</v>
      </c>
      <c r="D379" s="18">
        <f t="shared" si="359"/>
        <v>153.98239070855681</v>
      </c>
      <c r="E379" s="19">
        <f t="shared" si="360"/>
        <v>1.2527380939001234</v>
      </c>
      <c r="F379" s="19">
        <f t="shared" si="366"/>
        <v>3.214899717254658E-2</v>
      </c>
      <c r="G379" s="18">
        <f>AVERAGE(E288:E297)*G$372</f>
        <v>0</v>
      </c>
      <c r="H379" s="18">
        <f t="shared" ref="H379:AK379" si="369">AVERAGE(F288:F297)*H$372</f>
        <v>0.32431781249999997</v>
      </c>
      <c r="I379" s="18">
        <f t="shared" si="369"/>
        <v>0.91545137727521619</v>
      </c>
      <c r="J379" s="18">
        <f t="shared" si="369"/>
        <v>0.2249517749492618</v>
      </c>
      <c r="K379" s="18">
        <f t="shared" si="369"/>
        <v>1.6957783219254356</v>
      </c>
      <c r="L379" s="18">
        <f t="shared" si="369"/>
        <v>10.762077822435669</v>
      </c>
      <c r="M379" s="18">
        <f t="shared" si="369"/>
        <v>28.573695898683585</v>
      </c>
      <c r="N379" s="18">
        <f t="shared" si="369"/>
        <v>56.57347011169621</v>
      </c>
      <c r="O379" s="18">
        <f t="shared" si="369"/>
        <v>33.848600599285255</v>
      </c>
      <c r="P379" s="18">
        <f t="shared" si="369"/>
        <v>21.064046989806187</v>
      </c>
      <c r="Q379" s="18">
        <f t="shared" si="369"/>
        <v>0</v>
      </c>
      <c r="R379" s="18">
        <f t="shared" si="369"/>
        <v>0</v>
      </c>
      <c r="S379" s="18">
        <f t="shared" si="369"/>
        <v>0</v>
      </c>
      <c r="T379" s="18">
        <f t="shared" si="369"/>
        <v>0</v>
      </c>
      <c r="U379" s="18">
        <f t="shared" si="369"/>
        <v>0</v>
      </c>
      <c r="V379" s="18">
        <f t="shared" si="369"/>
        <v>0</v>
      </c>
      <c r="W379" s="18">
        <f t="shared" si="369"/>
        <v>0</v>
      </c>
      <c r="X379" s="18">
        <f t="shared" si="369"/>
        <v>0</v>
      </c>
      <c r="Y379" s="18">
        <f t="shared" si="369"/>
        <v>0</v>
      </c>
      <c r="Z379" s="18">
        <f t="shared" si="369"/>
        <v>0</v>
      </c>
      <c r="AA379" s="18">
        <f t="shared" si="369"/>
        <v>0</v>
      </c>
      <c r="AB379" s="18">
        <f t="shared" si="369"/>
        <v>0</v>
      </c>
      <c r="AC379" s="18">
        <f t="shared" si="369"/>
        <v>0</v>
      </c>
      <c r="AD379" s="18">
        <f t="shared" si="369"/>
        <v>0</v>
      </c>
      <c r="AE379" s="18">
        <f t="shared" si="369"/>
        <v>0</v>
      </c>
      <c r="AF379" s="18">
        <f t="shared" si="369"/>
        <v>0</v>
      </c>
      <c r="AG379" s="18">
        <f t="shared" si="369"/>
        <v>0</v>
      </c>
      <c r="AH379" s="18">
        <f t="shared" si="369"/>
        <v>0</v>
      </c>
      <c r="AI379" s="18">
        <f t="shared" si="369"/>
        <v>0</v>
      </c>
      <c r="AJ379" s="18">
        <f t="shared" si="369"/>
        <v>0</v>
      </c>
      <c r="AK379" s="18">
        <f t="shared" si="369"/>
        <v>0</v>
      </c>
      <c r="AL379" s="78"/>
      <c r="AM379" s="43">
        <v>363</v>
      </c>
      <c r="AN379">
        <v>327.84756992013433</v>
      </c>
      <c r="AO379">
        <v>187.32995691889397</v>
      </c>
      <c r="AP379">
        <v>761.65713632407142</v>
      </c>
      <c r="AQ379">
        <v>1074.8962092865761</v>
      </c>
      <c r="AR379">
        <v>175.65667979196411</v>
      </c>
      <c r="AS379">
        <v>1732.7451136946293</v>
      </c>
      <c r="AT379">
        <v>87.33633237833071</v>
      </c>
      <c r="AU379">
        <v>298.51714653678374</v>
      </c>
      <c r="AV379"/>
      <c r="AW379"/>
      <c r="FY379" s="211">
        <v>374</v>
      </c>
      <c r="FZ379">
        <v>119.96306085633061</v>
      </c>
      <c r="GA379">
        <v>140.09894437152695</v>
      </c>
      <c r="GB379">
        <v>44.227301427726388</v>
      </c>
      <c r="GC379">
        <v>45.895338224644519</v>
      </c>
      <c r="GD379">
        <v>28.305404941738932</v>
      </c>
      <c r="GE379">
        <v>22.086771975742096</v>
      </c>
      <c r="GF379">
        <v>48.022961467394026</v>
      </c>
      <c r="GG379">
        <v>31.100188134723982</v>
      </c>
      <c r="GH379">
        <v>38.865809352988201</v>
      </c>
      <c r="GI379">
        <v>64.356693222036995</v>
      </c>
      <c r="GJ379"/>
      <c r="GK379"/>
      <c r="GL379"/>
      <c r="GM379"/>
    </row>
    <row r="380" spans="1:195" s="7" customFormat="1">
      <c r="A380" s="77" t="s">
        <v>62</v>
      </c>
      <c r="B380" s="71">
        <f t="shared" si="368"/>
        <v>39910</v>
      </c>
      <c r="C380" s="18">
        <f t="shared" si="358"/>
        <v>89.930555555555543</v>
      </c>
      <c r="D380" s="18">
        <f t="shared" si="359"/>
        <v>57.581338781671477</v>
      </c>
      <c r="E380" s="19">
        <f t="shared" si="360"/>
        <v>0.64028670151047828</v>
      </c>
      <c r="F380" s="19">
        <f t="shared" si="366"/>
        <v>0</v>
      </c>
      <c r="G380" s="18">
        <f>AVERAGE(E298:E307)*G$372</f>
        <v>0</v>
      </c>
      <c r="H380" s="18">
        <f t="shared" ref="H380:AK380" si="370">AVERAGE(F298:F307)*H$372</f>
        <v>0.20019618055555555</v>
      </c>
      <c r="I380" s="18">
        <f t="shared" si="370"/>
        <v>2.7972125416742717</v>
      </c>
      <c r="J380" s="18">
        <f t="shared" si="370"/>
        <v>0</v>
      </c>
      <c r="K380" s="18">
        <f t="shared" si="370"/>
        <v>0</v>
      </c>
      <c r="L380" s="18">
        <f t="shared" si="370"/>
        <v>6.1497587556775244</v>
      </c>
      <c r="M380" s="18">
        <f t="shared" si="370"/>
        <v>18.572902334144331</v>
      </c>
      <c r="N380" s="18">
        <f t="shared" si="370"/>
        <v>23.706977951567932</v>
      </c>
      <c r="O380" s="18">
        <f t="shared" si="370"/>
        <v>6.1542910180518637</v>
      </c>
      <c r="P380" s="18">
        <f t="shared" si="370"/>
        <v>0</v>
      </c>
      <c r="Q380" s="18">
        <f t="shared" si="370"/>
        <v>0</v>
      </c>
      <c r="R380" s="18">
        <f t="shared" si="370"/>
        <v>0</v>
      </c>
      <c r="S380" s="18">
        <f t="shared" si="370"/>
        <v>0</v>
      </c>
      <c r="T380" s="18">
        <f t="shared" si="370"/>
        <v>0</v>
      </c>
      <c r="U380" s="18">
        <f t="shared" si="370"/>
        <v>0</v>
      </c>
      <c r="V380" s="18">
        <f t="shared" si="370"/>
        <v>0</v>
      </c>
      <c r="W380" s="18">
        <f t="shared" si="370"/>
        <v>0</v>
      </c>
      <c r="X380" s="18">
        <f t="shared" si="370"/>
        <v>0</v>
      </c>
      <c r="Y380" s="18">
        <f t="shared" si="370"/>
        <v>0</v>
      </c>
      <c r="Z380" s="18">
        <f t="shared" si="370"/>
        <v>0</v>
      </c>
      <c r="AA380" s="18">
        <f t="shared" si="370"/>
        <v>0</v>
      </c>
      <c r="AB380" s="18">
        <f t="shared" si="370"/>
        <v>0</v>
      </c>
      <c r="AC380" s="18">
        <f t="shared" si="370"/>
        <v>0</v>
      </c>
      <c r="AD380" s="18">
        <f t="shared" si="370"/>
        <v>0</v>
      </c>
      <c r="AE380" s="18">
        <f t="shared" si="370"/>
        <v>0</v>
      </c>
      <c r="AF380" s="18">
        <f t="shared" si="370"/>
        <v>0</v>
      </c>
      <c r="AG380" s="18">
        <f t="shared" si="370"/>
        <v>0</v>
      </c>
      <c r="AH380" s="18">
        <f t="shared" si="370"/>
        <v>0</v>
      </c>
      <c r="AI380" s="18">
        <f t="shared" si="370"/>
        <v>0</v>
      </c>
      <c r="AJ380" s="18">
        <f t="shared" si="370"/>
        <v>0</v>
      </c>
      <c r="AK380" s="18">
        <f t="shared" si="370"/>
        <v>0</v>
      </c>
      <c r="AL380" s="78"/>
      <c r="AM380" s="43">
        <v>364</v>
      </c>
      <c r="AN380">
        <v>182.93980625240224</v>
      </c>
      <c r="AO380">
        <v>93.892059317123852</v>
      </c>
      <c r="AP380">
        <v>348.28296443626533</v>
      </c>
      <c r="AQ380">
        <v>553.69349303914817</v>
      </c>
      <c r="AR380">
        <v>90.08818515745125</v>
      </c>
      <c r="AS380">
        <v>937.36670265357645</v>
      </c>
      <c r="AT380">
        <v>44.182638686849479</v>
      </c>
      <c r="AU380">
        <v>2.9045875416058706</v>
      </c>
      <c r="AV380"/>
      <c r="AW380"/>
      <c r="FY380" s="211">
        <v>375</v>
      </c>
      <c r="FZ380">
        <v>132.30273012532686</v>
      </c>
      <c r="GA380">
        <v>135.50563909180326</v>
      </c>
      <c r="GB380">
        <v>34.771714186531383</v>
      </c>
      <c r="GC380">
        <v>35.25206233262346</v>
      </c>
      <c r="GD380">
        <v>50.239121428203802</v>
      </c>
      <c r="GE380">
        <v>105.72143301182838</v>
      </c>
      <c r="GF380">
        <v>95.20207706746578</v>
      </c>
      <c r="GG380">
        <v>54.362407481610219</v>
      </c>
      <c r="GH380">
        <v>64.87211276204755</v>
      </c>
      <c r="GI380">
        <v>93.113648039810741</v>
      </c>
      <c r="GJ380"/>
      <c r="GK380"/>
      <c r="GL380"/>
      <c r="GM380"/>
    </row>
    <row r="381" spans="1:195" s="7" customFormat="1">
      <c r="A381" s="1"/>
      <c r="B381" s="71">
        <f t="shared" si="368"/>
        <v>39949</v>
      </c>
      <c r="C381" s="18">
        <f t="shared" si="358"/>
        <v>20.833333333333332</v>
      </c>
      <c r="D381" s="18">
        <f t="shared" si="359"/>
        <v>64.019305335061915</v>
      </c>
      <c r="E381" s="19">
        <f t="shared" si="360"/>
        <v>3.0729266560829722</v>
      </c>
      <c r="F381" s="19">
        <f t="shared" si="366"/>
        <v>4.0217170448389787E-2</v>
      </c>
      <c r="G381" s="18">
        <f>AVERAGE(E308:E317)*G$372</f>
        <v>0</v>
      </c>
      <c r="H381" s="18">
        <f t="shared" ref="H381:AK381" si="371">AVERAGE(F308:F317)*H$372</f>
        <v>0</v>
      </c>
      <c r="I381" s="18">
        <f t="shared" si="371"/>
        <v>0</v>
      </c>
      <c r="J381" s="18">
        <f t="shared" si="371"/>
        <v>0</v>
      </c>
      <c r="K381" s="18">
        <f t="shared" si="371"/>
        <v>0</v>
      </c>
      <c r="L381" s="18">
        <f t="shared" si="371"/>
        <v>1.7570739301935783</v>
      </c>
      <c r="M381" s="18">
        <f t="shared" si="371"/>
        <v>4.2860543848025383</v>
      </c>
      <c r="N381" s="18">
        <f t="shared" si="371"/>
        <v>0</v>
      </c>
      <c r="O381" s="18">
        <f t="shared" si="371"/>
        <v>21.540018563181526</v>
      </c>
      <c r="P381" s="18">
        <f t="shared" si="371"/>
        <v>25.27685638776742</v>
      </c>
      <c r="Q381" s="18">
        <f t="shared" si="371"/>
        <v>11.159302069116851</v>
      </c>
      <c r="R381" s="18">
        <f t="shared" si="371"/>
        <v>0</v>
      </c>
      <c r="S381" s="18">
        <f t="shared" si="371"/>
        <v>0</v>
      </c>
      <c r="T381" s="18">
        <f t="shared" si="371"/>
        <v>0</v>
      </c>
      <c r="U381" s="18">
        <f t="shared" si="371"/>
        <v>0</v>
      </c>
      <c r="V381" s="18">
        <f t="shared" si="371"/>
        <v>0</v>
      </c>
      <c r="W381" s="18">
        <f t="shared" si="371"/>
        <v>0</v>
      </c>
      <c r="X381" s="18">
        <f t="shared" si="371"/>
        <v>0</v>
      </c>
      <c r="Y381" s="18">
        <f t="shared" si="371"/>
        <v>0</v>
      </c>
      <c r="Z381" s="18">
        <f t="shared" si="371"/>
        <v>0</v>
      </c>
      <c r="AA381" s="18">
        <f t="shared" si="371"/>
        <v>0</v>
      </c>
      <c r="AB381" s="18">
        <f t="shared" si="371"/>
        <v>0</v>
      </c>
      <c r="AC381" s="18">
        <f t="shared" si="371"/>
        <v>0</v>
      </c>
      <c r="AD381" s="18">
        <f t="shared" si="371"/>
        <v>0</v>
      </c>
      <c r="AE381" s="18">
        <f t="shared" si="371"/>
        <v>0</v>
      </c>
      <c r="AF381" s="18">
        <f t="shared" si="371"/>
        <v>0</v>
      </c>
      <c r="AG381" s="18">
        <f t="shared" si="371"/>
        <v>0</v>
      </c>
      <c r="AH381" s="18">
        <f t="shared" si="371"/>
        <v>0</v>
      </c>
      <c r="AI381" s="18">
        <f t="shared" si="371"/>
        <v>0</v>
      </c>
      <c r="AJ381" s="18">
        <f t="shared" si="371"/>
        <v>0</v>
      </c>
      <c r="AK381" s="18">
        <f t="shared" si="371"/>
        <v>0</v>
      </c>
      <c r="AL381" s="78"/>
      <c r="AM381" s="43">
        <v>365</v>
      </c>
      <c r="AN381">
        <v>242.39431238736248</v>
      </c>
      <c r="AO381">
        <v>129.62475882012436</v>
      </c>
      <c r="AP381">
        <v>479.8397432467217</v>
      </c>
      <c r="AQ381">
        <v>725.27693994557205</v>
      </c>
      <c r="AR381">
        <v>121.79379360047409</v>
      </c>
      <c r="AS381">
        <v>1254.6762887070213</v>
      </c>
      <c r="AT381">
        <v>61.549509284761648</v>
      </c>
      <c r="AU381">
        <v>117.37157323919368</v>
      </c>
      <c r="AV381"/>
      <c r="AW381"/>
      <c r="FY381" s="211">
        <v>376</v>
      </c>
      <c r="FZ381">
        <v>107.23506371589119</v>
      </c>
      <c r="GA381">
        <v>140.76255504998318</v>
      </c>
      <c r="GB381">
        <v>48.003502818397848</v>
      </c>
      <c r="GC381">
        <v>45.097337149461282</v>
      </c>
      <c r="GD381">
        <v>36.412479875010909</v>
      </c>
      <c r="GE381">
        <v>69.036183896413135</v>
      </c>
      <c r="GF381">
        <v>137.73272854499766</v>
      </c>
      <c r="GG381">
        <v>99.821137929236869</v>
      </c>
      <c r="GH381">
        <v>76.300981092396569</v>
      </c>
      <c r="GI381">
        <v>96.289695238473271</v>
      </c>
      <c r="GJ381"/>
      <c r="GK381"/>
      <c r="GL381"/>
      <c r="GM381"/>
    </row>
    <row r="382" spans="1:195" s="7" customFormat="1">
      <c r="A382" s="1"/>
      <c r="B382" s="71">
        <f t="shared" si="368"/>
        <v>39987</v>
      </c>
      <c r="C382" s="18">
        <f t="shared" si="358"/>
        <v>107.99099219995213</v>
      </c>
      <c r="D382" s="18">
        <f t="shared" si="359"/>
        <v>45.665658525193386</v>
      </c>
      <c r="E382" s="19">
        <f t="shared" si="360"/>
        <v>0.42286544085677574</v>
      </c>
      <c r="F382" s="19">
        <f t="shared" si="366"/>
        <v>0</v>
      </c>
      <c r="G382" s="18">
        <f>AVERAGE(E318:E327)*G$372</f>
        <v>0</v>
      </c>
      <c r="H382" s="18">
        <f t="shared" ref="H382:AK382" si="372">AVERAGE(F318:F327)*H$372</f>
        <v>0</v>
      </c>
      <c r="I382" s="18">
        <f t="shared" si="372"/>
        <v>1.1361985178947718</v>
      </c>
      <c r="J382" s="18">
        <f t="shared" si="372"/>
        <v>15.045701165608429</v>
      </c>
      <c r="K382" s="18">
        <f t="shared" si="372"/>
        <v>0</v>
      </c>
      <c r="L382" s="18">
        <f t="shared" si="372"/>
        <v>13.084593097186223</v>
      </c>
      <c r="M382" s="18">
        <f t="shared" si="372"/>
        <v>2.8573695898683584</v>
      </c>
      <c r="N382" s="18">
        <f t="shared" si="372"/>
        <v>4.3103596275578058</v>
      </c>
      <c r="O382" s="18">
        <f t="shared" si="372"/>
        <v>9.2314365270777969</v>
      </c>
      <c r="P382" s="18">
        <f t="shared" si="372"/>
        <v>0</v>
      </c>
      <c r="Q382" s="18">
        <f t="shared" si="372"/>
        <v>0</v>
      </c>
      <c r="R382" s="18">
        <f t="shared" si="372"/>
        <v>0</v>
      </c>
      <c r="S382" s="18">
        <f t="shared" si="372"/>
        <v>0</v>
      </c>
      <c r="T382" s="18">
        <f t="shared" si="372"/>
        <v>0</v>
      </c>
      <c r="U382" s="18">
        <f t="shared" si="372"/>
        <v>0</v>
      </c>
      <c r="V382" s="18">
        <f t="shared" si="372"/>
        <v>0</v>
      </c>
      <c r="W382" s="18">
        <f t="shared" si="372"/>
        <v>0</v>
      </c>
      <c r="X382" s="18">
        <f t="shared" si="372"/>
        <v>0</v>
      </c>
      <c r="Y382" s="18">
        <f t="shared" si="372"/>
        <v>0</v>
      </c>
      <c r="Z382" s="18">
        <f t="shared" si="372"/>
        <v>0</v>
      </c>
      <c r="AA382" s="18">
        <f t="shared" si="372"/>
        <v>0</v>
      </c>
      <c r="AB382" s="18">
        <f t="shared" si="372"/>
        <v>0</v>
      </c>
      <c r="AC382" s="18">
        <f t="shared" si="372"/>
        <v>0</v>
      </c>
      <c r="AD382" s="18">
        <f t="shared" si="372"/>
        <v>0</v>
      </c>
      <c r="AE382" s="18">
        <f t="shared" si="372"/>
        <v>0</v>
      </c>
      <c r="AF382" s="18">
        <f t="shared" si="372"/>
        <v>0</v>
      </c>
      <c r="AG382" s="18">
        <f t="shared" si="372"/>
        <v>0</v>
      </c>
      <c r="AH382" s="18">
        <f t="shared" si="372"/>
        <v>0</v>
      </c>
      <c r="AI382" s="18">
        <f t="shared" si="372"/>
        <v>0</v>
      </c>
      <c r="AJ382" s="18">
        <f t="shared" si="372"/>
        <v>0</v>
      </c>
      <c r="AK382" s="18">
        <f t="shared" si="372"/>
        <v>0</v>
      </c>
      <c r="AL382" s="78"/>
      <c r="AM382" s="43">
        <v>366</v>
      </c>
      <c r="AN382">
        <v>295.60303756318234</v>
      </c>
      <c r="AO382">
        <v>166.1178987716892</v>
      </c>
      <c r="AP382">
        <v>764.06466201134594</v>
      </c>
      <c r="AQ382">
        <v>888.21275790685354</v>
      </c>
      <c r="AR382">
        <v>155.75114643686697</v>
      </c>
      <c r="AS382">
        <v>1651.2179096652101</v>
      </c>
      <c r="AT382">
        <v>76.659893048495221</v>
      </c>
      <c r="AU382">
        <v>201.43808036270909</v>
      </c>
      <c r="AV382"/>
      <c r="AW382"/>
      <c r="FY382" s="211">
        <v>377</v>
      </c>
      <c r="FZ382">
        <v>93.644715233589523</v>
      </c>
      <c r="GA382">
        <v>118.36262179089709</v>
      </c>
      <c r="GB382">
        <v>41.046015428935654</v>
      </c>
      <c r="GC382">
        <v>38.058977977942426</v>
      </c>
      <c r="GD382">
        <v>42.462447564174063</v>
      </c>
      <c r="GE382">
        <v>74.581624893570947</v>
      </c>
      <c r="GF382">
        <v>88.244224487537153</v>
      </c>
      <c r="GG382">
        <v>36.377081933798479</v>
      </c>
      <c r="GH382">
        <v>24.296789686797961</v>
      </c>
      <c r="GI382">
        <v>76.666580482875716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263.99197923052009</v>
      </c>
      <c r="AO383">
        <v>131.69132629097743</v>
      </c>
      <c r="AP383">
        <v>434.7276056161636</v>
      </c>
      <c r="AQ383">
        <v>711.64174049173243</v>
      </c>
      <c r="AR383">
        <v>125.14320661165371</v>
      </c>
      <c r="AS383">
        <v>1230.9335483311702</v>
      </c>
      <c r="AT383">
        <v>57.630661284663326</v>
      </c>
      <c r="AU383">
        <v>18.221243720077368</v>
      </c>
      <c r="AV383"/>
      <c r="AW383"/>
      <c r="FY383" s="211">
        <v>378</v>
      </c>
      <c r="FZ383">
        <v>123.10970885441077</v>
      </c>
      <c r="GA383">
        <v>147.78962503173301</v>
      </c>
      <c r="GB383">
        <v>43.780015515435487</v>
      </c>
      <c r="GC383">
        <v>39.828308114835714</v>
      </c>
      <c r="GD383">
        <v>42.642887483861998</v>
      </c>
      <c r="GE383">
        <v>65.842371978594599</v>
      </c>
      <c r="GF383">
        <v>51.088485655282085</v>
      </c>
      <c r="GG383">
        <v>31.73765203578877</v>
      </c>
      <c r="GH383">
        <v>55.897490257391752</v>
      </c>
      <c r="GI383">
        <v>77.620452733850101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300.17338327731409</v>
      </c>
      <c r="AO384">
        <v>164.86565913659769</v>
      </c>
      <c r="AP384">
        <v>773.63028326613539</v>
      </c>
      <c r="AQ384">
        <v>856.45248397629655</v>
      </c>
      <c r="AR384">
        <v>156.68533193329318</v>
      </c>
      <c r="AS384">
        <v>1465.5914513387154</v>
      </c>
      <c r="AT384">
        <v>75.468770153153741</v>
      </c>
      <c r="AU384">
        <v>255.52449651532828</v>
      </c>
      <c r="AV384"/>
      <c r="AW384"/>
      <c r="FY384" s="211">
        <v>379</v>
      </c>
      <c r="FZ384">
        <v>153.57554066326404</v>
      </c>
      <c r="GA384">
        <v>187.65790862471633</v>
      </c>
      <c r="GB384">
        <v>42.580076499693043</v>
      </c>
      <c r="GC384">
        <v>43.899963670442681</v>
      </c>
      <c r="GD384">
        <v>42.713332469412329</v>
      </c>
      <c r="GE384">
        <v>72.673693334800873</v>
      </c>
      <c r="GF384">
        <v>119.84913006666069</v>
      </c>
      <c r="GG384">
        <v>84.924376796339033</v>
      </c>
      <c r="GH384">
        <v>72.024922609422291</v>
      </c>
      <c r="GI384">
        <v>100.82854361993738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248.97398295585964</v>
      </c>
      <c r="AO385">
        <v>129.72802313736756</v>
      </c>
      <c r="AP385">
        <v>601.41742928724511</v>
      </c>
      <c r="AQ385">
        <v>686.52143779625601</v>
      </c>
      <c r="AR385">
        <v>122.68070161986884</v>
      </c>
      <c r="AS385">
        <v>1170.3564894757744</v>
      </c>
      <c r="AT385">
        <v>67.087265106577931</v>
      </c>
      <c r="AU385">
        <v>326.58724928415859</v>
      </c>
      <c r="AV385"/>
      <c r="AW385"/>
      <c r="FY385" s="211">
        <v>380</v>
      </c>
      <c r="FZ385">
        <v>101.99869938938897</v>
      </c>
      <c r="GA385">
        <v>165.34436995681017</v>
      </c>
      <c r="GB385">
        <v>53.023908294696803</v>
      </c>
      <c r="GC385">
        <v>35.927069948380016</v>
      </c>
      <c r="GD385">
        <v>44.99282802289413</v>
      </c>
      <c r="GE385">
        <v>116.36387053723965</v>
      </c>
      <c r="GF385">
        <v>132.41376705389871</v>
      </c>
      <c r="GG385">
        <v>92.928922043094801</v>
      </c>
      <c r="GH385">
        <v>116.49507211528135</v>
      </c>
      <c r="GI385">
        <v>107.25515506255377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280.87106226754298</v>
      </c>
      <c r="AO386">
        <v>161.9258876563029</v>
      </c>
      <c r="AP386">
        <v>704.47110534425497</v>
      </c>
      <c r="AQ386">
        <v>855.20239586438754</v>
      </c>
      <c r="AR386">
        <v>153.384751874031</v>
      </c>
      <c r="AS386">
        <v>1431.9921054615654</v>
      </c>
      <c r="AT386">
        <v>72.970069413474206</v>
      </c>
      <c r="AU386">
        <v>138.09449936775985</v>
      </c>
      <c r="AV386"/>
      <c r="AW386"/>
      <c r="FY386" s="211">
        <v>381</v>
      </c>
      <c r="FZ386">
        <v>101.66224006605624</v>
      </c>
      <c r="GA386">
        <v>162.21476719576998</v>
      </c>
      <c r="GB386">
        <v>59.728595617993427</v>
      </c>
      <c r="GC386">
        <v>44.706481790816291</v>
      </c>
      <c r="GD386">
        <v>38.465375311702452</v>
      </c>
      <c r="GE386">
        <v>60.226781317374616</v>
      </c>
      <c r="GF386">
        <v>73.224519472626596</v>
      </c>
      <c r="GG386">
        <v>34.586375003682207</v>
      </c>
      <c r="GH386">
        <v>36.097874252076714</v>
      </c>
      <c r="GI386">
        <v>78.073679530565443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253.16038096316979</v>
      </c>
      <c r="AO387">
        <v>136.07463560157379</v>
      </c>
      <c r="AP387">
        <v>600.99891490715481</v>
      </c>
      <c r="AQ387">
        <v>736.2728280441321</v>
      </c>
      <c r="AR387">
        <v>126.11583174955739</v>
      </c>
      <c r="AS387">
        <v>1064.4799442775491</v>
      </c>
      <c r="AT387">
        <v>61.11411777037705</v>
      </c>
      <c r="AU387">
        <v>201.81036111889387</v>
      </c>
      <c r="AV387"/>
      <c r="AW387"/>
      <c r="FY387" s="211">
        <v>382</v>
      </c>
      <c r="FZ387">
        <v>118.61546877426454</v>
      </c>
      <c r="GA387">
        <v>149.99164241651738</v>
      </c>
      <c r="GB387">
        <v>53.571183044930493</v>
      </c>
      <c r="GC387">
        <v>42.158020997074573</v>
      </c>
      <c r="GD387">
        <v>34.251595711387893</v>
      </c>
      <c r="GE387">
        <v>65.272193575202024</v>
      </c>
      <c r="GF387">
        <v>76.788790439913043</v>
      </c>
      <c r="GG387">
        <v>36.479631871731577</v>
      </c>
      <c r="GH387">
        <v>43.6081520165135</v>
      </c>
      <c r="GI387">
        <v>78.132590728236892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>
        <f t="shared" ref="F388:F398" si="373">IF(C374&lt;1,0,LN(E374/E373)/E21)</f>
        <v>3.2848767931578191E-2</v>
      </c>
      <c r="G388" s="13"/>
      <c r="H388" s="19">
        <f>IF(G406&lt;0,0,G406)</f>
        <v>0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235.04536178062784</v>
      </c>
      <c r="AO388">
        <v>182.85459213701591</v>
      </c>
      <c r="AP388">
        <v>881.07662384739842</v>
      </c>
      <c r="AQ388">
        <v>1042.8290283941465</v>
      </c>
      <c r="AR388">
        <v>172.93394363947652</v>
      </c>
      <c r="AS388">
        <v>1778.0164958834609</v>
      </c>
      <c r="AT388">
        <v>101.38483363605333</v>
      </c>
      <c r="AU388">
        <v>261.5960799926977</v>
      </c>
      <c r="AV388"/>
      <c r="AW388"/>
      <c r="FY388" s="211">
        <v>383</v>
      </c>
      <c r="FZ388">
        <v>107.62974397215953</v>
      </c>
      <c r="GA388">
        <v>190.24234465264306</v>
      </c>
      <c r="GB388">
        <v>77.15101393055059</v>
      </c>
      <c r="GC388">
        <v>42.785812133736187</v>
      </c>
      <c r="GD388">
        <v>34.300854441895176</v>
      </c>
      <c r="GE388">
        <v>54.650781519792091</v>
      </c>
      <c r="GF388">
        <v>50.760306571329522</v>
      </c>
      <c r="GG388">
        <v>28.371974882897717</v>
      </c>
      <c r="GH388">
        <v>42.112031944134969</v>
      </c>
      <c r="GI388">
        <v>76.768179347738439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>
        <f t="shared" si="373"/>
        <v>-3.4474560922315753E-2</v>
      </c>
      <c r="G389" s="13"/>
      <c r="H389" s="19">
        <f t="shared" ref="H389:H398" si="374">IF(G407&lt;0,0,G407)</f>
        <v>1.2944506590114719E-2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182.7591439028368</v>
      </c>
      <c r="AO389">
        <v>143.51121268820515</v>
      </c>
      <c r="AP389">
        <v>722.9827507369622</v>
      </c>
      <c r="AQ389">
        <v>780.17340326465626</v>
      </c>
      <c r="AR389">
        <v>135.63915546743621</v>
      </c>
      <c r="AS389">
        <v>1134.6556955211854</v>
      </c>
      <c r="AT389">
        <v>75.16607819272339</v>
      </c>
      <c r="AU389">
        <v>105.91176049755386</v>
      </c>
      <c r="AV389"/>
      <c r="AW389"/>
      <c r="FY389" s="211">
        <v>384</v>
      </c>
      <c r="FZ389">
        <v>111.55470971130447</v>
      </c>
      <c r="GA389">
        <v>163.82813146379183</v>
      </c>
      <c r="GB389">
        <v>50.431544600003591</v>
      </c>
      <c r="GC389">
        <v>41.301597213491362</v>
      </c>
      <c r="GD389">
        <v>49.559463777159081</v>
      </c>
      <c r="GE389">
        <v>78.661398323286875</v>
      </c>
      <c r="GF389">
        <v>59.618624871519337</v>
      </c>
      <c r="GG389">
        <v>62.654731986760495</v>
      </c>
      <c r="GH389">
        <v>79.749724019333541</v>
      </c>
      <c r="GI389">
        <v>88.956566094212576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>
        <f t="shared" si="373"/>
        <v>-4.3872210880437348E-3</v>
      </c>
      <c r="G390" s="13"/>
      <c r="H390" s="19">
        <f t="shared" si="374"/>
        <v>0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174.34415467517937</v>
      </c>
      <c r="AO390">
        <v>100.10698689279074</v>
      </c>
      <c r="AP390">
        <v>382.27622836782575</v>
      </c>
      <c r="AQ390">
        <v>582.92247397485266</v>
      </c>
      <c r="AR390">
        <v>97.239540825344321</v>
      </c>
      <c r="AS390">
        <v>915.65434203483107</v>
      </c>
      <c r="AT390">
        <v>50.698063292834597</v>
      </c>
      <c r="AU390">
        <v>51.838371566009812</v>
      </c>
      <c r="AV390"/>
      <c r="AW390"/>
      <c r="FY390" s="211">
        <v>385</v>
      </c>
      <c r="FZ390">
        <v>123.50404767486316</v>
      </c>
      <c r="GA390">
        <v>148.58230488231516</v>
      </c>
      <c r="GB390">
        <v>46.209183169459266</v>
      </c>
      <c r="GC390">
        <v>38.841077727015836</v>
      </c>
      <c r="GD390">
        <v>33.542084940915075</v>
      </c>
      <c r="GE390">
        <v>44.905869098018712</v>
      </c>
      <c r="GF390">
        <v>74.670844510406738</v>
      </c>
      <c r="GG390">
        <v>87.343557357935666</v>
      </c>
      <c r="GH390">
        <v>69.471185283607994</v>
      </c>
      <c r="GI390">
        <v>79.986891539933666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>
        <f t="shared" si="373"/>
        <v>2.3569106977070226E-2</v>
      </c>
      <c r="G391" s="13"/>
      <c r="H391" s="19">
        <f t="shared" si="374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290.50330202186819</v>
      </c>
      <c r="AO391">
        <v>146.28649789152988</v>
      </c>
      <c r="AP391">
        <v>617.39325154456776</v>
      </c>
      <c r="AQ391">
        <v>801.34294552725146</v>
      </c>
      <c r="AR391">
        <v>139.21382483090929</v>
      </c>
      <c r="AS391">
        <v>1415.7112494230066</v>
      </c>
      <c r="AT391">
        <v>67.879687037259785</v>
      </c>
      <c r="AU391">
        <v>41.024455520986663</v>
      </c>
      <c r="AV391"/>
      <c r="AW391"/>
      <c r="FY391" s="211">
        <v>386</v>
      </c>
      <c r="FZ391">
        <v>114.11727466988518</v>
      </c>
      <c r="GA391">
        <v>167.27400726036677</v>
      </c>
      <c r="GB391">
        <v>55.952425008820875</v>
      </c>
      <c r="GC391">
        <v>45.112281972222476</v>
      </c>
      <c r="GD391">
        <v>42.506785402386576</v>
      </c>
      <c r="GE391">
        <v>64.079635395806235</v>
      </c>
      <c r="GF391">
        <v>74.885331584737358</v>
      </c>
      <c r="GG391">
        <v>58.601529541163124</v>
      </c>
      <c r="GH391">
        <v>74.312025344687484</v>
      </c>
      <c r="GI391">
        <v>88.162180290819634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>
        <f t="shared" si="373"/>
        <v>-2.9701777780095712E-2</v>
      </c>
      <c r="G392" s="13"/>
      <c r="H392" s="19">
        <f t="shared" si="374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219.06846736750032</v>
      </c>
      <c r="AO392">
        <v>156.78365592650292</v>
      </c>
      <c r="AP392">
        <v>713.09108560557684</v>
      </c>
      <c r="AQ392">
        <v>856.69166531026201</v>
      </c>
      <c r="AR392">
        <v>147.05847634091606</v>
      </c>
      <c r="AS392">
        <v>1566.2248262914718</v>
      </c>
      <c r="AT392">
        <v>82.575750654618716</v>
      </c>
      <c r="AU392">
        <v>205.2614175563391</v>
      </c>
      <c r="AV392"/>
      <c r="AW392"/>
      <c r="FY392" s="211">
        <v>387</v>
      </c>
      <c r="FZ392">
        <v>114.25681355252223</v>
      </c>
      <c r="GA392">
        <v>161.78789656037929</v>
      </c>
      <c r="GB392">
        <v>57.043763597284475</v>
      </c>
      <c r="GC392">
        <v>43.150379620900452</v>
      </c>
      <c r="GD392">
        <v>30.185100360283531</v>
      </c>
      <c r="GE392">
        <v>37.553216113692109</v>
      </c>
      <c r="GF392">
        <v>58.726601970803401</v>
      </c>
      <c r="GG392">
        <v>55.54256899986548</v>
      </c>
      <c r="GH392">
        <v>59.533591039582262</v>
      </c>
      <c r="GI392">
        <v>74.309262085506859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>
        <f t="shared" si="373"/>
        <v>3.214899717254658E-2</v>
      </c>
      <c r="G393" s="13"/>
      <c r="H393" s="19">
        <f t="shared" si="374"/>
        <v>0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217.02763246696</v>
      </c>
      <c r="AO393">
        <v>120.66861870126311</v>
      </c>
      <c r="AP393">
        <v>442.03890084607895</v>
      </c>
      <c r="AQ393">
        <v>633.74107948011897</v>
      </c>
      <c r="AR393">
        <v>115.25196010351712</v>
      </c>
      <c r="AS393">
        <v>1188.9354774786398</v>
      </c>
      <c r="AT393">
        <v>52.709704280426621</v>
      </c>
      <c r="AU393">
        <v>152.03607381449541</v>
      </c>
      <c r="AV393"/>
      <c r="AW393"/>
      <c r="FY393" s="211">
        <v>388</v>
      </c>
      <c r="FZ393">
        <v>129.37319266720314</v>
      </c>
      <c r="GA393">
        <v>151.08902989004781</v>
      </c>
      <c r="GB393">
        <v>48.259385066891795</v>
      </c>
      <c r="GC393">
        <v>48.936706808669584</v>
      </c>
      <c r="GD393">
        <v>32.005165216681121</v>
      </c>
      <c r="GE393">
        <v>46.947834748591198</v>
      </c>
      <c r="GF393">
        <v>81.118290264913909</v>
      </c>
      <c r="GG393">
        <v>36.033936561194359</v>
      </c>
      <c r="GH393">
        <v>40.244229911277145</v>
      </c>
      <c r="GI393">
        <v>77.327966003979554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>
        <f t="shared" si="373"/>
        <v>-1.0653505756647117E-2</v>
      </c>
      <c r="G394" s="13"/>
      <c r="H394" s="19">
        <f t="shared" si="374"/>
        <v>0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259.64360542281344</v>
      </c>
      <c r="AO394">
        <v>120.13723387509216</v>
      </c>
      <c r="AP394">
        <v>408.32025422212143</v>
      </c>
      <c r="AQ394">
        <v>679.33699766118423</v>
      </c>
      <c r="AR394">
        <v>115.73495038460005</v>
      </c>
      <c r="AS394">
        <v>1252.8632423714846</v>
      </c>
      <c r="AT394">
        <v>56.243859762987547</v>
      </c>
      <c r="AU394">
        <v>-86.279635425623013</v>
      </c>
      <c r="AV394"/>
      <c r="AW394"/>
      <c r="FY394" s="211">
        <v>389</v>
      </c>
      <c r="FZ394">
        <v>104.61578353128176</v>
      </c>
      <c r="GA394">
        <v>150.81405864684399</v>
      </c>
      <c r="GB394">
        <v>63.122047656043641</v>
      </c>
      <c r="GC394">
        <v>53.579542407024356</v>
      </c>
      <c r="GD394">
        <v>41.018955733969143</v>
      </c>
      <c r="GE394">
        <v>42.476064642229026</v>
      </c>
      <c r="GF394">
        <v>57.818734399389577</v>
      </c>
      <c r="GG394">
        <v>85.529518948142581</v>
      </c>
      <c r="GH394">
        <v>89.024410066673383</v>
      </c>
      <c r="GI394">
        <v>86.15044920084236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>
        <f t="shared" si="373"/>
        <v>4.0217170448389787E-2</v>
      </c>
      <c r="G395" s="13"/>
      <c r="H395" s="19">
        <f t="shared" si="374"/>
        <v>0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260.67723541254719</v>
      </c>
      <c r="AO395">
        <v>161.48301926258733</v>
      </c>
      <c r="AP395">
        <v>718.14585225601252</v>
      </c>
      <c r="AQ395">
        <v>920.72748835468872</v>
      </c>
      <c r="AR395">
        <v>152.71731141598153</v>
      </c>
      <c r="AS395">
        <v>1670.1974267016617</v>
      </c>
      <c r="AT395">
        <v>82.530618033619888</v>
      </c>
      <c r="AU395">
        <v>41.479040256843398</v>
      </c>
      <c r="AV395"/>
      <c r="AW395"/>
      <c r="FY395" s="211">
        <v>390</v>
      </c>
      <c r="FZ395">
        <v>114.34057867323943</v>
      </c>
      <c r="GA395">
        <v>176.91661237786926</v>
      </c>
      <c r="GB395">
        <v>58.727182430406202</v>
      </c>
      <c r="GC395">
        <v>42.619735504792153</v>
      </c>
      <c r="GD395">
        <v>37.013768484865935</v>
      </c>
      <c r="GE395">
        <v>70.639537775468185</v>
      </c>
      <c r="GF395">
        <v>85.207923779703904</v>
      </c>
      <c r="GG395">
        <v>55.01854157436626</v>
      </c>
      <c r="GH395">
        <v>76.362111152446744</v>
      </c>
      <c r="GI395">
        <v>88.17962143069046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>
        <f t="shared" si="373"/>
        <v>-5.2192938761155466E-2</v>
      </c>
      <c r="G396" s="13"/>
      <c r="H396" s="19">
        <f t="shared" si="374"/>
        <v>3.0377033492027937E-2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315.53653716265234</v>
      </c>
      <c r="AO396">
        <v>174.81445808372166</v>
      </c>
      <c r="AP396">
        <v>749.11569305675835</v>
      </c>
      <c r="AQ396">
        <v>966.74366242423832</v>
      </c>
      <c r="AR396">
        <v>162.3776410165384</v>
      </c>
      <c r="AS396">
        <v>1522.264387597796</v>
      </c>
      <c r="AT396">
        <v>82.293916197372809</v>
      </c>
      <c r="AU396">
        <v>97.470998394250017</v>
      </c>
      <c r="AV396"/>
      <c r="AW396"/>
      <c r="FY396" s="211">
        <v>391</v>
      </c>
      <c r="FZ396">
        <v>104.27725790683056</v>
      </c>
      <c r="GA396">
        <v>155.30481916041197</v>
      </c>
      <c r="GB396">
        <v>60.170029837470807</v>
      </c>
      <c r="GC396">
        <v>39.433108629436077</v>
      </c>
      <c r="GD396">
        <v>43.254559170137938</v>
      </c>
      <c r="GE396">
        <v>93.003456005210325</v>
      </c>
      <c r="GF396">
        <v>90.893616444352332</v>
      </c>
      <c r="GG396">
        <v>35.955879846176686</v>
      </c>
      <c r="GH396">
        <v>47.300281827229483</v>
      </c>
      <c r="GI396">
        <v>86.533893805828228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373"/>
        <v>0</v>
      </c>
      <c r="G397" s="13"/>
      <c r="H397" s="19">
        <f t="shared" si="374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242.29431566002813</v>
      </c>
      <c r="AO397">
        <v>124.7684403138217</v>
      </c>
      <c r="AP397">
        <v>554.8355320790738</v>
      </c>
      <c r="AQ397">
        <v>688.98668955866401</v>
      </c>
      <c r="AR397">
        <v>117.54327847328885</v>
      </c>
      <c r="AS397">
        <v>1105.843809445219</v>
      </c>
      <c r="AT397">
        <v>59.08382603919538</v>
      </c>
      <c r="AU397">
        <v>169.97851685814101</v>
      </c>
      <c r="AV397"/>
      <c r="AW397"/>
      <c r="FY397" s="211">
        <v>392</v>
      </c>
      <c r="FZ397">
        <v>91.761152048857184</v>
      </c>
      <c r="GA397">
        <v>111.06807855289341</v>
      </c>
      <c r="GB397">
        <v>57.649311147993529</v>
      </c>
      <c r="GC397">
        <v>53.55240065010284</v>
      </c>
      <c r="GD397">
        <v>46.429820981255794</v>
      </c>
      <c r="GE397">
        <v>68.106377644101727</v>
      </c>
      <c r="GF397">
        <v>100.92663083942111</v>
      </c>
      <c r="GG397">
        <v>90.465919426915022</v>
      </c>
      <c r="GH397">
        <v>66.422843026757491</v>
      </c>
      <c r="GI397">
        <v>91.737669230715383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373"/>
        <v>0</v>
      </c>
      <c r="G398" s="13"/>
      <c r="H398" s="19">
        <f t="shared" si="374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233.21769191368313</v>
      </c>
      <c r="AO398">
        <v>122.85130487482297</v>
      </c>
      <c r="AP398">
        <v>535.94701305250101</v>
      </c>
      <c r="AQ398">
        <v>698.86926957577191</v>
      </c>
      <c r="AR398">
        <v>116.5949393796168</v>
      </c>
      <c r="AS398">
        <v>1197.0881238174727</v>
      </c>
      <c r="AT398">
        <v>60.046440376930498</v>
      </c>
      <c r="AU398">
        <v>82.629901158093588</v>
      </c>
      <c r="AV398"/>
      <c r="AW398"/>
      <c r="FY398" s="211">
        <v>393</v>
      </c>
      <c r="FZ398">
        <v>108.80589544721967</v>
      </c>
      <c r="GA398">
        <v>138.10623434541964</v>
      </c>
      <c r="GB398">
        <v>56.995085066838939</v>
      </c>
      <c r="GC398">
        <v>45.591073502090516</v>
      </c>
      <c r="GD398">
        <v>45.574732134003305</v>
      </c>
      <c r="GE398">
        <v>105.46114712707758</v>
      </c>
      <c r="GF398">
        <v>152.62642683698752</v>
      </c>
      <c r="GG398">
        <v>64.992622507421856</v>
      </c>
      <c r="GH398">
        <v>32.879953411871888</v>
      </c>
      <c r="GI398">
        <v>101.02794435214483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270.04272848769517</v>
      </c>
      <c r="AO399">
        <v>122.64328838009203</v>
      </c>
      <c r="AP399">
        <v>459.13944769778294</v>
      </c>
      <c r="AQ399">
        <v>704.77304339687714</v>
      </c>
      <c r="AR399">
        <v>115.42000260871689</v>
      </c>
      <c r="AS399">
        <v>1115.8553081341104</v>
      </c>
      <c r="AT399">
        <v>55.241475909623908</v>
      </c>
      <c r="AU399">
        <v>45.342923029369672</v>
      </c>
      <c r="AV399"/>
      <c r="AW399"/>
      <c r="FY399" s="211">
        <v>394</v>
      </c>
      <c r="FZ399">
        <v>153.66864315905536</v>
      </c>
      <c r="GA399">
        <v>188.76542162607402</v>
      </c>
      <c r="GB399">
        <v>45.716721836349095</v>
      </c>
      <c r="GC399">
        <v>42.22637875636439</v>
      </c>
      <c r="GD399">
        <v>32.400370101288189</v>
      </c>
      <c r="GE399">
        <v>54.259460807663174</v>
      </c>
      <c r="GF399">
        <v>115.07218102973464</v>
      </c>
      <c r="GG399">
        <v>102.40664724095484</v>
      </c>
      <c r="GH399">
        <v>96.050575185971283</v>
      </c>
      <c r="GI399">
        <v>97.203337541263451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246.96984220149707</v>
      </c>
      <c r="AO400">
        <v>145.09762153820859</v>
      </c>
      <c r="AP400">
        <v>687.63502293102943</v>
      </c>
      <c r="AQ400">
        <v>786.31649206086308</v>
      </c>
      <c r="AR400">
        <v>135.39178649024086</v>
      </c>
      <c r="AS400">
        <v>1294.3950606719809</v>
      </c>
      <c r="AT400">
        <v>72.264792213800789</v>
      </c>
      <c r="AU400">
        <v>45.381765578478927</v>
      </c>
      <c r="AV400"/>
      <c r="AW400"/>
      <c r="FY400" s="211">
        <v>395</v>
      </c>
      <c r="FZ400">
        <v>124.68091248329618</v>
      </c>
      <c r="GA400">
        <v>192.61014342987013</v>
      </c>
      <c r="GB400">
        <v>63.477749775755946</v>
      </c>
      <c r="GC400">
        <v>34.893306907163975</v>
      </c>
      <c r="GD400">
        <v>28.553629000691362</v>
      </c>
      <c r="GE400">
        <v>49.407245949108912</v>
      </c>
      <c r="GF400">
        <v>63.558785924868545</v>
      </c>
      <c r="GG400">
        <v>37.15481350472718</v>
      </c>
      <c r="GH400">
        <v>39.334293636903489</v>
      </c>
      <c r="GI400">
        <v>73.761109059965293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199.39782798162824</v>
      </c>
      <c r="AO401">
        <v>128.43974653755092</v>
      </c>
      <c r="AP401">
        <v>587.13864707291941</v>
      </c>
      <c r="AQ401">
        <v>747.05704618447123</v>
      </c>
      <c r="AR401">
        <v>121.37379842324374</v>
      </c>
      <c r="AS401">
        <v>1191.8609016356716</v>
      </c>
      <c r="AT401">
        <v>66.928731568493433</v>
      </c>
      <c r="AU401">
        <v>264.05821465155441</v>
      </c>
      <c r="AV401"/>
      <c r="AW401"/>
      <c r="FY401" s="211">
        <v>396</v>
      </c>
      <c r="FZ401">
        <v>122.94098240794246</v>
      </c>
      <c r="GA401">
        <v>148.24809086517459</v>
      </c>
      <c r="GB401">
        <v>51.218122451957569</v>
      </c>
      <c r="GC401">
        <v>48.088551746886928</v>
      </c>
      <c r="GD401">
        <v>44.041638740885183</v>
      </c>
      <c r="GE401">
        <v>83.588904231046087</v>
      </c>
      <c r="GF401">
        <v>117.00954473848759</v>
      </c>
      <c r="GG401">
        <v>65.519995910795146</v>
      </c>
      <c r="GH401">
        <v>37.93828425410522</v>
      </c>
      <c r="GI401">
        <v>91.783055226625805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242.47410577454906</v>
      </c>
      <c r="AO402">
        <v>140.50982140022921</v>
      </c>
      <c r="AP402">
        <v>587.79229425585834</v>
      </c>
      <c r="AQ402">
        <v>785.00347647089575</v>
      </c>
      <c r="AR402">
        <v>133.44465230383321</v>
      </c>
      <c r="AS402">
        <v>1326.8473657696536</v>
      </c>
      <c r="AT402">
        <v>66.811366063107883</v>
      </c>
      <c r="AU402">
        <v>142.64921339809425</v>
      </c>
      <c r="AV402"/>
      <c r="AW402"/>
      <c r="FY402" s="211">
        <v>397</v>
      </c>
      <c r="FZ402">
        <v>111.47272618703917</v>
      </c>
      <c r="GA402">
        <v>168.83065005551302</v>
      </c>
      <c r="GB402">
        <v>51.797241519661561</v>
      </c>
      <c r="GC402">
        <v>39.414615168595283</v>
      </c>
      <c r="GD402">
        <v>31.187971786086173</v>
      </c>
      <c r="GE402">
        <v>73.886896020805906</v>
      </c>
      <c r="GF402">
        <v>124.61894079686064</v>
      </c>
      <c r="GG402">
        <v>116.14917317100365</v>
      </c>
      <c r="GH402">
        <v>135.54335795959258</v>
      </c>
      <c r="GI402">
        <v>101.5502306419646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189.31557458075378</v>
      </c>
      <c r="AO403">
        <v>119.33635354907969</v>
      </c>
      <c r="AP403">
        <v>508.87667646217278</v>
      </c>
      <c r="AQ403">
        <v>692.08919390081996</v>
      </c>
      <c r="AR403">
        <v>112.66081810103786</v>
      </c>
      <c r="AS403">
        <v>999.0805264959223</v>
      </c>
      <c r="AT403">
        <v>60.959816374361488</v>
      </c>
      <c r="AU403">
        <v>128.98242470192679</v>
      </c>
      <c r="AV403"/>
      <c r="AW403"/>
      <c r="FY403" s="211">
        <v>398</v>
      </c>
      <c r="FZ403">
        <v>119.48088912559287</v>
      </c>
      <c r="GA403">
        <v>145.23375501700005</v>
      </c>
      <c r="GB403">
        <v>51.64618040214414</v>
      </c>
      <c r="GC403">
        <v>42.845801627939281</v>
      </c>
      <c r="GD403">
        <v>50.786472733362601</v>
      </c>
      <c r="GE403">
        <v>88.151317604120763</v>
      </c>
      <c r="GF403">
        <v>144.65257691193463</v>
      </c>
      <c r="GG403">
        <v>120.54785174310976</v>
      </c>
      <c r="GH403">
        <v>53.599669283726108</v>
      </c>
      <c r="GI403">
        <v>105.71352651466532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221.75133618440304</v>
      </c>
      <c r="AO404">
        <v>122.03023243692635</v>
      </c>
      <c r="AP404">
        <v>619.1325594743621</v>
      </c>
      <c r="AQ404">
        <v>691.33573713944952</v>
      </c>
      <c r="AR404">
        <v>116.47441053190251</v>
      </c>
      <c r="AS404">
        <v>1083.8036716082047</v>
      </c>
      <c r="AT404">
        <v>58.922323060303476</v>
      </c>
      <c r="AU404">
        <v>94.267282300313511</v>
      </c>
      <c r="AV404"/>
      <c r="AW404"/>
      <c r="FY404" s="211">
        <v>399</v>
      </c>
      <c r="FZ404">
        <v>127.02974721656165</v>
      </c>
      <c r="GA404">
        <v>166.49788315539072</v>
      </c>
      <c r="GB404">
        <v>56.767703801733489</v>
      </c>
      <c r="GC404">
        <v>46.81274096088778</v>
      </c>
      <c r="GD404">
        <v>32.930022283521247</v>
      </c>
      <c r="GE404">
        <v>72.486114232983752</v>
      </c>
      <c r="GF404">
        <v>112.2617973646778</v>
      </c>
      <c r="GG404">
        <v>113.20928880906911</v>
      </c>
      <c r="GH404">
        <v>158.27804776995035</v>
      </c>
      <c r="GI404">
        <v>106.8355259815698</v>
      </c>
      <c r="GJ404"/>
      <c r="GK404"/>
      <c r="GL404"/>
      <c r="GM404"/>
    </row>
    <row r="405" spans="1:195" s="7" customFormat="1">
      <c r="A405" s="188">
        <v>13.69</v>
      </c>
      <c r="B405" s="71">
        <f t="shared" ref="B405:B414" si="375">+C4</f>
        <v>39646</v>
      </c>
      <c r="C405" s="61">
        <v>0</v>
      </c>
      <c r="D405" s="61">
        <f t="shared" ref="D405:D414" si="376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3.7105263157894726</v>
      </c>
      <c r="E405" s="108">
        <f t="shared" ref="E405:E414" si="377">IF(D405=0,0.00000001,(1-$A$43/100)*($A$39*(D405^($A$41))))</f>
        <v>0.38068239437772849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252.64081563987048</v>
      </c>
      <c r="AO405">
        <v>138.61087566908401</v>
      </c>
      <c r="AP405">
        <v>594.86217596885785</v>
      </c>
      <c r="AQ405">
        <v>774.14956523243973</v>
      </c>
      <c r="AR405">
        <v>129.98843524051333</v>
      </c>
      <c r="AS405">
        <v>1401.5685943549674</v>
      </c>
      <c r="AT405">
        <v>70.968850657151691</v>
      </c>
      <c r="AU405">
        <v>108.91580324070489</v>
      </c>
      <c r="AV405"/>
      <c r="AW405"/>
      <c r="FY405" s="211">
        <v>400</v>
      </c>
      <c r="FZ405">
        <v>101.43232534635992</v>
      </c>
      <c r="GA405">
        <v>146.25103940810101</v>
      </c>
      <c r="GB405">
        <v>47.398854762581422</v>
      </c>
      <c r="GC405">
        <v>36.888026083451614</v>
      </c>
      <c r="GD405">
        <v>52.065427590331772</v>
      </c>
      <c r="GE405">
        <v>87.075521832477079</v>
      </c>
      <c r="GF405">
        <v>90.729372834391825</v>
      </c>
      <c r="GG405">
        <v>71.326498730360697</v>
      </c>
      <c r="GH405">
        <v>49.279984182697333</v>
      </c>
      <c r="GI405">
        <v>89.208220659740746</v>
      </c>
      <c r="GJ405"/>
      <c r="GK405"/>
      <c r="GL405"/>
      <c r="GM405"/>
    </row>
    <row r="406" spans="1:195" s="7" customFormat="1">
      <c r="A406" s="188">
        <v>9.4499999999999993</v>
      </c>
      <c r="B406" s="71">
        <f t="shared" si="375"/>
        <v>39673</v>
      </c>
      <c r="C406" s="61">
        <f>B406-B405</f>
        <v>27</v>
      </c>
      <c r="D406" s="61">
        <f t="shared" si="376"/>
        <v>5.4483662578410259</v>
      </c>
      <c r="E406" s="108">
        <f t="shared" si="377"/>
        <v>1.0604751074795946</v>
      </c>
      <c r="F406" s="19">
        <f t="shared" ref="F406:F414" si="378">IF(C374&lt;1,0,LN(E406/E405)/E21)</f>
        <v>3.7944699421047438E-2</v>
      </c>
      <c r="G406" s="19">
        <f t="shared" ref="G406:G414" si="379">IF(D406=0, 0, 0.051-(0.068*LN(D406))+(0.006*A406))</f>
        <v>-7.5814740281693674E-3</v>
      </c>
      <c r="H406" s="19">
        <f t="shared" ref="H406:H414" si="380">+IF((G406&gt;0),G406,0)</f>
        <v>0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229.07631814359792</v>
      </c>
      <c r="AO406">
        <v>142.32828432502711</v>
      </c>
      <c r="AP406">
        <v>618.01078570522247</v>
      </c>
      <c r="AQ406">
        <v>805.02561318384858</v>
      </c>
      <c r="AR406">
        <v>133.57644649255059</v>
      </c>
      <c r="AS406">
        <v>1236.4871610721709</v>
      </c>
      <c r="AT406">
        <v>69.335257636561934</v>
      </c>
      <c r="AU406">
        <v>-28.831914267672694</v>
      </c>
      <c r="AV406"/>
      <c r="AW406"/>
      <c r="FY406" s="211">
        <v>401</v>
      </c>
      <c r="FZ406">
        <v>117.22481111493411</v>
      </c>
      <c r="GA406">
        <v>165.20559953359771</v>
      </c>
      <c r="GB406">
        <v>58.249783865317355</v>
      </c>
      <c r="GC406">
        <v>46.250649497360705</v>
      </c>
      <c r="GD406">
        <v>42.174549203571935</v>
      </c>
      <c r="GE406">
        <v>64.221885403715547</v>
      </c>
      <c r="GF406">
        <v>73.352414322174852</v>
      </c>
      <c r="GG406">
        <v>74.53203736169651</v>
      </c>
      <c r="GH406">
        <v>82.198285899379144</v>
      </c>
      <c r="GI406">
        <v>90.501956943054324</v>
      </c>
      <c r="GJ406"/>
      <c r="GK406"/>
      <c r="GL406"/>
      <c r="GM406"/>
    </row>
    <row r="407" spans="1:195" s="7" customFormat="1">
      <c r="A407" s="188">
        <v>4.03</v>
      </c>
      <c r="B407" s="71">
        <f t="shared" si="375"/>
        <v>39714</v>
      </c>
      <c r="C407" s="61">
        <f>B407-$B$405</f>
        <v>68</v>
      </c>
      <c r="D407" s="61">
        <f t="shared" si="376"/>
        <v>2.4973441926345612</v>
      </c>
      <c r="E407" s="108">
        <f t="shared" si="377"/>
        <v>0.13241987399283359</v>
      </c>
      <c r="F407" s="19">
        <f t="shared" si="378"/>
        <v>-5.074376983822225E-2</v>
      </c>
      <c r="G407" s="19">
        <f t="shared" si="379"/>
        <v>1.2944506590114719E-2</v>
      </c>
      <c r="H407" s="19">
        <f t="shared" si="380"/>
        <v>1.2944506590114719E-2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311.49961426182864</v>
      </c>
      <c r="AO407">
        <v>136.7051852863523</v>
      </c>
      <c r="AP407">
        <v>459.38738903696992</v>
      </c>
      <c r="AQ407">
        <v>756.12690263308446</v>
      </c>
      <c r="AR407">
        <v>128.85118155070359</v>
      </c>
      <c r="AS407">
        <v>1375.7333330924253</v>
      </c>
      <c r="AT407">
        <v>58.427531609967566</v>
      </c>
      <c r="AU407">
        <v>-104.27149329369846</v>
      </c>
      <c r="AV407"/>
      <c r="AW407"/>
      <c r="FY407" s="211">
        <v>402</v>
      </c>
      <c r="FZ407">
        <v>117.40383154593027</v>
      </c>
      <c r="GA407">
        <v>154.21909655190453</v>
      </c>
      <c r="GB407">
        <v>60.965558410397605</v>
      </c>
      <c r="GC407">
        <v>34.924691899265774</v>
      </c>
      <c r="GD407">
        <v>36.321580468583512</v>
      </c>
      <c r="GE407">
        <v>68.132414698367853</v>
      </c>
      <c r="GF407">
        <v>102.32558570555395</v>
      </c>
      <c r="GG407">
        <v>62.044551472761768</v>
      </c>
      <c r="GH407">
        <v>15.330526213031535</v>
      </c>
      <c r="GI407">
        <v>81.953322497678357</v>
      </c>
      <c r="GJ407"/>
      <c r="GK407"/>
      <c r="GL407"/>
      <c r="GM407"/>
    </row>
    <row r="408" spans="1:195" s="7" customFormat="1">
      <c r="A408" s="188">
        <v>0.78</v>
      </c>
      <c r="B408" s="71">
        <f t="shared" si="375"/>
        <v>39747</v>
      </c>
      <c r="C408" s="61">
        <f t="shared" ref="C408:C414" si="381">B408-$B$405</f>
        <v>101</v>
      </c>
      <c r="D408" s="61">
        <f t="shared" si="376"/>
        <v>2.7233035352006305</v>
      </c>
      <c r="E408" s="108">
        <f t="shared" si="377"/>
        <v>0.16683203059799775</v>
      </c>
      <c r="F408" s="19">
        <f t="shared" si="378"/>
        <v>7.0002958645162825E-3</v>
      </c>
      <c r="G408" s="19">
        <f t="shared" si="379"/>
        <v>-1.2445506128285929E-2</v>
      </c>
      <c r="H408" s="19">
        <f t="shared" si="380"/>
        <v>0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287.47880971840152</v>
      </c>
      <c r="AO408">
        <v>145.16480404962579</v>
      </c>
      <c r="AP408">
        <v>526.49674182970978</v>
      </c>
      <c r="AQ408">
        <v>778.12020354901335</v>
      </c>
      <c r="AR408">
        <v>136.78008304273351</v>
      </c>
      <c r="AS408">
        <v>1355.4582502371575</v>
      </c>
      <c r="AT408">
        <v>65.56278369553776</v>
      </c>
      <c r="AU408">
        <v>128.37273952209591</v>
      </c>
      <c r="AV408"/>
      <c r="AW408"/>
      <c r="FY408" s="211">
        <v>403</v>
      </c>
      <c r="FZ408">
        <v>112.38215870484869</v>
      </c>
      <c r="GA408">
        <v>152.41186742995359</v>
      </c>
      <c r="GB408">
        <v>59.013877261494699</v>
      </c>
      <c r="GC408">
        <v>41.049008014875845</v>
      </c>
      <c r="GD408">
        <v>51.932531459623227</v>
      </c>
      <c r="GE408">
        <v>108.68874582549589</v>
      </c>
      <c r="GF408">
        <v>101.95602992960252</v>
      </c>
      <c r="GG408">
        <v>64.686544176020121</v>
      </c>
      <c r="GH408">
        <v>64.811532662141218</v>
      </c>
      <c r="GI408">
        <v>99.152281955223344</v>
      </c>
      <c r="GJ408"/>
      <c r="GK408"/>
      <c r="GL408"/>
      <c r="GM408"/>
    </row>
    <row r="409" spans="1:195" s="7" customFormat="1">
      <c r="A409" s="188">
        <v>0.14000000000000001</v>
      </c>
      <c r="B409" s="71">
        <f t="shared" si="375"/>
        <v>39775</v>
      </c>
      <c r="C409" s="61">
        <f t="shared" si="381"/>
        <v>129</v>
      </c>
      <c r="D409" s="61">
        <f t="shared" si="376"/>
        <v>3.5378442247146076</v>
      </c>
      <c r="E409" s="108">
        <f t="shared" si="377"/>
        <v>0.33524661483082718</v>
      </c>
      <c r="F409" s="19">
        <f t="shared" si="378"/>
        <v>2.4924247257512248E-2</v>
      </c>
      <c r="G409" s="19">
        <f t="shared" si="379"/>
        <v>-3.4079194459108328E-2</v>
      </c>
      <c r="H409" s="19">
        <f t="shared" si="380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310.29643196027632</v>
      </c>
      <c r="AO409">
        <v>161.7860689941285</v>
      </c>
      <c r="AP409">
        <v>783.58236088663318</v>
      </c>
      <c r="AQ409">
        <v>852.06111473107569</v>
      </c>
      <c r="AR409">
        <v>151.96958784789689</v>
      </c>
      <c r="AS409">
        <v>1455.3824976684029</v>
      </c>
      <c r="AT409">
        <v>72.634863705856205</v>
      </c>
      <c r="AU409">
        <v>222.47889574519724</v>
      </c>
      <c r="AV409"/>
      <c r="AW409"/>
      <c r="FY409" s="211">
        <v>404</v>
      </c>
      <c r="FZ409">
        <v>84.991462335246112</v>
      </c>
      <c r="GA409">
        <v>120.10771912935594</v>
      </c>
      <c r="GB409">
        <v>48.866900750966479</v>
      </c>
      <c r="GC409">
        <v>50.144050855717396</v>
      </c>
      <c r="GD409">
        <v>44.027237536939957</v>
      </c>
      <c r="GE409">
        <v>97.047817394564589</v>
      </c>
      <c r="GF409">
        <v>127.13257052863783</v>
      </c>
      <c r="GG409">
        <v>68.847637368827634</v>
      </c>
      <c r="GH409">
        <v>89.443993979352086</v>
      </c>
      <c r="GI409">
        <v>97.405139236973952</v>
      </c>
      <c r="GJ409"/>
      <c r="GK409"/>
      <c r="GL409"/>
      <c r="GM409"/>
    </row>
    <row r="410" spans="1:195" s="7" customFormat="1">
      <c r="A410" s="188">
        <v>0.21</v>
      </c>
      <c r="B410" s="71">
        <f t="shared" si="375"/>
        <v>39799</v>
      </c>
      <c r="C410" s="61">
        <f t="shared" si="381"/>
        <v>153</v>
      </c>
      <c r="D410" s="61">
        <f t="shared" si="376"/>
        <v>2.239898933065088</v>
      </c>
      <c r="E410" s="108">
        <f t="shared" si="377"/>
        <v>9.9068930547386483E-2</v>
      </c>
      <c r="F410" s="19">
        <f t="shared" si="378"/>
        <v>-5.0793772860659114E-2</v>
      </c>
      <c r="G410" s="19">
        <f t="shared" si="379"/>
        <v>-2.5772907063540311E-3</v>
      </c>
      <c r="H410" s="19">
        <f t="shared" si="380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216.50214034886199</v>
      </c>
      <c r="AO410">
        <v>156.09028941081934</v>
      </c>
      <c r="AP410">
        <v>718.83748156560614</v>
      </c>
      <c r="AQ410">
        <v>927.76973728471842</v>
      </c>
      <c r="AR410">
        <v>147.94520581439295</v>
      </c>
      <c r="AS410">
        <v>1386.2282291181868</v>
      </c>
      <c r="AT410">
        <v>82.954491945502681</v>
      </c>
      <c r="AU410">
        <v>152.39515802184116</v>
      </c>
      <c r="AV410"/>
      <c r="AW410"/>
      <c r="FY410" s="211">
        <v>405</v>
      </c>
      <c r="FZ410">
        <v>121.83226138271323</v>
      </c>
      <c r="GA410">
        <v>158.13184718295429</v>
      </c>
      <c r="GB410">
        <v>51.006716498784776</v>
      </c>
      <c r="GC410">
        <v>35.597979778784214</v>
      </c>
      <c r="GD410">
        <v>32.568830586525536</v>
      </c>
      <c r="GE410">
        <v>48.166659391688754</v>
      </c>
      <c r="GF410">
        <v>88.943644287913912</v>
      </c>
      <c r="GG410">
        <v>73.342249532531255</v>
      </c>
      <c r="GH410">
        <v>44.926963623493691</v>
      </c>
      <c r="GI410">
        <v>78.820247735014732</v>
      </c>
      <c r="GJ410"/>
      <c r="GK410"/>
      <c r="GL410"/>
      <c r="GM410"/>
    </row>
    <row r="411" spans="1:195" s="7" customFormat="1">
      <c r="A411" s="188">
        <v>1.28</v>
      </c>
      <c r="B411" s="71">
        <f>+C10</f>
        <v>39847</v>
      </c>
      <c r="C411" s="61">
        <f t="shared" si="381"/>
        <v>201</v>
      </c>
      <c r="D411" s="61">
        <f t="shared" si="376"/>
        <v>4.796610169491526</v>
      </c>
      <c r="E411" s="108">
        <f t="shared" si="377"/>
        <v>0.7549711906131612</v>
      </c>
      <c r="F411" s="19">
        <f t="shared" si="378"/>
        <v>4.2309660716352691E-2</v>
      </c>
      <c r="G411" s="19">
        <f t="shared" si="379"/>
        <v>-4.7937842854151244E-2</v>
      </c>
      <c r="H411" s="19">
        <f t="shared" si="380"/>
        <v>0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230.61064101582556</v>
      </c>
      <c r="AO411">
        <v>116.33461003790694</v>
      </c>
      <c r="AP411">
        <v>379.44091937330217</v>
      </c>
      <c r="AQ411">
        <v>707.43198967235094</v>
      </c>
      <c r="AR411">
        <v>110.39457777467321</v>
      </c>
      <c r="AS411">
        <v>1197.9583935701494</v>
      </c>
      <c r="AT411">
        <v>52.735421235018357</v>
      </c>
      <c r="AU411">
        <v>-5.6434594145838872</v>
      </c>
      <c r="AV411"/>
      <c r="AW411"/>
      <c r="FY411" s="211">
        <v>406</v>
      </c>
      <c r="FZ411">
        <v>102.03297839773734</v>
      </c>
      <c r="GA411">
        <v>140.34755704472295</v>
      </c>
      <c r="GB411">
        <v>44.354913935843776</v>
      </c>
      <c r="GC411">
        <v>33.027660745337172</v>
      </c>
      <c r="GD411">
        <v>33.350878530929378</v>
      </c>
      <c r="GE411">
        <v>64.766646116414606</v>
      </c>
      <c r="GF411">
        <v>76.38564920469473</v>
      </c>
      <c r="GG411">
        <v>42.489027624502334</v>
      </c>
      <c r="GH411">
        <v>35.280854384066672</v>
      </c>
      <c r="GI411">
        <v>71.159213745456498</v>
      </c>
      <c r="GJ411"/>
      <c r="GK411"/>
      <c r="GL411"/>
      <c r="GM411"/>
    </row>
    <row r="412" spans="1:195" s="7" customFormat="1">
      <c r="A412" s="188">
        <v>4</v>
      </c>
      <c r="B412" s="71">
        <f t="shared" si="375"/>
        <v>39910</v>
      </c>
      <c r="C412" s="61">
        <f t="shared" si="381"/>
        <v>264</v>
      </c>
      <c r="D412" s="61">
        <f t="shared" si="376"/>
        <v>3.4285714285714288</v>
      </c>
      <c r="E412" s="108">
        <f t="shared" si="377"/>
        <v>0.3083366715030878</v>
      </c>
      <c r="F412" s="19">
        <f t="shared" si="378"/>
        <v>-1.4214084366833508E-2</v>
      </c>
      <c r="G412" s="19">
        <f t="shared" si="379"/>
        <v>-8.7857703278990118E-3</v>
      </c>
      <c r="H412" s="19">
        <f t="shared" si="380"/>
        <v>0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288.15345846712233</v>
      </c>
      <c r="AO412">
        <v>146.16027741360662</v>
      </c>
      <c r="AP412">
        <v>602.68196583249414</v>
      </c>
      <c r="AQ412">
        <v>810.3771705739066</v>
      </c>
      <c r="AR412">
        <v>136.87918017231553</v>
      </c>
      <c r="AS412">
        <v>1394.4033843180234</v>
      </c>
      <c r="AT412">
        <v>64.600062588633293</v>
      </c>
      <c r="AU412">
        <v>62.995098737096491</v>
      </c>
      <c r="AV412"/>
      <c r="AW412"/>
      <c r="FY412" s="211">
        <v>407</v>
      </c>
      <c r="FZ412">
        <v>112.12571508627519</v>
      </c>
      <c r="GA412">
        <v>157.01733310498545</v>
      </c>
      <c r="GB412">
        <v>68.312066160119912</v>
      </c>
      <c r="GC412">
        <v>52.620083184335137</v>
      </c>
      <c r="GD412">
        <v>54.299113391417997</v>
      </c>
      <c r="GE412">
        <v>116.60102013177548</v>
      </c>
      <c r="GF412">
        <v>107.31703063627933</v>
      </c>
      <c r="GG412">
        <v>89.063485223168172</v>
      </c>
      <c r="GH412">
        <v>125.25083047767384</v>
      </c>
      <c r="GI412">
        <v>114.79933110943639</v>
      </c>
      <c r="GJ412"/>
      <c r="GK412"/>
      <c r="GL412"/>
      <c r="GM412"/>
    </row>
    <row r="413" spans="1:195" s="7" customFormat="1">
      <c r="A413" s="189">
        <v>7.33</v>
      </c>
      <c r="B413" s="71">
        <f t="shared" si="375"/>
        <v>39949</v>
      </c>
      <c r="C413" s="61">
        <f t="shared" si="381"/>
        <v>303</v>
      </c>
      <c r="D413" s="61">
        <f t="shared" si="376"/>
        <v>7.8999999999999995</v>
      </c>
      <c r="E413" s="108">
        <f t="shared" si="377"/>
        <v>2.8566019178094981</v>
      </c>
      <c r="F413" s="19">
        <f t="shared" si="378"/>
        <v>5.7081943115563472E-2</v>
      </c>
      <c r="G413" s="19">
        <f t="shared" si="379"/>
        <v>-4.5566667644162361E-2</v>
      </c>
      <c r="H413" s="19">
        <f t="shared" si="380"/>
        <v>0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221.21788782171916</v>
      </c>
      <c r="AO413">
        <v>167.40848527847515</v>
      </c>
      <c r="AP413">
        <v>822.65416451578972</v>
      </c>
      <c r="AQ413">
        <v>954.45180330712265</v>
      </c>
      <c r="AR413">
        <v>155.73248237289741</v>
      </c>
      <c r="AS413">
        <v>1450.0391647180206</v>
      </c>
      <c r="AT413">
        <v>86.904730454560664</v>
      </c>
      <c r="AU413">
        <v>126.45669541561902</v>
      </c>
      <c r="AV413"/>
      <c r="AW413"/>
      <c r="FY413" s="211">
        <v>408</v>
      </c>
      <c r="FZ413">
        <v>110.85164292349376</v>
      </c>
      <c r="GA413">
        <v>157.27054095358565</v>
      </c>
      <c r="GB413">
        <v>58.247226986085991</v>
      </c>
      <c r="GC413">
        <v>41.373912711837548</v>
      </c>
      <c r="GD413">
        <v>39.634755647538938</v>
      </c>
      <c r="GE413">
        <v>76.723685249160226</v>
      </c>
      <c r="GF413">
        <v>84.783599304334246</v>
      </c>
      <c r="GG413">
        <v>48.643678026849877</v>
      </c>
      <c r="GH413">
        <v>54.990355916895119</v>
      </c>
      <c r="GI413">
        <v>85.502673837044654</v>
      </c>
      <c r="GJ413"/>
      <c r="GK413"/>
      <c r="GL413"/>
      <c r="GM413"/>
    </row>
    <row r="414" spans="1:195" s="7" customFormat="1">
      <c r="A414" s="188">
        <v>10.51</v>
      </c>
      <c r="B414" s="71">
        <f t="shared" si="375"/>
        <v>39987</v>
      </c>
      <c r="C414" s="61">
        <f t="shared" si="381"/>
        <v>341</v>
      </c>
      <c r="D414" s="61">
        <f t="shared" si="376"/>
        <v>3.4233919588944821</v>
      </c>
      <c r="E414" s="108">
        <f t="shared" si="377"/>
        <v>0.30709595292315622</v>
      </c>
      <c r="F414" s="19">
        <f t="shared" si="378"/>
        <v>-5.8690205468351186E-2</v>
      </c>
      <c r="G414" s="19">
        <f t="shared" si="379"/>
        <v>3.0377033492027937E-2</v>
      </c>
      <c r="H414" s="19">
        <f t="shared" si="380"/>
        <v>3.0377033492027937E-2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303.70902558005037</v>
      </c>
      <c r="AO414">
        <v>169.41429169118987</v>
      </c>
      <c r="AP414">
        <v>591.23448861367365</v>
      </c>
      <c r="AQ414">
        <v>922.65804096359557</v>
      </c>
      <c r="AR414">
        <v>159.31822224711129</v>
      </c>
      <c r="AS414">
        <v>1702.3263592684339</v>
      </c>
      <c r="AT414">
        <v>75.348361335333593</v>
      </c>
      <c r="AU414">
        <v>345.44932319335993</v>
      </c>
      <c r="AV414"/>
      <c r="AW414"/>
      <c r="FY414" s="211">
        <v>409</v>
      </c>
      <c r="FZ414">
        <v>134.5699109487575</v>
      </c>
      <c r="GA414">
        <v>137.11504410435546</v>
      </c>
      <c r="GB414">
        <v>46.836131509064963</v>
      </c>
      <c r="GC414">
        <v>48.167497594077801</v>
      </c>
      <c r="GD414">
        <v>49.935625087221958</v>
      </c>
      <c r="GE414">
        <v>74.052834972656868</v>
      </c>
      <c r="GF414">
        <v>67.240405376745628</v>
      </c>
      <c r="GG414">
        <v>49.054601975402342</v>
      </c>
      <c r="GH414">
        <v>37.441213967438543</v>
      </c>
      <c r="GI414">
        <v>85.333905719730495</v>
      </c>
      <c r="GJ414"/>
      <c r="GK414"/>
      <c r="GL414"/>
      <c r="GM414"/>
    </row>
    <row r="415" spans="1:195" s="7" customFormat="1">
      <c r="A415" s="188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261.20895806994059</v>
      </c>
      <c r="AO415">
        <v>174.82656474060596</v>
      </c>
      <c r="AP415">
        <v>893.50241043225651</v>
      </c>
      <c r="AQ415">
        <v>993.10887157634568</v>
      </c>
      <c r="AR415">
        <v>164.28640930556156</v>
      </c>
      <c r="AS415">
        <v>1392.502061200501</v>
      </c>
      <c r="AT415">
        <v>91.281103698173411</v>
      </c>
      <c r="AU415">
        <v>77.493474392233537</v>
      </c>
      <c r="AV415"/>
      <c r="AW415"/>
      <c r="FY415" s="211">
        <v>410</v>
      </c>
      <c r="FZ415">
        <v>134.86565112683735</v>
      </c>
      <c r="GA415">
        <v>165.81813678766301</v>
      </c>
      <c r="GB415">
        <v>57.552901440073072</v>
      </c>
      <c r="GC415">
        <v>40.772779831799461</v>
      </c>
      <c r="GD415">
        <v>38.519244428554224</v>
      </c>
      <c r="GE415">
        <v>87.900821426075964</v>
      </c>
      <c r="GF415">
        <v>89.383579413507448</v>
      </c>
      <c r="GG415">
        <v>86.794566385925975</v>
      </c>
      <c r="GH415">
        <v>129.38712853990035</v>
      </c>
      <c r="GI415">
        <v>101.8614338594475</v>
      </c>
      <c r="GJ415"/>
      <c r="GK415"/>
      <c r="GL415"/>
      <c r="GM415"/>
    </row>
    <row r="416" spans="1:195" s="7" customFormat="1">
      <c r="A416" s="188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280.96421826619775</v>
      </c>
      <c r="AO416">
        <v>140.36992698366461</v>
      </c>
      <c r="AP416">
        <v>498.85284848518415</v>
      </c>
      <c r="AQ416">
        <v>771.65527143049349</v>
      </c>
      <c r="AR416">
        <v>132.56481135891804</v>
      </c>
      <c r="AS416">
        <v>1371.3880504998574</v>
      </c>
      <c r="AT416">
        <v>63.776441252487217</v>
      </c>
      <c r="AU416">
        <v>61.554224501792994</v>
      </c>
      <c r="AV416"/>
      <c r="AW416"/>
      <c r="FY416" s="211">
        <v>411</v>
      </c>
      <c r="FZ416">
        <v>117.60772410316856</v>
      </c>
      <c r="GA416">
        <v>151.42402781365689</v>
      </c>
      <c r="GB416">
        <v>50.101523062298298</v>
      </c>
      <c r="GC416">
        <v>35.869186060469694</v>
      </c>
      <c r="GD416">
        <v>33.642277929866161</v>
      </c>
      <c r="GE416">
        <v>65.297514611430557</v>
      </c>
      <c r="GF416">
        <v>115.84148002904628</v>
      </c>
      <c r="GG416">
        <v>92.608037883046251</v>
      </c>
      <c r="GH416">
        <v>59.997328767907177</v>
      </c>
      <c r="GI416">
        <v>87.811303127111842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263.77022049000232</v>
      </c>
      <c r="AO417">
        <v>146.11862607933213</v>
      </c>
      <c r="AP417">
        <v>515.3988684943065</v>
      </c>
      <c r="AQ417">
        <v>813.91197314480223</v>
      </c>
      <c r="AR417">
        <v>136.94846865170396</v>
      </c>
      <c r="AS417">
        <v>1307.6200213852676</v>
      </c>
      <c r="AT417">
        <v>68.504965681781741</v>
      </c>
      <c r="AU417">
        <v>54.224498450690348</v>
      </c>
      <c r="AV417"/>
      <c r="AW417"/>
      <c r="FY417" s="211">
        <v>412</v>
      </c>
      <c r="FZ417">
        <v>123.3500323965991</v>
      </c>
      <c r="GA417">
        <v>164.50084236694838</v>
      </c>
      <c r="GB417">
        <v>64.05141795251761</v>
      </c>
      <c r="GC417">
        <v>40.795333813205708</v>
      </c>
      <c r="GD417">
        <v>31.457602515638413</v>
      </c>
      <c r="GE417">
        <v>54.302313525579947</v>
      </c>
      <c r="GF417">
        <v>104.76732786867019</v>
      </c>
      <c r="GG417">
        <v>98.241505501685097</v>
      </c>
      <c r="GH417">
        <v>63.618071032922316</v>
      </c>
      <c r="GI417">
        <v>89.048067117878418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284.67008434901248</v>
      </c>
      <c r="AO418">
        <v>127.74924770294578</v>
      </c>
      <c r="AP418">
        <v>293.74645631406378</v>
      </c>
      <c r="AQ418">
        <v>733.62115946347535</v>
      </c>
      <c r="AR418">
        <v>121.941075692319</v>
      </c>
      <c r="AS418">
        <v>1269.8719627404316</v>
      </c>
      <c r="AT418">
        <v>52.500607171260356</v>
      </c>
      <c r="AU418">
        <v>21.860533181913787</v>
      </c>
      <c r="AV418"/>
      <c r="AW418"/>
      <c r="FY418" s="211">
        <v>413</v>
      </c>
      <c r="FZ418">
        <v>114.2787389472996</v>
      </c>
      <c r="GA418">
        <v>178.57344596152822</v>
      </c>
      <c r="GB418">
        <v>71.979415879495818</v>
      </c>
      <c r="GC418">
        <v>44.02827920547945</v>
      </c>
      <c r="GD418">
        <v>33.778055578040401</v>
      </c>
      <c r="GE418">
        <v>57.583414472040204</v>
      </c>
      <c r="GF418">
        <v>70.073931088637892</v>
      </c>
      <c r="GG418">
        <v>48.999759155331326</v>
      </c>
      <c r="GH418">
        <v>68.938745544127698</v>
      </c>
      <c r="GI418">
        <v>84.982902759753472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290.5561764611756</v>
      </c>
      <c r="AO419">
        <v>158.37501486413484</v>
      </c>
      <c r="AP419">
        <v>555.7666560633694</v>
      </c>
      <c r="AQ419">
        <v>856.08457741927907</v>
      </c>
      <c r="AR419">
        <v>148.55267802553692</v>
      </c>
      <c r="AS419">
        <v>1487.3911655852653</v>
      </c>
      <c r="AT419">
        <v>73.943990177655436</v>
      </c>
      <c r="AU419">
        <v>152.40674591991711</v>
      </c>
      <c r="AV419"/>
      <c r="AW419"/>
      <c r="FY419" s="211">
        <v>414</v>
      </c>
      <c r="FZ419">
        <v>127.61968743391834</v>
      </c>
      <c r="GA419">
        <v>149.09928568407898</v>
      </c>
      <c r="GB419">
        <v>47.980134511818086</v>
      </c>
      <c r="GC419">
        <v>37.431808250050807</v>
      </c>
      <c r="GD419">
        <v>31.649634786575575</v>
      </c>
      <c r="GE419">
        <v>69.289390084255984</v>
      </c>
      <c r="GF419">
        <v>121.80310351154823</v>
      </c>
      <c r="GG419">
        <v>58.921925718321845</v>
      </c>
      <c r="GH419">
        <v>41.333438262567491</v>
      </c>
      <c r="GI419">
        <v>86.661185810422708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295.67640722291867</v>
      </c>
      <c r="AO420">
        <v>158.0875797334989</v>
      </c>
      <c r="AP420">
        <v>705.70044313472613</v>
      </c>
      <c r="AQ420">
        <v>828.01452911658203</v>
      </c>
      <c r="AR420">
        <v>147.26423176695187</v>
      </c>
      <c r="AS420">
        <v>1363.6134537754831</v>
      </c>
      <c r="AT420">
        <v>73.322795019334947</v>
      </c>
      <c r="AU420">
        <v>62.924993348893643</v>
      </c>
      <c r="AV420"/>
      <c r="AW420"/>
      <c r="FY420" s="211">
        <v>415</v>
      </c>
      <c r="FZ420">
        <v>121.36868696803367</v>
      </c>
      <c r="GA420">
        <v>140.50480673366266</v>
      </c>
      <c r="GB420">
        <v>41.650216053424373</v>
      </c>
      <c r="GC420">
        <v>46.631842932353379</v>
      </c>
      <c r="GD420">
        <v>31.181213599990176</v>
      </c>
      <c r="GE420">
        <v>58.131722124988855</v>
      </c>
      <c r="GF420">
        <v>88.285202392716485</v>
      </c>
      <c r="GG420">
        <v>59.349872861700923</v>
      </c>
      <c r="GH420">
        <v>87.027133316436249</v>
      </c>
      <c r="GI420">
        <v>82.693470000658579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246.13550256066674</v>
      </c>
      <c r="AO421">
        <v>122.8499320050101</v>
      </c>
      <c r="AP421">
        <v>531.51606535168162</v>
      </c>
      <c r="AQ421">
        <v>733.3374000004045</v>
      </c>
      <c r="AR421">
        <v>117.26815354770916</v>
      </c>
      <c r="AS421">
        <v>1348.9652902485066</v>
      </c>
      <c r="AT421">
        <v>58.961378990784105</v>
      </c>
      <c r="AU421">
        <v>47.310670459409607</v>
      </c>
      <c r="AV421"/>
      <c r="AW421"/>
      <c r="FY421" s="211">
        <v>416</v>
      </c>
      <c r="FZ421">
        <v>107.19766860355514</v>
      </c>
      <c r="GA421">
        <v>119.58953709703246</v>
      </c>
      <c r="GB421">
        <v>46.565424931834208</v>
      </c>
      <c r="GC421">
        <v>46.336537612773789</v>
      </c>
      <c r="GD421">
        <v>42.57994648376453</v>
      </c>
      <c r="GE421">
        <v>54.446581732592612</v>
      </c>
      <c r="GF421">
        <v>57.245203968525537</v>
      </c>
      <c r="GG421">
        <v>68.98206026986081</v>
      </c>
      <c r="GH421">
        <v>81.300302791605802</v>
      </c>
      <c r="GI421">
        <v>82.356263389515874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1.8156463984709309E-3</v>
      </c>
      <c r="H422" s="216">
        <f t="shared" ref="H422:AK422" si="382">H372</f>
        <v>1.15313E-2</v>
      </c>
      <c r="I422" s="216">
        <f t="shared" si="382"/>
        <v>7.3236110182017297E-2</v>
      </c>
      <c r="J422" s="216">
        <f t="shared" si="382"/>
        <v>0.21595370395129135</v>
      </c>
      <c r="K422" s="216">
        <f t="shared" si="382"/>
        <v>0.46512776829954805</v>
      </c>
      <c r="L422" s="216">
        <f t="shared" si="382"/>
        <v>0.84339548649291773</v>
      </c>
      <c r="M422" s="216">
        <f t="shared" si="382"/>
        <v>1.3715374031368122</v>
      </c>
      <c r="N422" s="216">
        <f t="shared" si="382"/>
        <v>2.0689726212277471</v>
      </c>
      <c r="O422" s="216">
        <f t="shared" si="382"/>
        <v>2.9540596886648949</v>
      </c>
      <c r="P422" s="216">
        <f t="shared" si="382"/>
        <v>4.0442970220427874</v>
      </c>
      <c r="Q422" s="216">
        <f t="shared" si="382"/>
        <v>5.3564649931760897</v>
      </c>
      <c r="R422" s="216">
        <f t="shared" si="382"/>
        <v>6.9067313280301672</v>
      </c>
      <c r="S422" s="216">
        <f t="shared" si="382"/>
        <v>8.7107320401763371</v>
      </c>
      <c r="T422" s="216">
        <f t="shared" si="382"/>
        <v>10.783635296383494</v>
      </c>
      <c r="U422" s="216">
        <f t="shared" si="382"/>
        <v>13.140192940241995</v>
      </c>
      <c r="V422" s="216">
        <f t="shared" si="382"/>
        <v>15.794782826216199</v>
      </c>
      <c r="W422" s="216">
        <f t="shared" si="382"/>
        <v>18.761444142752168</v>
      </c>
      <c r="X422" s="216">
        <f t="shared" si="382"/>
        <v>22.053907275344272</v>
      </c>
      <c r="Y422" s="216">
        <f t="shared" si="382"/>
        <v>25.685619341716023</v>
      </c>
      <c r="Z422" s="216">
        <f t="shared" si="382"/>
        <v>29.669766243653644</v>
      </c>
      <c r="AA422" s="216">
        <f t="shared" si="382"/>
        <v>34.019291877443351</v>
      </c>
      <c r="AB422" s="216">
        <f t="shared" si="382"/>
        <v>38.746914998997923</v>
      </c>
      <c r="AC422" s="216">
        <f t="shared" si="382"/>
        <v>43.865144132683035</v>
      </c>
      <c r="AD422" s="216">
        <f t="shared" si="382"/>
        <v>49.386290832891866</v>
      </c>
      <c r="AE422" s="216">
        <f t="shared" si="382"/>
        <v>55.322481546779947</v>
      </c>
      <c r="AF422" s="216">
        <f t="shared" si="382"/>
        <v>61.685668279953298</v>
      </c>
      <c r="AG422" s="216">
        <f t="shared" si="382"/>
        <v>68.487638230609974</v>
      </c>
      <c r="AH422" s="216">
        <f t="shared" si="382"/>
        <v>75.740022529057185</v>
      </c>
      <c r="AI422" s="216">
        <f t="shared" si="382"/>
        <v>83.454304196797253</v>
      </c>
      <c r="AJ422" s="216">
        <f t="shared" si="382"/>
        <v>91.64182542111466</v>
      </c>
      <c r="AK422" s="216">
        <f t="shared" si="382"/>
        <v>100.31379422630621</v>
      </c>
      <c r="AL422" s="4"/>
      <c r="AM422" s="43">
        <v>406</v>
      </c>
      <c r="AN422">
        <v>246.76283255625503</v>
      </c>
      <c r="AO422">
        <v>113.55272197746756</v>
      </c>
      <c r="AP422">
        <v>428.01882220946231</v>
      </c>
      <c r="AQ422">
        <v>643.19537972970534</v>
      </c>
      <c r="AR422">
        <v>106.4647126525835</v>
      </c>
      <c r="AS422">
        <v>1118.1035263779547</v>
      </c>
      <c r="AT422">
        <v>49.236208306674996</v>
      </c>
      <c r="AU422">
        <v>26.245390738860024</v>
      </c>
      <c r="AV422"/>
      <c r="AW422"/>
      <c r="FY422" s="211">
        <v>417</v>
      </c>
      <c r="FZ422">
        <v>89.439188749640152</v>
      </c>
      <c r="GA422">
        <v>115.93829433960742</v>
      </c>
      <c r="GB422">
        <v>48.257505525389078</v>
      </c>
      <c r="GC422">
        <v>49.23147666189584</v>
      </c>
      <c r="GD422">
        <v>44.18378991727019</v>
      </c>
      <c r="GE422">
        <v>66.480485734571602</v>
      </c>
      <c r="GF422">
        <v>70.412222344442867</v>
      </c>
      <c r="GG422">
        <v>111.6073026755991</v>
      </c>
      <c r="GH422">
        <v>161.23273299114561</v>
      </c>
      <c r="GI422">
        <v>97.690774552229769</v>
      </c>
      <c r="GJ422"/>
      <c r="GK422"/>
      <c r="GL422"/>
      <c r="GM422"/>
    </row>
    <row r="423" spans="1:195" s="7" customFormat="1">
      <c r="A423" s="4"/>
      <c r="B423" s="48" t="s">
        <v>38</v>
      </c>
      <c r="C423" s="107">
        <f t="shared" ref="C423:C432" si="383">SUM(G423:AK423)</f>
        <v>136.20357012439865</v>
      </c>
      <c r="D423" s="190">
        <f>$A$405</f>
        <v>13.69</v>
      </c>
      <c r="E423" s="8"/>
      <c r="F423" s="124"/>
      <c r="G423" s="107">
        <f>(($A$453+$A$455*(G$422)+($A$457*$D423))*($E21*G37))</f>
        <v>0</v>
      </c>
      <c r="H423" s="217">
        <f t="shared" ref="H423:AK431" si="384">(($A$453+$A$455*(H$422)+($A$457*$D423))*($E21*H37))</f>
        <v>1.8098415669208466E-2</v>
      </c>
      <c r="I423" s="217">
        <f t="shared" si="384"/>
        <v>1.7607742830573887</v>
      </c>
      <c r="J423" s="217">
        <f t="shared" si="384"/>
        <v>6.3953443388361659</v>
      </c>
      <c r="K423" s="217">
        <f t="shared" si="384"/>
        <v>14.331869055446898</v>
      </c>
      <c r="L423" s="217">
        <f t="shared" si="384"/>
        <v>14.537110733976887</v>
      </c>
      <c r="M423" s="217">
        <f t="shared" si="384"/>
        <v>29.257002499687687</v>
      </c>
      <c r="N423" s="217">
        <f t="shared" si="384"/>
        <v>33.731028585942887</v>
      </c>
      <c r="O423" s="217">
        <f t="shared" si="384"/>
        <v>21.031059042781223</v>
      </c>
      <c r="P423" s="217">
        <f t="shared" si="384"/>
        <v>15.141283169000307</v>
      </c>
      <c r="Q423" s="217">
        <f t="shared" si="384"/>
        <v>0</v>
      </c>
      <c r="R423" s="217">
        <f t="shared" si="384"/>
        <v>0</v>
      </c>
      <c r="S423" s="217">
        <f t="shared" si="384"/>
        <v>0</v>
      </c>
      <c r="T423" s="217">
        <f t="shared" si="384"/>
        <v>0</v>
      </c>
      <c r="U423" s="217">
        <f t="shared" si="384"/>
        <v>0</v>
      </c>
      <c r="V423" s="217">
        <f t="shared" si="384"/>
        <v>0</v>
      </c>
      <c r="W423" s="217">
        <f t="shared" si="384"/>
        <v>0</v>
      </c>
      <c r="X423" s="217">
        <f t="shared" si="384"/>
        <v>0</v>
      </c>
      <c r="Y423" s="217">
        <f t="shared" si="384"/>
        <v>0</v>
      </c>
      <c r="Z423" s="217">
        <f t="shared" si="384"/>
        <v>0</v>
      </c>
      <c r="AA423" s="217">
        <f t="shared" si="384"/>
        <v>0</v>
      </c>
      <c r="AB423" s="217">
        <f t="shared" si="384"/>
        <v>0</v>
      </c>
      <c r="AC423" s="217">
        <f t="shared" si="384"/>
        <v>0</v>
      </c>
      <c r="AD423" s="217">
        <f t="shared" si="384"/>
        <v>0</v>
      </c>
      <c r="AE423" s="217">
        <f t="shared" si="384"/>
        <v>0</v>
      </c>
      <c r="AF423" s="217">
        <f t="shared" si="384"/>
        <v>0</v>
      </c>
      <c r="AG423" s="217">
        <f t="shared" si="384"/>
        <v>0</v>
      </c>
      <c r="AH423" s="217">
        <f t="shared" si="384"/>
        <v>0</v>
      </c>
      <c r="AI423" s="217">
        <f t="shared" si="384"/>
        <v>0</v>
      </c>
      <c r="AJ423" s="217">
        <f t="shared" si="384"/>
        <v>0</v>
      </c>
      <c r="AK423" s="217">
        <f t="shared" si="384"/>
        <v>0</v>
      </c>
      <c r="AL423" s="4"/>
      <c r="AM423" s="43">
        <v>407</v>
      </c>
      <c r="AN423">
        <v>344.60407217369055</v>
      </c>
      <c r="AO423">
        <v>187.4732430161132</v>
      </c>
      <c r="AP423">
        <v>827.88564399207883</v>
      </c>
      <c r="AQ423">
        <v>997.40600850546696</v>
      </c>
      <c r="AR423">
        <v>174.54820693761951</v>
      </c>
      <c r="AS423">
        <v>1810.8725321962156</v>
      </c>
      <c r="AT423">
        <v>89.028462986751435</v>
      </c>
      <c r="AU423">
        <v>66.89664977873565</v>
      </c>
      <c r="AV423"/>
      <c r="AW423"/>
      <c r="FY423" s="211">
        <v>418</v>
      </c>
      <c r="FZ423">
        <v>128.50589275391917</v>
      </c>
      <c r="GA423">
        <v>160.25505763148584</v>
      </c>
      <c r="GB423">
        <v>46.658013104818934</v>
      </c>
      <c r="GC423">
        <v>37.318596742477766</v>
      </c>
      <c r="GD423">
        <v>34.459390663863296</v>
      </c>
      <c r="GE423">
        <v>76.485298670712751</v>
      </c>
      <c r="GF423">
        <v>107.93691616342321</v>
      </c>
      <c r="GG423">
        <v>75.362517622530575</v>
      </c>
      <c r="GH423">
        <v>79.474919874272217</v>
      </c>
      <c r="GI423">
        <v>91.425269972905284</v>
      </c>
      <c r="GJ423"/>
      <c r="GK423"/>
      <c r="GL423"/>
      <c r="GM423"/>
    </row>
    <row r="424" spans="1:195" s="7" customFormat="1">
      <c r="A424" s="4"/>
      <c r="B424" s="48" t="s">
        <v>39</v>
      </c>
      <c r="C424" s="107">
        <f t="shared" si="383"/>
        <v>152.6952938589788</v>
      </c>
      <c r="D424" s="190">
        <f>$A$406</f>
        <v>9.4499999999999993</v>
      </c>
      <c r="E424" s="8"/>
      <c r="F424" s="124"/>
      <c r="G424" s="217">
        <f t="shared" ref="G424:V432" si="385">(($A$453+$A$455*(G$422)+($A$457*$D424))*($E22*G38))</f>
        <v>1.0545674163904237E-2</v>
      </c>
      <c r="H424" s="217">
        <f t="shared" si="385"/>
        <v>0.49735104619836301</v>
      </c>
      <c r="I424" s="217">
        <f t="shared" si="385"/>
        <v>4.1755359378005474</v>
      </c>
      <c r="J424" s="217">
        <f t="shared" si="385"/>
        <v>7.8595115141735068</v>
      </c>
      <c r="K424" s="217">
        <f t="shared" si="385"/>
        <v>14.158122647890011</v>
      </c>
      <c r="L424" s="217">
        <f t="shared" si="385"/>
        <v>15.013761113607812</v>
      </c>
      <c r="M424" s="217">
        <f t="shared" si="385"/>
        <v>19.192892539355174</v>
      </c>
      <c r="N424" s="217">
        <f t="shared" si="385"/>
        <v>41.927981827117804</v>
      </c>
      <c r="O424" s="217">
        <f t="shared" si="385"/>
        <v>22.172851570539887</v>
      </c>
      <c r="P424" s="217">
        <f t="shared" si="385"/>
        <v>27.68673998813178</v>
      </c>
      <c r="Q424" s="217">
        <f t="shared" si="385"/>
        <v>0</v>
      </c>
      <c r="R424" s="217">
        <f t="shared" si="385"/>
        <v>0</v>
      </c>
      <c r="S424" s="217">
        <f t="shared" si="385"/>
        <v>0</v>
      </c>
      <c r="T424" s="217">
        <f t="shared" si="385"/>
        <v>0</v>
      </c>
      <c r="U424" s="217">
        <f t="shared" si="385"/>
        <v>0</v>
      </c>
      <c r="V424" s="217">
        <f t="shared" si="385"/>
        <v>0</v>
      </c>
      <c r="W424" s="217">
        <f t="shared" si="384"/>
        <v>0</v>
      </c>
      <c r="X424" s="217">
        <f t="shared" si="384"/>
        <v>0</v>
      </c>
      <c r="Y424" s="217">
        <f t="shared" si="384"/>
        <v>0</v>
      </c>
      <c r="Z424" s="217">
        <f t="shared" si="384"/>
        <v>0</v>
      </c>
      <c r="AA424" s="217">
        <f t="shared" si="384"/>
        <v>0</v>
      </c>
      <c r="AB424" s="217">
        <f t="shared" si="384"/>
        <v>0</v>
      </c>
      <c r="AC424" s="217">
        <f t="shared" si="384"/>
        <v>0</v>
      </c>
      <c r="AD424" s="217">
        <f t="shared" si="384"/>
        <v>0</v>
      </c>
      <c r="AE424" s="217">
        <f t="shared" si="384"/>
        <v>0</v>
      </c>
      <c r="AF424" s="217">
        <f t="shared" si="384"/>
        <v>0</v>
      </c>
      <c r="AG424" s="217">
        <f t="shared" si="384"/>
        <v>0</v>
      </c>
      <c r="AH424" s="217">
        <f t="shared" si="384"/>
        <v>0</v>
      </c>
      <c r="AI424" s="217">
        <f t="shared" si="384"/>
        <v>0</v>
      </c>
      <c r="AJ424" s="217">
        <f t="shared" si="384"/>
        <v>0</v>
      </c>
      <c r="AK424" s="217">
        <f t="shared" si="384"/>
        <v>0</v>
      </c>
      <c r="AL424" s="4"/>
      <c r="AM424" s="43">
        <v>408</v>
      </c>
      <c r="AN424">
        <v>241.36246853749853</v>
      </c>
      <c r="AO424">
        <v>136.20138147130038</v>
      </c>
      <c r="AP424">
        <v>556.41535888509043</v>
      </c>
      <c r="AQ424">
        <v>758.02207155682606</v>
      </c>
      <c r="AR424">
        <v>128.38347890364889</v>
      </c>
      <c r="AS424">
        <v>1326.5307247199705</v>
      </c>
      <c r="AT424">
        <v>67.153429729181312</v>
      </c>
      <c r="AU424">
        <v>87.561334149360889</v>
      </c>
      <c r="AV424"/>
      <c r="AW424"/>
      <c r="FY424" s="211">
        <v>419</v>
      </c>
      <c r="FZ424">
        <v>103.08728535699397</v>
      </c>
      <c r="GA424">
        <v>143.77260033643984</v>
      </c>
      <c r="GB424">
        <v>61.144625979290595</v>
      </c>
      <c r="GC424">
        <v>53.742587159933748</v>
      </c>
      <c r="GD424">
        <v>37.278859130395162</v>
      </c>
      <c r="GE424">
        <v>57.878428932887331</v>
      </c>
      <c r="GF424">
        <v>93.198249003652549</v>
      </c>
      <c r="GG424">
        <v>50.721179374019776</v>
      </c>
      <c r="GH424">
        <v>39.055610192223483</v>
      </c>
      <c r="GI424">
        <v>83.181705056584207</v>
      </c>
      <c r="GJ424"/>
      <c r="GK424"/>
      <c r="GL424"/>
      <c r="GM424"/>
    </row>
    <row r="425" spans="1:195" s="7" customFormat="1">
      <c r="A425" s="4"/>
      <c r="B425" s="48" t="s">
        <v>40</v>
      </c>
      <c r="C425" s="107">
        <f t="shared" si="383"/>
        <v>47.688968806578607</v>
      </c>
      <c r="D425" s="190">
        <f>A$407</f>
        <v>4.03</v>
      </c>
      <c r="E425" s="8"/>
      <c r="F425" s="124"/>
      <c r="G425" s="217">
        <f t="shared" si="385"/>
        <v>5.4181122461108731E-3</v>
      </c>
      <c r="H425" s="217">
        <f t="shared" si="384"/>
        <v>0.52820447165732431</v>
      </c>
      <c r="I425" s="217">
        <f t="shared" si="384"/>
        <v>4.261150530074918</v>
      </c>
      <c r="J425" s="217">
        <f t="shared" si="384"/>
        <v>6.9170325106611577</v>
      </c>
      <c r="K425" s="217">
        <f t="shared" si="384"/>
        <v>9.1123321647304873</v>
      </c>
      <c r="L425" s="217">
        <f t="shared" si="384"/>
        <v>11.701181078371413</v>
      </c>
      <c r="M425" s="217">
        <f t="shared" si="384"/>
        <v>2.4239610757055905</v>
      </c>
      <c r="N425" s="217">
        <f t="shared" si="384"/>
        <v>5.5742685988025107</v>
      </c>
      <c r="O425" s="217">
        <f t="shared" si="384"/>
        <v>2.6279865012765722</v>
      </c>
      <c r="P425" s="217">
        <f t="shared" si="384"/>
        <v>4.537433763052519</v>
      </c>
      <c r="Q425" s="217">
        <f t="shared" si="384"/>
        <v>0</v>
      </c>
      <c r="R425" s="217">
        <f t="shared" si="384"/>
        <v>0</v>
      </c>
      <c r="S425" s="217">
        <f t="shared" si="384"/>
        <v>0</v>
      </c>
      <c r="T425" s="217">
        <f t="shared" si="384"/>
        <v>0</v>
      </c>
      <c r="U425" s="217">
        <f t="shared" si="384"/>
        <v>0</v>
      </c>
      <c r="V425" s="217">
        <f t="shared" si="384"/>
        <v>0</v>
      </c>
      <c r="W425" s="217">
        <f t="shared" si="384"/>
        <v>0</v>
      </c>
      <c r="X425" s="217">
        <f t="shared" si="384"/>
        <v>0</v>
      </c>
      <c r="Y425" s="217">
        <f t="shared" si="384"/>
        <v>0</v>
      </c>
      <c r="Z425" s="217">
        <f t="shared" si="384"/>
        <v>0</v>
      </c>
      <c r="AA425" s="217">
        <f t="shared" si="384"/>
        <v>0</v>
      </c>
      <c r="AB425" s="217">
        <f t="shared" si="384"/>
        <v>0</v>
      </c>
      <c r="AC425" s="217">
        <f t="shared" si="384"/>
        <v>0</v>
      </c>
      <c r="AD425" s="217">
        <f t="shared" si="384"/>
        <v>0</v>
      </c>
      <c r="AE425" s="217">
        <f t="shared" si="384"/>
        <v>0</v>
      </c>
      <c r="AF425" s="217">
        <f t="shared" si="384"/>
        <v>0</v>
      </c>
      <c r="AG425" s="217">
        <f t="shared" si="384"/>
        <v>0</v>
      </c>
      <c r="AH425" s="217">
        <f t="shared" si="384"/>
        <v>0</v>
      </c>
      <c r="AI425" s="217">
        <f t="shared" si="384"/>
        <v>0</v>
      </c>
      <c r="AJ425" s="217">
        <f t="shared" si="384"/>
        <v>0</v>
      </c>
      <c r="AK425" s="217">
        <f t="shared" si="384"/>
        <v>0</v>
      </c>
      <c r="AL425" s="4"/>
      <c r="AM425" s="43">
        <v>409</v>
      </c>
      <c r="AN425">
        <v>257.9702879602433</v>
      </c>
      <c r="AO425">
        <v>132.77343613035029</v>
      </c>
      <c r="AP425">
        <v>549.84369487996696</v>
      </c>
      <c r="AQ425">
        <v>729.74717125545158</v>
      </c>
      <c r="AR425">
        <v>126.41679402366103</v>
      </c>
      <c r="AS425">
        <v>1525.2139808510626</v>
      </c>
      <c r="AT425">
        <v>65.48642358420021</v>
      </c>
      <c r="AU425">
        <v>442.81101273662512</v>
      </c>
      <c r="AV425"/>
      <c r="AW425"/>
      <c r="FY425" s="211">
        <v>420</v>
      </c>
      <c r="FZ425">
        <v>121.08876432233549</v>
      </c>
      <c r="GA425">
        <v>166.30225354867622</v>
      </c>
      <c r="GB425">
        <v>50.648282400201026</v>
      </c>
      <c r="GC425">
        <v>48.821495558320166</v>
      </c>
      <c r="GD425">
        <v>46.636254341089113</v>
      </c>
      <c r="GE425">
        <v>58.841200883719033</v>
      </c>
      <c r="GF425">
        <v>107.51174556471483</v>
      </c>
      <c r="GG425">
        <v>123.65134130090858</v>
      </c>
      <c r="GH425">
        <v>97.104390709491582</v>
      </c>
      <c r="GI425">
        <v>102.37212561191544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>
        <f t="shared" si="383"/>
        <v>46.627436682044973</v>
      </c>
      <c r="D426" s="190">
        <f>A$408</f>
        <v>0.78</v>
      </c>
      <c r="E426" s="8"/>
      <c r="F426" s="124"/>
      <c r="G426" s="217">
        <f t="shared" si="385"/>
        <v>0</v>
      </c>
      <c r="H426" s="217">
        <f t="shared" si="384"/>
        <v>0.24512395835412126</v>
      </c>
      <c r="I426" s="217">
        <f t="shared" si="384"/>
        <v>3.2859197486995368</v>
      </c>
      <c r="J426" s="217">
        <f t="shared" si="384"/>
        <v>2.3271399603516527</v>
      </c>
      <c r="K426" s="217">
        <f t="shared" si="384"/>
        <v>5.302625618132458</v>
      </c>
      <c r="L426" s="217">
        <f t="shared" si="384"/>
        <v>18.209717280873512</v>
      </c>
      <c r="M426" s="217">
        <f t="shared" si="384"/>
        <v>13.19214961095774</v>
      </c>
      <c r="N426" s="217">
        <f t="shared" si="384"/>
        <v>3.4919763276961673</v>
      </c>
      <c r="O426" s="217">
        <f t="shared" si="384"/>
        <v>0.57278417697978723</v>
      </c>
      <c r="P426" s="217">
        <f t="shared" si="384"/>
        <v>0</v>
      </c>
      <c r="Q426" s="217">
        <f t="shared" si="384"/>
        <v>0</v>
      </c>
      <c r="R426" s="217">
        <f t="shared" si="384"/>
        <v>0</v>
      </c>
      <c r="S426" s="217">
        <f t="shared" si="384"/>
        <v>0</v>
      </c>
      <c r="T426" s="217">
        <f t="shared" si="384"/>
        <v>0</v>
      </c>
      <c r="U426" s="217">
        <f t="shared" si="384"/>
        <v>0</v>
      </c>
      <c r="V426" s="217">
        <f t="shared" si="384"/>
        <v>0</v>
      </c>
      <c r="W426" s="217">
        <f t="shared" si="384"/>
        <v>0</v>
      </c>
      <c r="X426" s="217">
        <f t="shared" si="384"/>
        <v>0</v>
      </c>
      <c r="Y426" s="217">
        <f t="shared" si="384"/>
        <v>0</v>
      </c>
      <c r="Z426" s="217">
        <f t="shared" si="384"/>
        <v>0</v>
      </c>
      <c r="AA426" s="217">
        <f t="shared" si="384"/>
        <v>0</v>
      </c>
      <c r="AB426" s="217">
        <f t="shared" si="384"/>
        <v>0</v>
      </c>
      <c r="AC426" s="217">
        <f t="shared" si="384"/>
        <v>0</v>
      </c>
      <c r="AD426" s="217">
        <f t="shared" si="384"/>
        <v>0</v>
      </c>
      <c r="AE426" s="217">
        <f t="shared" si="384"/>
        <v>0</v>
      </c>
      <c r="AF426" s="217">
        <f t="shared" si="384"/>
        <v>0</v>
      </c>
      <c r="AG426" s="217">
        <f t="shared" si="384"/>
        <v>0</v>
      </c>
      <c r="AH426" s="217">
        <f t="shared" si="384"/>
        <v>0</v>
      </c>
      <c r="AI426" s="217">
        <f t="shared" si="384"/>
        <v>0</v>
      </c>
      <c r="AJ426" s="217">
        <f t="shared" si="384"/>
        <v>0</v>
      </c>
      <c r="AK426" s="217">
        <f t="shared" si="384"/>
        <v>0</v>
      </c>
      <c r="AL426" s="4"/>
      <c r="AM426" s="43">
        <v>410</v>
      </c>
      <c r="AN426">
        <v>281.43605230657346</v>
      </c>
      <c r="AO426">
        <v>165.73665253895777</v>
      </c>
      <c r="AP426">
        <v>727.82204753424969</v>
      </c>
      <c r="AQ426">
        <v>932.85624323978425</v>
      </c>
      <c r="AR426">
        <v>155.7539898006747</v>
      </c>
      <c r="AS426">
        <v>1514.3643478498168</v>
      </c>
      <c r="AT426">
        <v>79.957803829785433</v>
      </c>
      <c r="AU426">
        <v>-4.7712134761155767E-2</v>
      </c>
      <c r="AV426"/>
      <c r="AW426"/>
      <c r="FY426" s="211">
        <v>421</v>
      </c>
      <c r="FZ426">
        <v>145.43724012653882</v>
      </c>
      <c r="GA426">
        <v>184.44896274287396</v>
      </c>
      <c r="GB426">
        <v>38.451308494716173</v>
      </c>
      <c r="GC426">
        <v>26.844980966284876</v>
      </c>
      <c r="GD426">
        <v>27.080384656304048</v>
      </c>
      <c r="GE426">
        <v>36.968929638437707</v>
      </c>
      <c r="GF426">
        <v>66.974870657630476</v>
      </c>
      <c r="GG426">
        <v>70.020544260555653</v>
      </c>
      <c r="GH426">
        <v>65.348459146446956</v>
      </c>
      <c r="GI426">
        <v>74.920256853538248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>
        <f t="shared" si="383"/>
        <v>55.201132841946283</v>
      </c>
      <c r="D427" s="190">
        <f>A$409</f>
        <v>0.14000000000000001</v>
      </c>
      <c r="E427" s="8"/>
      <c r="F427" s="124"/>
      <c r="G427" s="217">
        <f t="shared" si="385"/>
        <v>3.6066041688536457E-3</v>
      </c>
      <c r="H427" s="217">
        <f t="shared" si="384"/>
        <v>0.87812196426669353</v>
      </c>
      <c r="I427" s="217">
        <f t="shared" si="384"/>
        <v>4.5014790260954527</v>
      </c>
      <c r="J427" s="217">
        <f t="shared" si="384"/>
        <v>0.34284445615915793</v>
      </c>
      <c r="K427" s="217">
        <f t="shared" si="384"/>
        <v>1.8013466363603083</v>
      </c>
      <c r="L427" s="217">
        <f t="shared" si="384"/>
        <v>19.680599442338906</v>
      </c>
      <c r="M427" s="217">
        <f t="shared" si="384"/>
        <v>23.364637897562854</v>
      </c>
      <c r="N427" s="217">
        <f t="shared" si="384"/>
        <v>4.2290439019274668</v>
      </c>
      <c r="O427" s="217">
        <f t="shared" si="384"/>
        <v>0.39945291306659098</v>
      </c>
      <c r="P427" s="217">
        <f t="shared" si="384"/>
        <v>0</v>
      </c>
      <c r="Q427" s="217">
        <f t="shared" si="384"/>
        <v>0</v>
      </c>
      <c r="R427" s="217">
        <f t="shared" si="384"/>
        <v>0</v>
      </c>
      <c r="S427" s="217">
        <f t="shared" si="384"/>
        <v>0</v>
      </c>
      <c r="T427" s="217">
        <f t="shared" si="384"/>
        <v>0</v>
      </c>
      <c r="U427" s="217">
        <f t="shared" si="384"/>
        <v>0</v>
      </c>
      <c r="V427" s="217">
        <f t="shared" si="384"/>
        <v>0</v>
      </c>
      <c r="W427" s="217">
        <f t="shared" si="384"/>
        <v>0</v>
      </c>
      <c r="X427" s="217">
        <f t="shared" si="384"/>
        <v>0</v>
      </c>
      <c r="Y427" s="217">
        <f t="shared" si="384"/>
        <v>0</v>
      </c>
      <c r="Z427" s="217">
        <f t="shared" si="384"/>
        <v>0</v>
      </c>
      <c r="AA427" s="217">
        <f t="shared" si="384"/>
        <v>0</v>
      </c>
      <c r="AB427" s="217">
        <f t="shared" si="384"/>
        <v>0</v>
      </c>
      <c r="AC427" s="217">
        <f t="shared" si="384"/>
        <v>0</v>
      </c>
      <c r="AD427" s="217">
        <f t="shared" si="384"/>
        <v>0</v>
      </c>
      <c r="AE427" s="217">
        <f t="shared" si="384"/>
        <v>0</v>
      </c>
      <c r="AF427" s="217">
        <f t="shared" si="384"/>
        <v>0</v>
      </c>
      <c r="AG427" s="217">
        <f t="shared" si="384"/>
        <v>0</v>
      </c>
      <c r="AH427" s="217">
        <f t="shared" si="384"/>
        <v>0</v>
      </c>
      <c r="AI427" s="217">
        <f t="shared" si="384"/>
        <v>0</v>
      </c>
      <c r="AJ427" s="217">
        <f t="shared" si="384"/>
        <v>0</v>
      </c>
      <c r="AK427" s="217">
        <f t="shared" si="384"/>
        <v>0</v>
      </c>
      <c r="AL427" s="4"/>
      <c r="AM427" s="43">
        <v>411</v>
      </c>
      <c r="AN427">
        <v>253.85150477021179</v>
      </c>
      <c r="AO427">
        <v>139.89022767488572</v>
      </c>
      <c r="AP427">
        <v>520.63641804284157</v>
      </c>
      <c r="AQ427">
        <v>810.20040338800163</v>
      </c>
      <c r="AR427">
        <v>132.01525495919768</v>
      </c>
      <c r="AS427">
        <v>1313.2768682015685</v>
      </c>
      <c r="AT427">
        <v>67.375982607993663</v>
      </c>
      <c r="AU427">
        <v>224.15347169543037</v>
      </c>
      <c r="AV427"/>
      <c r="AW427"/>
      <c r="FY427" s="211">
        <v>422</v>
      </c>
      <c r="FZ427">
        <v>87.758090237083678</v>
      </c>
      <c r="GA427">
        <v>119.41960848466061</v>
      </c>
      <c r="GB427">
        <v>51.83600311070203</v>
      </c>
      <c r="GC427">
        <v>52.928597190785219</v>
      </c>
      <c r="GD427">
        <v>57.480269975831298</v>
      </c>
      <c r="GE427">
        <v>107.5937898796882</v>
      </c>
      <c r="GF427">
        <v>164.021605532368</v>
      </c>
      <c r="GG427">
        <v>99.672149945637869</v>
      </c>
      <c r="GH427">
        <v>48.71022058325066</v>
      </c>
      <c r="GI427">
        <v>110.96271671478409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>
        <f t="shared" si="383"/>
        <v>88.412740195939961</v>
      </c>
      <c r="D428" s="190">
        <f>A$410</f>
        <v>0.21</v>
      </c>
      <c r="E428" s="8"/>
      <c r="F428" s="124"/>
      <c r="G428" s="217">
        <f t="shared" si="385"/>
        <v>7.3021671899863427E-3</v>
      </c>
      <c r="H428" s="217">
        <f t="shared" si="384"/>
        <v>1.7235123736879459</v>
      </c>
      <c r="I428" s="217">
        <f t="shared" si="384"/>
        <v>6.3258367095231884</v>
      </c>
      <c r="J428" s="217">
        <f t="shared" si="384"/>
        <v>0.23148957536871986</v>
      </c>
      <c r="K428" s="217">
        <f t="shared" si="384"/>
        <v>0.41709913789472669</v>
      </c>
      <c r="L428" s="217">
        <f t="shared" si="384"/>
        <v>23.997753455318051</v>
      </c>
      <c r="M428" s="217">
        <f t="shared" si="384"/>
        <v>35.199490486379275</v>
      </c>
      <c r="N428" s="217">
        <f t="shared" si="384"/>
        <v>14.244972576634712</v>
      </c>
      <c r="O428" s="217">
        <f t="shared" si="384"/>
        <v>4.5040739402096657</v>
      </c>
      <c r="P428" s="217">
        <f t="shared" si="384"/>
        <v>1.7612097737336976</v>
      </c>
      <c r="Q428" s="217">
        <f t="shared" si="384"/>
        <v>0</v>
      </c>
      <c r="R428" s="217">
        <f t="shared" si="384"/>
        <v>0</v>
      </c>
      <c r="S428" s="217">
        <f t="shared" si="384"/>
        <v>0</v>
      </c>
      <c r="T428" s="217">
        <f t="shared" si="384"/>
        <v>0</v>
      </c>
      <c r="U428" s="217">
        <f t="shared" si="384"/>
        <v>0</v>
      </c>
      <c r="V428" s="217">
        <f t="shared" si="384"/>
        <v>0</v>
      </c>
      <c r="W428" s="217">
        <f t="shared" si="384"/>
        <v>0</v>
      </c>
      <c r="X428" s="217">
        <f t="shared" si="384"/>
        <v>0</v>
      </c>
      <c r="Y428" s="217">
        <f t="shared" si="384"/>
        <v>0</v>
      </c>
      <c r="Z428" s="217">
        <f t="shared" si="384"/>
        <v>0</v>
      </c>
      <c r="AA428" s="217">
        <f t="shared" si="384"/>
        <v>0</v>
      </c>
      <c r="AB428" s="217">
        <f t="shared" si="384"/>
        <v>0</v>
      </c>
      <c r="AC428" s="217">
        <f t="shared" si="384"/>
        <v>0</v>
      </c>
      <c r="AD428" s="217">
        <f t="shared" si="384"/>
        <v>0</v>
      </c>
      <c r="AE428" s="217">
        <f t="shared" si="384"/>
        <v>0</v>
      </c>
      <c r="AF428" s="217">
        <f t="shared" si="384"/>
        <v>0</v>
      </c>
      <c r="AG428" s="217">
        <f t="shared" si="384"/>
        <v>0</v>
      </c>
      <c r="AH428" s="217">
        <f t="shared" si="384"/>
        <v>0</v>
      </c>
      <c r="AI428" s="217">
        <f t="shared" si="384"/>
        <v>0</v>
      </c>
      <c r="AJ428" s="217">
        <f t="shared" si="384"/>
        <v>0</v>
      </c>
      <c r="AK428" s="217">
        <f t="shared" si="384"/>
        <v>0</v>
      </c>
      <c r="AL428" s="4"/>
      <c r="AM428" s="43">
        <v>412</v>
      </c>
      <c r="AN428">
        <v>259.49554721727395</v>
      </c>
      <c r="AO428">
        <v>142.32035294754849</v>
      </c>
      <c r="AP428">
        <v>619.42939842654789</v>
      </c>
      <c r="AQ428">
        <v>834.13251409164525</v>
      </c>
      <c r="AR428">
        <v>133.74135149252319</v>
      </c>
      <c r="AS428">
        <v>1271.3726956735156</v>
      </c>
      <c r="AT428">
        <v>70.578922409513112</v>
      </c>
      <c r="AU428">
        <v>281.37809936113501</v>
      </c>
      <c r="AV428"/>
      <c r="AW428"/>
      <c r="FY428" s="211">
        <v>423</v>
      </c>
      <c r="FZ428">
        <v>98.91012771029537</v>
      </c>
      <c r="GA428">
        <v>131.53721493699712</v>
      </c>
      <c r="GB428">
        <v>53.6819090651355</v>
      </c>
      <c r="GC428">
        <v>44.816531028851848</v>
      </c>
      <c r="GD428">
        <v>39.503355181499884</v>
      </c>
      <c r="GE428">
        <v>51.419343529787625</v>
      </c>
      <c r="GF428">
        <v>60.610002460622361</v>
      </c>
      <c r="GG428">
        <v>104.11061642984501</v>
      </c>
      <c r="GH428">
        <v>119.63426128409114</v>
      </c>
      <c r="GI428">
        <v>87.26553101641646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>
        <f t="shared" si="383"/>
        <v>61.201072434597535</v>
      </c>
      <c r="D429" s="190">
        <f>A$411</f>
        <v>1.28</v>
      </c>
      <c r="E429" s="8"/>
      <c r="F429" s="124"/>
      <c r="G429" s="217">
        <f t="shared" si="385"/>
        <v>0</v>
      </c>
      <c r="H429" s="217">
        <f t="shared" si="384"/>
        <v>0.21771763067711072</v>
      </c>
      <c r="I429" s="217">
        <f t="shared" si="384"/>
        <v>1.527430434663291</v>
      </c>
      <c r="J429" s="217">
        <f t="shared" si="384"/>
        <v>9.0636268094412401E-2</v>
      </c>
      <c r="K429" s="217">
        <f t="shared" si="384"/>
        <v>0.65809703783403062</v>
      </c>
      <c r="L429" s="217">
        <f t="shared" si="384"/>
        <v>6.1822820113450465</v>
      </c>
      <c r="M429" s="217">
        <f t="shared" si="384"/>
        <v>15.752458307525567</v>
      </c>
      <c r="N429" s="217">
        <f t="shared" si="384"/>
        <v>23.489636426367174</v>
      </c>
      <c r="O429" s="217">
        <f t="shared" si="384"/>
        <v>9.5967367595252338</v>
      </c>
      <c r="P429" s="217">
        <f t="shared" si="384"/>
        <v>3.6860775585656627</v>
      </c>
      <c r="Q429" s="217">
        <f t="shared" si="384"/>
        <v>0</v>
      </c>
      <c r="R429" s="217">
        <f t="shared" si="384"/>
        <v>0</v>
      </c>
      <c r="S429" s="217">
        <f t="shared" si="384"/>
        <v>0</v>
      </c>
      <c r="T429" s="217">
        <f t="shared" si="384"/>
        <v>0</v>
      </c>
      <c r="U429" s="217">
        <f t="shared" si="384"/>
        <v>0</v>
      </c>
      <c r="V429" s="217">
        <f t="shared" si="384"/>
        <v>0</v>
      </c>
      <c r="W429" s="217">
        <f t="shared" si="384"/>
        <v>0</v>
      </c>
      <c r="X429" s="217">
        <f t="shared" si="384"/>
        <v>0</v>
      </c>
      <c r="Y429" s="217">
        <f t="shared" si="384"/>
        <v>0</v>
      </c>
      <c r="Z429" s="217">
        <f t="shared" si="384"/>
        <v>0</v>
      </c>
      <c r="AA429" s="217">
        <f t="shared" si="384"/>
        <v>0</v>
      </c>
      <c r="AB429" s="217">
        <f t="shared" si="384"/>
        <v>0</v>
      </c>
      <c r="AC429" s="217">
        <f t="shared" si="384"/>
        <v>0</v>
      </c>
      <c r="AD429" s="217">
        <f t="shared" si="384"/>
        <v>0</v>
      </c>
      <c r="AE429" s="217">
        <f t="shared" si="384"/>
        <v>0</v>
      </c>
      <c r="AF429" s="217">
        <f t="shared" si="384"/>
        <v>0</v>
      </c>
      <c r="AG429" s="217">
        <f t="shared" si="384"/>
        <v>0</v>
      </c>
      <c r="AH429" s="217">
        <f t="shared" si="384"/>
        <v>0</v>
      </c>
      <c r="AI429" s="217">
        <f t="shared" si="384"/>
        <v>0</v>
      </c>
      <c r="AJ429" s="217">
        <f t="shared" si="384"/>
        <v>0</v>
      </c>
      <c r="AK429" s="217">
        <f t="shared" si="384"/>
        <v>0</v>
      </c>
      <c r="AL429" s="4"/>
      <c r="AM429" s="43">
        <v>413</v>
      </c>
      <c r="AN429">
        <v>232.81845542832639</v>
      </c>
      <c r="AO429">
        <v>134.76782409796459</v>
      </c>
      <c r="AP429">
        <v>520.92942438350155</v>
      </c>
      <c r="AQ429">
        <v>773.21668859173406</v>
      </c>
      <c r="AR429">
        <v>128.5576295212405</v>
      </c>
      <c r="AS429">
        <v>1258.2188066988433</v>
      </c>
      <c r="AT429">
        <v>63.997669730833763</v>
      </c>
      <c r="AU429">
        <v>63.863661792334696</v>
      </c>
      <c r="AV429"/>
      <c r="AW429"/>
      <c r="FY429" s="211">
        <v>424</v>
      </c>
      <c r="FZ429">
        <v>110.58826008129668</v>
      </c>
      <c r="GA429">
        <v>145.9418362173368</v>
      </c>
      <c r="GB429">
        <v>48.159486394737975</v>
      </c>
      <c r="GC429">
        <v>40.473173678395383</v>
      </c>
      <c r="GD429">
        <v>40.792638430796544</v>
      </c>
      <c r="GE429">
        <v>56.497088359570618</v>
      </c>
      <c r="GF429">
        <v>82.327891653518208</v>
      </c>
      <c r="GG429">
        <v>98.920338237830251</v>
      </c>
      <c r="GH429">
        <v>79.947839710054296</v>
      </c>
      <c r="GI429">
        <v>86.26223074617495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>
        <f t="shared" si="383"/>
        <v>31.582157617665501</v>
      </c>
      <c r="D430" s="190">
        <f>A$412</f>
        <v>4</v>
      </c>
      <c r="E430" s="8"/>
      <c r="F430" s="124"/>
      <c r="G430" s="217">
        <f t="shared" si="385"/>
        <v>0</v>
      </c>
      <c r="H430" s="217">
        <f t="shared" si="384"/>
        <v>7.1999057655885851E-2</v>
      </c>
      <c r="I430" s="217">
        <f t="shared" si="384"/>
        <v>0.99963532337088767</v>
      </c>
      <c r="J430" s="217">
        <f t="shared" si="384"/>
        <v>0</v>
      </c>
      <c r="K430" s="217">
        <f t="shared" si="384"/>
        <v>0</v>
      </c>
      <c r="L430" s="217">
        <f t="shared" si="384"/>
        <v>2.6012227042452731</v>
      </c>
      <c r="M430" s="217">
        <f t="shared" si="384"/>
        <v>7.075292602890543</v>
      </c>
      <c r="N430" s="217">
        <f t="shared" si="384"/>
        <v>6.7284081337694692</v>
      </c>
      <c r="O430" s="217">
        <f t="shared" si="384"/>
        <v>6.9566895474988373</v>
      </c>
      <c r="P430" s="217">
        <f t="shared" si="384"/>
        <v>5.3337941635006283</v>
      </c>
      <c r="Q430" s="217">
        <f t="shared" si="384"/>
        <v>1.8151160847339787</v>
      </c>
      <c r="R430" s="217">
        <f t="shared" si="384"/>
        <v>0</v>
      </c>
      <c r="S430" s="217">
        <f t="shared" si="384"/>
        <v>0</v>
      </c>
      <c r="T430" s="217">
        <f t="shared" si="384"/>
        <v>0</v>
      </c>
      <c r="U430" s="217">
        <f t="shared" si="384"/>
        <v>0</v>
      </c>
      <c r="V430" s="217">
        <f t="shared" si="384"/>
        <v>0</v>
      </c>
      <c r="W430" s="217">
        <f t="shared" si="384"/>
        <v>0</v>
      </c>
      <c r="X430" s="217">
        <f t="shared" si="384"/>
        <v>0</v>
      </c>
      <c r="Y430" s="217">
        <f t="shared" si="384"/>
        <v>0</v>
      </c>
      <c r="Z430" s="217">
        <f t="shared" si="384"/>
        <v>0</v>
      </c>
      <c r="AA430" s="217">
        <f t="shared" si="384"/>
        <v>0</v>
      </c>
      <c r="AB430" s="217">
        <f t="shared" si="384"/>
        <v>0</v>
      </c>
      <c r="AC430" s="217">
        <f t="shared" si="384"/>
        <v>0</v>
      </c>
      <c r="AD430" s="217">
        <f t="shared" si="384"/>
        <v>0</v>
      </c>
      <c r="AE430" s="217">
        <f t="shared" si="384"/>
        <v>0</v>
      </c>
      <c r="AF430" s="217">
        <f t="shared" si="384"/>
        <v>0</v>
      </c>
      <c r="AG430" s="217">
        <f t="shared" si="384"/>
        <v>0</v>
      </c>
      <c r="AH430" s="217">
        <f t="shared" si="384"/>
        <v>0</v>
      </c>
      <c r="AI430" s="217">
        <f t="shared" si="384"/>
        <v>0</v>
      </c>
      <c r="AJ430" s="217">
        <f t="shared" si="384"/>
        <v>0</v>
      </c>
      <c r="AK430" s="217">
        <f t="shared" si="384"/>
        <v>0</v>
      </c>
      <c r="AL430" s="4"/>
      <c r="AM430" s="43">
        <v>414</v>
      </c>
      <c r="AN430">
        <v>232.01839142935523</v>
      </c>
      <c r="AO430">
        <v>137.21765769809602</v>
      </c>
      <c r="AP430">
        <v>633.44668471575017</v>
      </c>
      <c r="AQ430">
        <v>771.78959405355806</v>
      </c>
      <c r="AR430">
        <v>131.27054342482569</v>
      </c>
      <c r="AS430">
        <v>1178.266419906998</v>
      </c>
      <c r="AT430">
        <v>65.553262333336576</v>
      </c>
      <c r="AU430">
        <v>172.61219368196058</v>
      </c>
      <c r="AV430"/>
      <c r="AW430"/>
      <c r="FY430" s="211">
        <v>425</v>
      </c>
      <c r="FZ430">
        <v>86.550303508779777</v>
      </c>
      <c r="GA430">
        <v>176.12374891974773</v>
      </c>
      <c r="GB430">
        <v>67.231846781087256</v>
      </c>
      <c r="GC430">
        <v>46.473553369523863</v>
      </c>
      <c r="GD430">
        <v>33.60991188484676</v>
      </c>
      <c r="GE430">
        <v>49.16465894415721</v>
      </c>
      <c r="GF430">
        <v>105.07339454365537</v>
      </c>
      <c r="GG430">
        <v>70.674792172428226</v>
      </c>
      <c r="GH430">
        <v>40.36853249004178</v>
      </c>
      <c r="GI430">
        <v>82.801822718499679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>
        <f t="shared" si="383"/>
        <v>41.593756179369755</v>
      </c>
      <c r="D431" s="190">
        <f>A$413</f>
        <v>7.33</v>
      </c>
      <c r="E431" s="8"/>
      <c r="F431" s="124"/>
      <c r="G431" s="217">
        <f t="shared" si="385"/>
        <v>0</v>
      </c>
      <c r="H431" s="217">
        <f t="shared" si="384"/>
        <v>0</v>
      </c>
      <c r="I431" s="217">
        <f t="shared" si="384"/>
        <v>0.53480388315943506</v>
      </c>
      <c r="J431" s="217">
        <f t="shared" si="384"/>
        <v>7.0048394666277556</v>
      </c>
      <c r="K431" s="217">
        <f t="shared" si="384"/>
        <v>0</v>
      </c>
      <c r="L431" s="217">
        <f t="shared" si="384"/>
        <v>6.5754430778980444</v>
      </c>
      <c r="M431" s="217">
        <f t="shared" si="384"/>
        <v>3.0293390346233457</v>
      </c>
      <c r="N431" s="217">
        <f t="shared" si="384"/>
        <v>1.7199581175636149</v>
      </c>
      <c r="O431" s="217">
        <f t="shared" si="384"/>
        <v>11.300676458825491</v>
      </c>
      <c r="P431" s="217">
        <f t="shared" si="384"/>
        <v>8.2932105488645842</v>
      </c>
      <c r="Q431" s="217">
        <f t="shared" si="384"/>
        <v>3.1354855918074893</v>
      </c>
      <c r="R431" s="217">
        <f t="shared" si="384"/>
        <v>0</v>
      </c>
      <c r="S431" s="217">
        <f t="shared" si="384"/>
        <v>0</v>
      </c>
      <c r="T431" s="217">
        <f t="shared" si="384"/>
        <v>0</v>
      </c>
      <c r="U431" s="217">
        <f t="shared" si="384"/>
        <v>0</v>
      </c>
      <c r="V431" s="217">
        <f t="shared" si="384"/>
        <v>0</v>
      </c>
      <c r="W431" s="217">
        <f t="shared" si="384"/>
        <v>0</v>
      </c>
      <c r="X431" s="217">
        <f t="shared" si="384"/>
        <v>0</v>
      </c>
      <c r="Y431" s="217">
        <f t="shared" si="384"/>
        <v>0</v>
      </c>
      <c r="Z431" s="217">
        <f t="shared" si="384"/>
        <v>0</v>
      </c>
      <c r="AA431" s="217">
        <f t="shared" si="384"/>
        <v>0</v>
      </c>
      <c r="AB431" s="217">
        <f t="shared" si="384"/>
        <v>0</v>
      </c>
      <c r="AC431" s="217">
        <f t="shared" si="384"/>
        <v>0</v>
      </c>
      <c r="AD431" s="217">
        <f t="shared" si="384"/>
        <v>0</v>
      </c>
      <c r="AE431" s="217">
        <f t="shared" si="384"/>
        <v>0</v>
      </c>
      <c r="AF431" s="217">
        <f t="shared" si="384"/>
        <v>0</v>
      </c>
      <c r="AG431" s="217">
        <f t="shared" si="384"/>
        <v>0</v>
      </c>
      <c r="AH431" s="217">
        <f t="shared" si="384"/>
        <v>0</v>
      </c>
      <c r="AI431" s="217">
        <f t="shared" si="384"/>
        <v>0</v>
      </c>
      <c r="AJ431" s="217">
        <f t="shared" si="384"/>
        <v>0</v>
      </c>
      <c r="AK431" s="217">
        <f t="shared" si="384"/>
        <v>0</v>
      </c>
      <c r="AL431" s="4"/>
      <c r="AM431" s="43">
        <v>415</v>
      </c>
      <c r="AN431">
        <v>215.37884695536022</v>
      </c>
      <c r="AO431">
        <v>132.64726227125973</v>
      </c>
      <c r="AP431">
        <v>485.12682167645465</v>
      </c>
      <c r="AQ431">
        <v>756.82416698396537</v>
      </c>
      <c r="AR431">
        <v>125.03291396312112</v>
      </c>
      <c r="AS431">
        <v>1198.6709799878288</v>
      </c>
      <c r="AT431">
        <v>66.044567211178716</v>
      </c>
      <c r="AU431">
        <v>7.4608573877890407</v>
      </c>
      <c r="AV431"/>
      <c r="AW431"/>
      <c r="FY431" s="211">
        <v>426</v>
      </c>
      <c r="FZ431">
        <v>120.20942389868097</v>
      </c>
      <c r="GA431">
        <v>140.39591314788601</v>
      </c>
      <c r="GB431">
        <v>34.95723611665629</v>
      </c>
      <c r="GC431">
        <v>45.626682754032196</v>
      </c>
      <c r="GD431">
        <v>42.944173160204734</v>
      </c>
      <c r="GE431">
        <v>44.15696588639117</v>
      </c>
      <c r="GF431">
        <v>63.690201141154326</v>
      </c>
      <c r="GG431">
        <v>58.123203943892882</v>
      </c>
      <c r="GH431">
        <v>47.046799280426562</v>
      </c>
      <c r="GI431">
        <v>76.620575966724758</v>
      </c>
      <c r="GJ431"/>
      <c r="GK431"/>
      <c r="GL431"/>
      <c r="GM431"/>
    </row>
    <row r="432" spans="1:195" s="7" customFormat="1">
      <c r="A432" s="4"/>
      <c r="B432" s="48" t="s">
        <v>122</v>
      </c>
      <c r="C432" s="107">
        <f t="shared" si="383"/>
        <v>88.946524673850121</v>
      </c>
      <c r="D432" s="190">
        <f>A$414</f>
        <v>10.51</v>
      </c>
      <c r="E432" s="8"/>
      <c r="F432" s="124"/>
      <c r="G432" s="217">
        <f t="shared" si="385"/>
        <v>3.3611262527697048E-3</v>
      </c>
      <c r="H432" s="217">
        <f t="shared" ref="H432:AK432" si="386">(($A$453+$A$455*(H$422)+($A$457*$D432))*($E30*H46))</f>
        <v>0.66772302849874832</v>
      </c>
      <c r="I432" s="217">
        <f t="shared" si="386"/>
        <v>4.2293507246330542</v>
      </c>
      <c r="J432" s="217">
        <f t="shared" si="386"/>
        <v>3.972034513582348</v>
      </c>
      <c r="K432" s="217">
        <f t="shared" si="386"/>
        <v>5.5824969906568818</v>
      </c>
      <c r="L432" s="217">
        <f t="shared" si="386"/>
        <v>19.691845444976209</v>
      </c>
      <c r="M432" s="217">
        <f t="shared" si="386"/>
        <v>24.458821065384541</v>
      </c>
      <c r="N432" s="217">
        <f t="shared" si="386"/>
        <v>15.152556873108221</v>
      </c>
      <c r="O432" s="217">
        <f t="shared" si="386"/>
        <v>8.4695359647825494</v>
      </c>
      <c r="P432" s="217">
        <f t="shared" si="386"/>
        <v>6.1578527560563243</v>
      </c>
      <c r="Q432" s="217">
        <f t="shared" si="386"/>
        <v>0.56094618591846857</v>
      </c>
      <c r="R432" s="217">
        <f t="shared" si="386"/>
        <v>0</v>
      </c>
      <c r="S432" s="217">
        <f t="shared" si="386"/>
        <v>0</v>
      </c>
      <c r="T432" s="217">
        <f t="shared" si="386"/>
        <v>0</v>
      </c>
      <c r="U432" s="217">
        <f t="shared" si="386"/>
        <v>0</v>
      </c>
      <c r="V432" s="217">
        <f t="shared" si="386"/>
        <v>0</v>
      </c>
      <c r="W432" s="217">
        <f t="shared" si="386"/>
        <v>0</v>
      </c>
      <c r="X432" s="217">
        <f t="shared" si="386"/>
        <v>0</v>
      </c>
      <c r="Y432" s="217">
        <f t="shared" si="386"/>
        <v>0</v>
      </c>
      <c r="Z432" s="217">
        <f t="shared" si="386"/>
        <v>0</v>
      </c>
      <c r="AA432" s="217">
        <f t="shared" si="386"/>
        <v>0</v>
      </c>
      <c r="AB432" s="217">
        <f t="shared" si="386"/>
        <v>0</v>
      </c>
      <c r="AC432" s="217">
        <f t="shared" si="386"/>
        <v>0</v>
      </c>
      <c r="AD432" s="217">
        <f t="shared" si="386"/>
        <v>0</v>
      </c>
      <c r="AE432" s="217">
        <f t="shared" si="386"/>
        <v>0</v>
      </c>
      <c r="AF432" s="217">
        <f t="shared" si="386"/>
        <v>0</v>
      </c>
      <c r="AG432" s="217">
        <f t="shared" si="386"/>
        <v>0</v>
      </c>
      <c r="AH432" s="217">
        <f t="shared" si="386"/>
        <v>0</v>
      </c>
      <c r="AI432" s="217">
        <f t="shared" si="386"/>
        <v>0</v>
      </c>
      <c r="AJ432" s="217">
        <f t="shared" si="386"/>
        <v>0</v>
      </c>
      <c r="AK432" s="217">
        <f t="shared" si="386"/>
        <v>0</v>
      </c>
      <c r="AL432" s="4"/>
      <c r="AM432" s="43">
        <v>416</v>
      </c>
      <c r="AN432">
        <v>270.11472406282655</v>
      </c>
      <c r="AO432">
        <v>129.83160935678828</v>
      </c>
      <c r="AP432">
        <v>491.43841854921288</v>
      </c>
      <c r="AQ432">
        <v>706.5995268810608</v>
      </c>
      <c r="AR432">
        <v>124.02354933420622</v>
      </c>
      <c r="AS432">
        <v>1459.0650858803322</v>
      </c>
      <c r="AT432">
        <v>64.082388380585797</v>
      </c>
      <c r="AU432">
        <v>228.37572553542327</v>
      </c>
      <c r="AV432"/>
      <c r="AW432"/>
      <c r="FY432" s="211">
        <v>427</v>
      </c>
      <c r="FZ432">
        <v>126.27882445300517</v>
      </c>
      <c r="GA432">
        <v>157.3251097096724</v>
      </c>
      <c r="GB432">
        <v>52.609353381877696</v>
      </c>
      <c r="GC432">
        <v>49.624384149913737</v>
      </c>
      <c r="GD432">
        <v>34.798755589727385</v>
      </c>
      <c r="GE432">
        <v>46.93090780706661</v>
      </c>
      <c r="GF432">
        <v>65.200321582727042</v>
      </c>
      <c r="GG432">
        <v>74.043723050655487</v>
      </c>
      <c r="GH432">
        <v>100.06249775573569</v>
      </c>
      <c r="GI432">
        <v>84.963423024915031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228.96408792919337</v>
      </c>
      <c r="AO433">
        <v>159.24165083635461</v>
      </c>
      <c r="AP433">
        <v>835.26559171738177</v>
      </c>
      <c r="AQ433">
        <v>854.47377349179158</v>
      </c>
      <c r="AR433">
        <v>150.12315471614514</v>
      </c>
      <c r="AS433">
        <v>1519.8981990007348</v>
      </c>
      <c r="AT433">
        <v>84.992927036494962</v>
      </c>
      <c r="AU433">
        <v>92.02748844478802</v>
      </c>
      <c r="AV433"/>
      <c r="AW433"/>
      <c r="FY433" s="211">
        <v>428</v>
      </c>
      <c r="FZ433">
        <v>108.38182407259976</v>
      </c>
      <c r="GA433">
        <v>157.94608966729228</v>
      </c>
      <c r="GB433">
        <v>64.122390214454214</v>
      </c>
      <c r="GC433">
        <v>50.216012030910505</v>
      </c>
      <c r="GD433">
        <v>36.819113123216873</v>
      </c>
      <c r="GE433">
        <v>39.103019898503796</v>
      </c>
      <c r="GF433">
        <v>65.788413580598672</v>
      </c>
      <c r="GG433">
        <v>73.10789574548879</v>
      </c>
      <c r="GH433">
        <v>61.767215834968326</v>
      </c>
      <c r="GI433">
        <v>81.647062932407522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255.0062677831632</v>
      </c>
      <c r="AO434">
        <v>148.21246673416888</v>
      </c>
      <c r="AP434">
        <v>758.10623918932686</v>
      </c>
      <c r="AQ434">
        <v>837.88187320040925</v>
      </c>
      <c r="AR434">
        <v>139.17551472452811</v>
      </c>
      <c r="AS434">
        <v>1298.6771803723088</v>
      </c>
      <c r="AT434">
        <v>74.431102397318227</v>
      </c>
      <c r="AU434">
        <v>223.83800191126792</v>
      </c>
      <c r="AV434"/>
      <c r="AW434"/>
      <c r="FY434" s="211">
        <v>429</v>
      </c>
      <c r="FZ434">
        <v>105.32191312475607</v>
      </c>
      <c r="GA434">
        <v>155.7113400975023</v>
      </c>
      <c r="GB434">
        <v>50.155231734046353</v>
      </c>
      <c r="GC434">
        <v>46.73526179759093</v>
      </c>
      <c r="GD434">
        <v>52.413959176509671</v>
      </c>
      <c r="GE434">
        <v>94.343567449310811</v>
      </c>
      <c r="GF434">
        <v>120.08989175443298</v>
      </c>
      <c r="GG434">
        <v>97.759801201091506</v>
      </c>
      <c r="GH434">
        <v>89.115937326141108</v>
      </c>
      <c r="GI434">
        <v>105.21128507952342</v>
      </c>
      <c r="GJ434"/>
      <c r="GK434"/>
      <c r="GL434"/>
      <c r="GM434"/>
    </row>
    <row r="435" spans="1:195" s="7" customFormat="1">
      <c r="A435" s="4"/>
      <c r="B435" s="52" t="s">
        <v>53</v>
      </c>
      <c r="C435" s="53">
        <f>SUM(C423:C434)</f>
        <v>750.1526534153702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189.04025278682951</v>
      </c>
      <c r="AO435">
        <v>134.08990992266328</v>
      </c>
      <c r="AP435">
        <v>530.3102733398772</v>
      </c>
      <c r="AQ435">
        <v>723.06113052242074</v>
      </c>
      <c r="AR435">
        <v>125.70472493502224</v>
      </c>
      <c r="AS435">
        <v>1412.695951633315</v>
      </c>
      <c r="AT435">
        <v>66.93373932424096</v>
      </c>
      <c r="AU435">
        <v>149.09561504283664</v>
      </c>
      <c r="AV435"/>
      <c r="AW435"/>
      <c r="FY435" s="211">
        <v>430</v>
      </c>
      <c r="FZ435">
        <v>93.683785530696781</v>
      </c>
      <c r="GA435">
        <v>120.7193853058308</v>
      </c>
      <c r="GB435">
        <v>44.479792589117821</v>
      </c>
      <c r="GC435">
        <v>42.033884215690428</v>
      </c>
      <c r="GD435">
        <v>31.347971516793336</v>
      </c>
      <c r="GE435">
        <v>51.812937707287716</v>
      </c>
      <c r="GF435">
        <v>98.111280631082664</v>
      </c>
      <c r="GG435">
        <v>60.737285433385786</v>
      </c>
      <c r="GH435">
        <v>32.370062816201603</v>
      </c>
      <c r="GI435">
        <v>72.508093666980656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254.03963102973975</v>
      </c>
      <c r="AO436">
        <v>164.5918570078573</v>
      </c>
      <c r="AP436">
        <v>687.11930945447853</v>
      </c>
      <c r="AQ436">
        <v>922.97785424137146</v>
      </c>
      <c r="AR436">
        <v>154.87036548716293</v>
      </c>
      <c r="AS436">
        <v>1622.7369638563716</v>
      </c>
      <c r="AT436">
        <v>82.313960823360688</v>
      </c>
      <c r="AU436">
        <v>256.33682727269206</v>
      </c>
      <c r="AV436"/>
      <c r="AW436"/>
      <c r="FY436" s="211">
        <v>431</v>
      </c>
      <c r="FZ436">
        <v>122.94428524154739</v>
      </c>
      <c r="GA436">
        <v>150.06194615569018</v>
      </c>
      <c r="GB436">
        <v>52.487308622984791</v>
      </c>
      <c r="GC436">
        <v>41.973509903125652</v>
      </c>
      <c r="GD436">
        <v>33.446341418033533</v>
      </c>
      <c r="GE436">
        <v>81.118637045870116</v>
      </c>
      <c r="GF436">
        <v>141.43719552225159</v>
      </c>
      <c r="GG436">
        <v>68.55493990324463</v>
      </c>
      <c r="GH436">
        <v>53.992241757716606</v>
      </c>
      <c r="GI436">
        <v>94.918928765357094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182.16062314649633</v>
      </c>
      <c r="AO437">
        <v>119.74223239454845</v>
      </c>
      <c r="AP437">
        <v>643.38372235904239</v>
      </c>
      <c r="AQ437">
        <v>736.49593754332693</v>
      </c>
      <c r="AR437">
        <v>114.94101240747516</v>
      </c>
      <c r="AS437">
        <v>1103.7589081858953</v>
      </c>
      <c r="AT437">
        <v>61.862731668803747</v>
      </c>
      <c r="AU437">
        <v>210.41039888951454</v>
      </c>
      <c r="AV437"/>
      <c r="AW437"/>
      <c r="FY437" s="211">
        <v>432</v>
      </c>
      <c r="FZ437">
        <v>89.562999693860277</v>
      </c>
      <c r="GA437">
        <v>131.72364269637313</v>
      </c>
      <c r="GB437">
        <v>44.780382461231056</v>
      </c>
      <c r="GC437">
        <v>42.618323211758302</v>
      </c>
      <c r="GD437">
        <v>40.453183409437159</v>
      </c>
      <c r="GE437">
        <v>67.995047377578032</v>
      </c>
      <c r="GF437">
        <v>119.1731288837604</v>
      </c>
      <c r="GG437">
        <v>89.681774621389792</v>
      </c>
      <c r="GH437">
        <v>55.892708495913297</v>
      </c>
      <c r="GI437">
        <v>87.470490555416887</v>
      </c>
      <c r="GJ437"/>
      <c r="GK437"/>
      <c r="GL437"/>
      <c r="GM437"/>
    </row>
    <row r="438" spans="1:195" s="7" customFormat="1">
      <c r="A438" s="1">
        <f>SUM(E4:E15)</f>
        <v>100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292.09251485258369</v>
      </c>
      <c r="AO438">
        <v>180.21646135573368</v>
      </c>
      <c r="AP438">
        <v>899.24229217981997</v>
      </c>
      <c r="AQ438">
        <v>900.38305165479164</v>
      </c>
      <c r="AR438">
        <v>168.37873727653016</v>
      </c>
      <c r="AS438">
        <v>1546.0071545186283</v>
      </c>
      <c r="AT438">
        <v>82.151777055300883</v>
      </c>
      <c r="AU438">
        <v>470.45021944531356</v>
      </c>
      <c r="AV438"/>
      <c r="AW438"/>
      <c r="FY438" s="211">
        <v>433</v>
      </c>
      <c r="FZ438">
        <v>126.79585953830281</v>
      </c>
      <c r="GA438">
        <v>173.7698882639032</v>
      </c>
      <c r="GB438">
        <v>64.901701282740333</v>
      </c>
      <c r="GC438">
        <v>45.679510443626711</v>
      </c>
      <c r="GD438">
        <v>39.427049318097879</v>
      </c>
      <c r="GE438">
        <v>56.677579555796584</v>
      </c>
      <c r="GF438">
        <v>88.958084544997874</v>
      </c>
      <c r="GG438">
        <v>117.97705267203102</v>
      </c>
      <c r="GH438">
        <v>111.2900503485384</v>
      </c>
      <c r="GI438">
        <v>99.206578411806277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233.01609844291829</v>
      </c>
      <c r="AO439">
        <v>141.2380583158054</v>
      </c>
      <c r="AP439">
        <v>582.31104647918335</v>
      </c>
      <c r="AQ439">
        <v>791.48889264354239</v>
      </c>
      <c r="AR439">
        <v>133.01097250958054</v>
      </c>
      <c r="AS439">
        <v>1223.1434679304875</v>
      </c>
      <c r="AT439">
        <v>73.191589445829479</v>
      </c>
      <c r="AU439">
        <v>77.969563734865531</v>
      </c>
      <c r="AV439"/>
      <c r="AW439"/>
      <c r="FY439" s="211">
        <v>434</v>
      </c>
      <c r="FZ439">
        <v>112.37317729835877</v>
      </c>
      <c r="GA439">
        <v>148.10463573524993</v>
      </c>
      <c r="GB439">
        <v>63.801343589651516</v>
      </c>
      <c r="GC439">
        <v>44.013595946400237</v>
      </c>
      <c r="GD439">
        <v>37.583244403063816</v>
      </c>
      <c r="GE439">
        <v>75.322716452177062</v>
      </c>
      <c r="GF439">
        <v>84.218466663605852</v>
      </c>
      <c r="GG439">
        <v>70.128704176764131</v>
      </c>
      <c r="GH439">
        <v>94.133567737379906</v>
      </c>
      <c r="GI439">
        <v>91.810472477971544</v>
      </c>
      <c r="GJ439"/>
      <c r="GK439"/>
      <c r="GL439"/>
      <c r="GM439"/>
    </row>
    <row r="440" spans="1:195" s="7" customFormat="1">
      <c r="A440" s="1">
        <v>10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294.94212512192428</v>
      </c>
      <c r="AO440">
        <v>137.20967124426252</v>
      </c>
      <c r="AP440">
        <v>496.25553490348204</v>
      </c>
      <c r="AQ440">
        <v>789.91078350971168</v>
      </c>
      <c r="AR440">
        <v>128.7573065459224</v>
      </c>
      <c r="AS440">
        <v>1370.2320450911079</v>
      </c>
      <c r="AT440">
        <v>65.489863441969106</v>
      </c>
      <c r="AU440">
        <v>140.52900183735653</v>
      </c>
      <c r="AV440"/>
      <c r="AW440"/>
      <c r="FY440" s="211">
        <v>435</v>
      </c>
      <c r="FZ440">
        <v>148.26595303337234</v>
      </c>
      <c r="GA440">
        <v>162.84661043999381</v>
      </c>
      <c r="GB440">
        <v>49.22193361929844</v>
      </c>
      <c r="GC440">
        <v>36.923008074237138</v>
      </c>
      <c r="GD440">
        <v>40.879539192987039</v>
      </c>
      <c r="GE440">
        <v>98.818934294581709</v>
      </c>
      <c r="GF440">
        <v>112.52563083039733</v>
      </c>
      <c r="GG440">
        <v>54.692551867283541</v>
      </c>
      <c r="GH440">
        <v>52.770520793861891</v>
      </c>
      <c r="GI440">
        <v>95.237705960024599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>
        <f t="shared" ref="C441:C450" si="387">SUM(G441:AK441)</f>
        <v>136.20357012439865</v>
      </c>
      <c r="D441" s="190">
        <f>$A$405</f>
        <v>13.69</v>
      </c>
      <c r="E441" s="8"/>
      <c r="F441" s="124"/>
      <c r="G441" s="107" t="str">
        <f>IF(G423&lt;=0, "0.000", G423)</f>
        <v>0.000</v>
      </c>
      <c r="H441" s="107">
        <f t="shared" ref="H441:AK441" si="388">IF(H423&lt;=0, "0.000", H423)</f>
        <v>1.8098415669208466E-2</v>
      </c>
      <c r="I441" s="107">
        <f t="shared" si="388"/>
        <v>1.7607742830573887</v>
      </c>
      <c r="J441" s="107">
        <f t="shared" si="388"/>
        <v>6.3953443388361659</v>
      </c>
      <c r="K441" s="107">
        <f t="shared" si="388"/>
        <v>14.331869055446898</v>
      </c>
      <c r="L441" s="107">
        <f t="shared" si="388"/>
        <v>14.537110733976887</v>
      </c>
      <c r="M441" s="107">
        <f t="shared" si="388"/>
        <v>29.257002499687687</v>
      </c>
      <c r="N441" s="107">
        <f t="shared" si="388"/>
        <v>33.731028585942887</v>
      </c>
      <c r="O441" s="107">
        <f t="shared" si="388"/>
        <v>21.031059042781223</v>
      </c>
      <c r="P441" s="107">
        <f t="shared" si="388"/>
        <v>15.141283169000307</v>
      </c>
      <c r="Q441" s="107" t="str">
        <f t="shared" si="388"/>
        <v>0.000</v>
      </c>
      <c r="R441" s="107" t="str">
        <f t="shared" si="388"/>
        <v>0.000</v>
      </c>
      <c r="S441" s="107" t="str">
        <f t="shared" si="388"/>
        <v>0.000</v>
      </c>
      <c r="T441" s="107" t="str">
        <f t="shared" si="388"/>
        <v>0.000</v>
      </c>
      <c r="U441" s="107" t="str">
        <f t="shared" si="388"/>
        <v>0.000</v>
      </c>
      <c r="V441" s="107" t="str">
        <f t="shared" si="388"/>
        <v>0.000</v>
      </c>
      <c r="W441" s="107" t="str">
        <f t="shared" si="388"/>
        <v>0.000</v>
      </c>
      <c r="X441" s="107" t="str">
        <f t="shared" si="388"/>
        <v>0.000</v>
      </c>
      <c r="Y441" s="107" t="str">
        <f t="shared" si="388"/>
        <v>0.000</v>
      </c>
      <c r="Z441" s="107" t="str">
        <f t="shared" si="388"/>
        <v>0.000</v>
      </c>
      <c r="AA441" s="107" t="str">
        <f t="shared" si="388"/>
        <v>0.000</v>
      </c>
      <c r="AB441" s="107" t="str">
        <f t="shared" si="388"/>
        <v>0.000</v>
      </c>
      <c r="AC441" s="107" t="str">
        <f t="shared" si="388"/>
        <v>0.000</v>
      </c>
      <c r="AD441" s="107" t="str">
        <f t="shared" si="388"/>
        <v>0.000</v>
      </c>
      <c r="AE441" s="107" t="str">
        <f t="shared" si="388"/>
        <v>0.000</v>
      </c>
      <c r="AF441" s="107" t="str">
        <f t="shared" si="388"/>
        <v>0.000</v>
      </c>
      <c r="AG441" s="107" t="str">
        <f t="shared" si="388"/>
        <v>0.000</v>
      </c>
      <c r="AH441" s="107" t="str">
        <f t="shared" si="388"/>
        <v>0.000</v>
      </c>
      <c r="AI441" s="107" t="str">
        <f t="shared" si="388"/>
        <v>0.000</v>
      </c>
      <c r="AJ441" s="107" t="str">
        <f t="shared" si="388"/>
        <v>0.000</v>
      </c>
      <c r="AK441" s="107" t="str">
        <f t="shared" si="388"/>
        <v>0.000</v>
      </c>
      <c r="AL441" s="4"/>
      <c r="AM441" s="43">
        <v>425</v>
      </c>
      <c r="AN441">
        <v>224.64394182094671</v>
      </c>
      <c r="AO441">
        <v>133.23347517565128</v>
      </c>
      <c r="AP441">
        <v>453.69249281553903</v>
      </c>
      <c r="AQ441">
        <v>758.07256533276768</v>
      </c>
      <c r="AR441">
        <v>123.72206866456213</v>
      </c>
      <c r="AS441">
        <v>1187.1620635947861</v>
      </c>
      <c r="AT441">
        <v>64.180906896735053</v>
      </c>
      <c r="AU441">
        <v>125.08770437766357</v>
      </c>
      <c r="AV441"/>
      <c r="AW441"/>
      <c r="FY441" s="211">
        <v>436</v>
      </c>
      <c r="FZ441">
        <v>100.52567612267572</v>
      </c>
      <c r="GA441">
        <v>171.34337786487256</v>
      </c>
      <c r="GB441">
        <v>52.505465021465312</v>
      </c>
      <c r="GC441">
        <v>36.337207039498367</v>
      </c>
      <c r="GD441">
        <v>36.823929766248035</v>
      </c>
      <c r="GE441">
        <v>66.594990303246902</v>
      </c>
      <c r="GF441">
        <v>100.02221745033668</v>
      </c>
      <c r="GG441">
        <v>69.798746384737655</v>
      </c>
      <c r="GH441">
        <v>59.892139491718908</v>
      </c>
      <c r="GI441">
        <v>85.765889904718023</v>
      </c>
      <c r="GJ441"/>
      <c r="GK441"/>
      <c r="GL441"/>
      <c r="GM441"/>
    </row>
    <row r="442" spans="1:195" s="7" customFormat="1">
      <c r="A442" s="1">
        <v>200</v>
      </c>
      <c r="B442" s="48" t="s">
        <v>39</v>
      </c>
      <c r="C442" s="107">
        <f t="shared" si="387"/>
        <v>152.6952938589788</v>
      </c>
      <c r="D442" s="190">
        <f>$A$406</f>
        <v>9.4499999999999993</v>
      </c>
      <c r="E442" s="8"/>
      <c r="F442" s="124"/>
      <c r="G442" s="173">
        <f t="shared" ref="G442:G450" si="389">IF(G424&lt;=0, "0.000", G424)</f>
        <v>1.0545674163904237E-2</v>
      </c>
      <c r="H442" s="173">
        <f t="shared" ref="H442:V442" si="390">IF(H424&lt;=0, "0.000", H424)</f>
        <v>0.49735104619836301</v>
      </c>
      <c r="I442" s="173">
        <f t="shared" si="390"/>
        <v>4.1755359378005474</v>
      </c>
      <c r="J442" s="173">
        <f t="shared" si="390"/>
        <v>7.8595115141735068</v>
      </c>
      <c r="K442" s="173">
        <f t="shared" si="390"/>
        <v>14.158122647890011</v>
      </c>
      <c r="L442" s="173">
        <f t="shared" si="390"/>
        <v>15.013761113607812</v>
      </c>
      <c r="M442" s="173">
        <f t="shared" si="390"/>
        <v>19.192892539355174</v>
      </c>
      <c r="N442" s="173">
        <f t="shared" si="390"/>
        <v>41.927981827117804</v>
      </c>
      <c r="O442" s="173">
        <f t="shared" si="390"/>
        <v>22.172851570539887</v>
      </c>
      <c r="P442" s="173">
        <f t="shared" si="390"/>
        <v>27.68673998813178</v>
      </c>
      <c r="Q442" s="173" t="str">
        <f t="shared" si="390"/>
        <v>0.000</v>
      </c>
      <c r="R442" s="173" t="str">
        <f t="shared" si="390"/>
        <v>0.000</v>
      </c>
      <c r="S442" s="173" t="str">
        <f t="shared" si="390"/>
        <v>0.000</v>
      </c>
      <c r="T442" s="173" t="str">
        <f t="shared" si="390"/>
        <v>0.000</v>
      </c>
      <c r="U442" s="173" t="str">
        <f t="shared" si="390"/>
        <v>0.000</v>
      </c>
      <c r="V442" s="173" t="str">
        <f t="shared" si="390"/>
        <v>0.000</v>
      </c>
      <c r="W442" s="173" t="str">
        <f t="shared" ref="W442:AK442" si="391">IF(W424&lt;=0, "0.000", W424)</f>
        <v>0.000</v>
      </c>
      <c r="X442" s="173" t="str">
        <f t="shared" si="391"/>
        <v>0.000</v>
      </c>
      <c r="Y442" s="173" t="str">
        <f t="shared" si="391"/>
        <v>0.000</v>
      </c>
      <c r="Z442" s="173" t="str">
        <f t="shared" si="391"/>
        <v>0.000</v>
      </c>
      <c r="AA442" s="173" t="str">
        <f t="shared" si="391"/>
        <v>0.000</v>
      </c>
      <c r="AB442" s="173" t="str">
        <f t="shared" si="391"/>
        <v>0.000</v>
      </c>
      <c r="AC442" s="173" t="str">
        <f t="shared" si="391"/>
        <v>0.000</v>
      </c>
      <c r="AD442" s="173" t="str">
        <f t="shared" si="391"/>
        <v>0.000</v>
      </c>
      <c r="AE442" s="173" t="str">
        <f t="shared" si="391"/>
        <v>0.000</v>
      </c>
      <c r="AF442" s="173" t="str">
        <f t="shared" si="391"/>
        <v>0.000</v>
      </c>
      <c r="AG442" s="173" t="str">
        <f t="shared" si="391"/>
        <v>0.000</v>
      </c>
      <c r="AH442" s="173" t="str">
        <f t="shared" si="391"/>
        <v>0.000</v>
      </c>
      <c r="AI442" s="173" t="str">
        <f t="shared" si="391"/>
        <v>0.000</v>
      </c>
      <c r="AJ442" s="173" t="str">
        <f t="shared" si="391"/>
        <v>0.000</v>
      </c>
      <c r="AK442" s="173" t="str">
        <f t="shared" si="391"/>
        <v>0.000</v>
      </c>
      <c r="AL442" s="4"/>
      <c r="AM442" s="43">
        <v>426</v>
      </c>
      <c r="AN442">
        <v>189.72144659246695</v>
      </c>
      <c r="AO442">
        <v>118.88795750321287</v>
      </c>
      <c r="AP442">
        <v>495.88728369013035</v>
      </c>
      <c r="AQ442">
        <v>673.77117529604993</v>
      </c>
      <c r="AR442">
        <v>113.51695229636233</v>
      </c>
      <c r="AS442">
        <v>1146.514690711268</v>
      </c>
      <c r="AT442">
        <v>65.289576002903701</v>
      </c>
      <c r="AU442">
        <v>146.88712545295249</v>
      </c>
      <c r="AV442"/>
      <c r="AW442"/>
      <c r="FY442" s="211">
        <v>437</v>
      </c>
      <c r="FZ442">
        <v>113.1624161646516</v>
      </c>
      <c r="GA442">
        <v>129.38129563941646</v>
      </c>
      <c r="GB442">
        <v>47.21264631687702</v>
      </c>
      <c r="GC442">
        <v>33.41704781206176</v>
      </c>
      <c r="GD442">
        <v>25.767879252970879</v>
      </c>
      <c r="GE442">
        <v>46.079456941723066</v>
      </c>
      <c r="GF442">
        <v>94.714911095999355</v>
      </c>
      <c r="GG442">
        <v>104.07431042251807</v>
      </c>
      <c r="GH442">
        <v>90.572286290215871</v>
      </c>
      <c r="GI442">
        <v>81.168721237276401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>
        <f t="shared" si="387"/>
        <v>47.688968806578607</v>
      </c>
      <c r="D443" s="190">
        <f>A$407</f>
        <v>4.03</v>
      </c>
      <c r="E443" s="8"/>
      <c r="F443" s="124"/>
      <c r="G443" s="173">
        <f t="shared" si="389"/>
        <v>5.4181122461108731E-3</v>
      </c>
      <c r="H443" s="173">
        <f t="shared" ref="H443:V443" si="392">IF(H425&lt;=0, "0.000", H425)</f>
        <v>0.52820447165732431</v>
      </c>
      <c r="I443" s="173">
        <f t="shared" si="392"/>
        <v>4.261150530074918</v>
      </c>
      <c r="J443" s="173">
        <f t="shared" si="392"/>
        <v>6.9170325106611577</v>
      </c>
      <c r="K443" s="173">
        <f t="shared" si="392"/>
        <v>9.1123321647304873</v>
      </c>
      <c r="L443" s="173">
        <f t="shared" si="392"/>
        <v>11.701181078371413</v>
      </c>
      <c r="M443" s="173">
        <f t="shared" si="392"/>
        <v>2.4239610757055905</v>
      </c>
      <c r="N443" s="173">
        <f t="shared" si="392"/>
        <v>5.5742685988025107</v>
      </c>
      <c r="O443" s="173">
        <f t="shared" si="392"/>
        <v>2.6279865012765722</v>
      </c>
      <c r="P443" s="173">
        <f t="shared" si="392"/>
        <v>4.537433763052519</v>
      </c>
      <c r="Q443" s="173" t="str">
        <f t="shared" si="392"/>
        <v>0.000</v>
      </c>
      <c r="R443" s="173" t="str">
        <f t="shared" si="392"/>
        <v>0.000</v>
      </c>
      <c r="S443" s="173" t="str">
        <f t="shared" si="392"/>
        <v>0.000</v>
      </c>
      <c r="T443" s="173" t="str">
        <f t="shared" si="392"/>
        <v>0.000</v>
      </c>
      <c r="U443" s="173" t="str">
        <f t="shared" si="392"/>
        <v>0.000</v>
      </c>
      <c r="V443" s="173" t="str">
        <f t="shared" si="392"/>
        <v>0.000</v>
      </c>
      <c r="W443" s="173" t="str">
        <f t="shared" ref="W443:AK443" si="393">IF(W425&lt;=0, "0.000", W425)</f>
        <v>0.000</v>
      </c>
      <c r="X443" s="173" t="str">
        <f t="shared" si="393"/>
        <v>0.000</v>
      </c>
      <c r="Y443" s="173" t="str">
        <f t="shared" si="393"/>
        <v>0.000</v>
      </c>
      <c r="Z443" s="173" t="str">
        <f t="shared" si="393"/>
        <v>0.000</v>
      </c>
      <c r="AA443" s="173" t="str">
        <f t="shared" si="393"/>
        <v>0.000</v>
      </c>
      <c r="AB443" s="173" t="str">
        <f t="shared" si="393"/>
        <v>0.000</v>
      </c>
      <c r="AC443" s="173" t="str">
        <f t="shared" si="393"/>
        <v>0.000</v>
      </c>
      <c r="AD443" s="173" t="str">
        <f t="shared" si="393"/>
        <v>0.000</v>
      </c>
      <c r="AE443" s="173" t="str">
        <f t="shared" si="393"/>
        <v>0.000</v>
      </c>
      <c r="AF443" s="173" t="str">
        <f t="shared" si="393"/>
        <v>0.000</v>
      </c>
      <c r="AG443" s="173" t="str">
        <f t="shared" si="393"/>
        <v>0.000</v>
      </c>
      <c r="AH443" s="173" t="str">
        <f t="shared" si="393"/>
        <v>0.000</v>
      </c>
      <c r="AI443" s="173" t="str">
        <f t="shared" si="393"/>
        <v>0.000</v>
      </c>
      <c r="AJ443" s="173" t="str">
        <f t="shared" si="393"/>
        <v>0.000</v>
      </c>
      <c r="AK443" s="173" t="str">
        <f t="shared" si="393"/>
        <v>0.000</v>
      </c>
      <c r="AL443" s="4"/>
      <c r="AM443" s="43">
        <v>427</v>
      </c>
      <c r="AN443">
        <v>252.28672596729348</v>
      </c>
      <c r="AO443">
        <v>133.92209461967897</v>
      </c>
      <c r="AP443">
        <v>532.20442674658239</v>
      </c>
      <c r="AQ443">
        <v>791.83730050529607</v>
      </c>
      <c r="AR443">
        <v>126.80219864378557</v>
      </c>
      <c r="AS443">
        <v>1328.7349472647181</v>
      </c>
      <c r="AT443">
        <v>71.337788854787064</v>
      </c>
      <c r="AU443">
        <v>-87.508842198647386</v>
      </c>
      <c r="AV443"/>
      <c r="AW443"/>
      <c r="FY443" s="211">
        <v>438</v>
      </c>
      <c r="FZ443">
        <v>85.656782437365763</v>
      </c>
      <c r="GA443">
        <v>125.76835293263062</v>
      </c>
      <c r="GB443">
        <v>46.100152074519045</v>
      </c>
      <c r="GC443">
        <v>39.816014911561446</v>
      </c>
      <c r="GD443">
        <v>46.368243832793659</v>
      </c>
      <c r="GE443">
        <v>110.92570380986639</v>
      </c>
      <c r="GF443">
        <v>155.41427525223838</v>
      </c>
      <c r="GG443">
        <v>91.793545368351246</v>
      </c>
      <c r="GH443">
        <v>73.989219418325717</v>
      </c>
      <c r="GI443">
        <v>102.82289780434154</v>
      </c>
      <c r="GJ443"/>
      <c r="GK443"/>
      <c r="GL443"/>
      <c r="GM443"/>
    </row>
    <row r="444" spans="1:195" s="7" customFormat="1">
      <c r="A444" s="1">
        <v>160</v>
      </c>
      <c r="B444" s="48" t="s">
        <v>41</v>
      </c>
      <c r="C444" s="107">
        <f t="shared" si="387"/>
        <v>46.627436682044973</v>
      </c>
      <c r="D444" s="190">
        <f>A$408</f>
        <v>0.78</v>
      </c>
      <c r="E444" s="8"/>
      <c r="F444" s="124"/>
      <c r="G444" s="173" t="str">
        <f t="shared" si="389"/>
        <v>0.000</v>
      </c>
      <c r="H444" s="173">
        <f t="shared" ref="H444:V444" si="394">IF(H426&lt;=0, "0.000", H426)</f>
        <v>0.24512395835412126</v>
      </c>
      <c r="I444" s="173">
        <f t="shared" si="394"/>
        <v>3.2859197486995368</v>
      </c>
      <c r="J444" s="173">
        <f t="shared" si="394"/>
        <v>2.3271399603516527</v>
      </c>
      <c r="K444" s="173">
        <f t="shared" si="394"/>
        <v>5.302625618132458</v>
      </c>
      <c r="L444" s="173">
        <f t="shared" si="394"/>
        <v>18.209717280873512</v>
      </c>
      <c r="M444" s="173">
        <f t="shared" si="394"/>
        <v>13.19214961095774</v>
      </c>
      <c r="N444" s="173">
        <f t="shared" si="394"/>
        <v>3.4919763276961673</v>
      </c>
      <c r="O444" s="173">
        <f t="shared" si="394"/>
        <v>0.57278417697978723</v>
      </c>
      <c r="P444" s="173" t="str">
        <f t="shared" si="394"/>
        <v>0.000</v>
      </c>
      <c r="Q444" s="173" t="str">
        <f t="shared" si="394"/>
        <v>0.000</v>
      </c>
      <c r="R444" s="173" t="str">
        <f t="shared" si="394"/>
        <v>0.000</v>
      </c>
      <c r="S444" s="173" t="str">
        <f t="shared" si="394"/>
        <v>0.000</v>
      </c>
      <c r="T444" s="173" t="str">
        <f t="shared" si="394"/>
        <v>0.000</v>
      </c>
      <c r="U444" s="173" t="str">
        <f t="shared" si="394"/>
        <v>0.000</v>
      </c>
      <c r="V444" s="173" t="str">
        <f t="shared" si="394"/>
        <v>0.000</v>
      </c>
      <c r="W444" s="173" t="str">
        <f t="shared" ref="W444:AK444" si="395">IF(W426&lt;=0, "0.000", W426)</f>
        <v>0.000</v>
      </c>
      <c r="X444" s="173" t="str">
        <f t="shared" si="395"/>
        <v>0.000</v>
      </c>
      <c r="Y444" s="173" t="str">
        <f t="shared" si="395"/>
        <v>0.000</v>
      </c>
      <c r="Z444" s="173" t="str">
        <f t="shared" si="395"/>
        <v>0.000</v>
      </c>
      <c r="AA444" s="173" t="str">
        <f t="shared" si="395"/>
        <v>0.000</v>
      </c>
      <c r="AB444" s="173" t="str">
        <f t="shared" si="395"/>
        <v>0.000</v>
      </c>
      <c r="AC444" s="173" t="str">
        <f t="shared" si="395"/>
        <v>0.000</v>
      </c>
      <c r="AD444" s="173" t="str">
        <f t="shared" si="395"/>
        <v>0.000</v>
      </c>
      <c r="AE444" s="173" t="str">
        <f t="shared" si="395"/>
        <v>0.000</v>
      </c>
      <c r="AF444" s="173" t="str">
        <f t="shared" si="395"/>
        <v>0.000</v>
      </c>
      <c r="AG444" s="173" t="str">
        <f t="shared" si="395"/>
        <v>0.000</v>
      </c>
      <c r="AH444" s="173" t="str">
        <f t="shared" si="395"/>
        <v>0.000</v>
      </c>
      <c r="AI444" s="173" t="str">
        <f t="shared" si="395"/>
        <v>0.000</v>
      </c>
      <c r="AJ444" s="173" t="str">
        <f t="shared" si="395"/>
        <v>0.000</v>
      </c>
      <c r="AK444" s="173" t="str">
        <f t="shared" si="395"/>
        <v>0.000</v>
      </c>
      <c r="AL444" s="4"/>
      <c r="AM444" s="43">
        <v>428</v>
      </c>
      <c r="AN444">
        <v>216.75262169975949</v>
      </c>
      <c r="AO444">
        <v>130.01293964742462</v>
      </c>
      <c r="AP444">
        <v>499.8565503277614</v>
      </c>
      <c r="AQ444">
        <v>738.89903710044075</v>
      </c>
      <c r="AR444">
        <v>122.86959683176357</v>
      </c>
      <c r="AS444">
        <v>1214.7483854914917</v>
      </c>
      <c r="AT444">
        <v>66.786962070882112</v>
      </c>
      <c r="AU444">
        <v>101.83127330008629</v>
      </c>
      <c r="AV444"/>
      <c r="AW444"/>
      <c r="FY444" s="211">
        <v>439</v>
      </c>
      <c r="FZ444">
        <v>110.17916915979792</v>
      </c>
      <c r="GA444">
        <v>141.42601387913612</v>
      </c>
      <c r="GB444">
        <v>43.57891195169907</v>
      </c>
      <c r="GC444">
        <v>38.926390494197932</v>
      </c>
      <c r="GD444">
        <v>36.565182868501459</v>
      </c>
      <c r="GE444">
        <v>57.175174190685865</v>
      </c>
      <c r="GF444">
        <v>77.113186736628691</v>
      </c>
      <c r="GG444">
        <v>63.319722840879209</v>
      </c>
      <c r="GH444">
        <v>62.336049867349999</v>
      </c>
      <c r="GI444">
        <v>79.04968186368697</v>
      </c>
      <c r="GJ444"/>
      <c r="GK444"/>
      <c r="GL444"/>
      <c r="GM444"/>
    </row>
    <row r="445" spans="1:195" s="7" customFormat="1">
      <c r="A445" s="4"/>
      <c r="B445" s="48" t="s">
        <v>42</v>
      </c>
      <c r="C445" s="107">
        <f t="shared" si="387"/>
        <v>55.201132841946283</v>
      </c>
      <c r="D445" s="190">
        <f>A$409</f>
        <v>0.14000000000000001</v>
      </c>
      <c r="E445" s="8"/>
      <c r="F445" s="124"/>
      <c r="G445" s="173">
        <f t="shared" si="389"/>
        <v>3.6066041688536457E-3</v>
      </c>
      <c r="H445" s="173">
        <f t="shared" ref="H445:V445" si="396">IF(H427&lt;=0, "0.000", H427)</f>
        <v>0.87812196426669353</v>
      </c>
      <c r="I445" s="173">
        <f t="shared" si="396"/>
        <v>4.5014790260954527</v>
      </c>
      <c r="J445" s="173">
        <f t="shared" si="396"/>
        <v>0.34284445615915793</v>
      </c>
      <c r="K445" s="173">
        <f t="shared" si="396"/>
        <v>1.8013466363603083</v>
      </c>
      <c r="L445" s="173">
        <f t="shared" si="396"/>
        <v>19.680599442338906</v>
      </c>
      <c r="M445" s="173">
        <f t="shared" si="396"/>
        <v>23.364637897562854</v>
      </c>
      <c r="N445" s="173">
        <f t="shared" si="396"/>
        <v>4.2290439019274668</v>
      </c>
      <c r="O445" s="173">
        <f t="shared" si="396"/>
        <v>0.39945291306659098</v>
      </c>
      <c r="P445" s="173" t="str">
        <f t="shared" si="396"/>
        <v>0.000</v>
      </c>
      <c r="Q445" s="173" t="str">
        <f t="shared" si="396"/>
        <v>0.000</v>
      </c>
      <c r="R445" s="173" t="str">
        <f t="shared" si="396"/>
        <v>0.000</v>
      </c>
      <c r="S445" s="173" t="str">
        <f t="shared" si="396"/>
        <v>0.000</v>
      </c>
      <c r="T445" s="173" t="str">
        <f t="shared" si="396"/>
        <v>0.000</v>
      </c>
      <c r="U445" s="173" t="str">
        <f t="shared" si="396"/>
        <v>0.000</v>
      </c>
      <c r="V445" s="173" t="str">
        <f t="shared" si="396"/>
        <v>0.000</v>
      </c>
      <c r="W445" s="173" t="str">
        <f t="shared" ref="W445:AK445" si="397">IF(W427&lt;=0, "0.000", W427)</f>
        <v>0.000</v>
      </c>
      <c r="X445" s="173" t="str">
        <f t="shared" si="397"/>
        <v>0.000</v>
      </c>
      <c r="Y445" s="173" t="str">
        <f t="shared" si="397"/>
        <v>0.000</v>
      </c>
      <c r="Z445" s="173" t="str">
        <f t="shared" si="397"/>
        <v>0.000</v>
      </c>
      <c r="AA445" s="173" t="str">
        <f t="shared" si="397"/>
        <v>0.000</v>
      </c>
      <c r="AB445" s="173" t="str">
        <f t="shared" si="397"/>
        <v>0.000</v>
      </c>
      <c r="AC445" s="173" t="str">
        <f t="shared" si="397"/>
        <v>0.000</v>
      </c>
      <c r="AD445" s="173" t="str">
        <f t="shared" si="397"/>
        <v>0.000</v>
      </c>
      <c r="AE445" s="173" t="str">
        <f t="shared" si="397"/>
        <v>0.000</v>
      </c>
      <c r="AF445" s="173" t="str">
        <f t="shared" si="397"/>
        <v>0.000</v>
      </c>
      <c r="AG445" s="173" t="str">
        <f t="shared" si="397"/>
        <v>0.000</v>
      </c>
      <c r="AH445" s="173" t="str">
        <f t="shared" si="397"/>
        <v>0.000</v>
      </c>
      <c r="AI445" s="173" t="str">
        <f t="shared" si="397"/>
        <v>0.000</v>
      </c>
      <c r="AJ445" s="173" t="str">
        <f t="shared" si="397"/>
        <v>0.000</v>
      </c>
      <c r="AK445" s="173" t="str">
        <f t="shared" si="397"/>
        <v>0.000</v>
      </c>
      <c r="AL445" s="4"/>
      <c r="AM445" s="43">
        <v>429</v>
      </c>
      <c r="AN445">
        <v>281.20324430441809</v>
      </c>
      <c r="AO445">
        <v>170.93698971231328</v>
      </c>
      <c r="AP445">
        <v>859.95136960760897</v>
      </c>
      <c r="AQ445">
        <v>916.85818874090512</v>
      </c>
      <c r="AR445">
        <v>159.11384651346583</v>
      </c>
      <c r="AS445">
        <v>1664.5769217812485</v>
      </c>
      <c r="AT445">
        <v>85.209746690189718</v>
      </c>
      <c r="AU445">
        <v>191.88982775802947</v>
      </c>
      <c r="AV445"/>
      <c r="AW445"/>
      <c r="FY445" s="211">
        <v>440</v>
      </c>
      <c r="FZ445">
        <v>113.58687150486503</v>
      </c>
      <c r="GA445">
        <v>147.50460173744375</v>
      </c>
      <c r="GB445">
        <v>52.586637648376225</v>
      </c>
      <c r="GC445">
        <v>40.890184367132306</v>
      </c>
      <c r="GD445">
        <v>35.481010746140434</v>
      </c>
      <c r="GE445">
        <v>54.978142704863139</v>
      </c>
      <c r="GF445">
        <v>71.074272716893404</v>
      </c>
      <c r="GG445">
        <v>65.799277616362644</v>
      </c>
      <c r="GH445">
        <v>59.592575700772585</v>
      </c>
      <c r="GI445">
        <v>78.514515954154035</v>
      </c>
      <c r="GJ445"/>
      <c r="GK445"/>
      <c r="GL445"/>
      <c r="GM445"/>
    </row>
    <row r="446" spans="1:195" s="7" customFormat="1">
      <c r="A446" s="4"/>
      <c r="B446" s="48" t="s">
        <v>118</v>
      </c>
      <c r="C446" s="107">
        <f t="shared" si="387"/>
        <v>88.412740195939961</v>
      </c>
      <c r="D446" s="190">
        <f>A$410</f>
        <v>0.21</v>
      </c>
      <c r="E446" s="8"/>
      <c r="F446" s="124"/>
      <c r="G446" s="173">
        <f t="shared" si="389"/>
        <v>7.3021671899863427E-3</v>
      </c>
      <c r="H446" s="173">
        <f t="shared" ref="H446:V446" si="398">IF(H428&lt;=0, "0.000", H428)</f>
        <v>1.7235123736879459</v>
      </c>
      <c r="I446" s="173">
        <f t="shared" si="398"/>
        <v>6.3258367095231884</v>
      </c>
      <c r="J446" s="173">
        <f t="shared" si="398"/>
        <v>0.23148957536871986</v>
      </c>
      <c r="K446" s="173">
        <f t="shared" si="398"/>
        <v>0.41709913789472669</v>
      </c>
      <c r="L446" s="173">
        <f t="shared" si="398"/>
        <v>23.997753455318051</v>
      </c>
      <c r="M446" s="173">
        <f t="shared" si="398"/>
        <v>35.199490486379275</v>
      </c>
      <c r="N446" s="173">
        <f t="shared" si="398"/>
        <v>14.244972576634712</v>
      </c>
      <c r="O446" s="173">
        <f t="shared" si="398"/>
        <v>4.5040739402096657</v>
      </c>
      <c r="P446" s="173">
        <f t="shared" si="398"/>
        <v>1.7612097737336976</v>
      </c>
      <c r="Q446" s="173" t="str">
        <f t="shared" si="398"/>
        <v>0.000</v>
      </c>
      <c r="R446" s="173" t="str">
        <f t="shared" si="398"/>
        <v>0.000</v>
      </c>
      <c r="S446" s="173" t="str">
        <f t="shared" si="398"/>
        <v>0.000</v>
      </c>
      <c r="T446" s="173" t="str">
        <f t="shared" si="398"/>
        <v>0.000</v>
      </c>
      <c r="U446" s="173" t="str">
        <f t="shared" si="398"/>
        <v>0.000</v>
      </c>
      <c r="V446" s="173" t="str">
        <f t="shared" si="398"/>
        <v>0.000</v>
      </c>
      <c r="W446" s="173" t="str">
        <f t="shared" ref="W446:AK446" si="399">IF(W428&lt;=0, "0.000", W428)</f>
        <v>0.000</v>
      </c>
      <c r="X446" s="173" t="str">
        <f t="shared" si="399"/>
        <v>0.000</v>
      </c>
      <c r="Y446" s="173" t="str">
        <f t="shared" si="399"/>
        <v>0.000</v>
      </c>
      <c r="Z446" s="173" t="str">
        <f t="shared" si="399"/>
        <v>0.000</v>
      </c>
      <c r="AA446" s="173" t="str">
        <f t="shared" si="399"/>
        <v>0.000</v>
      </c>
      <c r="AB446" s="173" t="str">
        <f t="shared" si="399"/>
        <v>0.000</v>
      </c>
      <c r="AC446" s="173" t="str">
        <f t="shared" si="399"/>
        <v>0.000</v>
      </c>
      <c r="AD446" s="173" t="str">
        <f t="shared" si="399"/>
        <v>0.000</v>
      </c>
      <c r="AE446" s="173" t="str">
        <f t="shared" si="399"/>
        <v>0.000</v>
      </c>
      <c r="AF446" s="173" t="str">
        <f t="shared" si="399"/>
        <v>0.000</v>
      </c>
      <c r="AG446" s="173" t="str">
        <f t="shared" si="399"/>
        <v>0.000</v>
      </c>
      <c r="AH446" s="173" t="str">
        <f t="shared" si="399"/>
        <v>0.000</v>
      </c>
      <c r="AI446" s="173" t="str">
        <f t="shared" si="399"/>
        <v>0.000</v>
      </c>
      <c r="AJ446" s="173" t="str">
        <f t="shared" si="399"/>
        <v>0.000</v>
      </c>
      <c r="AK446" s="173" t="str">
        <f t="shared" si="399"/>
        <v>0.000</v>
      </c>
      <c r="AL446" s="4"/>
      <c r="AM446" s="43">
        <v>430</v>
      </c>
      <c r="AN446">
        <v>219.75258370908756</v>
      </c>
      <c r="AO446">
        <v>115.14381447667623</v>
      </c>
      <c r="AP446">
        <v>440.39575994537768</v>
      </c>
      <c r="AQ446">
        <v>647.80447941306761</v>
      </c>
      <c r="AR446">
        <v>107.99831664879666</v>
      </c>
      <c r="AS446">
        <v>1071.3966928765742</v>
      </c>
      <c r="AT446">
        <v>51.971222306088954</v>
      </c>
      <c r="AU446">
        <v>177.9072213775973</v>
      </c>
      <c r="AV446"/>
      <c r="AW446"/>
      <c r="FY446" s="211">
        <v>441</v>
      </c>
      <c r="FZ446">
        <v>99.202835209026929</v>
      </c>
      <c r="GA446">
        <v>113.84907474449111</v>
      </c>
      <c r="GB446">
        <v>49.645474763143255</v>
      </c>
      <c r="GC446">
        <v>41.602987355435573</v>
      </c>
      <c r="GD446">
        <v>36.039349924560071</v>
      </c>
      <c r="GE446">
        <v>63.286125854792502</v>
      </c>
      <c r="GF446">
        <v>57.643192409841859</v>
      </c>
      <c r="GG446">
        <v>61.728030076943519</v>
      </c>
      <c r="GH446">
        <v>87.601162586035045</v>
      </c>
      <c r="GI446">
        <v>77.508807137372969</v>
      </c>
      <c r="GJ446"/>
      <c r="GK446"/>
      <c r="GL446"/>
      <c r="GM446"/>
    </row>
    <row r="447" spans="1:195" s="7" customFormat="1">
      <c r="A447" s="4"/>
      <c r="B447" s="48" t="s">
        <v>119</v>
      </c>
      <c r="C447" s="107">
        <f t="shared" si="387"/>
        <v>61.201072434597535</v>
      </c>
      <c r="D447" s="190">
        <f>A$411</f>
        <v>1.28</v>
      </c>
      <c r="E447" s="8"/>
      <c r="F447" s="124"/>
      <c r="G447" s="173" t="str">
        <f t="shared" si="389"/>
        <v>0.000</v>
      </c>
      <c r="H447" s="173">
        <f t="shared" ref="H447:V447" si="400">IF(H429&lt;=0, "0.000", H429)</f>
        <v>0.21771763067711072</v>
      </c>
      <c r="I447" s="173">
        <f t="shared" si="400"/>
        <v>1.527430434663291</v>
      </c>
      <c r="J447" s="173">
        <f t="shared" si="400"/>
        <v>9.0636268094412401E-2</v>
      </c>
      <c r="K447" s="173">
        <f t="shared" si="400"/>
        <v>0.65809703783403062</v>
      </c>
      <c r="L447" s="173">
        <f t="shared" si="400"/>
        <v>6.1822820113450465</v>
      </c>
      <c r="M447" s="173">
        <f t="shared" si="400"/>
        <v>15.752458307525567</v>
      </c>
      <c r="N447" s="173">
        <f t="shared" si="400"/>
        <v>23.489636426367174</v>
      </c>
      <c r="O447" s="173">
        <f t="shared" si="400"/>
        <v>9.5967367595252338</v>
      </c>
      <c r="P447" s="173">
        <f t="shared" si="400"/>
        <v>3.6860775585656627</v>
      </c>
      <c r="Q447" s="173" t="str">
        <f t="shared" si="400"/>
        <v>0.000</v>
      </c>
      <c r="R447" s="173" t="str">
        <f t="shared" si="400"/>
        <v>0.000</v>
      </c>
      <c r="S447" s="173" t="str">
        <f t="shared" si="400"/>
        <v>0.000</v>
      </c>
      <c r="T447" s="173" t="str">
        <f t="shared" si="400"/>
        <v>0.000</v>
      </c>
      <c r="U447" s="173" t="str">
        <f t="shared" si="400"/>
        <v>0.000</v>
      </c>
      <c r="V447" s="173" t="str">
        <f t="shared" si="400"/>
        <v>0.000</v>
      </c>
      <c r="W447" s="173" t="str">
        <f t="shared" ref="W447:AK447" si="401">IF(W429&lt;=0, "0.000", W429)</f>
        <v>0.000</v>
      </c>
      <c r="X447" s="173" t="str">
        <f t="shared" si="401"/>
        <v>0.000</v>
      </c>
      <c r="Y447" s="173" t="str">
        <f t="shared" si="401"/>
        <v>0.000</v>
      </c>
      <c r="Z447" s="173" t="str">
        <f t="shared" si="401"/>
        <v>0.000</v>
      </c>
      <c r="AA447" s="173" t="str">
        <f t="shared" si="401"/>
        <v>0.000</v>
      </c>
      <c r="AB447" s="173" t="str">
        <f t="shared" si="401"/>
        <v>0.000</v>
      </c>
      <c r="AC447" s="173" t="str">
        <f t="shared" si="401"/>
        <v>0.000</v>
      </c>
      <c r="AD447" s="173" t="str">
        <f t="shared" si="401"/>
        <v>0.000</v>
      </c>
      <c r="AE447" s="173" t="str">
        <f t="shared" si="401"/>
        <v>0.000</v>
      </c>
      <c r="AF447" s="173" t="str">
        <f t="shared" si="401"/>
        <v>0.000</v>
      </c>
      <c r="AG447" s="173" t="str">
        <f t="shared" si="401"/>
        <v>0.000</v>
      </c>
      <c r="AH447" s="173" t="str">
        <f t="shared" si="401"/>
        <v>0.000</v>
      </c>
      <c r="AI447" s="173" t="str">
        <f t="shared" si="401"/>
        <v>0.000</v>
      </c>
      <c r="AJ447" s="173" t="str">
        <f t="shared" si="401"/>
        <v>0.000</v>
      </c>
      <c r="AK447" s="173" t="str">
        <f t="shared" si="401"/>
        <v>0.000</v>
      </c>
      <c r="AL447" s="4"/>
      <c r="AM447" s="43">
        <v>431</v>
      </c>
      <c r="AN447">
        <v>241.82928383446315</v>
      </c>
      <c r="AO447">
        <v>152.25884428563216</v>
      </c>
      <c r="AP447">
        <v>728.16408827610735</v>
      </c>
      <c r="AQ447">
        <v>840.93533433582161</v>
      </c>
      <c r="AR447">
        <v>144.20442640966931</v>
      </c>
      <c r="AS447">
        <v>1360.7656527712261</v>
      </c>
      <c r="AT447">
        <v>76.385509300197427</v>
      </c>
      <c r="AU447">
        <v>171.86408096245634</v>
      </c>
      <c r="AV447"/>
      <c r="AW447"/>
      <c r="FY447" s="211">
        <v>442</v>
      </c>
      <c r="FZ447">
        <v>107.217731564874</v>
      </c>
      <c r="GA447">
        <v>148.14515683097562</v>
      </c>
      <c r="GB447">
        <v>53.2668395106462</v>
      </c>
      <c r="GC447">
        <v>40.217952343813849</v>
      </c>
      <c r="GD447">
        <v>55.155454281231954</v>
      </c>
      <c r="GE447">
        <v>104.08587023129475</v>
      </c>
      <c r="GF447">
        <v>74.837114787160601</v>
      </c>
      <c r="GG447">
        <v>22.896281700099436</v>
      </c>
      <c r="GH447">
        <v>23.63872359325612</v>
      </c>
      <c r="GI447">
        <v>85.990177411087842</v>
      </c>
      <c r="GJ447"/>
      <c r="GK447"/>
      <c r="GL447"/>
      <c r="GM447"/>
    </row>
    <row r="448" spans="1:195" s="7" customFormat="1">
      <c r="A448" s="4"/>
      <c r="B448" s="48" t="s">
        <v>120</v>
      </c>
      <c r="C448" s="107">
        <f t="shared" si="387"/>
        <v>31.582157617665501</v>
      </c>
      <c r="D448" s="190">
        <f>A$412</f>
        <v>4</v>
      </c>
      <c r="E448" s="8"/>
      <c r="F448" s="124"/>
      <c r="G448" s="173" t="str">
        <f t="shared" si="389"/>
        <v>0.000</v>
      </c>
      <c r="H448" s="173">
        <f t="shared" ref="H448:V448" si="402">IF(H430&lt;=0, "0.000", H430)</f>
        <v>7.1999057655885851E-2</v>
      </c>
      <c r="I448" s="173">
        <f t="shared" si="402"/>
        <v>0.99963532337088767</v>
      </c>
      <c r="J448" s="173" t="str">
        <f t="shared" si="402"/>
        <v>0.000</v>
      </c>
      <c r="K448" s="173" t="str">
        <f t="shared" si="402"/>
        <v>0.000</v>
      </c>
      <c r="L448" s="173">
        <f t="shared" si="402"/>
        <v>2.6012227042452731</v>
      </c>
      <c r="M448" s="173">
        <f t="shared" si="402"/>
        <v>7.075292602890543</v>
      </c>
      <c r="N448" s="173">
        <f t="shared" si="402"/>
        <v>6.7284081337694692</v>
      </c>
      <c r="O448" s="173">
        <f t="shared" si="402"/>
        <v>6.9566895474988373</v>
      </c>
      <c r="P448" s="173">
        <f t="shared" si="402"/>
        <v>5.3337941635006283</v>
      </c>
      <c r="Q448" s="173">
        <f t="shared" si="402"/>
        <v>1.8151160847339787</v>
      </c>
      <c r="R448" s="173" t="str">
        <f t="shared" si="402"/>
        <v>0.000</v>
      </c>
      <c r="S448" s="173" t="str">
        <f t="shared" si="402"/>
        <v>0.000</v>
      </c>
      <c r="T448" s="173" t="str">
        <f t="shared" si="402"/>
        <v>0.000</v>
      </c>
      <c r="U448" s="173" t="str">
        <f t="shared" si="402"/>
        <v>0.000</v>
      </c>
      <c r="V448" s="173" t="str">
        <f t="shared" si="402"/>
        <v>0.000</v>
      </c>
      <c r="W448" s="173" t="str">
        <f t="shared" ref="W448:AK448" si="403">IF(W430&lt;=0, "0.000", W430)</f>
        <v>0.000</v>
      </c>
      <c r="X448" s="173" t="str">
        <f t="shared" si="403"/>
        <v>0.000</v>
      </c>
      <c r="Y448" s="173" t="str">
        <f t="shared" si="403"/>
        <v>0.000</v>
      </c>
      <c r="Z448" s="173" t="str">
        <f t="shared" si="403"/>
        <v>0.000</v>
      </c>
      <c r="AA448" s="173" t="str">
        <f t="shared" si="403"/>
        <v>0.000</v>
      </c>
      <c r="AB448" s="173" t="str">
        <f t="shared" si="403"/>
        <v>0.000</v>
      </c>
      <c r="AC448" s="173" t="str">
        <f t="shared" si="403"/>
        <v>0.000</v>
      </c>
      <c r="AD448" s="173" t="str">
        <f t="shared" si="403"/>
        <v>0.000</v>
      </c>
      <c r="AE448" s="173" t="str">
        <f t="shared" si="403"/>
        <v>0.000</v>
      </c>
      <c r="AF448" s="173" t="str">
        <f t="shared" si="403"/>
        <v>0.000</v>
      </c>
      <c r="AG448" s="173" t="str">
        <f t="shared" si="403"/>
        <v>0.000</v>
      </c>
      <c r="AH448" s="173" t="str">
        <f t="shared" si="403"/>
        <v>0.000</v>
      </c>
      <c r="AI448" s="173" t="str">
        <f t="shared" si="403"/>
        <v>0.000</v>
      </c>
      <c r="AJ448" s="173" t="str">
        <f t="shared" si="403"/>
        <v>0.000</v>
      </c>
      <c r="AK448" s="173" t="str">
        <f t="shared" si="403"/>
        <v>0.000</v>
      </c>
      <c r="AL448" s="4"/>
      <c r="AM448" s="43">
        <v>432</v>
      </c>
      <c r="AN448">
        <v>264.6850112244191</v>
      </c>
      <c r="AO448">
        <v>141.43538929770551</v>
      </c>
      <c r="AP448">
        <v>635.72165972927291</v>
      </c>
      <c r="AQ448">
        <v>769.35168140671828</v>
      </c>
      <c r="AR448">
        <v>131.72861578881358</v>
      </c>
      <c r="AS448">
        <v>1320.6388616244992</v>
      </c>
      <c r="AT448">
        <v>63.625943444079489</v>
      </c>
      <c r="AU448">
        <v>292.91212840181299</v>
      </c>
      <c r="AV448"/>
      <c r="AW448"/>
      <c r="FY448" s="211">
        <v>443</v>
      </c>
      <c r="FZ448">
        <v>131.38595851436179</v>
      </c>
      <c r="GA448">
        <v>167.81210053438681</v>
      </c>
      <c r="GB448">
        <v>47.828516054570173</v>
      </c>
      <c r="GC448">
        <v>26.494473795925852</v>
      </c>
      <c r="GD448">
        <v>35.389103309303877</v>
      </c>
      <c r="GE448">
        <v>103.13690027217852</v>
      </c>
      <c r="GF448">
        <v>120.65592143094413</v>
      </c>
      <c r="GG448">
        <v>70.83313514347509</v>
      </c>
      <c r="GH448">
        <v>85.637203483899356</v>
      </c>
      <c r="GI448">
        <v>97.304482480061765</v>
      </c>
      <c r="GJ448"/>
      <c r="GK448"/>
      <c r="GL448"/>
      <c r="GM448"/>
    </row>
    <row r="449" spans="1:195" s="7" customFormat="1">
      <c r="A449" s="4"/>
      <c r="B449" s="48" t="s">
        <v>121</v>
      </c>
      <c r="C449" s="107">
        <f t="shared" si="387"/>
        <v>41.593756179369755</v>
      </c>
      <c r="D449" s="190">
        <f>A$413</f>
        <v>7.33</v>
      </c>
      <c r="E449" s="8"/>
      <c r="F449" s="124"/>
      <c r="G449" s="173" t="str">
        <f t="shared" si="389"/>
        <v>0.000</v>
      </c>
      <c r="H449" s="173" t="str">
        <f t="shared" ref="H449:V449" si="404">IF(H431&lt;=0, "0.000", H431)</f>
        <v>0.000</v>
      </c>
      <c r="I449" s="173">
        <f t="shared" si="404"/>
        <v>0.53480388315943506</v>
      </c>
      <c r="J449" s="173">
        <f t="shared" si="404"/>
        <v>7.0048394666277556</v>
      </c>
      <c r="K449" s="173" t="str">
        <f t="shared" si="404"/>
        <v>0.000</v>
      </c>
      <c r="L449" s="173">
        <f t="shared" si="404"/>
        <v>6.5754430778980444</v>
      </c>
      <c r="M449" s="173">
        <f t="shared" si="404"/>
        <v>3.0293390346233457</v>
      </c>
      <c r="N449" s="173">
        <f t="shared" si="404"/>
        <v>1.7199581175636149</v>
      </c>
      <c r="O449" s="173">
        <f t="shared" si="404"/>
        <v>11.300676458825491</v>
      </c>
      <c r="P449" s="173">
        <f t="shared" si="404"/>
        <v>8.2932105488645842</v>
      </c>
      <c r="Q449" s="173">
        <f t="shared" si="404"/>
        <v>3.1354855918074893</v>
      </c>
      <c r="R449" s="173" t="str">
        <f t="shared" si="404"/>
        <v>0.000</v>
      </c>
      <c r="S449" s="173" t="str">
        <f t="shared" si="404"/>
        <v>0.000</v>
      </c>
      <c r="T449" s="173" t="str">
        <f t="shared" si="404"/>
        <v>0.000</v>
      </c>
      <c r="U449" s="173" t="str">
        <f t="shared" si="404"/>
        <v>0.000</v>
      </c>
      <c r="V449" s="173" t="str">
        <f t="shared" si="404"/>
        <v>0.000</v>
      </c>
      <c r="W449" s="173" t="str">
        <f t="shared" ref="W449:AK449" si="405">IF(W431&lt;=0, "0.000", W431)</f>
        <v>0.000</v>
      </c>
      <c r="X449" s="173" t="str">
        <f t="shared" si="405"/>
        <v>0.000</v>
      </c>
      <c r="Y449" s="173" t="str">
        <f t="shared" si="405"/>
        <v>0.000</v>
      </c>
      <c r="Z449" s="173" t="str">
        <f t="shared" si="405"/>
        <v>0.000</v>
      </c>
      <c r="AA449" s="173" t="str">
        <f t="shared" si="405"/>
        <v>0.000</v>
      </c>
      <c r="AB449" s="173" t="str">
        <f t="shared" si="405"/>
        <v>0.000</v>
      </c>
      <c r="AC449" s="173" t="str">
        <f t="shared" si="405"/>
        <v>0.000</v>
      </c>
      <c r="AD449" s="173" t="str">
        <f t="shared" si="405"/>
        <v>0.000</v>
      </c>
      <c r="AE449" s="173" t="str">
        <f t="shared" si="405"/>
        <v>0.000</v>
      </c>
      <c r="AF449" s="173" t="str">
        <f t="shared" si="405"/>
        <v>0.000</v>
      </c>
      <c r="AG449" s="173" t="str">
        <f t="shared" si="405"/>
        <v>0.000</v>
      </c>
      <c r="AH449" s="173" t="str">
        <f t="shared" si="405"/>
        <v>0.000</v>
      </c>
      <c r="AI449" s="173" t="str">
        <f t="shared" si="405"/>
        <v>0.000</v>
      </c>
      <c r="AJ449" s="173" t="str">
        <f t="shared" si="405"/>
        <v>0.000</v>
      </c>
      <c r="AK449" s="173" t="str">
        <f t="shared" si="405"/>
        <v>0.000</v>
      </c>
      <c r="AL449" s="4"/>
      <c r="AM449" s="43">
        <v>433</v>
      </c>
      <c r="AN449">
        <v>271.35944084625459</v>
      </c>
      <c r="AO449">
        <v>159.64618582054541</v>
      </c>
      <c r="AP449">
        <v>569.88582658725215</v>
      </c>
      <c r="AQ449">
        <v>924.68335437984115</v>
      </c>
      <c r="AR449">
        <v>150.50763295366914</v>
      </c>
      <c r="AS449">
        <v>1532.813519982187</v>
      </c>
      <c r="AT449">
        <v>77.044859305604675</v>
      </c>
      <c r="AU449">
        <v>206.34470689918874</v>
      </c>
      <c r="AV449"/>
      <c r="AW449"/>
      <c r="FY449" s="211">
        <v>444</v>
      </c>
      <c r="FZ449">
        <v>116.63797396918761</v>
      </c>
      <c r="GA449">
        <v>147.76521950969928</v>
      </c>
      <c r="GB449">
        <v>63.208314211291786</v>
      </c>
      <c r="GC449">
        <v>45.765675995369733</v>
      </c>
      <c r="GD449">
        <v>25.831515869163706</v>
      </c>
      <c r="GE449">
        <v>36.912670120510185</v>
      </c>
      <c r="GF449">
        <v>71.374514444965939</v>
      </c>
      <c r="GG449">
        <v>79.541720524746623</v>
      </c>
      <c r="GH449">
        <v>89.359643574517932</v>
      </c>
      <c r="GI449">
        <v>80.688552665368633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>
        <f t="shared" si="387"/>
        <v>88.946524673850121</v>
      </c>
      <c r="D450" s="190">
        <f>A$414</f>
        <v>10.51</v>
      </c>
      <c r="E450" s="8"/>
      <c r="F450" s="124"/>
      <c r="G450" s="173">
        <f t="shared" si="389"/>
        <v>3.3611262527697048E-3</v>
      </c>
      <c r="H450" s="173">
        <f t="shared" ref="H450:V450" si="406">IF(H432&lt;=0, "0.000", H432)</f>
        <v>0.66772302849874832</v>
      </c>
      <c r="I450" s="173">
        <f t="shared" si="406"/>
        <v>4.2293507246330542</v>
      </c>
      <c r="J450" s="173">
        <f t="shared" si="406"/>
        <v>3.972034513582348</v>
      </c>
      <c r="K450" s="173">
        <f t="shared" si="406"/>
        <v>5.5824969906568818</v>
      </c>
      <c r="L450" s="173">
        <f t="shared" si="406"/>
        <v>19.691845444976209</v>
      </c>
      <c r="M450" s="173">
        <f t="shared" si="406"/>
        <v>24.458821065384541</v>
      </c>
      <c r="N450" s="173">
        <f t="shared" si="406"/>
        <v>15.152556873108221</v>
      </c>
      <c r="O450" s="173">
        <f t="shared" si="406"/>
        <v>8.4695359647825494</v>
      </c>
      <c r="P450" s="173">
        <f t="shared" si="406"/>
        <v>6.1578527560563243</v>
      </c>
      <c r="Q450" s="173">
        <f t="shared" si="406"/>
        <v>0.56094618591846857</v>
      </c>
      <c r="R450" s="173" t="str">
        <f t="shared" si="406"/>
        <v>0.000</v>
      </c>
      <c r="S450" s="173" t="str">
        <f t="shared" si="406"/>
        <v>0.000</v>
      </c>
      <c r="T450" s="173" t="str">
        <f t="shared" si="406"/>
        <v>0.000</v>
      </c>
      <c r="U450" s="173" t="str">
        <f t="shared" si="406"/>
        <v>0.000</v>
      </c>
      <c r="V450" s="173" t="str">
        <f t="shared" si="406"/>
        <v>0.000</v>
      </c>
      <c r="W450" s="173" t="str">
        <f t="shared" ref="W450:AK450" si="407">IF(W432&lt;=0, "0.000", W432)</f>
        <v>0.000</v>
      </c>
      <c r="X450" s="173" t="str">
        <f t="shared" si="407"/>
        <v>0.000</v>
      </c>
      <c r="Y450" s="173" t="str">
        <f t="shared" si="407"/>
        <v>0.000</v>
      </c>
      <c r="Z450" s="173" t="str">
        <f t="shared" si="407"/>
        <v>0.000</v>
      </c>
      <c r="AA450" s="173" t="str">
        <f t="shared" si="407"/>
        <v>0.000</v>
      </c>
      <c r="AB450" s="173" t="str">
        <f t="shared" si="407"/>
        <v>0.000</v>
      </c>
      <c r="AC450" s="173" t="str">
        <f t="shared" si="407"/>
        <v>0.000</v>
      </c>
      <c r="AD450" s="173" t="str">
        <f t="shared" si="407"/>
        <v>0.000</v>
      </c>
      <c r="AE450" s="173" t="str">
        <f t="shared" si="407"/>
        <v>0.000</v>
      </c>
      <c r="AF450" s="173" t="str">
        <f t="shared" si="407"/>
        <v>0.000</v>
      </c>
      <c r="AG450" s="173" t="str">
        <f t="shared" si="407"/>
        <v>0.000</v>
      </c>
      <c r="AH450" s="173" t="str">
        <f t="shared" si="407"/>
        <v>0.000</v>
      </c>
      <c r="AI450" s="173" t="str">
        <f t="shared" si="407"/>
        <v>0.000</v>
      </c>
      <c r="AJ450" s="173" t="str">
        <f t="shared" si="407"/>
        <v>0.000</v>
      </c>
      <c r="AK450" s="173" t="str">
        <f t="shared" si="407"/>
        <v>0.000</v>
      </c>
      <c r="AL450" s="4"/>
      <c r="AM450" s="43">
        <v>434</v>
      </c>
      <c r="AN450">
        <v>267.66972991483493</v>
      </c>
      <c r="AO450">
        <v>145.31841319682269</v>
      </c>
      <c r="AP450">
        <v>483.012853256982</v>
      </c>
      <c r="AQ450">
        <v>821.48992448062279</v>
      </c>
      <c r="AR450">
        <v>137.860299054975</v>
      </c>
      <c r="AS450">
        <v>1418.8990596388687</v>
      </c>
      <c r="AT450">
        <v>69.400664228484175</v>
      </c>
      <c r="AU450">
        <v>60.207461897486148</v>
      </c>
      <c r="AV450"/>
      <c r="AW450"/>
      <c r="FY450" s="211">
        <v>445</v>
      </c>
      <c r="FZ450">
        <v>107.84397925480081</v>
      </c>
      <c r="GA450">
        <v>137.62551670754439</v>
      </c>
      <c r="GB450">
        <v>38.02580458556676</v>
      </c>
      <c r="GC450">
        <v>31.703556758476978</v>
      </c>
      <c r="GD450">
        <v>50.430921494763915</v>
      </c>
      <c r="GE450">
        <v>105.29846829829704</v>
      </c>
      <c r="GF450">
        <v>99.453048155064238</v>
      </c>
      <c r="GG450">
        <v>100.39616869560949</v>
      </c>
      <c r="GH450">
        <v>106.38059796002869</v>
      </c>
      <c r="GI450">
        <v>99.209092173564969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258.48365182167242</v>
      </c>
      <c r="AO451">
        <v>151.76875125734338</v>
      </c>
      <c r="AP451">
        <v>680.63814198943055</v>
      </c>
      <c r="AQ451">
        <v>852.18238810603793</v>
      </c>
      <c r="AR451">
        <v>143.53084126536027</v>
      </c>
      <c r="AS451">
        <v>1357.0135825608809</v>
      </c>
      <c r="AT451">
        <v>79.013958615583832</v>
      </c>
      <c r="AU451">
        <v>262.71363831564292</v>
      </c>
      <c r="AV451"/>
      <c r="AW451"/>
      <c r="FY451" s="211">
        <v>446</v>
      </c>
      <c r="FZ451">
        <v>116.78412555145081</v>
      </c>
      <c r="GA451">
        <v>172.17901937993796</v>
      </c>
      <c r="GB451">
        <v>54.423718508063715</v>
      </c>
      <c r="GC451">
        <v>33.3311652475264</v>
      </c>
      <c r="GD451">
        <v>39.32736598967373</v>
      </c>
      <c r="GE451">
        <v>91.002517066953885</v>
      </c>
      <c r="GF451">
        <v>96.793119879552918</v>
      </c>
      <c r="GG451">
        <v>41.694861479000117</v>
      </c>
      <c r="GH451">
        <v>49.671051372911499</v>
      </c>
      <c r="GI451">
        <v>87.118755396692421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244.91754408208243</v>
      </c>
      <c r="AO452">
        <v>139.82996110682257</v>
      </c>
      <c r="AP452">
        <v>631.8882480695479</v>
      </c>
      <c r="AQ452">
        <v>779.60963934951826</v>
      </c>
      <c r="AR452">
        <v>130.56301373577338</v>
      </c>
      <c r="AS452">
        <v>1208.4191700866247</v>
      </c>
      <c r="AT452">
        <v>65.562709181023635</v>
      </c>
      <c r="AU452">
        <v>248.71351699230013</v>
      </c>
      <c r="AV452"/>
      <c r="AW452"/>
      <c r="FY452" s="211">
        <v>447</v>
      </c>
      <c r="FZ452">
        <v>131.90000183075281</v>
      </c>
      <c r="GA452">
        <v>143.6566285072164</v>
      </c>
      <c r="GB452">
        <v>51.150679241257578</v>
      </c>
      <c r="GC452">
        <v>42.19642049247647</v>
      </c>
      <c r="GD452">
        <v>45.414798139600968</v>
      </c>
      <c r="GE452">
        <v>85.694219021764496</v>
      </c>
      <c r="GF452">
        <v>123.48378281326457</v>
      </c>
      <c r="GG452">
        <v>98.642806946785086</v>
      </c>
      <c r="GH452">
        <v>78.104475559660614</v>
      </c>
      <c r="GI452">
        <v>102.78986426842185</v>
      </c>
      <c r="GJ452"/>
      <c r="GK452"/>
      <c r="GL452"/>
      <c r="GM452"/>
    </row>
    <row r="453" spans="1:195" s="7" customFormat="1">
      <c r="A453" s="214">
        <v>1.0721E-2</v>
      </c>
      <c r="B453" s="52" t="s">
        <v>53</v>
      </c>
      <c r="C453" s="53">
        <f>SUM(C441:C452)</f>
        <v>750.1526534153702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235.13882251836486</v>
      </c>
      <c r="AO453">
        <v>129.69480724981011</v>
      </c>
      <c r="AP453">
        <v>551.19691671921919</v>
      </c>
      <c r="AQ453">
        <v>765.55097117371042</v>
      </c>
      <c r="AR453">
        <v>123.35253054967804</v>
      </c>
      <c r="AS453">
        <v>1211.6972144302481</v>
      </c>
      <c r="AT453">
        <v>64.861385066954966</v>
      </c>
      <c r="AU453">
        <v>176.64874207563588</v>
      </c>
      <c r="AV453"/>
      <c r="AW453"/>
      <c r="FY453" s="211">
        <v>448</v>
      </c>
      <c r="FZ453">
        <v>127.88600047639108</v>
      </c>
      <c r="GA453">
        <v>183.41518705082024</v>
      </c>
      <c r="GB453">
        <v>62.699705984989095</v>
      </c>
      <c r="GC453">
        <v>44.430601421484944</v>
      </c>
      <c r="GD453">
        <v>27.97834942893914</v>
      </c>
      <c r="GE453">
        <v>44.549734020790567</v>
      </c>
      <c r="GF453">
        <v>73.147421125981921</v>
      </c>
      <c r="GG453">
        <v>52.323985281903177</v>
      </c>
      <c r="GH453">
        <v>74.099950504954322</v>
      </c>
      <c r="GI453">
        <v>81.786038142460583</v>
      </c>
      <c r="GJ453"/>
      <c r="GK453"/>
      <c r="GL453"/>
      <c r="GM453"/>
    </row>
    <row r="454" spans="1:195" s="7" customFormat="1">
      <c r="A454" s="215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275.19043931178663</v>
      </c>
      <c r="AO454">
        <v>168.30262309321625</v>
      </c>
      <c r="AP454">
        <v>849.25695519274007</v>
      </c>
      <c r="AQ454">
        <v>878.65518784199378</v>
      </c>
      <c r="AR454">
        <v>156.35559329864117</v>
      </c>
      <c r="AS454">
        <v>1478.5506824704919</v>
      </c>
      <c r="AT454">
        <v>79.758632224588069</v>
      </c>
      <c r="AU454">
        <v>320.67000935957549</v>
      </c>
      <c r="AV454"/>
      <c r="AW454"/>
      <c r="FY454" s="211">
        <v>449</v>
      </c>
      <c r="FZ454">
        <v>151.988216963627</v>
      </c>
      <c r="GA454">
        <v>167.46121271449076</v>
      </c>
      <c r="GB454">
        <v>55.61809489089638</v>
      </c>
      <c r="GC454">
        <v>46.702031372764452</v>
      </c>
      <c r="GD454">
        <v>40.056387350115571</v>
      </c>
      <c r="GE454">
        <v>70.893124408816647</v>
      </c>
      <c r="GF454">
        <v>97.149346244585374</v>
      </c>
      <c r="GG454">
        <v>122.4669147712583</v>
      </c>
      <c r="GH454">
        <v>132.89954476458752</v>
      </c>
      <c r="GI454">
        <v>106.39335785698013</v>
      </c>
      <c r="GJ454"/>
      <c r="GK454"/>
      <c r="GL454"/>
      <c r="GM454"/>
    </row>
    <row r="455" spans="1:195" s="7" customFormat="1" ht="15.75">
      <c r="A455" s="214">
        <v>-1.89E-3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20"/>
      <c r="P455" s="220"/>
      <c r="Q455" s="220"/>
      <c r="R455" s="220"/>
      <c r="S455" s="200"/>
      <c r="T455" s="200"/>
      <c r="U455" s="200"/>
      <c r="V455" s="200"/>
      <c r="W455" s="201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250.47182922736724</v>
      </c>
      <c r="AO455">
        <v>126.43534820993168</v>
      </c>
      <c r="AP455">
        <v>440.16252504649589</v>
      </c>
      <c r="AQ455">
        <v>709.66948385256319</v>
      </c>
      <c r="AR455">
        <v>119.45540914590207</v>
      </c>
      <c r="AS455">
        <v>1118.8068988858661</v>
      </c>
      <c r="AT455">
        <v>57.742751389090564</v>
      </c>
      <c r="AU455">
        <v>51.639271744462434</v>
      </c>
      <c r="AV455"/>
      <c r="AW455"/>
      <c r="FY455" s="211">
        <v>450</v>
      </c>
      <c r="FZ455">
        <v>110.42579241043506</v>
      </c>
      <c r="GA455">
        <v>167.04765161387206</v>
      </c>
      <c r="GB455">
        <v>56.269637087534875</v>
      </c>
      <c r="GC455">
        <v>34.912804736245313</v>
      </c>
      <c r="GD455">
        <v>31.413225307061413</v>
      </c>
      <c r="GE455">
        <v>75.622738755577942</v>
      </c>
      <c r="GF455">
        <v>155.26145125265873</v>
      </c>
      <c r="GG455">
        <v>89.293384310290222</v>
      </c>
      <c r="GH455">
        <v>35.639781366292965</v>
      </c>
      <c r="GI455">
        <v>92.763254324440027</v>
      </c>
      <c r="GJ455"/>
      <c r="GK455"/>
      <c r="GL455"/>
      <c r="GM455"/>
    </row>
    <row r="456" spans="1:195" s="7" customFormat="1">
      <c r="A456" s="215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2" t="s">
        <v>136</v>
      </c>
      <c r="L456" s="205"/>
      <c r="M456" s="205"/>
      <c r="N456" s="205"/>
      <c r="O456" s="205"/>
      <c r="P456" s="205"/>
      <c r="Q456" s="205"/>
      <c r="R456" s="205"/>
      <c r="S456" s="205"/>
      <c r="T456" s="205"/>
      <c r="U456" s="205"/>
      <c r="V456" s="205"/>
      <c r="W456" s="205"/>
      <c r="X456" s="205"/>
      <c r="Y456" s="205"/>
      <c r="Z456" s="205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246.39216548315898</v>
      </c>
      <c r="AO456">
        <v>125.25322340347623</v>
      </c>
      <c r="AP456">
        <v>525.1310616646623</v>
      </c>
      <c r="AQ456">
        <v>720.00809069700347</v>
      </c>
      <c r="AR456">
        <v>117.82356820445527</v>
      </c>
      <c r="AS456">
        <v>1185.5302238980123</v>
      </c>
      <c r="AT456">
        <v>60.584950138552195</v>
      </c>
      <c r="AU456">
        <v>33.498437808244425</v>
      </c>
      <c r="AV456"/>
      <c r="AW456"/>
      <c r="FY456" s="211">
        <v>451</v>
      </c>
      <c r="FZ456">
        <v>130.90174514397489</v>
      </c>
      <c r="GA456">
        <v>146.91616322916849</v>
      </c>
      <c r="GB456">
        <v>54.30903322892587</v>
      </c>
      <c r="GC456">
        <v>43.420074282285029</v>
      </c>
      <c r="GD456">
        <v>38.680456082679918</v>
      </c>
      <c r="GE456">
        <v>58.343470677470421</v>
      </c>
      <c r="GF456">
        <v>68.861021933161652</v>
      </c>
      <c r="GG456">
        <v>64.296310853572336</v>
      </c>
      <c r="GH456">
        <v>66.957309296824974</v>
      </c>
      <c r="GI456">
        <v>84.529896139116673</v>
      </c>
      <c r="GJ456"/>
      <c r="GK456"/>
      <c r="GL456"/>
      <c r="GM456"/>
    </row>
    <row r="457" spans="1:195" s="7" customFormat="1">
      <c r="A457" s="214">
        <v>1.936E-3</v>
      </c>
      <c r="B457" s="4"/>
      <c r="C457" s="100">
        <v>0.5</v>
      </c>
      <c r="D457" s="101">
        <f>SUM($E$228:$E$347)/$A$438</f>
        <v>2.4829727564102564</v>
      </c>
      <c r="E457" s="97">
        <f>+G36</f>
        <v>1.8156463984709309E-3</v>
      </c>
      <c r="F457" s="102">
        <f>+D457-D459</f>
        <v>-75.229955435172229</v>
      </c>
      <c r="G457" s="101">
        <f>+D457*E457</f>
        <v>4.5082005426777217E-3</v>
      </c>
      <c r="H457" s="101"/>
      <c r="I457" s="101"/>
      <c r="J457" s="101"/>
      <c r="K457" s="101"/>
      <c r="L457" s="205"/>
      <c r="M457" s="205"/>
      <c r="N457" s="205"/>
      <c r="O457" s="205"/>
      <c r="P457" s="205"/>
      <c r="Q457" s="205"/>
      <c r="R457" s="205"/>
      <c r="S457" s="205"/>
      <c r="T457" s="205"/>
      <c r="U457" s="205"/>
      <c r="V457" s="205"/>
      <c r="W457" s="205"/>
      <c r="X457" s="205"/>
      <c r="Y457" s="205"/>
      <c r="Z457" s="205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227.27581334024799</v>
      </c>
      <c r="AO457">
        <v>122.37077557002976</v>
      </c>
      <c r="AP457">
        <v>445.26843349667899</v>
      </c>
      <c r="AQ457">
        <v>688.10704006164281</v>
      </c>
      <c r="AR457">
        <v>115.86884871382968</v>
      </c>
      <c r="AS457">
        <v>1101.7529175317752</v>
      </c>
      <c r="AT457">
        <v>63.541142642905221</v>
      </c>
      <c r="AU457">
        <v>72.314620933224035</v>
      </c>
      <c r="AV457"/>
      <c r="AW457"/>
      <c r="FY457" s="211">
        <v>452</v>
      </c>
      <c r="FZ457">
        <v>105.99546825706852</v>
      </c>
      <c r="GA457">
        <v>159.2099996283078</v>
      </c>
      <c r="GB457">
        <v>65.128484406428271</v>
      </c>
      <c r="GC457">
        <v>46.231719823279775</v>
      </c>
      <c r="GD457">
        <v>27.664960375852111</v>
      </c>
      <c r="GE457">
        <v>82.5719275023081</v>
      </c>
      <c r="GF457">
        <v>156.08800963626538</v>
      </c>
      <c r="GG457">
        <v>71.742526864451264</v>
      </c>
      <c r="GH457">
        <v>72.341073047338242</v>
      </c>
      <c r="GI457">
        <v>99.301270128986928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4.5756708048861911E-3</v>
      </c>
      <c r="I458" s="101">
        <f>+H458*F457</f>
        <v>-0.34422751073760682</v>
      </c>
      <c r="J458" s="101">
        <f>+I458*$A$440</f>
        <v>-3.4422751073760685</v>
      </c>
      <c r="K458" s="61">
        <f>IF(J458&lt;0,0,J458)</f>
        <v>0</v>
      </c>
      <c r="L458" s="205"/>
      <c r="M458" s="205"/>
      <c r="N458" s="205"/>
      <c r="O458" s="205"/>
      <c r="P458" s="205"/>
      <c r="Q458" s="205"/>
      <c r="R458" s="205"/>
      <c r="S458" s="205"/>
      <c r="T458" s="205"/>
      <c r="U458" s="205"/>
      <c r="V458" s="205"/>
      <c r="W458" s="205"/>
      <c r="X458" s="205"/>
      <c r="Y458" s="205"/>
      <c r="Z458" s="205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297.27546267810237</v>
      </c>
      <c r="AO458">
        <v>134.34257589192526</v>
      </c>
      <c r="AP458">
        <v>596.95793636200233</v>
      </c>
      <c r="AQ458">
        <v>715.45130225444029</v>
      </c>
      <c r="AR458">
        <v>126.79028872645164</v>
      </c>
      <c r="AS458">
        <v>1459.4016718440553</v>
      </c>
      <c r="AT458">
        <v>61.119683857188114</v>
      </c>
      <c r="AU458">
        <v>105.39210978178357</v>
      </c>
      <c r="AV458"/>
      <c r="AW458"/>
      <c r="FY458" s="211">
        <v>453</v>
      </c>
      <c r="FZ458">
        <v>120.47917890404246</v>
      </c>
      <c r="GA458">
        <v>157.46930008233048</v>
      </c>
      <c r="GB458">
        <v>48.320354279216467</v>
      </c>
      <c r="GC458">
        <v>36.449137019910339</v>
      </c>
      <c r="GD458">
        <v>44.010665668317749</v>
      </c>
      <c r="GE458">
        <v>94.231816193271925</v>
      </c>
      <c r="GF458">
        <v>123.45692778031743</v>
      </c>
      <c r="GG458">
        <v>120.69126937649773</v>
      </c>
      <c r="GH458">
        <v>125.51735585466591</v>
      </c>
      <c r="GI458">
        <v>108.41558858589909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77.712928191582492</v>
      </c>
      <c r="E459" s="97">
        <f>+H36</f>
        <v>1.15313E-2</v>
      </c>
      <c r="F459" s="102">
        <f>+D459-D461</f>
        <v>-8.3213705363604618E-2</v>
      </c>
      <c r="G459" s="101">
        <f>+D459*E459</f>
        <v>0.89613108885559511</v>
      </c>
      <c r="H459" s="101"/>
      <c r="I459" s="101"/>
      <c r="J459" s="101"/>
      <c r="K459" s="101"/>
      <c r="L459" s="205"/>
      <c r="M459" s="205"/>
      <c r="N459" s="205"/>
      <c r="O459" s="205"/>
      <c r="P459" s="205"/>
      <c r="Q459" s="205"/>
      <c r="R459" s="205"/>
      <c r="S459" s="205"/>
      <c r="T459" s="205"/>
      <c r="U459" s="205"/>
      <c r="V459" s="205"/>
      <c r="W459" s="205"/>
      <c r="X459" s="205"/>
      <c r="Y459" s="205"/>
      <c r="Z459" s="205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243.61463345430829</v>
      </c>
      <c r="AO459">
        <v>158.13510573895019</v>
      </c>
      <c r="AP459">
        <v>760.29678236573079</v>
      </c>
      <c r="AQ459">
        <v>886.47779501910736</v>
      </c>
      <c r="AR459">
        <v>149.24597765670663</v>
      </c>
      <c r="AS459">
        <v>1427.2984275782837</v>
      </c>
      <c r="AT459">
        <v>77.297272896123147</v>
      </c>
      <c r="AU459">
        <v>242.16687384991681</v>
      </c>
      <c r="AV459"/>
      <c r="AW459"/>
      <c r="FY459" s="211">
        <v>454</v>
      </c>
      <c r="FZ459">
        <v>120.89498692961864</v>
      </c>
      <c r="GA459">
        <v>158.59978734597232</v>
      </c>
      <c r="GB459">
        <v>45.883108188757419</v>
      </c>
      <c r="GC459">
        <v>31.367043808484805</v>
      </c>
      <c r="GD459">
        <v>33.957372067760048</v>
      </c>
      <c r="GE459">
        <v>86.849311068032378</v>
      </c>
      <c r="GF459">
        <v>122.39062266356775</v>
      </c>
      <c r="GG459">
        <v>63.53846622109144</v>
      </c>
      <c r="GH459">
        <v>58.747749574453721</v>
      </c>
      <c r="GI459">
        <v>89.130741877107866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2.9060412201857979E-2</v>
      </c>
      <c r="I460" s="101">
        <f>+H460*F459</f>
        <v>-2.4182245787103102E-3</v>
      </c>
      <c r="J460" s="101">
        <f>+I460*$A$440</f>
        <v>-2.4182245787103103E-2</v>
      </c>
      <c r="K460" s="61">
        <f>IF(AND(J460&lt;0, J458&lt;0), 0, J460)</f>
        <v>0</v>
      </c>
      <c r="L460" s="205"/>
      <c r="M460" s="205"/>
      <c r="N460" s="205"/>
      <c r="O460" s="205"/>
      <c r="P460" s="205"/>
      <c r="Q460" s="205"/>
      <c r="R460" s="205"/>
      <c r="S460" s="205"/>
      <c r="T460" s="205"/>
      <c r="U460" s="205"/>
      <c r="V460" s="205"/>
      <c r="W460" s="205"/>
      <c r="X460" s="205"/>
      <c r="Y460" s="205"/>
      <c r="Z460" s="205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224.15863421708281</v>
      </c>
      <c r="AO460">
        <v>128.08561171066532</v>
      </c>
      <c r="AP460">
        <v>536.65154378529951</v>
      </c>
      <c r="AQ460">
        <v>757.08580088482154</v>
      </c>
      <c r="AR460">
        <v>122.02262021467172</v>
      </c>
      <c r="AS460">
        <v>1252.7924715934507</v>
      </c>
      <c r="AT460">
        <v>63.134563938408583</v>
      </c>
      <c r="AU460">
        <v>109.42011506845949</v>
      </c>
      <c r="AV460"/>
      <c r="AW460"/>
      <c r="FY460" s="211">
        <v>455</v>
      </c>
      <c r="FZ460">
        <v>105.67267454922708</v>
      </c>
      <c r="GA460">
        <v>117.44053019820286</v>
      </c>
      <c r="GB460">
        <v>35.107728528054579</v>
      </c>
      <c r="GC460">
        <v>33.797586344542125</v>
      </c>
      <c r="GD460">
        <v>41.8216038004526</v>
      </c>
      <c r="GE460">
        <v>87.438113735433717</v>
      </c>
      <c r="GF460">
        <v>122.56517081339373</v>
      </c>
      <c r="GG460">
        <v>105.8127491277065</v>
      </c>
      <c r="GH460">
        <v>93.886895046571425</v>
      </c>
      <c r="GI460">
        <v>94.489190445072438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77.796141896946096</v>
      </c>
      <c r="E461" s="97">
        <f>+I36</f>
        <v>7.3236110182017297E-2</v>
      </c>
      <c r="F461" s="102">
        <f>+D461-D463</f>
        <v>52.800400389716842</v>
      </c>
      <c r="G461" s="101">
        <f>+D461*E461</f>
        <v>5.6974868197005968</v>
      </c>
      <c r="H461" s="101"/>
      <c r="I461" s="101"/>
      <c r="J461" s="101"/>
      <c r="K461" s="101"/>
      <c r="L461" s="205"/>
      <c r="M461" s="205"/>
      <c r="N461" s="205"/>
      <c r="O461" s="205"/>
      <c r="P461" s="205"/>
      <c r="Q461" s="205"/>
      <c r="R461" s="205"/>
      <c r="S461" s="205"/>
      <c r="T461" s="205"/>
      <c r="U461" s="205"/>
      <c r="V461" s="205"/>
      <c r="W461" s="205"/>
      <c r="X461" s="205"/>
      <c r="Y461" s="205"/>
      <c r="Z461" s="205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255.08809832996161</v>
      </c>
      <c r="AO461">
        <v>162.57642315049824</v>
      </c>
      <c r="AP461">
        <v>778.8422080094108</v>
      </c>
      <c r="AQ461">
        <v>876.36715408371731</v>
      </c>
      <c r="AR461">
        <v>151.44682097303627</v>
      </c>
      <c r="AS461">
        <v>1602.1830096455985</v>
      </c>
      <c r="AT461">
        <v>78.893233625578716</v>
      </c>
      <c r="AU461">
        <v>156.3823182975857</v>
      </c>
      <c r="AV461"/>
      <c r="AW461"/>
      <c r="FY461" s="211">
        <v>456</v>
      </c>
      <c r="FZ461">
        <v>97.632896848507556</v>
      </c>
      <c r="GA461">
        <v>123.85746228323083</v>
      </c>
      <c r="GB461">
        <v>32.661550202754874</v>
      </c>
      <c r="GC461">
        <v>34.860544872944999</v>
      </c>
      <c r="GD461">
        <v>33.300431300642771</v>
      </c>
      <c r="GE461">
        <v>35.050325265646421</v>
      </c>
      <c r="GF461">
        <v>41.897835630099927</v>
      </c>
      <c r="GG461">
        <v>80.110915942691335</v>
      </c>
      <c r="GH461">
        <v>95.589573068718721</v>
      </c>
      <c r="GI461">
        <v>69.351355718607181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0.12576012586186258</v>
      </c>
      <c r="I462" s="101">
        <f>+H462*F461</f>
        <v>6.6401849985675279</v>
      </c>
      <c r="J462" s="101">
        <f>+I462*$A$440</f>
        <v>66.401849985675284</v>
      </c>
      <c r="K462" s="61">
        <f>IF(AND(J462&lt;0, J460&lt;0), 0, J462)</f>
        <v>66.401849985675284</v>
      </c>
      <c r="L462" s="205"/>
      <c r="M462" s="205"/>
      <c r="N462" s="205"/>
      <c r="O462" s="205"/>
      <c r="P462" s="205"/>
      <c r="Q462" s="205"/>
      <c r="R462" s="205"/>
      <c r="S462" s="205"/>
      <c r="T462" s="205"/>
      <c r="U462" s="205"/>
      <c r="V462" s="205"/>
      <c r="W462" s="205"/>
      <c r="X462" s="205"/>
      <c r="Y462" s="205"/>
      <c r="Z462" s="205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223.68776312736753</v>
      </c>
      <c r="AO462">
        <v>138.3579807839152</v>
      </c>
      <c r="AP462">
        <v>568.02384665164641</v>
      </c>
      <c r="AQ462">
        <v>782.3256998717635</v>
      </c>
      <c r="AR462">
        <v>131.02506418409664</v>
      </c>
      <c r="AS462">
        <v>1232.0936311024393</v>
      </c>
      <c r="AT462">
        <v>68.959628075783527</v>
      </c>
      <c r="AU462">
        <v>235.19457125907064</v>
      </c>
      <c r="AV462"/>
      <c r="AW462"/>
      <c r="FY462" s="211">
        <v>457</v>
      </c>
      <c r="FZ462">
        <v>87.29358206446804</v>
      </c>
      <c r="GA462">
        <v>132.4615488773006</v>
      </c>
      <c r="GB462">
        <v>47.474169214689823</v>
      </c>
      <c r="GC462">
        <v>39.606414082706323</v>
      </c>
      <c r="GD462">
        <v>44.647356172701109</v>
      </c>
      <c r="GE462">
        <v>85.657657513445301</v>
      </c>
      <c r="GF462">
        <v>104.35011520931261</v>
      </c>
      <c r="GG462">
        <v>87.308047355216502</v>
      </c>
      <c r="GH462">
        <v>89.762362633865507</v>
      </c>
      <c r="GI462">
        <v>91.667394753359545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24.995741507229255</v>
      </c>
      <c r="E463" s="97">
        <f>+J36</f>
        <v>0.21595370395129135</v>
      </c>
      <c r="F463" s="102">
        <f>+D463-D465</f>
        <v>8.4307049812552251</v>
      </c>
      <c r="G463" s="101">
        <f>+D463*E463</f>
        <v>5.3979229614951914</v>
      </c>
      <c r="H463" s="101"/>
      <c r="I463" s="101"/>
      <c r="J463" s="101"/>
      <c r="K463" s="101"/>
      <c r="L463" s="205"/>
      <c r="M463" s="205"/>
      <c r="N463" s="205"/>
      <c r="O463" s="205"/>
      <c r="P463" s="205"/>
      <c r="Q463" s="205"/>
      <c r="R463" s="205"/>
      <c r="S463" s="205"/>
      <c r="T463" s="205"/>
      <c r="U463" s="205"/>
      <c r="V463" s="205"/>
      <c r="W463" s="205"/>
      <c r="X463" s="205"/>
      <c r="Y463" s="205"/>
      <c r="Z463" s="205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332.37763680927821</v>
      </c>
      <c r="AO463">
        <v>162.88341824171371</v>
      </c>
      <c r="AP463">
        <v>614.39723996379757</v>
      </c>
      <c r="AQ463">
        <v>903.03367682120086</v>
      </c>
      <c r="AR463">
        <v>155.25864380834557</v>
      </c>
      <c r="AS463">
        <v>1397.4647510676236</v>
      </c>
      <c r="AT463">
        <v>72.345686216822827</v>
      </c>
      <c r="AU463">
        <v>190.10561195114076</v>
      </c>
      <c r="AV463"/>
      <c r="AW463"/>
      <c r="FY463" s="211">
        <v>458</v>
      </c>
      <c r="FZ463">
        <v>82.772395021494802</v>
      </c>
      <c r="GA463">
        <v>135.80599209297853</v>
      </c>
      <c r="GB463">
        <v>45.062216697583445</v>
      </c>
      <c r="GC463">
        <v>38.968542004303401</v>
      </c>
      <c r="GD463">
        <v>58.368874309158542</v>
      </c>
      <c r="GE463">
        <v>110.52586169329787</v>
      </c>
      <c r="GF463">
        <v>100.85721695611039</v>
      </c>
      <c r="GG463">
        <v>63.778815194789672</v>
      </c>
      <c r="GH463">
        <v>62.910806677056762</v>
      </c>
      <c r="GI463">
        <v>96.072956875187117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0.316932270958458</v>
      </c>
      <c r="I464" s="101">
        <f>+H464*F463</f>
        <v>2.6719624754900027</v>
      </c>
      <c r="J464" s="101">
        <f>+I464*$A$440</f>
        <v>26.719624754900025</v>
      </c>
      <c r="K464" s="61">
        <f>IF(AND(J464&lt;0, J462&lt;0), 0, J464)</f>
        <v>26.719624754900025</v>
      </c>
      <c r="L464" s="205"/>
      <c r="M464" s="205"/>
      <c r="N464" s="205"/>
      <c r="O464" s="205"/>
      <c r="P464" s="205"/>
      <c r="Q464" s="205"/>
      <c r="R464" s="205"/>
      <c r="S464" s="205"/>
      <c r="T464" s="205"/>
      <c r="U464" s="205"/>
      <c r="V464" s="205"/>
      <c r="W464" s="205"/>
      <c r="X464" s="205"/>
      <c r="Y464" s="205"/>
      <c r="Z464" s="205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248.81006550838384</v>
      </c>
      <c r="AO464">
        <v>129.10842642224915</v>
      </c>
      <c r="AP464">
        <v>609.9257960164266</v>
      </c>
      <c r="AQ464">
        <v>772.31697343871508</v>
      </c>
      <c r="AR464">
        <v>122.8562815370406</v>
      </c>
      <c r="AS464">
        <v>1216.3002175271261</v>
      </c>
      <c r="AT464">
        <v>64.385523721239807</v>
      </c>
      <c r="AU464">
        <v>-32.342693213250264</v>
      </c>
      <c r="AV464"/>
      <c r="AW464"/>
      <c r="FY464" s="211">
        <v>459</v>
      </c>
      <c r="FZ464">
        <v>118.80070811752771</v>
      </c>
      <c r="GA464">
        <v>170.69233450222052</v>
      </c>
      <c r="GB464">
        <v>59.860611366590426</v>
      </c>
      <c r="GC464">
        <v>36.450416340937899</v>
      </c>
      <c r="GD464">
        <v>39.758708278716064</v>
      </c>
      <c r="GE464">
        <v>83.670959491309532</v>
      </c>
      <c r="GF464">
        <v>118.04953265454147</v>
      </c>
      <c r="GG464">
        <v>64.822240817508373</v>
      </c>
      <c r="GH464">
        <v>50.222763944070287</v>
      </c>
      <c r="GI464">
        <v>93.978773731856933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16.56503652597403</v>
      </c>
      <c r="E465" s="97">
        <f>+K36</f>
        <v>0.46512776829954805</v>
      </c>
      <c r="F465" s="102">
        <f>+D465-D467</f>
        <v>-16.441486551751332</v>
      </c>
      <c r="G465" s="101">
        <f>+D465*E465</f>
        <v>7.7048584711267987</v>
      </c>
      <c r="H465" s="101"/>
      <c r="I465" s="101"/>
      <c r="J465" s="101"/>
      <c r="K465" s="101"/>
      <c r="L465" s="205"/>
      <c r="M465" s="205"/>
      <c r="N465" s="205"/>
      <c r="O465" s="205"/>
      <c r="P465" s="205"/>
      <c r="Q465" s="205"/>
      <c r="R465" s="205"/>
      <c r="S465" s="205"/>
      <c r="T465" s="205"/>
      <c r="U465" s="205"/>
      <c r="V465" s="205"/>
      <c r="W465" s="205"/>
      <c r="X465" s="205"/>
      <c r="Y465" s="205"/>
      <c r="Z465" s="205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276.66405417983452</v>
      </c>
      <c r="AO465">
        <v>172.12188223753924</v>
      </c>
      <c r="AP465">
        <v>734.57818543035137</v>
      </c>
      <c r="AQ465">
        <v>991.62823133812219</v>
      </c>
      <c r="AR465">
        <v>161.85210830168629</v>
      </c>
      <c r="AS465">
        <v>1449.3940321123439</v>
      </c>
      <c r="AT465">
        <v>87.879104593715439</v>
      </c>
      <c r="AU465">
        <v>143.13403154405887</v>
      </c>
      <c r="AV465"/>
      <c r="AW465"/>
      <c r="FY465" s="211">
        <v>460</v>
      </c>
      <c r="FZ465">
        <v>135.49249829179496</v>
      </c>
      <c r="GA465">
        <v>157.71273470572399</v>
      </c>
      <c r="GB465">
        <v>45.061099536098652</v>
      </c>
      <c r="GC465">
        <v>43.008617500024243</v>
      </c>
      <c r="GD465">
        <v>39.80257550916798</v>
      </c>
      <c r="GE465">
        <v>71.483831729341247</v>
      </c>
      <c r="GF465">
        <v>73.172303678127889</v>
      </c>
      <c r="GG465">
        <v>54.310393641529004</v>
      </c>
      <c r="GH465">
        <v>63.934712227727978</v>
      </c>
      <c r="GI465">
        <v>83.928750519477347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0.6263279176488642</v>
      </c>
      <c r="I466" s="101">
        <f>+H466*F465</f>
        <v>-10.297762035010216</v>
      </c>
      <c r="J466" s="101">
        <f>+I466*$A$440</f>
        <v>-102.97762035010216</v>
      </c>
      <c r="K466" s="61">
        <f>IF(AND(J466&lt;0, J464&lt;0), 0, J466)</f>
        <v>-102.97762035010216</v>
      </c>
      <c r="L466" s="205"/>
      <c r="M466" s="205"/>
      <c r="N466" s="205"/>
      <c r="O466" s="205"/>
      <c r="P466" s="205"/>
      <c r="Q466" s="205"/>
      <c r="R466" s="205"/>
      <c r="S466" s="205"/>
      <c r="T466" s="205"/>
      <c r="U466" s="205"/>
      <c r="V466" s="205"/>
      <c r="W466" s="205"/>
      <c r="X466" s="205"/>
      <c r="Y466" s="205"/>
      <c r="Z466" s="205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264.4848107278234</v>
      </c>
      <c r="AO466">
        <v>149.53181853230504</v>
      </c>
      <c r="AP466">
        <v>692.1680153054765</v>
      </c>
      <c r="AQ466">
        <v>848.64972116440856</v>
      </c>
      <c r="AR466">
        <v>140.09176951331708</v>
      </c>
      <c r="AS466">
        <v>1240.308339151175</v>
      </c>
      <c r="AT466">
        <v>69.11255841519916</v>
      </c>
      <c r="AU466">
        <v>294.92312299677326</v>
      </c>
      <c r="AV466"/>
      <c r="AW466"/>
      <c r="FY466" s="211">
        <v>461</v>
      </c>
      <c r="FZ466">
        <v>121.51391685598659</v>
      </c>
      <c r="GA466">
        <v>154.07895738639724</v>
      </c>
      <c r="GB466">
        <v>44.966219897575229</v>
      </c>
      <c r="GC466">
        <v>39.599028484319277</v>
      </c>
      <c r="GD466">
        <v>34.900885491812112</v>
      </c>
      <c r="GE466">
        <v>68.022310557905328</v>
      </c>
      <c r="GF466">
        <v>90.431030983495305</v>
      </c>
      <c r="GG466">
        <v>38.435948809958717</v>
      </c>
      <c r="GH466">
        <v>45.749132657770971</v>
      </c>
      <c r="GI466">
        <v>80.755531994986441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33.006523077725362</v>
      </c>
      <c r="E467" s="97">
        <f>L36</f>
        <v>0.84339548649291773</v>
      </c>
      <c r="F467" s="102">
        <f>+D467-D469</f>
        <v>6.912845921548211</v>
      </c>
      <c r="G467" s="101">
        <f>+D467*E467</f>
        <v>27.837552588577896</v>
      </c>
      <c r="H467" s="101"/>
      <c r="I467" s="101"/>
      <c r="J467" s="101"/>
      <c r="K467" s="101"/>
      <c r="L467" s="205"/>
      <c r="M467" s="205"/>
      <c r="N467" s="205"/>
      <c r="O467" s="205"/>
      <c r="P467" s="205"/>
      <c r="Q467" s="205"/>
      <c r="R467" s="205"/>
      <c r="S467" s="205"/>
      <c r="T467" s="205"/>
      <c r="U467" s="205"/>
      <c r="V467" s="205"/>
      <c r="W467" s="205"/>
      <c r="X467" s="205"/>
      <c r="Y467" s="205"/>
      <c r="Z467" s="205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246.92775447575076</v>
      </c>
      <c r="AO467">
        <v>131.90548967224677</v>
      </c>
      <c r="AP467">
        <v>451.99178752507078</v>
      </c>
      <c r="AQ467">
        <v>757.21548086718019</v>
      </c>
      <c r="AR467">
        <v>126.68341460458285</v>
      </c>
      <c r="AS467">
        <v>1321.688549267205</v>
      </c>
      <c r="AT467">
        <v>64.168522120860629</v>
      </c>
      <c r="AU467">
        <v>78.184305799252542</v>
      </c>
      <c r="AV467"/>
      <c r="AW467"/>
      <c r="FY467" s="211">
        <v>462</v>
      </c>
      <c r="FZ467">
        <v>93.648417804676825</v>
      </c>
      <c r="GA467">
        <v>126.11153612186685</v>
      </c>
      <c r="GB467">
        <v>50.996497317454448</v>
      </c>
      <c r="GC467">
        <v>41.027156949796591</v>
      </c>
      <c r="GD467">
        <v>35.384294483473937</v>
      </c>
      <c r="GE467">
        <v>58.461468461399974</v>
      </c>
      <c r="GF467">
        <v>84.934867951691359</v>
      </c>
      <c r="GG467">
        <v>35.200569169946419</v>
      </c>
      <c r="GH467">
        <v>7.858131933201685</v>
      </c>
      <c r="GI467">
        <v>70.772098559013401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1.0755224104414585</v>
      </c>
      <c r="I468" s="101">
        <f>+H468*F467</f>
        <v>7.4349207085539373</v>
      </c>
      <c r="J468" s="101">
        <f>+I468*$A$440</f>
        <v>74.349207085539376</v>
      </c>
      <c r="K468" s="61">
        <f>IF(AND(J468&lt;0, J466&lt;0), 0, J468)</f>
        <v>74.349207085539376</v>
      </c>
      <c r="L468" s="205"/>
      <c r="M468" s="205"/>
      <c r="N468" s="205"/>
      <c r="O468" s="205"/>
      <c r="P468" s="205"/>
      <c r="Q468" s="205"/>
      <c r="R468" s="205"/>
      <c r="S468" s="205"/>
      <c r="T468" s="205"/>
      <c r="U468" s="205"/>
      <c r="V468" s="205"/>
      <c r="W468" s="205"/>
      <c r="X468" s="205"/>
      <c r="Y468" s="205"/>
      <c r="Z468" s="205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241.61902303115841</v>
      </c>
      <c r="AO468">
        <v>163.03993656070651</v>
      </c>
      <c r="AP468">
        <v>919.01449482657813</v>
      </c>
      <c r="AQ468">
        <v>886.27543967028646</v>
      </c>
      <c r="AR468">
        <v>152.49023702434187</v>
      </c>
      <c r="AS468">
        <v>1410.9560351089772</v>
      </c>
      <c r="AT468">
        <v>81.985102782724198</v>
      </c>
      <c r="AU468">
        <v>165.53472643263012</v>
      </c>
      <c r="AV468"/>
      <c r="AW468"/>
      <c r="FY468" s="211">
        <v>463</v>
      </c>
      <c r="FZ468">
        <v>108.6722030516725</v>
      </c>
      <c r="GA468">
        <v>160.65310933235742</v>
      </c>
      <c r="GB468">
        <v>53.851329182777</v>
      </c>
      <c r="GC468">
        <v>42.146997994850608</v>
      </c>
      <c r="GD468">
        <v>48.180983491157164</v>
      </c>
      <c r="GE468">
        <v>68.233039855516566</v>
      </c>
      <c r="GF468">
        <v>51.536591475602997</v>
      </c>
      <c r="GG468">
        <v>63.569647884074151</v>
      </c>
      <c r="GH468">
        <v>69.605939384961573</v>
      </c>
      <c r="GI468">
        <v>83.87508672583003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26.093677156177151</v>
      </c>
      <c r="E469" s="97">
        <f>M36</f>
        <v>1.3715374031368122</v>
      </c>
      <c r="F469" s="102">
        <f>+D469-D471</f>
        <v>14.857408216783208</v>
      </c>
      <c r="G469" s="101">
        <f>+D469*E469</f>
        <v>35.78845420507357</v>
      </c>
      <c r="H469" s="101"/>
      <c r="I469" s="101"/>
      <c r="J469" s="101"/>
      <c r="K469" s="101"/>
      <c r="L469" s="205"/>
      <c r="M469" s="205"/>
      <c r="N469" s="205"/>
      <c r="O469" s="205"/>
      <c r="P469" s="205"/>
      <c r="Q469" s="205"/>
      <c r="R469" s="205"/>
      <c r="S469" s="205"/>
      <c r="T469" s="205"/>
      <c r="U469" s="205"/>
      <c r="V469" s="205"/>
      <c r="W469" s="205"/>
      <c r="X469" s="205"/>
      <c r="Y469" s="205"/>
      <c r="Z469" s="205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319.15110683868994</v>
      </c>
      <c r="AO469">
        <v>176.58909033798608</v>
      </c>
      <c r="AP469">
        <v>647.86519955741448</v>
      </c>
      <c r="AQ469">
        <v>979.04159374446954</v>
      </c>
      <c r="AR469">
        <v>165.86258698782916</v>
      </c>
      <c r="AS469">
        <v>1484.0265876467124</v>
      </c>
      <c r="AT469">
        <v>84.043513918963754</v>
      </c>
      <c r="AU469">
        <v>253.03688824235221</v>
      </c>
      <c r="AV469"/>
      <c r="AW469"/>
      <c r="FY469" s="211">
        <v>464</v>
      </c>
      <c r="FZ469">
        <v>122.17533926261009</v>
      </c>
      <c r="GA469">
        <v>129.95091783106781</v>
      </c>
      <c r="GB469">
        <v>45.230722162240596</v>
      </c>
      <c r="GC469">
        <v>51.389141184534978</v>
      </c>
      <c r="GD469">
        <v>55.957206630134849</v>
      </c>
      <c r="GE469">
        <v>69.466135004700334</v>
      </c>
      <c r="GF469">
        <v>88.829742767039534</v>
      </c>
      <c r="GG469">
        <v>96.883515574281546</v>
      </c>
      <c r="GH469">
        <v>63.022286924754866</v>
      </c>
      <c r="GI469">
        <v>96.38463752879926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1.6845395026771761</v>
      </c>
      <c r="I470" s="101">
        <f>+H470*F469</f>
        <v>25.027891048571774</v>
      </c>
      <c r="J470" s="101">
        <f>+I470*$A$440</f>
        <v>250.27891048571774</v>
      </c>
      <c r="K470" s="61">
        <f>IF(AND(J470&lt;0, J468&lt;0), 0, J470)</f>
        <v>250.27891048571774</v>
      </c>
      <c r="L470" s="205"/>
      <c r="M470" s="205"/>
      <c r="N470" s="205"/>
      <c r="O470" s="205"/>
      <c r="P470" s="205"/>
      <c r="Q470" s="205"/>
      <c r="R470" s="205"/>
      <c r="S470" s="205"/>
      <c r="T470" s="205"/>
      <c r="U470" s="205"/>
      <c r="V470" s="205"/>
      <c r="W470" s="205"/>
      <c r="X470" s="205"/>
      <c r="Y470" s="205"/>
      <c r="Z470" s="205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256.15953402763819</v>
      </c>
      <c r="AO470">
        <v>143.06944355298214</v>
      </c>
      <c r="AP470">
        <v>623.61924754369443</v>
      </c>
      <c r="AQ470">
        <v>811.35918974484639</v>
      </c>
      <c r="AR470">
        <v>134.72758133952266</v>
      </c>
      <c r="AS470">
        <v>1437.1650802840361</v>
      </c>
      <c r="AT470">
        <v>68.32874533661338</v>
      </c>
      <c r="AU470">
        <v>90.988132937166682</v>
      </c>
      <c r="AV470"/>
      <c r="AW470"/>
      <c r="FY470" s="211">
        <v>465</v>
      </c>
      <c r="FZ470">
        <v>110.06678623292299</v>
      </c>
      <c r="GA470">
        <v>143.75768029543855</v>
      </c>
      <c r="GB470">
        <v>49.058514961018773</v>
      </c>
      <c r="GC470">
        <v>38.798506785483937</v>
      </c>
      <c r="GD470">
        <v>42.111725875072167</v>
      </c>
      <c r="GE470">
        <v>72.897481735811795</v>
      </c>
      <c r="GF470">
        <v>55.309855545875884</v>
      </c>
      <c r="GG470">
        <v>22.23988752866207</v>
      </c>
      <c r="GH470">
        <v>30.532000499940857</v>
      </c>
      <c r="GI470">
        <v>73.401323923021664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11.236268939393943</v>
      </c>
      <c r="E471" s="97">
        <f>+N36</f>
        <v>2.0689726212277471</v>
      </c>
      <c r="F471" s="102">
        <f>+D471-D473</f>
        <v>6.548768939393943</v>
      </c>
      <c r="G471" s="101">
        <f>+D471*E471</f>
        <v>23.247532800357803</v>
      </c>
      <c r="H471" s="101"/>
      <c r="I471" s="101"/>
      <c r="J471" s="101"/>
      <c r="K471" s="101"/>
      <c r="L471" s="205"/>
      <c r="M471" s="205"/>
      <c r="N471" s="205"/>
      <c r="O471" s="205"/>
      <c r="P471" s="205"/>
      <c r="Q471" s="205"/>
      <c r="R471" s="205"/>
      <c r="S471" s="205"/>
      <c r="T471" s="205"/>
      <c r="U471" s="205"/>
      <c r="V471" s="205"/>
      <c r="W471" s="205"/>
      <c r="X471" s="205"/>
      <c r="Y471" s="205"/>
      <c r="Z471" s="205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264.39973011088057</v>
      </c>
      <c r="AO471">
        <v>150.43277387717922</v>
      </c>
      <c r="AP471">
        <v>667.58354633783927</v>
      </c>
      <c r="AQ471">
        <v>838.03224258865703</v>
      </c>
      <c r="AR471">
        <v>141.99306808085925</v>
      </c>
      <c r="AS471">
        <v>1417.5973196279028</v>
      </c>
      <c r="AT471">
        <v>75.04618618109788</v>
      </c>
      <c r="AU471">
        <v>230.86470531859058</v>
      </c>
      <c r="AV471"/>
      <c r="AW471"/>
      <c r="FY471" s="211">
        <v>466</v>
      </c>
      <c r="FZ471">
        <v>109.19135618106007</v>
      </c>
      <c r="GA471">
        <v>124.69918101745033</v>
      </c>
      <c r="GB471">
        <v>52.04755314076327</v>
      </c>
      <c r="GC471">
        <v>41.483973371430814</v>
      </c>
      <c r="GD471">
        <v>34.883026652217893</v>
      </c>
      <c r="GE471">
        <v>49.514439082129208</v>
      </c>
      <c r="GF471">
        <v>62.290962664508186</v>
      </c>
      <c r="GG471">
        <v>43.284447455329051</v>
      </c>
      <c r="GH471">
        <v>35.263075161933685</v>
      </c>
      <c r="GI471">
        <v>71.951320580205405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2.4722193707922098</v>
      </c>
      <c r="I472" s="101">
        <f>+H472*F471</f>
        <v>16.189993426812062</v>
      </c>
      <c r="J472" s="101">
        <f>+I472*$A$440</f>
        <v>161.89993426812063</v>
      </c>
      <c r="K472" s="61">
        <f>IF(AND(J472&lt;0, J470&lt;0), 0, J472)</f>
        <v>161.89993426812063</v>
      </c>
      <c r="L472" s="205"/>
      <c r="M472" s="205"/>
      <c r="N472" s="205"/>
      <c r="O472" s="205"/>
      <c r="P472" s="205"/>
      <c r="Q472" s="205"/>
      <c r="R472" s="205"/>
      <c r="S472" s="205"/>
      <c r="T472" s="205"/>
      <c r="U472" s="205"/>
      <c r="V472" s="205"/>
      <c r="W472" s="205"/>
      <c r="X472" s="205"/>
      <c r="Y472" s="205"/>
      <c r="Z472" s="205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213.97657004356833</v>
      </c>
      <c r="AO472">
        <v>110.90803571116548</v>
      </c>
      <c r="AP472">
        <v>508.15322186345873</v>
      </c>
      <c r="AQ472">
        <v>644.31289113384469</v>
      </c>
      <c r="AR472">
        <v>104.85629581422599</v>
      </c>
      <c r="AS472">
        <v>1076.0855057379561</v>
      </c>
      <c r="AT472">
        <v>56.463379197895478</v>
      </c>
      <c r="AU472">
        <v>33.146857706868289</v>
      </c>
      <c r="AV472"/>
      <c r="AW472"/>
      <c r="FY472" s="211">
        <v>467</v>
      </c>
      <c r="FZ472">
        <v>102.82853292699508</v>
      </c>
      <c r="GA472">
        <v>144.21963741328884</v>
      </c>
      <c r="GB472">
        <v>40.32070554001556</v>
      </c>
      <c r="GC472">
        <v>42.987107622266556</v>
      </c>
      <c r="GD472">
        <v>45.156621977425651</v>
      </c>
      <c r="GE472">
        <v>74.511025142878594</v>
      </c>
      <c r="GF472">
        <v>99.40449349362261</v>
      </c>
      <c r="GG472">
        <v>77.331254170609753</v>
      </c>
      <c r="GH472">
        <v>70.905514254274152</v>
      </c>
      <c r="GI472">
        <v>88.769005137056553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4.6875</v>
      </c>
      <c r="E473" s="97">
        <f>O36</f>
        <v>2.9540596886648949</v>
      </c>
      <c r="F473" s="102">
        <f>+D473-D475</f>
        <v>1.9791666666666661</v>
      </c>
      <c r="G473" s="101">
        <f>+D473*E473</f>
        <v>13.847154790616695</v>
      </c>
      <c r="H473" s="101"/>
      <c r="I473" s="101"/>
      <c r="J473" s="101"/>
      <c r="K473" s="101"/>
      <c r="L473" s="205"/>
      <c r="M473" s="205"/>
      <c r="N473" s="205"/>
      <c r="O473" s="205"/>
      <c r="P473" s="205"/>
      <c r="Q473" s="205"/>
      <c r="R473" s="205"/>
      <c r="S473" s="205"/>
      <c r="T473" s="205"/>
      <c r="U473" s="205"/>
      <c r="V473" s="205"/>
      <c r="W473" s="205"/>
      <c r="X473" s="205"/>
      <c r="Y473" s="205"/>
      <c r="Z473" s="205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300.37542434931026</v>
      </c>
      <c r="AO473">
        <v>146.77630791886659</v>
      </c>
      <c r="AP473">
        <v>746.13496784818494</v>
      </c>
      <c r="AQ473">
        <v>810.22864787706521</v>
      </c>
      <c r="AR473">
        <v>137.35295302218253</v>
      </c>
      <c r="AS473">
        <v>1580.9896636563399</v>
      </c>
      <c r="AT473">
        <v>73.493528616146065</v>
      </c>
      <c r="AU473">
        <v>397.17541087091865</v>
      </c>
      <c r="AV473"/>
      <c r="AW473"/>
      <c r="FY473" s="211">
        <v>468</v>
      </c>
      <c r="FZ473">
        <v>119.55679527251544</v>
      </c>
      <c r="GA473">
        <v>173.36423666633183</v>
      </c>
      <c r="GB473">
        <v>65.128571561687238</v>
      </c>
      <c r="GC473">
        <v>47.828986366003882</v>
      </c>
      <c r="GD473">
        <v>27.753367323683779</v>
      </c>
      <c r="GE473">
        <v>47.546098850374555</v>
      </c>
      <c r="GF473">
        <v>127.94806421890775</v>
      </c>
      <c r="GG473">
        <v>107.81862650238105</v>
      </c>
      <c r="GH473">
        <v>91.540472973860048</v>
      </c>
      <c r="GI473">
        <v>97.530497179548007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3.456456972364053</v>
      </c>
      <c r="I474" s="101">
        <f>+H474*F473</f>
        <v>6.8409044244705193</v>
      </c>
      <c r="J474" s="101">
        <f>+I474*$A$440</f>
        <v>68.4090442447052</v>
      </c>
      <c r="K474" s="61">
        <f>IF(AND(J474&lt;0, J472&lt;0), 0, J474)</f>
        <v>68.4090442447052</v>
      </c>
      <c r="L474" s="205"/>
      <c r="M474" s="205"/>
      <c r="N474" s="205"/>
      <c r="O474" s="205"/>
      <c r="P474" s="205"/>
      <c r="Q474" s="205"/>
      <c r="R474" s="205"/>
      <c r="S474" s="205"/>
      <c r="T474" s="205"/>
      <c r="U474" s="205"/>
      <c r="V474" s="205"/>
      <c r="W474" s="205"/>
      <c r="X474" s="205"/>
      <c r="Y474" s="205"/>
      <c r="Z474" s="205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281.34678515033193</v>
      </c>
      <c r="AO474">
        <v>155.24154912694513</v>
      </c>
      <c r="AP474">
        <v>847.61435968485489</v>
      </c>
      <c r="AQ474">
        <v>795.12367752196042</v>
      </c>
      <c r="AR474">
        <v>145.00801418988345</v>
      </c>
      <c r="AS474">
        <v>1304.7114435083627</v>
      </c>
      <c r="AT474">
        <v>71.678290394791091</v>
      </c>
      <c r="AU474">
        <v>392.20315680783261</v>
      </c>
      <c r="AV474"/>
      <c r="AW474"/>
      <c r="FY474" s="211">
        <v>469</v>
      </c>
      <c r="FZ474">
        <v>125.66773734927442</v>
      </c>
      <c r="GA474">
        <v>147.72063890467552</v>
      </c>
      <c r="GB474">
        <v>39.177222566911929</v>
      </c>
      <c r="GC474">
        <v>39.592739167553717</v>
      </c>
      <c r="GD474">
        <v>35.457774665571129</v>
      </c>
      <c r="GE474">
        <v>65.926233370779173</v>
      </c>
      <c r="GF474">
        <v>104.47653174974569</v>
      </c>
      <c r="GG474">
        <v>37.802267893137085</v>
      </c>
      <c r="GH474">
        <v>20.881574386784841</v>
      </c>
      <c r="GI474">
        <v>78.527134881673447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2.7083333333333339</v>
      </c>
      <c r="E475" s="97">
        <f>P36</f>
        <v>4.0442970220427874</v>
      </c>
      <c r="F475" s="102">
        <f>+D475-D477</f>
        <v>2.5000000000000004</v>
      </c>
      <c r="G475" s="101">
        <f>+D475*E475</f>
        <v>10.953304434699218</v>
      </c>
      <c r="H475" s="101"/>
      <c r="I475" s="101"/>
      <c r="J475" s="101"/>
      <c r="K475" s="101"/>
      <c r="L475" s="205"/>
      <c r="M475" s="205"/>
      <c r="N475" s="205"/>
      <c r="O475" s="205"/>
      <c r="P475" s="205"/>
      <c r="Q475" s="205"/>
      <c r="R475" s="205"/>
      <c r="S475" s="205"/>
      <c r="T475" s="205"/>
      <c r="U475" s="205"/>
      <c r="V475" s="205"/>
      <c r="W475" s="205"/>
      <c r="X475" s="205"/>
      <c r="Y475" s="205"/>
      <c r="Z475" s="205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282.43306954959343</v>
      </c>
      <c r="AO475">
        <v>149.3271424610133</v>
      </c>
      <c r="AP475">
        <v>549.82847178864358</v>
      </c>
      <c r="AQ475">
        <v>836.30704924527925</v>
      </c>
      <c r="AR475">
        <v>142.31760716312942</v>
      </c>
      <c r="AS475">
        <v>1513.4553504701364</v>
      </c>
      <c r="AT475">
        <v>64.327843297501531</v>
      </c>
      <c r="AU475">
        <v>171.07678541633715</v>
      </c>
      <c r="AV475"/>
      <c r="AW475"/>
      <c r="FY475" s="211">
        <v>470</v>
      </c>
      <c r="FZ475">
        <v>115.97360147711798</v>
      </c>
      <c r="GA475">
        <v>154.41553382950804</v>
      </c>
      <c r="GB475">
        <v>53.104326151386374</v>
      </c>
      <c r="GC475">
        <v>44.001583023240471</v>
      </c>
      <c r="GD475">
        <v>37.78327997857167</v>
      </c>
      <c r="GE475">
        <v>65.493976781913346</v>
      </c>
      <c r="GF475">
        <v>91.798539340914886</v>
      </c>
      <c r="GG475">
        <v>68.163965434718378</v>
      </c>
      <c r="GH475">
        <v>64.231225611149696</v>
      </c>
      <c r="GI475">
        <v>86.84827266733096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4.6543673491225954</v>
      </c>
      <c r="I476" s="101">
        <f>+H476*F475</f>
        <v>11.63591837280649</v>
      </c>
      <c r="J476" s="101">
        <f>+I476*$A$440</f>
        <v>116.35918372806489</v>
      </c>
      <c r="K476" s="61">
        <f>IF(AND(J476&lt;0, J474&lt;0), 0, J476)</f>
        <v>116.35918372806489</v>
      </c>
      <c r="L476" s="205"/>
      <c r="M476" s="205"/>
      <c r="N476" s="205"/>
      <c r="O476" s="205"/>
      <c r="P476" s="205"/>
      <c r="Q476" s="205"/>
      <c r="R476" s="205"/>
      <c r="S476" s="205"/>
      <c r="T476" s="205"/>
      <c r="U476" s="205"/>
      <c r="V476" s="205"/>
      <c r="W476" s="205"/>
      <c r="X476" s="205"/>
      <c r="Y476" s="205"/>
      <c r="Z476" s="205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245.29531719984826</v>
      </c>
      <c r="AO476">
        <v>134.47312852906552</v>
      </c>
      <c r="AP476">
        <v>620.48473718062314</v>
      </c>
      <c r="AQ476">
        <v>767.90751733901334</v>
      </c>
      <c r="AR476">
        <v>126.30970360659489</v>
      </c>
      <c r="AS476">
        <v>1440.5195151392209</v>
      </c>
      <c r="AT476">
        <v>66.073611519695334</v>
      </c>
      <c r="AU476">
        <v>141.9619158417342</v>
      </c>
      <c r="AV476"/>
      <c r="AW476"/>
      <c r="FY476" s="211">
        <v>471</v>
      </c>
      <c r="FZ476">
        <v>105.55770185073982</v>
      </c>
      <c r="GA476">
        <v>143.70742213287656</v>
      </c>
      <c r="GB476">
        <v>58.078671693920647</v>
      </c>
      <c r="GC476">
        <v>44.471954277069635</v>
      </c>
      <c r="GD476">
        <v>32.614299875797116</v>
      </c>
      <c r="GE476">
        <v>66.216426073793016</v>
      </c>
      <c r="GF476">
        <v>93.85974645164697</v>
      </c>
      <c r="GG476">
        <v>74.588335141214969</v>
      </c>
      <c r="GH476">
        <v>96.82339839051842</v>
      </c>
      <c r="GI476">
        <v>89.35232764323581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0.20833333333333331</v>
      </c>
      <c r="E477" s="97">
        <f>Q36</f>
        <v>5.3564649931760897</v>
      </c>
      <c r="F477" s="102">
        <f>+D477-D479</f>
        <v>0.20833333333333331</v>
      </c>
      <c r="G477" s="101">
        <f>+D477*E477</f>
        <v>1.1159302069116852</v>
      </c>
      <c r="H477" s="101"/>
      <c r="I477" s="101"/>
      <c r="J477" s="101"/>
      <c r="K477" s="101"/>
      <c r="L477" s="205"/>
      <c r="M477" s="205"/>
      <c r="N477" s="205"/>
      <c r="O477" s="205"/>
      <c r="P477" s="205"/>
      <c r="Q477" s="205"/>
      <c r="R477" s="205"/>
      <c r="S477" s="205"/>
      <c r="T477" s="205"/>
      <c r="U477" s="205"/>
      <c r="V477" s="205"/>
      <c r="W477" s="205"/>
      <c r="X477" s="205"/>
      <c r="Y477" s="205"/>
      <c r="Z477" s="205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230.75592940518618</v>
      </c>
      <c r="AO477">
        <v>128.44167533497779</v>
      </c>
      <c r="AP477">
        <v>559.79083596275598</v>
      </c>
      <c r="AQ477">
        <v>718.45296312020719</v>
      </c>
      <c r="AR477">
        <v>121.98231837246183</v>
      </c>
      <c r="AS477">
        <v>1283.8227318578049</v>
      </c>
      <c r="AT477">
        <v>60.895634575915061</v>
      </c>
      <c r="AU477">
        <v>57.566640439354551</v>
      </c>
      <c r="AV477"/>
      <c r="AW477"/>
      <c r="FY477" s="211">
        <v>472</v>
      </c>
      <c r="FZ477">
        <v>125.99646184850843</v>
      </c>
      <c r="GA477">
        <v>138.82496695658435</v>
      </c>
      <c r="GB477">
        <v>58.510412122482926</v>
      </c>
      <c r="GC477">
        <v>37.557105487686876</v>
      </c>
      <c r="GD477">
        <v>42.605694333931382</v>
      </c>
      <c r="GE477">
        <v>100.92970186785125</v>
      </c>
      <c r="GF477">
        <v>107.06904803473688</v>
      </c>
      <c r="GG477">
        <v>62.661627329477056</v>
      </c>
      <c r="GH477">
        <v>67.258559619746379</v>
      </c>
      <c r="GI477">
        <v>97.410995739127173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6.0824061501897582</v>
      </c>
      <c r="I478" s="101">
        <f>+H478*F477</f>
        <v>1.2671679479561995</v>
      </c>
      <c r="J478" s="101">
        <f>+I478*$A$440</f>
        <v>12.671679479561995</v>
      </c>
      <c r="K478" s="61">
        <f>IF(AND(J478&lt;0, J476&lt;0), 0, J478)</f>
        <v>12.671679479561995</v>
      </c>
      <c r="L478" s="205"/>
      <c r="M478" s="205"/>
      <c r="N478" s="205"/>
      <c r="O478" s="205"/>
      <c r="P478" s="205"/>
      <c r="Q478" s="205"/>
      <c r="R478" s="205"/>
      <c r="S478" s="205"/>
      <c r="T478" s="205"/>
      <c r="U478" s="205"/>
      <c r="V478" s="205"/>
      <c r="W478" s="205"/>
      <c r="X478" s="205"/>
      <c r="Y478" s="205"/>
      <c r="Z478" s="205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237.40407757920502</v>
      </c>
      <c r="AO478">
        <v>111.23582835254142</v>
      </c>
      <c r="AP478">
        <v>497.801794709928</v>
      </c>
      <c r="AQ478">
        <v>604.3950387525216</v>
      </c>
      <c r="AR478">
        <v>105.00307848019216</v>
      </c>
      <c r="AS478">
        <v>1096.3598356705136</v>
      </c>
      <c r="AT478">
        <v>52.370152552739391</v>
      </c>
      <c r="AU478">
        <v>82.848189622231573</v>
      </c>
      <c r="AV478"/>
      <c r="AW478"/>
      <c r="FY478" s="211">
        <v>473</v>
      </c>
      <c r="FZ478">
        <v>101.06849548647494</v>
      </c>
      <c r="GA478">
        <v>142.51194255636219</v>
      </c>
      <c r="GB478">
        <v>54.698364479596322</v>
      </c>
      <c r="GC478">
        <v>39.012236648235216</v>
      </c>
      <c r="GD478">
        <v>46.673858711327519</v>
      </c>
      <c r="GE478">
        <v>85.088916843898019</v>
      </c>
      <c r="GF478">
        <v>71.292946987026426</v>
      </c>
      <c r="GG478">
        <v>59.956397012586152</v>
      </c>
      <c r="GH478">
        <v>66.383898191177124</v>
      </c>
      <c r="GI478">
        <v>86.430158760866206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6.9067313280301672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5"/>
      <c r="M479" s="205"/>
      <c r="N479" s="205"/>
      <c r="O479" s="205"/>
      <c r="P479" s="205"/>
      <c r="Q479" s="205"/>
      <c r="R479" s="205"/>
      <c r="S479" s="205"/>
      <c r="T479" s="205"/>
      <c r="U479" s="205"/>
      <c r="V479" s="205"/>
      <c r="W479" s="205"/>
      <c r="X479" s="205"/>
      <c r="Y479" s="205"/>
      <c r="Z479" s="205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280.04569595061946</v>
      </c>
      <c r="AO479">
        <v>132.97766293421893</v>
      </c>
      <c r="AP479">
        <v>615.89734259760849</v>
      </c>
      <c r="AQ479">
        <v>750.3249283788</v>
      </c>
      <c r="AR479">
        <v>124.60937871609661</v>
      </c>
      <c r="AS479">
        <v>1328.7459114018327</v>
      </c>
      <c r="AT479">
        <v>65.796077624487964</v>
      </c>
      <c r="AU479">
        <v>5.6749249548168876</v>
      </c>
      <c r="AV479"/>
      <c r="AW479"/>
      <c r="FY479" s="211">
        <v>474</v>
      </c>
      <c r="FZ479">
        <v>120.37472099499213</v>
      </c>
      <c r="GA479">
        <v>175.62951993078107</v>
      </c>
      <c r="GB479">
        <v>64.021307089424724</v>
      </c>
      <c r="GC479">
        <v>47.230247848320161</v>
      </c>
      <c r="GD479">
        <v>32.272167503735382</v>
      </c>
      <c r="GE479">
        <v>37.569128017994544</v>
      </c>
      <c r="GF479">
        <v>75.605299665096254</v>
      </c>
      <c r="GG479">
        <v>56.626391468538671</v>
      </c>
      <c r="GH479">
        <v>47.899019531172165</v>
      </c>
      <c r="GI479">
        <v>79.949174974119757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7.7564609115215708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5"/>
      <c r="M480" s="205"/>
      <c r="N480" s="205"/>
      <c r="O480" s="205"/>
      <c r="P480" s="205"/>
      <c r="Q480" s="205"/>
      <c r="R480" s="205"/>
      <c r="S480" s="205"/>
      <c r="T480" s="205"/>
      <c r="U480" s="205"/>
      <c r="V480" s="205"/>
      <c r="W480" s="205"/>
      <c r="X480" s="205"/>
      <c r="Y480" s="205"/>
      <c r="Z480" s="205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300.95003883670279</v>
      </c>
      <c r="AO480">
        <v>151.69706889338903</v>
      </c>
      <c r="AP480">
        <v>629.15189189511648</v>
      </c>
      <c r="AQ480">
        <v>819.28964487016401</v>
      </c>
      <c r="AR480">
        <v>144.05885283106733</v>
      </c>
      <c r="AS480">
        <v>1465.0887177170362</v>
      </c>
      <c r="AT480">
        <v>72.119367031427444</v>
      </c>
      <c r="AU480">
        <v>195.85652984642229</v>
      </c>
      <c r="AV480"/>
      <c r="AW480"/>
      <c r="FY480" s="211">
        <v>475</v>
      </c>
      <c r="FZ480">
        <v>99.373003862214532</v>
      </c>
      <c r="GA480">
        <v>135.79072950955893</v>
      </c>
      <c r="GB480">
        <v>49.901801231759137</v>
      </c>
      <c r="GC480">
        <v>43.399533565687634</v>
      </c>
      <c r="GD480">
        <v>40.089296891314028</v>
      </c>
      <c r="GE480">
        <v>73.962562853362073</v>
      </c>
      <c r="GF480">
        <v>105.68396628346562</v>
      </c>
      <c r="GG480">
        <v>97.474122434049434</v>
      </c>
      <c r="GH480">
        <v>98.772272079165703</v>
      </c>
      <c r="GI480">
        <v>92.97419804334929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8.7107320401763371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5"/>
      <c r="M481" s="205"/>
      <c r="N481" s="205"/>
      <c r="O481" s="205"/>
      <c r="P481" s="205"/>
      <c r="Q481" s="205"/>
      <c r="R481" s="205"/>
      <c r="S481" s="205"/>
      <c r="T481" s="205"/>
      <c r="U481" s="205"/>
      <c r="V481" s="205"/>
      <c r="W481" s="205"/>
      <c r="X481" s="205"/>
      <c r="Y481" s="205"/>
      <c r="Z481" s="205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251.24860862347072</v>
      </c>
      <c r="AO481">
        <v>114.89393117949855</v>
      </c>
      <c r="AP481">
        <v>381.42140687197383</v>
      </c>
      <c r="AQ481">
        <v>638.17376338324868</v>
      </c>
      <c r="AR481">
        <v>108.75454872787913</v>
      </c>
      <c r="AS481">
        <v>1193.8521155374356</v>
      </c>
      <c r="AT481">
        <v>53.324438935259629</v>
      </c>
      <c r="AU481">
        <v>27.609810312454357</v>
      </c>
      <c r="AV481"/>
      <c r="AW481"/>
      <c r="FY481" s="211">
        <v>476</v>
      </c>
      <c r="FZ481">
        <v>112.43838741729539</v>
      </c>
      <c r="GA481">
        <v>142.43562380803431</v>
      </c>
      <c r="GB481">
        <v>50.376549449542132</v>
      </c>
      <c r="GC481">
        <v>43.8244082704121</v>
      </c>
      <c r="GD481">
        <v>55.271722515861825</v>
      </c>
      <c r="GE481">
        <v>87.906833761948945</v>
      </c>
      <c r="GF481">
        <v>67.225861711759961</v>
      </c>
      <c r="GG481">
        <v>35.041299767689125</v>
      </c>
      <c r="GH481">
        <v>28.151685076272102</v>
      </c>
      <c r="GI481">
        <v>85.363173152352772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9.6919222802179004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5"/>
      <c r="M482" s="205"/>
      <c r="N482" s="205"/>
      <c r="O482" s="205"/>
      <c r="P482" s="205"/>
      <c r="Q482" s="205"/>
      <c r="R482" s="205"/>
      <c r="S482" s="205"/>
      <c r="T482" s="205"/>
      <c r="U482" s="205"/>
      <c r="V482" s="205"/>
      <c r="W482" s="205"/>
      <c r="X482" s="205"/>
      <c r="Y482" s="205"/>
      <c r="Z482" s="205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222.09067468126824</v>
      </c>
      <c r="AO482">
        <v>111.52528601878066</v>
      </c>
      <c r="AP482">
        <v>348.53481136678397</v>
      </c>
      <c r="AQ482">
        <v>624.609335307028</v>
      </c>
      <c r="AR482">
        <v>107.41764324908245</v>
      </c>
      <c r="AS482">
        <v>1112.9333402831633</v>
      </c>
      <c r="AT482">
        <v>50.942204885852597</v>
      </c>
      <c r="AU482">
        <v>116.93143937574547</v>
      </c>
      <c r="AV482"/>
      <c r="AW482"/>
      <c r="FY482" s="211">
        <v>477</v>
      </c>
      <c r="FZ482">
        <v>130.34002148423937</v>
      </c>
      <c r="GA482">
        <v>163.11787203369656</v>
      </c>
      <c r="GB482">
        <v>40.729473966004278</v>
      </c>
      <c r="GC482">
        <v>48.370105218888476</v>
      </c>
      <c r="GD482">
        <v>50.37923934534161</v>
      </c>
      <c r="GE482">
        <v>80.810833274812239</v>
      </c>
      <c r="GF482">
        <v>107.82990348834973</v>
      </c>
      <c r="GG482">
        <v>114.10637771394022</v>
      </c>
      <c r="GH482">
        <v>109.00948059758005</v>
      </c>
      <c r="GI482">
        <v>105.09493947733507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10.783635296383494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5"/>
      <c r="M483" s="205"/>
      <c r="N483" s="205"/>
      <c r="O483" s="205"/>
      <c r="P483" s="205"/>
      <c r="Q483" s="205"/>
      <c r="R483" s="205"/>
      <c r="S483" s="205"/>
      <c r="T483" s="205"/>
      <c r="U483" s="205"/>
      <c r="V483" s="205"/>
      <c r="W483" s="205"/>
      <c r="X483" s="205"/>
      <c r="Y483" s="205"/>
      <c r="Z483" s="205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280.24778399194031</v>
      </c>
      <c r="AO483">
        <v>143.42078060220871</v>
      </c>
      <c r="AP483">
        <v>529.94371908324729</v>
      </c>
      <c r="AQ483">
        <v>786.43389767843325</v>
      </c>
      <c r="AR483">
        <v>133.90773708419022</v>
      </c>
      <c r="AS483">
        <v>1251.711807880017</v>
      </c>
      <c r="AT483">
        <v>66.79670089527815</v>
      </c>
      <c r="AU483">
        <v>117.97063837094782</v>
      </c>
      <c r="AV483"/>
      <c r="AW483"/>
      <c r="FY483" s="211">
        <v>478</v>
      </c>
      <c r="FZ483">
        <v>119.94241723959595</v>
      </c>
      <c r="GA483">
        <v>219.93623313559729</v>
      </c>
      <c r="GB483">
        <v>70.831871177040696</v>
      </c>
      <c r="GC483">
        <v>32.077837801954061</v>
      </c>
      <c r="GD483">
        <v>22.964096820823961</v>
      </c>
      <c r="GE483">
        <v>62.786279450802631</v>
      </c>
      <c r="GF483">
        <v>158.03321576848253</v>
      </c>
      <c r="GG483">
        <v>99.603751415120456</v>
      </c>
      <c r="GH483">
        <v>58.534903609484971</v>
      </c>
      <c r="GI483">
        <v>98.066489256446772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11.90374094105222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5"/>
      <c r="M484" s="205"/>
      <c r="N484" s="205"/>
      <c r="O484" s="205"/>
      <c r="P484" s="205"/>
      <c r="Q484" s="205"/>
      <c r="R484" s="205"/>
      <c r="S484" s="205"/>
      <c r="T484" s="205"/>
      <c r="U484" s="205"/>
      <c r="V484" s="205"/>
      <c r="W484" s="205"/>
      <c r="X484" s="205"/>
      <c r="Y484" s="205"/>
      <c r="Z484" s="205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260.18429849989025</v>
      </c>
      <c r="AO484">
        <v>158.51008268981792</v>
      </c>
      <c r="AP484">
        <v>711.04092411162378</v>
      </c>
      <c r="AQ484">
        <v>906.01571691529341</v>
      </c>
      <c r="AR484">
        <v>149.50958362730864</v>
      </c>
      <c r="AS484">
        <v>1398.5233638671177</v>
      </c>
      <c r="AT484">
        <v>77.572609589531751</v>
      </c>
      <c r="AU484">
        <v>134.57130830063187</v>
      </c>
      <c r="AV484"/>
      <c r="AW484"/>
      <c r="FY484" s="211">
        <v>479</v>
      </c>
      <c r="FZ484">
        <v>136.69290941992011</v>
      </c>
      <c r="GA484">
        <v>149.01409961129414</v>
      </c>
      <c r="GB484">
        <v>55.792938058177533</v>
      </c>
      <c r="GC484">
        <v>44.631953817636983</v>
      </c>
      <c r="GD484">
        <v>31.513143471676695</v>
      </c>
      <c r="GE484">
        <v>54.590493666732371</v>
      </c>
      <c r="GF484">
        <v>90.768978495581351</v>
      </c>
      <c r="GG484">
        <v>91.299679764470184</v>
      </c>
      <c r="GH484">
        <v>88.480428147238754</v>
      </c>
      <c r="GI484">
        <v>89.339882173530299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13.140192940241995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5"/>
      <c r="M485" s="205"/>
      <c r="N485" s="205"/>
      <c r="O485" s="205"/>
      <c r="P485" s="205"/>
      <c r="Q485" s="205"/>
      <c r="R485" s="205"/>
      <c r="S485" s="205"/>
      <c r="T485" s="205"/>
      <c r="U485" s="205"/>
      <c r="V485" s="205"/>
      <c r="W485" s="205"/>
      <c r="X485" s="205"/>
      <c r="Y485" s="205"/>
      <c r="Z485" s="205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237.62805456376094</v>
      </c>
      <c r="AO485">
        <v>122.91587610012536</v>
      </c>
      <c r="AP485">
        <v>443.2225491504928</v>
      </c>
      <c r="AQ485">
        <v>695.22985493610702</v>
      </c>
      <c r="AR485">
        <v>117.46547693367881</v>
      </c>
      <c r="AS485">
        <v>1251.644244885385</v>
      </c>
      <c r="AT485">
        <v>53.443943731888645</v>
      </c>
      <c r="AU485">
        <v>98.959661133361777</v>
      </c>
      <c r="AV485"/>
      <c r="AW485"/>
      <c r="FY485" s="211">
        <v>480</v>
      </c>
      <c r="FZ485">
        <v>139.21697505230139</v>
      </c>
      <c r="GA485">
        <v>181.32448415183293</v>
      </c>
      <c r="GB485">
        <v>60.202282783088584</v>
      </c>
      <c r="GC485">
        <v>45.986792068792788</v>
      </c>
      <c r="GD485">
        <v>51.762157663915033</v>
      </c>
      <c r="GE485">
        <v>83.155216576134876</v>
      </c>
      <c r="GF485">
        <v>94.408707178385015</v>
      </c>
      <c r="GG485">
        <v>92.283035826890114</v>
      </c>
      <c r="GH485">
        <v>73.095561688251607</v>
      </c>
      <c r="GI485">
        <v>102.83958271354456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14.406474023358443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5"/>
      <c r="M486" s="205"/>
      <c r="N486" s="205"/>
      <c r="O486" s="205"/>
      <c r="P486" s="205"/>
      <c r="Q486" s="205"/>
      <c r="R486" s="205"/>
      <c r="S486" s="205"/>
      <c r="T486" s="205"/>
      <c r="U486" s="205"/>
      <c r="V486" s="205"/>
      <c r="W486" s="205"/>
      <c r="X486" s="205"/>
      <c r="Y486" s="205"/>
      <c r="Z486" s="205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226.00099468310708</v>
      </c>
      <c r="AO486">
        <v>139.62958860855093</v>
      </c>
      <c r="AP486">
        <v>676.03868811800271</v>
      </c>
      <c r="AQ486">
        <v>781.81430429585191</v>
      </c>
      <c r="AR486">
        <v>131.20958007382089</v>
      </c>
      <c r="AS486">
        <v>1333.9109773373266</v>
      </c>
      <c r="AT486">
        <v>73.186010349476703</v>
      </c>
      <c r="AU486">
        <v>153.75993086434949</v>
      </c>
      <c r="AV486"/>
      <c r="AW486"/>
      <c r="FY486" s="211">
        <v>481</v>
      </c>
      <c r="FZ486">
        <v>113.31203721682377</v>
      </c>
      <c r="GA486">
        <v>144.71180898828544</v>
      </c>
      <c r="GB486">
        <v>43.928427024852567</v>
      </c>
      <c r="GC486">
        <v>33.653970850794572</v>
      </c>
      <c r="GD486">
        <v>43.991598530097903</v>
      </c>
      <c r="GE486">
        <v>80.066600272774039</v>
      </c>
      <c r="GF486">
        <v>70.519337775580382</v>
      </c>
      <c r="GG486">
        <v>81.55902637167803</v>
      </c>
      <c r="GH486">
        <v>83.704685662454594</v>
      </c>
      <c r="GI486">
        <v>85.867855355746997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15.794782826216199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5"/>
      <c r="M487" s="205"/>
      <c r="N487" s="205"/>
      <c r="O487" s="205"/>
      <c r="P487" s="205"/>
      <c r="Q487" s="205"/>
      <c r="R487" s="205"/>
      <c r="S487" s="205"/>
      <c r="T487" s="205"/>
      <c r="U487" s="205"/>
      <c r="V487" s="205"/>
      <c r="W487" s="205"/>
      <c r="X487" s="205"/>
      <c r="Y487" s="205"/>
      <c r="Z487" s="205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245.31063448900304</v>
      </c>
      <c r="AO487">
        <v>143.21938463153248</v>
      </c>
      <c r="AP487">
        <v>533.27410571614337</v>
      </c>
      <c r="AQ487">
        <v>805.27028353081278</v>
      </c>
      <c r="AR487">
        <v>135.4441403112931</v>
      </c>
      <c r="AS487">
        <v>1412.1975360012104</v>
      </c>
      <c r="AT487">
        <v>67.266389255740066</v>
      </c>
      <c r="AU487">
        <v>69.258751276236083</v>
      </c>
      <c r="AV487"/>
      <c r="AW487"/>
      <c r="FY487" s="211">
        <v>482</v>
      </c>
      <c r="FZ487">
        <v>107.13923125626199</v>
      </c>
      <c r="GA487">
        <v>153.26000191395286</v>
      </c>
      <c r="GB487">
        <v>53.776057925809909</v>
      </c>
      <c r="GC487">
        <v>46.793769324971819</v>
      </c>
      <c r="GD487">
        <v>41.728054077959342</v>
      </c>
      <c r="GE487">
        <v>68.40218505222326</v>
      </c>
      <c r="GF487">
        <v>110.10699810830256</v>
      </c>
      <c r="GG487">
        <v>103.59272816529284</v>
      </c>
      <c r="GH487">
        <v>86.131657713340758</v>
      </c>
      <c r="GI487">
        <v>96.750762890917088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17.214323563270106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5"/>
      <c r="M488" s="205"/>
      <c r="N488" s="205"/>
      <c r="O488" s="205"/>
      <c r="P488" s="205"/>
      <c r="Q488" s="205"/>
      <c r="R488" s="205"/>
      <c r="S488" s="205"/>
      <c r="T488" s="205"/>
      <c r="U488" s="205"/>
      <c r="V488" s="205"/>
      <c r="W488" s="205"/>
      <c r="X488" s="205"/>
      <c r="Y488" s="205"/>
      <c r="Z488" s="205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278.10852129391509</v>
      </c>
      <c r="AO488">
        <v>154.04483407124073</v>
      </c>
      <c r="AP488">
        <v>676.23982583662223</v>
      </c>
      <c r="AQ488">
        <v>838.8245733401327</v>
      </c>
      <c r="AR488">
        <v>147.37071621296133</v>
      </c>
      <c r="AS488">
        <v>1410.8710356567349</v>
      </c>
      <c r="AT488">
        <v>75.245523781690764</v>
      </c>
      <c r="AU488">
        <v>404.12633733256087</v>
      </c>
      <c r="AV488"/>
      <c r="AW488"/>
      <c r="FY488" s="211">
        <v>483</v>
      </c>
      <c r="FZ488">
        <v>121.67012242151122</v>
      </c>
      <c r="GA488">
        <v>146.77047321573698</v>
      </c>
      <c r="GB488">
        <v>38.992136916648768</v>
      </c>
      <c r="GC488">
        <v>32.048618157237925</v>
      </c>
      <c r="GD488">
        <v>29.459758731987872</v>
      </c>
      <c r="GE488">
        <v>39.684200638037417</v>
      </c>
      <c r="GF488">
        <v>88.393160738585806</v>
      </c>
      <c r="GG488">
        <v>88.959262879809287</v>
      </c>
      <c r="GH488">
        <v>66.293033590182318</v>
      </c>
      <c r="GI488">
        <v>77.741183522321151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18.761444142752168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5"/>
      <c r="M489" s="205"/>
      <c r="N489" s="205"/>
      <c r="O489" s="205"/>
      <c r="P489" s="205"/>
      <c r="Q489" s="205"/>
      <c r="R489" s="205"/>
      <c r="S489" s="205"/>
      <c r="T489" s="205"/>
      <c r="U489" s="205"/>
      <c r="V489" s="205"/>
      <c r="W489" s="205"/>
      <c r="X489" s="205"/>
      <c r="Y489" s="205"/>
      <c r="Z489" s="205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279.16495670048107</v>
      </c>
      <c r="AO489">
        <v>137.71431146822525</v>
      </c>
      <c r="AP489">
        <v>538.37224888821152</v>
      </c>
      <c r="AQ489">
        <v>753.11721567755012</v>
      </c>
      <c r="AR489">
        <v>129.25096161134849</v>
      </c>
      <c r="AS489">
        <v>1361.5581074227832</v>
      </c>
      <c r="AT489">
        <v>63.065364333594317</v>
      </c>
      <c r="AU489">
        <v>91.788466044192944</v>
      </c>
      <c r="AV489"/>
      <c r="AW489"/>
      <c r="FY489" s="211">
        <v>484</v>
      </c>
      <c r="FZ489">
        <v>79.278376036661172</v>
      </c>
      <c r="GA489">
        <v>130.36778447042784</v>
      </c>
      <c r="GB489">
        <v>50.432682539332639</v>
      </c>
      <c r="GC489">
        <v>35.262494448240616</v>
      </c>
      <c r="GD489">
        <v>31.872388600649131</v>
      </c>
      <c r="GE489">
        <v>39.159350858567592</v>
      </c>
      <c r="GF489">
        <v>62.008699811671718</v>
      </c>
      <c r="GG489">
        <v>56.999358306992498</v>
      </c>
      <c r="GH489">
        <v>37.447321138790109</v>
      </c>
      <c r="GI489">
        <v>65.55677522437125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20.341168832586963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5"/>
      <c r="M490" s="205"/>
      <c r="N490" s="205"/>
      <c r="O490" s="205"/>
      <c r="P490" s="205"/>
      <c r="Q490" s="205"/>
      <c r="R490" s="205"/>
      <c r="S490" s="205"/>
      <c r="T490" s="205"/>
      <c r="U490" s="205"/>
      <c r="V490" s="205"/>
      <c r="W490" s="205"/>
      <c r="X490" s="205"/>
      <c r="Y490" s="205"/>
      <c r="Z490" s="205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235.87331549231172</v>
      </c>
      <c r="AO490">
        <v>126.57996402605133</v>
      </c>
      <c r="AP490">
        <v>505.13192605857535</v>
      </c>
      <c r="AQ490">
        <v>737.1769770241749</v>
      </c>
      <c r="AR490">
        <v>120.55218621402271</v>
      </c>
      <c r="AS490">
        <v>1310.2228364341274</v>
      </c>
      <c r="AT490">
        <v>61.276188395401306</v>
      </c>
      <c r="AU490">
        <v>-9.1947260854174147</v>
      </c>
      <c r="AV490"/>
      <c r="AW490"/>
      <c r="FY490" s="211">
        <v>485</v>
      </c>
      <c r="FZ490">
        <v>123.11312579709147</v>
      </c>
      <c r="GA490">
        <v>112.77795055138135</v>
      </c>
      <c r="GB490">
        <v>63.548716208115202</v>
      </c>
      <c r="GC490">
        <v>48.827711503186762</v>
      </c>
      <c r="GD490">
        <v>43.95156881026314</v>
      </c>
      <c r="GE490">
        <v>100.77530072580237</v>
      </c>
      <c r="GF490">
        <v>126.84498564646636</v>
      </c>
      <c r="GG490">
        <v>50.452853087983826</v>
      </c>
      <c r="GH490">
        <v>38.846594412129306</v>
      </c>
      <c r="GI490">
        <v>98.872471381272533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22.053907275344272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5"/>
      <c r="M491" s="205"/>
      <c r="N491" s="205"/>
      <c r="O491" s="205"/>
      <c r="P491" s="205"/>
      <c r="Q491" s="205"/>
      <c r="R491" s="205"/>
      <c r="S491" s="205"/>
      <c r="T491" s="205"/>
      <c r="U491" s="205"/>
      <c r="V491" s="205"/>
      <c r="W491" s="205"/>
      <c r="X491" s="205"/>
      <c r="Y491" s="205"/>
      <c r="Z491" s="205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270.30850989525163</v>
      </c>
      <c r="AO491">
        <v>149.07343053477311</v>
      </c>
      <c r="AP491">
        <v>519.19781902568411</v>
      </c>
      <c r="AQ491">
        <v>837.42148675392639</v>
      </c>
      <c r="AR491">
        <v>139.74368233654471</v>
      </c>
      <c r="AS491">
        <v>1419.8806663514838</v>
      </c>
      <c r="AT491">
        <v>70.627704449591775</v>
      </c>
      <c r="AU491">
        <v>94.905636759424951</v>
      </c>
      <c r="AV491"/>
      <c r="AW491"/>
      <c r="FY491" s="211">
        <v>486</v>
      </c>
      <c r="FZ491">
        <v>103.38027409320667</v>
      </c>
      <c r="GA491">
        <v>145.80464934933318</v>
      </c>
      <c r="GB491">
        <v>49.059773551399836</v>
      </c>
      <c r="GC491">
        <v>41.38687595732133</v>
      </c>
      <c r="GD491">
        <v>46.091220227831336</v>
      </c>
      <c r="GE491">
        <v>77.370701146256962</v>
      </c>
      <c r="GF491">
        <v>98.201068469712226</v>
      </c>
      <c r="GG491">
        <v>61.501017057143173</v>
      </c>
      <c r="GH491">
        <v>44.715322458385401</v>
      </c>
      <c r="GI491">
        <v>87.798831590110197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23.800593842843387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5"/>
      <c r="M492" s="205"/>
      <c r="N492" s="205"/>
      <c r="O492" s="205"/>
      <c r="P492" s="205"/>
      <c r="Q492" s="205"/>
      <c r="R492" s="205"/>
      <c r="S492" s="205"/>
      <c r="T492" s="205"/>
      <c r="U492" s="205"/>
      <c r="V492" s="205"/>
      <c r="W492" s="205"/>
      <c r="X492" s="205"/>
      <c r="Y492" s="205"/>
      <c r="Z492" s="205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267.46461773338223</v>
      </c>
      <c r="AO492">
        <v>133.34762476457649</v>
      </c>
      <c r="AP492">
        <v>573.98362363597494</v>
      </c>
      <c r="AQ492">
        <v>708.03554493116872</v>
      </c>
      <c r="AR492">
        <v>127.1742230652939</v>
      </c>
      <c r="AS492">
        <v>1283.0817811797019</v>
      </c>
      <c r="AT492">
        <v>62.271593743752902</v>
      </c>
      <c r="AU492">
        <v>385.77828782271763</v>
      </c>
      <c r="AV492"/>
      <c r="AW492"/>
      <c r="FY492" s="211">
        <v>487</v>
      </c>
      <c r="FZ492">
        <v>109.67679119466467</v>
      </c>
      <c r="GA492">
        <v>157.7442046984655</v>
      </c>
      <c r="GB492">
        <v>50.146863670373989</v>
      </c>
      <c r="GC492">
        <v>44.069330059556698</v>
      </c>
      <c r="GD492">
        <v>39.777962145380059</v>
      </c>
      <c r="GE492">
        <v>61.97229753737372</v>
      </c>
      <c r="GF492">
        <v>69.098212140779381</v>
      </c>
      <c r="GG492">
        <v>46.222692428975677</v>
      </c>
      <c r="GH492">
        <v>64.271568856103116</v>
      </c>
      <c r="GI492">
        <v>81.497891521699557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25.685619341716023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5"/>
      <c r="M493" s="205"/>
      <c r="N493" s="205"/>
      <c r="O493" s="205"/>
      <c r="P493" s="205"/>
      <c r="Q493" s="205"/>
      <c r="R493" s="205"/>
      <c r="S493" s="205"/>
      <c r="T493" s="205"/>
      <c r="U493" s="205"/>
      <c r="V493" s="205"/>
      <c r="W493" s="205"/>
      <c r="X493" s="205"/>
      <c r="Y493" s="205"/>
      <c r="Z493" s="205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284.74072806660536</v>
      </c>
      <c r="AO493">
        <v>171.29371321671573</v>
      </c>
      <c r="AP493">
        <v>673.10890684375022</v>
      </c>
      <c r="AQ493">
        <v>949.78824660018745</v>
      </c>
      <c r="AR493">
        <v>159.34505429277013</v>
      </c>
      <c r="AS493">
        <v>1604.2784016774392</v>
      </c>
      <c r="AT493">
        <v>82.262974992977334</v>
      </c>
      <c r="AU493">
        <v>188.73500364245609</v>
      </c>
      <c r="AV493"/>
      <c r="AW493"/>
      <c r="FY493" s="211">
        <v>488</v>
      </c>
      <c r="FZ493">
        <v>102.170836805557</v>
      </c>
      <c r="GA493">
        <v>148.64228252674198</v>
      </c>
      <c r="GB493">
        <v>43.444793949290911</v>
      </c>
      <c r="GC493">
        <v>41.639827025424985</v>
      </c>
      <c r="GD493">
        <v>48.936520016058047</v>
      </c>
      <c r="GE493">
        <v>87.102531987451883</v>
      </c>
      <c r="GF493">
        <v>99.104969386837936</v>
      </c>
      <c r="GG493">
        <v>78.474261037893982</v>
      </c>
      <c r="GH493">
        <v>76.25177677769635</v>
      </c>
      <c r="GI493">
        <v>93.18567581657031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27.605910991890546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5"/>
      <c r="M494" s="205"/>
      <c r="N494" s="205"/>
      <c r="O494" s="205"/>
      <c r="P494" s="205"/>
      <c r="Q494" s="205"/>
      <c r="R494" s="205"/>
      <c r="S494" s="205"/>
      <c r="T494" s="205"/>
      <c r="U494" s="205"/>
      <c r="V494" s="205"/>
      <c r="W494" s="205"/>
      <c r="X494" s="205"/>
      <c r="Y494" s="205"/>
      <c r="Z494" s="205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231.76438152221778</v>
      </c>
      <c r="AO494">
        <v>160.86715395962182</v>
      </c>
      <c r="AP494">
        <v>633.39223444926392</v>
      </c>
      <c r="AQ494">
        <v>942.77709567534941</v>
      </c>
      <c r="AR494">
        <v>150.45064118222081</v>
      </c>
      <c r="AS494">
        <v>1450.3265936791429</v>
      </c>
      <c r="AT494">
        <v>74.103760116287916</v>
      </c>
      <c r="AU494">
        <v>101.81740417328064</v>
      </c>
      <c r="AV494"/>
      <c r="AW494"/>
      <c r="FY494" s="211">
        <v>489</v>
      </c>
      <c r="FZ494">
        <v>99.417348749780317</v>
      </c>
      <c r="GA494">
        <v>119.67534077136776</v>
      </c>
      <c r="GB494">
        <v>46.130884505667012</v>
      </c>
      <c r="GC494">
        <v>47.598557093687745</v>
      </c>
      <c r="GD494">
        <v>32.951163636645198</v>
      </c>
      <c r="GE494">
        <v>37.738026417655867</v>
      </c>
      <c r="GF494">
        <v>85.073091664219675</v>
      </c>
      <c r="GG494">
        <v>63.197406018576785</v>
      </c>
      <c r="GH494">
        <v>42.42136164998692</v>
      </c>
      <c r="GI494">
        <v>73.883690310419013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29.669766243653644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5"/>
      <c r="M495" s="205"/>
      <c r="N495" s="205"/>
      <c r="O495" s="205"/>
      <c r="P495" s="205"/>
      <c r="Q495" s="205"/>
      <c r="R495" s="205"/>
      <c r="S495" s="205"/>
      <c r="T495" s="205"/>
      <c r="U495" s="205"/>
      <c r="V495" s="205"/>
      <c r="W495" s="205"/>
      <c r="X495" s="205"/>
      <c r="Y495" s="205"/>
      <c r="Z495" s="205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211.24296929013957</v>
      </c>
      <c r="AO495">
        <v>141.47127256499388</v>
      </c>
      <c r="AP495">
        <v>615.32359672743394</v>
      </c>
      <c r="AQ495">
        <v>832.12450662625849</v>
      </c>
      <c r="AR495">
        <v>134.43048986546842</v>
      </c>
      <c r="AS495">
        <v>1260.8187361505306</v>
      </c>
      <c r="AT495">
        <v>78.478570012850369</v>
      </c>
      <c r="AU495">
        <v>249.26391350583384</v>
      </c>
      <c r="AV495"/>
      <c r="AW495"/>
      <c r="FY495" s="211">
        <v>490</v>
      </c>
      <c r="FZ495">
        <v>120.6826577333716</v>
      </c>
      <c r="GA495">
        <v>152.1961294316807</v>
      </c>
      <c r="GB495">
        <v>42.094093717676664</v>
      </c>
      <c r="GC495">
        <v>39.608669168584903</v>
      </c>
      <c r="GD495">
        <v>46.198510168247026</v>
      </c>
      <c r="GE495">
        <v>86.826816468396856</v>
      </c>
      <c r="GF495">
        <v>72.197221520358738</v>
      </c>
      <c r="GG495">
        <v>29.266429746204835</v>
      </c>
      <c r="GH495">
        <v>34.308190539097708</v>
      </c>
      <c r="GI495">
        <v>79.900485009359642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31.770181582395296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5"/>
      <c r="M496" s="205"/>
      <c r="N496" s="205"/>
      <c r="O496" s="205"/>
      <c r="P496" s="205"/>
      <c r="Q496" s="205"/>
      <c r="R496" s="205"/>
      <c r="S496" s="205"/>
      <c r="T496" s="205"/>
      <c r="U496" s="205"/>
      <c r="V496" s="205"/>
      <c r="W496" s="205"/>
      <c r="X496" s="205"/>
      <c r="Y496" s="205"/>
      <c r="Z496" s="205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304.95293854865611</v>
      </c>
      <c r="AO496">
        <v>163.32204376888822</v>
      </c>
      <c r="AP496">
        <v>548.04348384884918</v>
      </c>
      <c r="AQ496">
        <v>924.27479570313699</v>
      </c>
      <c r="AR496">
        <v>153.92858862187049</v>
      </c>
      <c r="AS496">
        <v>1660.1698920873466</v>
      </c>
      <c r="AT496">
        <v>73.849939277393062</v>
      </c>
      <c r="AU496">
        <v>47.549592113115423</v>
      </c>
      <c r="AV496"/>
      <c r="AW496"/>
      <c r="FY496" s="211">
        <v>491</v>
      </c>
      <c r="FZ496">
        <v>105.80769886478613</v>
      </c>
      <c r="GA496">
        <v>136.99132990454603</v>
      </c>
      <c r="GB496">
        <v>53.004858000586552</v>
      </c>
      <c r="GC496">
        <v>48.246261246350038</v>
      </c>
      <c r="GD496">
        <v>38.453268156738893</v>
      </c>
      <c r="GE496">
        <v>46.283102159012103</v>
      </c>
      <c r="GF496">
        <v>59.75843100715371</v>
      </c>
      <c r="GG496">
        <v>99.036976675360279</v>
      </c>
      <c r="GH496">
        <v>114.04828724644233</v>
      </c>
      <c r="GI496">
        <v>86.467647235886659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34.019291877443351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5"/>
      <c r="M497" s="205"/>
      <c r="N497" s="205"/>
      <c r="O497" s="205"/>
      <c r="P497" s="205"/>
      <c r="Q497" s="205"/>
      <c r="R497" s="205"/>
      <c r="S497" s="205"/>
      <c r="T497" s="205"/>
      <c r="U497" s="205"/>
      <c r="V497" s="205"/>
      <c r="W497" s="205"/>
      <c r="X497" s="205"/>
      <c r="Y497" s="205"/>
      <c r="Z497" s="205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250.1632228676761</v>
      </c>
      <c r="AO497">
        <v>137.8114187608723</v>
      </c>
      <c r="AP497">
        <v>549.19738699652203</v>
      </c>
      <c r="AQ497">
        <v>781.31534804908824</v>
      </c>
      <c r="AR497">
        <v>128.93653702219453</v>
      </c>
      <c r="AS497">
        <v>1533.1587084565465</v>
      </c>
      <c r="AT497">
        <v>67.016724130524395</v>
      </c>
      <c r="AU497">
        <v>147.29738542033022</v>
      </c>
      <c r="AV497"/>
      <c r="AW497"/>
      <c r="FY497" s="211">
        <v>492</v>
      </c>
      <c r="FZ497">
        <v>126.52729273478877</v>
      </c>
      <c r="GA497">
        <v>162.06098957967012</v>
      </c>
      <c r="GB497">
        <v>65.143007130539829</v>
      </c>
      <c r="GC497">
        <v>46.917120054955923</v>
      </c>
      <c r="GD497">
        <v>53.408528955570496</v>
      </c>
      <c r="GE497">
        <v>94.694951460770383</v>
      </c>
      <c r="GF497">
        <v>60.666545790306387</v>
      </c>
      <c r="GG497">
        <v>70.719496924083643</v>
      </c>
      <c r="GH497">
        <v>89.417765785191747</v>
      </c>
      <c r="GI497">
        <v>98.902160908796532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36.306233771921285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5"/>
      <c r="M498" s="205"/>
      <c r="N498" s="205"/>
      <c r="O498" s="205"/>
      <c r="P498" s="205"/>
      <c r="Q498" s="205"/>
      <c r="R498" s="205"/>
      <c r="S498" s="205"/>
      <c r="T498" s="205"/>
      <c r="U498" s="205"/>
      <c r="V498" s="205"/>
      <c r="W498" s="205"/>
      <c r="X498" s="205"/>
      <c r="Y498" s="205"/>
      <c r="Z498" s="205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232.58407786134461</v>
      </c>
      <c r="AO498">
        <v>157.25981240144642</v>
      </c>
      <c r="AP498">
        <v>806.86659919036242</v>
      </c>
      <c r="AQ498">
        <v>867.68144642903235</v>
      </c>
      <c r="AR498">
        <v>146.78978560095067</v>
      </c>
      <c r="AS498">
        <v>1330.0131289607355</v>
      </c>
      <c r="AT498">
        <v>80.711468817478092</v>
      </c>
      <c r="AU498">
        <v>314.68937351050886</v>
      </c>
      <c r="AV498"/>
      <c r="AW498"/>
      <c r="FY498" s="211">
        <v>493</v>
      </c>
      <c r="FZ498">
        <v>136.64925594139072</v>
      </c>
      <c r="GA498">
        <v>168.58903159351988</v>
      </c>
      <c r="GB498">
        <v>65.248976902259102</v>
      </c>
      <c r="GC498">
        <v>42.239822381555328</v>
      </c>
      <c r="GD498">
        <v>38.965894035054241</v>
      </c>
      <c r="GE498">
        <v>87.719027720840529</v>
      </c>
      <c r="GF498">
        <v>130.04930651246784</v>
      </c>
      <c r="GG498">
        <v>116.58105977521815</v>
      </c>
      <c r="GH498">
        <v>108.16325755010058</v>
      </c>
      <c r="GI498">
        <v>110.09986235600563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38.746914998997923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5"/>
      <c r="M499" s="205"/>
      <c r="N499" s="205"/>
      <c r="O499" s="205"/>
      <c r="P499" s="205"/>
      <c r="Q499" s="205"/>
      <c r="R499" s="205"/>
      <c r="S499" s="205"/>
      <c r="T499" s="205"/>
      <c r="U499" s="205"/>
      <c r="V499" s="205"/>
      <c r="W499" s="205"/>
      <c r="X499" s="205"/>
      <c r="Y499" s="205"/>
      <c r="Z499" s="205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219.84521975556248</v>
      </c>
      <c r="AO499">
        <v>121.9370672592587</v>
      </c>
      <c r="AP499">
        <v>457.65702249495337</v>
      </c>
      <c r="AQ499">
        <v>730.01195081205867</v>
      </c>
      <c r="AR499">
        <v>116.90552561030727</v>
      </c>
      <c r="AS499">
        <v>1138.6080881210241</v>
      </c>
      <c r="AT499">
        <v>59.571302184303981</v>
      </c>
      <c r="AU499">
        <v>101.73250906567674</v>
      </c>
      <c r="AV499"/>
      <c r="AW499"/>
      <c r="FY499" s="211">
        <v>494</v>
      </c>
      <c r="FZ499">
        <v>111.72879088490033</v>
      </c>
      <c r="GA499">
        <v>136.24308256002612</v>
      </c>
      <c r="GB499">
        <v>45.279287556350582</v>
      </c>
      <c r="GC499">
        <v>43.738171289887084</v>
      </c>
      <c r="GD499">
        <v>31.233077416363493</v>
      </c>
      <c r="GE499">
        <v>63.578842348430321</v>
      </c>
      <c r="GF499">
        <v>105.4360516412311</v>
      </c>
      <c r="GG499">
        <v>43.100079435952779</v>
      </c>
      <c r="GH499">
        <v>38.854440265763145</v>
      </c>
      <c r="GI499">
        <v>79.058230869175674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41.226678390671516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5"/>
      <c r="M500" s="205"/>
      <c r="N500" s="205"/>
      <c r="O500" s="205"/>
      <c r="P500" s="205"/>
      <c r="Q500" s="205"/>
      <c r="R500" s="205"/>
      <c r="S500" s="205"/>
      <c r="T500" s="205"/>
      <c r="U500" s="205"/>
      <c r="V500" s="205"/>
      <c r="W500" s="205"/>
      <c r="X500" s="205"/>
      <c r="Y500" s="205"/>
      <c r="Z500" s="205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205.81107498523374</v>
      </c>
      <c r="AO500">
        <v>103.61311696489477</v>
      </c>
      <c r="AP500">
        <v>418.30231178464862</v>
      </c>
      <c r="AQ500">
        <v>588.38523143570444</v>
      </c>
      <c r="AR500">
        <v>98.102062965070132</v>
      </c>
      <c r="AS500">
        <v>1007.8389017640109</v>
      </c>
      <c r="AT500">
        <v>48.100173733843093</v>
      </c>
      <c r="AU500">
        <v>233.8515287314321</v>
      </c>
      <c r="AV500"/>
      <c r="AW500"/>
      <c r="FY500" s="211">
        <v>495</v>
      </c>
      <c r="FZ500">
        <v>123.58119274827169</v>
      </c>
      <c r="GA500">
        <v>170.81851790621084</v>
      </c>
      <c r="GB500">
        <v>49.609903040199839</v>
      </c>
      <c r="GC500">
        <v>37.096020270431005</v>
      </c>
      <c r="GD500">
        <v>36.314072782238433</v>
      </c>
      <c r="GE500">
        <v>66.293123767113741</v>
      </c>
      <c r="GF500">
        <v>106.29145916803782</v>
      </c>
      <c r="GG500">
        <v>95.307556207633979</v>
      </c>
      <c r="GH500">
        <v>102.4232603666746</v>
      </c>
      <c r="GI500">
        <v>95.513817809863568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43.865144132683035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5"/>
      <c r="M501" s="205"/>
      <c r="N501" s="205"/>
      <c r="O501" s="205"/>
      <c r="P501" s="205"/>
      <c r="Q501" s="205"/>
      <c r="R501" s="205"/>
      <c r="S501" s="205"/>
      <c r="T501" s="205"/>
      <c r="U501" s="205"/>
      <c r="V501" s="205"/>
      <c r="W501" s="205"/>
      <c r="X501" s="205"/>
      <c r="Y501" s="205"/>
      <c r="Z501" s="205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270.60160748762462</v>
      </c>
      <c r="AO501">
        <v>154.81716967257364</v>
      </c>
      <c r="AP501">
        <v>607.63063788721377</v>
      </c>
      <c r="AQ501">
        <v>808.01127812369236</v>
      </c>
      <c r="AR501">
        <v>149.1774432918867</v>
      </c>
      <c r="AS501">
        <v>1631.7542729629236</v>
      </c>
      <c r="AT501">
        <v>71.889455336510125</v>
      </c>
      <c r="AU501">
        <v>272.84994960966856</v>
      </c>
      <c r="AV501"/>
      <c r="AW501"/>
      <c r="FY501" s="211">
        <v>496</v>
      </c>
      <c r="FZ501">
        <v>140.85542250594543</v>
      </c>
      <c r="GA501">
        <v>181.17006751794349</v>
      </c>
      <c r="GB501">
        <v>53.960364400475413</v>
      </c>
      <c r="GC501">
        <v>44.841262030246277</v>
      </c>
      <c r="GD501">
        <v>39.637047719740224</v>
      </c>
      <c r="GE501">
        <v>78.331620015243388</v>
      </c>
      <c r="GF501">
        <v>127.59987822979726</v>
      </c>
      <c r="GG501">
        <v>83.061354945074669</v>
      </c>
      <c r="GH501">
        <v>59.912831707307525</v>
      </c>
      <c r="GI501">
        <v>99.324022821440721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46.543922971354753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5"/>
      <c r="M502" s="205"/>
      <c r="N502" s="205"/>
      <c r="O502" s="205"/>
      <c r="P502" s="205"/>
      <c r="Q502" s="205"/>
      <c r="R502" s="205"/>
      <c r="S502" s="205"/>
      <c r="T502" s="205"/>
      <c r="U502" s="205"/>
      <c r="V502" s="205"/>
      <c r="W502" s="205"/>
      <c r="X502" s="205"/>
      <c r="Y502" s="205"/>
      <c r="Z502" s="205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237.22696426188116</v>
      </c>
      <c r="AO502">
        <v>139.4628709711522</v>
      </c>
      <c r="AP502">
        <v>575.2539651978891</v>
      </c>
      <c r="AQ502">
        <v>755.30973390070039</v>
      </c>
      <c r="AR502">
        <v>131.92100565393616</v>
      </c>
      <c r="AS502">
        <v>1266.7892847341554</v>
      </c>
      <c r="AT502">
        <v>65.381057525797218</v>
      </c>
      <c r="AU502">
        <v>220.23363158496142</v>
      </c>
      <c r="AV502"/>
      <c r="AW502"/>
      <c r="FY502" s="211">
        <v>497</v>
      </c>
      <c r="FZ502">
        <v>121.72142278673515</v>
      </c>
      <c r="GA502">
        <v>127.53026464229032</v>
      </c>
      <c r="GB502">
        <v>37.97927643250047</v>
      </c>
      <c r="GC502">
        <v>30.425650588575635</v>
      </c>
      <c r="GD502">
        <v>31.603043592682617</v>
      </c>
      <c r="GE502">
        <v>97.21844464489854</v>
      </c>
      <c r="GF502">
        <v>132.73930754544281</v>
      </c>
      <c r="GG502">
        <v>44.875433257346685</v>
      </c>
      <c r="GH502">
        <v>46.602228489158712</v>
      </c>
      <c r="GI502">
        <v>85.860674288779592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49.386290832891866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5"/>
      <c r="M503" s="205"/>
      <c r="N503" s="205"/>
      <c r="O503" s="205"/>
      <c r="P503" s="205"/>
      <c r="Q503" s="205"/>
      <c r="R503" s="205"/>
      <c r="S503" s="205"/>
      <c r="T503" s="205"/>
      <c r="U503" s="205"/>
      <c r="V503" s="205"/>
      <c r="W503" s="205"/>
      <c r="X503" s="205"/>
      <c r="Y503" s="205"/>
      <c r="Z503" s="205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233.17878344118975</v>
      </c>
      <c r="AO503">
        <v>129.22820193785191</v>
      </c>
      <c r="AP503">
        <v>495.70880816126635</v>
      </c>
      <c r="AQ503">
        <v>724.47781425337234</v>
      </c>
      <c r="AR503">
        <v>122.11875861426749</v>
      </c>
      <c r="AS503">
        <v>1218.8346190429215</v>
      </c>
      <c r="AT503">
        <v>64.571662902998469</v>
      </c>
      <c r="AU503">
        <v>117.15279674815764</v>
      </c>
      <c r="AV503"/>
      <c r="AW503"/>
      <c r="FY503" s="211">
        <v>498</v>
      </c>
      <c r="FZ503">
        <v>109.74705355850182</v>
      </c>
      <c r="GA503">
        <v>140.88963639303682</v>
      </c>
      <c r="GB503">
        <v>51.866288880262552</v>
      </c>
      <c r="GC503">
        <v>42.792010370073051</v>
      </c>
      <c r="GD503">
        <v>42.521316502675127</v>
      </c>
      <c r="GE503">
        <v>87.792373747452118</v>
      </c>
      <c r="GF503">
        <v>104.42910733147336</v>
      </c>
      <c r="GG503">
        <v>78.300055909488506</v>
      </c>
      <c r="GH503">
        <v>92.294019733567126</v>
      </c>
      <c r="GI503">
        <v>96.789295752675784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52.27018426662152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5"/>
      <c r="M504" s="205"/>
      <c r="N504" s="205"/>
      <c r="O504" s="205"/>
      <c r="P504" s="205"/>
      <c r="Q504" s="205"/>
      <c r="R504" s="205"/>
      <c r="S504" s="205"/>
      <c r="T504" s="205"/>
      <c r="U504" s="205"/>
      <c r="V504" s="205"/>
      <c r="W504" s="205"/>
      <c r="X504" s="205"/>
      <c r="Y504" s="205"/>
      <c r="Z504" s="205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280.97277247883727</v>
      </c>
      <c r="AO504">
        <v>149.89223308281365</v>
      </c>
      <c r="AP504">
        <v>552.27913324492533</v>
      </c>
      <c r="AQ504">
        <v>818.95347532952337</v>
      </c>
      <c r="AR504">
        <v>139.6803302889177</v>
      </c>
      <c r="AS504">
        <v>1371.8500146860961</v>
      </c>
      <c r="AT504">
        <v>70.140668350126447</v>
      </c>
      <c r="AU504">
        <v>89.214391493189027</v>
      </c>
      <c r="AV504"/>
      <c r="AW504"/>
      <c r="FY504" s="211">
        <v>499</v>
      </c>
      <c r="FZ504">
        <v>106.95458202430606</v>
      </c>
      <c r="GA504">
        <v>148.80090387411607</v>
      </c>
      <c r="GB504">
        <v>75.628170671169386</v>
      </c>
      <c r="GC504">
        <v>46.90730699484925</v>
      </c>
      <c r="GD504">
        <v>27.150448969751736</v>
      </c>
      <c r="GE504">
        <v>59.205579891033722</v>
      </c>
      <c r="GF504">
        <v>93.167227046849561</v>
      </c>
      <c r="GG504">
        <v>37.623806713200445</v>
      </c>
      <c r="GH504">
        <v>41.501238513481887</v>
      </c>
      <c r="GI504">
        <v>80.85915689750567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55.322481546779947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5"/>
      <c r="M505" s="205"/>
      <c r="N505" s="205"/>
      <c r="O505" s="205"/>
      <c r="P505" s="205"/>
      <c r="Q505" s="205"/>
      <c r="R505" s="205"/>
      <c r="S505" s="205"/>
      <c r="T505" s="205"/>
      <c r="U505" s="205"/>
      <c r="V505" s="205"/>
      <c r="W505" s="205"/>
      <c r="X505" s="205"/>
      <c r="Y505" s="205"/>
      <c r="Z505" s="205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206.18159938991158</v>
      </c>
      <c r="AO505">
        <v>116.61447886229962</v>
      </c>
      <c r="AP505">
        <v>565.16934213751938</v>
      </c>
      <c r="AQ505">
        <v>648.08687081800622</v>
      </c>
      <c r="AR505">
        <v>111.40768351461918</v>
      </c>
      <c r="AS505">
        <v>1121.2040314512335</v>
      </c>
      <c r="AT505">
        <v>55.999398781658954</v>
      </c>
      <c r="AU505">
        <v>215.52902897281194</v>
      </c>
      <c r="AV505"/>
      <c r="AW505"/>
      <c r="FY505" s="211">
        <v>500</v>
      </c>
      <c r="FZ505">
        <v>145.6869378580738</v>
      </c>
      <c r="GA505">
        <v>154.78297322587761</v>
      </c>
      <c r="GB505">
        <v>42.379216148602801</v>
      </c>
      <c r="GC505">
        <v>36.622691304239893</v>
      </c>
      <c r="GD505">
        <v>29.693128367772708</v>
      </c>
      <c r="GE505">
        <v>42.37840552066973</v>
      </c>
      <c r="GF505">
        <v>64.138254654474792</v>
      </c>
      <c r="GG505">
        <v>43.130771858225138</v>
      </c>
      <c r="GH505">
        <v>47.590904401818349</v>
      </c>
      <c r="GI505">
        <v>73.128503361507683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58.417499476770701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5"/>
      <c r="M506" s="205"/>
      <c r="N506" s="205"/>
      <c r="O506" s="205"/>
      <c r="P506" s="205"/>
      <c r="Q506" s="205"/>
      <c r="R506" s="205"/>
      <c r="S506" s="205"/>
      <c r="T506" s="205"/>
      <c r="U506" s="205"/>
      <c r="V506" s="205"/>
      <c r="W506" s="205"/>
      <c r="X506" s="205"/>
      <c r="Y506" s="205"/>
      <c r="Z506" s="205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252.36306420111117</v>
      </c>
      <c r="AO506">
        <v>127.59277893887993</v>
      </c>
      <c r="AP506">
        <v>495.33881760407394</v>
      </c>
      <c r="AQ506">
        <v>703.2792035029787</v>
      </c>
      <c r="AR506">
        <v>119.50087179174814</v>
      </c>
      <c r="AS506">
        <v>1262.5358377635864</v>
      </c>
      <c r="AT506">
        <v>58.031886883685019</v>
      </c>
      <c r="AU506">
        <v>41.958356127062103</v>
      </c>
      <c r="AV506"/>
      <c r="AW506"/>
      <c r="FY506" s="211">
        <v>501</v>
      </c>
      <c r="FZ506">
        <v>152.6755936039454</v>
      </c>
      <c r="GA506">
        <v>187.67070282032873</v>
      </c>
      <c r="GB506">
        <v>57.196644762669003</v>
      </c>
      <c r="GC506">
        <v>36.823623096294753</v>
      </c>
      <c r="GD506">
        <v>28.520609342010566</v>
      </c>
      <c r="GE506">
        <v>46.891751829947353</v>
      </c>
      <c r="GF506">
        <v>92.392780674108963</v>
      </c>
      <c r="GG506">
        <v>88.372908189563958</v>
      </c>
      <c r="GH506">
        <v>66.407816509902105</v>
      </c>
      <c r="GI506">
        <v>87.083549068500346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61.685668279953298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5"/>
      <c r="M507" s="205"/>
      <c r="N507" s="205"/>
      <c r="O507" s="205"/>
      <c r="P507" s="205"/>
      <c r="Q507" s="205"/>
      <c r="R507" s="205"/>
      <c r="S507" s="205"/>
      <c r="T507" s="205"/>
      <c r="U507" s="205"/>
      <c r="V507" s="205"/>
      <c r="W507" s="205"/>
      <c r="X507" s="205"/>
      <c r="Y507" s="205"/>
      <c r="Z507" s="205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232.39943529006183</v>
      </c>
      <c r="AO507">
        <v>138.90325186773327</v>
      </c>
      <c r="AP507">
        <v>650.44448024439839</v>
      </c>
      <c r="AQ507">
        <v>788.09786049686272</v>
      </c>
      <c r="AR507">
        <v>130.56645817590558</v>
      </c>
      <c r="AS507">
        <v>1313.0345494435458</v>
      </c>
      <c r="AT507">
        <v>72.831606110820516</v>
      </c>
      <c r="AU507">
        <v>103.56096894798114</v>
      </c>
      <c r="AV507"/>
      <c r="AW507"/>
      <c r="FY507" s="211">
        <v>502</v>
      </c>
      <c r="FZ507">
        <v>142.69850116728705</v>
      </c>
      <c r="GA507">
        <v>168.6472916255135</v>
      </c>
      <c r="GB507">
        <v>47.308792318766095</v>
      </c>
      <c r="GC507">
        <v>46.10967328142484</v>
      </c>
      <c r="GD507">
        <v>49.783322649601793</v>
      </c>
      <c r="GE507">
        <v>93.510432695364088</v>
      </c>
      <c r="GF507">
        <v>112.72881848883674</v>
      </c>
      <c r="GG507">
        <v>110.5868770514643</v>
      </c>
      <c r="GH507">
        <v>120.73564387286578</v>
      </c>
      <c r="GI507">
        <v>109.89855757858962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64.99773636959101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5"/>
      <c r="M508" s="205"/>
      <c r="N508" s="205"/>
      <c r="O508" s="205"/>
      <c r="P508" s="205"/>
      <c r="Q508" s="205"/>
      <c r="R508" s="205"/>
      <c r="S508" s="205"/>
      <c r="T508" s="205"/>
      <c r="U508" s="205"/>
      <c r="V508" s="205"/>
      <c r="W508" s="205"/>
      <c r="X508" s="205"/>
      <c r="Y508" s="205"/>
      <c r="Z508" s="205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283.52067083966023</v>
      </c>
      <c r="AO508">
        <v>159.04679434619641</v>
      </c>
      <c r="AP508">
        <v>658.75729036060557</v>
      </c>
      <c r="AQ508">
        <v>868.45785932467379</v>
      </c>
      <c r="AR508">
        <v>148.90564620487677</v>
      </c>
      <c r="AS508">
        <v>1537.0162496504281</v>
      </c>
      <c r="AT508">
        <v>76.233650983069822</v>
      </c>
      <c r="AU508">
        <v>274.18232736028136</v>
      </c>
      <c r="AV508"/>
      <c r="AW508"/>
      <c r="FY508" s="211">
        <v>503</v>
      </c>
      <c r="FZ508">
        <v>125.63825072896722</v>
      </c>
      <c r="GA508">
        <v>158.76830276068125</v>
      </c>
      <c r="GB508">
        <v>47.839856094770589</v>
      </c>
      <c r="GC508">
        <v>42.896123208449886</v>
      </c>
      <c r="GD508">
        <v>37.084639418395355</v>
      </c>
      <c r="GE508">
        <v>67.971741372825591</v>
      </c>
      <c r="GF508">
        <v>84.889241198025147</v>
      </c>
      <c r="GG508">
        <v>59.486049968166682</v>
      </c>
      <c r="GH508">
        <v>57.402230937126433</v>
      </c>
      <c r="GI508">
        <v>83.673275456542996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68.487638230609974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5"/>
      <c r="M509" s="205"/>
      <c r="N509" s="205"/>
      <c r="O509" s="205"/>
      <c r="P509" s="205"/>
      <c r="Q509" s="205"/>
      <c r="R509" s="205"/>
      <c r="S509" s="205"/>
      <c r="T509" s="205"/>
      <c r="U509" s="205"/>
      <c r="V509" s="205"/>
      <c r="W509" s="205"/>
      <c r="X509" s="205"/>
      <c r="Y509" s="205"/>
      <c r="Z509" s="205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271.4887090198701</v>
      </c>
      <c r="AO509">
        <v>178.11307722512271</v>
      </c>
      <c r="AP509">
        <v>691.68427773692747</v>
      </c>
      <c r="AQ509">
        <v>1004.3054947684118</v>
      </c>
      <c r="AR509">
        <v>167.89980609302819</v>
      </c>
      <c r="AS509">
        <v>1806.6629596038765</v>
      </c>
      <c r="AT509">
        <v>90.872649207530074</v>
      </c>
      <c r="AU509">
        <v>328.12963050088467</v>
      </c>
      <c r="AV509"/>
      <c r="AW509"/>
      <c r="FY509" s="211">
        <v>504</v>
      </c>
      <c r="FZ509">
        <v>83.759347137044088</v>
      </c>
      <c r="GA509">
        <v>102.89029103934654</v>
      </c>
      <c r="GB509">
        <v>45.907033734712748</v>
      </c>
      <c r="GC509">
        <v>47.502454994380827</v>
      </c>
      <c r="GD509">
        <v>32.615317639970741</v>
      </c>
      <c r="GE509">
        <v>54.488893185857847</v>
      </c>
      <c r="GF509">
        <v>122.19141017681177</v>
      </c>
      <c r="GG509">
        <v>110.09055922584008</v>
      </c>
      <c r="GH509">
        <v>99.00580935558321</v>
      </c>
      <c r="GI509">
        <v>89.115386774472384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72.022602442207798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5"/>
      <c r="M510" s="205"/>
      <c r="N510" s="205"/>
      <c r="O510" s="205"/>
      <c r="P510" s="205"/>
      <c r="Q510" s="205"/>
      <c r="R510" s="205"/>
      <c r="S510" s="205"/>
      <c r="T510" s="205"/>
      <c r="U510" s="205"/>
      <c r="V510" s="205"/>
      <c r="W510" s="205"/>
      <c r="X510" s="205"/>
      <c r="Y510" s="205"/>
      <c r="Z510" s="205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235.46090998721903</v>
      </c>
      <c r="AO510">
        <v>126.05109051967175</v>
      </c>
      <c r="AP510">
        <v>556.19582218992025</v>
      </c>
      <c r="AQ510">
        <v>698.2500542680807</v>
      </c>
      <c r="AR510">
        <v>119.00792570167354</v>
      </c>
      <c r="AS510">
        <v>1257.2040366088279</v>
      </c>
      <c r="AT510">
        <v>57.267979711139759</v>
      </c>
      <c r="AU510">
        <v>94.301214660798948</v>
      </c>
      <c r="AV510"/>
      <c r="AW510"/>
      <c r="FY510" s="211">
        <v>505</v>
      </c>
      <c r="FZ510">
        <v>110.22641848541477</v>
      </c>
      <c r="GA510">
        <v>134.42895992060943</v>
      </c>
      <c r="GB510">
        <v>39.661046879009533</v>
      </c>
      <c r="GC510">
        <v>42.729524551045571</v>
      </c>
      <c r="GD510">
        <v>39.595741793602471</v>
      </c>
      <c r="GE510">
        <v>65.70535617817707</v>
      </c>
      <c r="GF510">
        <v>84.963027990867957</v>
      </c>
      <c r="GG510">
        <v>55.995850678007258</v>
      </c>
      <c r="GH510">
        <v>57.621994770346404</v>
      </c>
      <c r="GI510">
        <v>80.475550944358417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75.740022529057185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5"/>
      <c r="M511" s="205"/>
      <c r="N511" s="205"/>
      <c r="O511" s="205"/>
      <c r="P511" s="205"/>
      <c r="Q511" s="205"/>
      <c r="R511" s="205"/>
      <c r="S511" s="205"/>
      <c r="T511" s="205"/>
      <c r="U511" s="205"/>
      <c r="V511" s="205"/>
      <c r="W511" s="205"/>
      <c r="X511" s="205"/>
      <c r="Y511" s="205"/>
      <c r="Z511" s="205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272.09241481327047</v>
      </c>
      <c r="AO511">
        <v>152.10246995229713</v>
      </c>
      <c r="AP511">
        <v>643.66871371961292</v>
      </c>
      <c r="AQ511">
        <v>883.2489240666755</v>
      </c>
      <c r="AR511">
        <v>144.65671216106915</v>
      </c>
      <c r="AS511">
        <v>1413.4246713798664</v>
      </c>
      <c r="AT511">
        <v>73.304223883802095</v>
      </c>
      <c r="AU511">
        <v>15.975784034930797</v>
      </c>
      <c r="AV511"/>
      <c r="AW511"/>
      <c r="FY511" s="211">
        <v>506</v>
      </c>
      <c r="FZ511">
        <v>106.09378107598674</v>
      </c>
      <c r="GA511">
        <v>120.60214105077029</v>
      </c>
      <c r="GB511">
        <v>34.343639545186633</v>
      </c>
      <c r="GC511">
        <v>33.51673931041875</v>
      </c>
      <c r="GD511">
        <v>25.37773656084892</v>
      </c>
      <c r="GE511">
        <v>67.639819451444424</v>
      </c>
      <c r="GF511">
        <v>133.70638641870764</v>
      </c>
      <c r="GG511">
        <v>58.130370895643502</v>
      </c>
      <c r="GH511">
        <v>44.598989711488642</v>
      </c>
      <c r="GI511">
        <v>78.93426408165945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79.503653249471597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5"/>
      <c r="M512" s="205"/>
      <c r="N512" s="205"/>
      <c r="O512" s="205"/>
      <c r="P512" s="205"/>
      <c r="Q512" s="205"/>
      <c r="R512" s="205"/>
      <c r="S512" s="205"/>
      <c r="T512" s="205"/>
      <c r="U512" s="205"/>
      <c r="V512" s="205"/>
      <c r="W512" s="205"/>
      <c r="X512" s="205"/>
      <c r="Y512" s="205"/>
      <c r="Z512" s="205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285.45117623060173</v>
      </c>
      <c r="AO512">
        <v>160.85719293971377</v>
      </c>
      <c r="AP512">
        <v>672.78118749997384</v>
      </c>
      <c r="AQ512">
        <v>908.69387189321435</v>
      </c>
      <c r="AR512">
        <v>150.72711855515902</v>
      </c>
      <c r="AS512">
        <v>1621.414691867122</v>
      </c>
      <c r="AT512">
        <v>72.633581582751177</v>
      </c>
      <c r="AU512">
        <v>292.54089927289925</v>
      </c>
      <c r="AV512"/>
      <c r="AW512"/>
      <c r="FY512" s="211">
        <v>507</v>
      </c>
      <c r="FZ512">
        <v>121.01050011925739</v>
      </c>
      <c r="GA512">
        <v>190.12308106096299</v>
      </c>
      <c r="GB512">
        <v>67.540795586889857</v>
      </c>
      <c r="GC512">
        <v>48.663564242009492</v>
      </c>
      <c r="GD512">
        <v>54.097349453659973</v>
      </c>
      <c r="GE512">
        <v>84.379404933419508</v>
      </c>
      <c r="GF512">
        <v>69.001630636284702</v>
      </c>
      <c r="GG512">
        <v>36.696659112379891</v>
      </c>
      <c r="GH512">
        <v>49.158088678830879</v>
      </c>
      <c r="GI512">
        <v>95.042205077393106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83.454304196797253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5"/>
      <c r="M513" s="205"/>
      <c r="N513" s="205"/>
      <c r="O513" s="205"/>
      <c r="P513" s="205"/>
      <c r="Q513" s="205"/>
      <c r="R513" s="205"/>
      <c r="S513" s="205"/>
      <c r="T513" s="205"/>
      <c r="U513" s="205"/>
      <c r="V513" s="205"/>
      <c r="W513" s="205"/>
      <c r="X513" s="205"/>
      <c r="Y513" s="205"/>
      <c r="Z513" s="205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235.87372715805026</v>
      </c>
      <c r="AO513">
        <v>135.86253921954105</v>
      </c>
      <c r="AP513">
        <v>525.05212368172874</v>
      </c>
      <c r="AQ513">
        <v>756.55574626841053</v>
      </c>
      <c r="AR513">
        <v>129.83849624320843</v>
      </c>
      <c r="AS513">
        <v>1399.7489319290976</v>
      </c>
      <c r="AT513">
        <v>61.048132420583251</v>
      </c>
      <c r="AU513">
        <v>156.45766400213259</v>
      </c>
      <c r="AV513"/>
      <c r="AW513"/>
      <c r="FY513" s="211">
        <v>508</v>
      </c>
      <c r="FZ513">
        <v>127.95803242600876</v>
      </c>
      <c r="GA513">
        <v>164.05665693595824</v>
      </c>
      <c r="GB513">
        <v>52.561109533999165</v>
      </c>
      <c r="GC513">
        <v>40.624688315180855</v>
      </c>
      <c r="GD513">
        <v>35.779822827534609</v>
      </c>
      <c r="GE513">
        <v>39.505381112757732</v>
      </c>
      <c r="GF513">
        <v>57.124184160886315</v>
      </c>
      <c r="GG513">
        <v>67.112239004916532</v>
      </c>
      <c r="GH513">
        <v>66.078941503871803</v>
      </c>
      <c r="GI513">
        <v>79.125203757564165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87.452300003164524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5"/>
      <c r="M514" s="205"/>
      <c r="N514" s="205"/>
      <c r="O514" s="205"/>
      <c r="P514" s="205"/>
      <c r="Q514" s="205"/>
      <c r="R514" s="205"/>
      <c r="S514" s="205"/>
      <c r="T514" s="205"/>
      <c r="U514" s="205"/>
      <c r="V514" s="205"/>
      <c r="W514" s="205"/>
      <c r="X514" s="205"/>
      <c r="Y514" s="205"/>
      <c r="Z514" s="205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259.70265506462067</v>
      </c>
      <c r="AO514">
        <v>155.45865399513349</v>
      </c>
      <c r="AP514">
        <v>725.12768106056615</v>
      </c>
      <c r="AQ514">
        <v>847.42115817920626</v>
      </c>
      <c r="AR514">
        <v>146.51063454214159</v>
      </c>
      <c r="AS514">
        <v>1297.3945792737875</v>
      </c>
      <c r="AT514">
        <v>76.677768410085818</v>
      </c>
      <c r="AU514">
        <v>256.35704253480526</v>
      </c>
      <c r="AV514"/>
      <c r="AW514"/>
      <c r="FY514" s="211">
        <v>509</v>
      </c>
      <c r="FZ514">
        <v>82.08349555152104</v>
      </c>
      <c r="GA514">
        <v>129.36454607665701</v>
      </c>
      <c r="GB514">
        <v>59.404644398321508</v>
      </c>
      <c r="GC514">
        <v>44.495359657215879</v>
      </c>
      <c r="GD514">
        <v>28.43892828996637</v>
      </c>
      <c r="GE514">
        <v>38.229225332028761</v>
      </c>
      <c r="GF514">
        <v>68.041948233562891</v>
      </c>
      <c r="GG514">
        <v>40.874025182538162</v>
      </c>
      <c r="GH514">
        <v>32.897813162507802</v>
      </c>
      <c r="GI514">
        <v>66.041105131682954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91.64182542111466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5"/>
      <c r="M515" s="205"/>
      <c r="N515" s="205"/>
      <c r="O515" s="205"/>
      <c r="P515" s="205"/>
      <c r="Q515" s="205"/>
      <c r="R515" s="205"/>
      <c r="S515" s="205"/>
      <c r="T515" s="205"/>
      <c r="U515" s="205"/>
      <c r="V515" s="205"/>
      <c r="W515" s="205"/>
      <c r="X515" s="205"/>
      <c r="Y515" s="205"/>
      <c r="Z515" s="205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241.54558902577173</v>
      </c>
      <c r="AO515">
        <v>127.06324441663006</v>
      </c>
      <c r="AP515">
        <v>354.55059117090116</v>
      </c>
      <c r="AQ515">
        <v>717.79842159626378</v>
      </c>
      <c r="AR515">
        <v>121.3353310188005</v>
      </c>
      <c r="AS515">
        <v>1238.2756883497107</v>
      </c>
      <c r="AT515">
        <v>55.963453862492152</v>
      </c>
      <c r="AU515">
        <v>-7.6658717806595291</v>
      </c>
      <c r="AV515"/>
      <c r="AW515"/>
      <c r="FY515" s="211">
        <v>510</v>
      </c>
      <c r="FZ515">
        <v>103.07961322093715</v>
      </c>
      <c r="GA515">
        <v>145.78544628842121</v>
      </c>
      <c r="GB515">
        <v>54.655171407777495</v>
      </c>
      <c r="GC515">
        <v>49.159690147089584</v>
      </c>
      <c r="GD515">
        <v>32.801467137921868</v>
      </c>
      <c r="GE515">
        <v>54.234392526159837</v>
      </c>
      <c r="GF515">
        <v>107.78785905143927</v>
      </c>
      <c r="GG515">
        <v>58.277337037582448</v>
      </c>
      <c r="GH515">
        <v>34.470799215894061</v>
      </c>
      <c r="GI515">
        <v>80.516942074113231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95.87981652994948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5"/>
      <c r="M516" s="205"/>
      <c r="N516" s="205"/>
      <c r="O516" s="205"/>
      <c r="P516" s="205"/>
      <c r="Q516" s="205"/>
      <c r="R516" s="205"/>
      <c r="S516" s="205"/>
      <c r="T516" s="205"/>
      <c r="U516" s="205"/>
      <c r="V516" s="205"/>
      <c r="W516" s="205"/>
      <c r="X516" s="205"/>
      <c r="Y516" s="205"/>
      <c r="Z516" s="205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238.26285476490312</v>
      </c>
      <c r="AO516">
        <v>111.31519749750487</v>
      </c>
      <c r="AP516">
        <v>469.32169235186939</v>
      </c>
      <c r="AQ516">
        <v>679.53178670126238</v>
      </c>
      <c r="AR516">
        <v>108.63248908874617</v>
      </c>
      <c r="AS516">
        <v>1187.6187353353153</v>
      </c>
      <c r="AT516">
        <v>57.647549614462271</v>
      </c>
      <c r="AU516">
        <v>132.58833092057176</v>
      </c>
      <c r="AV516"/>
      <c r="AW516"/>
      <c r="FY516" s="211">
        <v>511</v>
      </c>
      <c r="FZ516">
        <v>124.83172766248744</v>
      </c>
      <c r="GA516">
        <v>172.64973940740566</v>
      </c>
      <c r="GB516">
        <v>60.737010104669835</v>
      </c>
      <c r="GC516">
        <v>43.095956692933562</v>
      </c>
      <c r="GD516">
        <v>48.844379033398653</v>
      </c>
      <c r="GE516">
        <v>70.928217544596308</v>
      </c>
      <c r="GF516">
        <v>44.29926722522891</v>
      </c>
      <c r="GG516">
        <v>39.371693093460607</v>
      </c>
      <c r="GH516">
        <v>36.856081742896805</v>
      </c>
      <c r="GI516">
        <v>81.854645492309245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100.31379422630621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5"/>
      <c r="M517" s="205"/>
      <c r="N517" s="205"/>
      <c r="O517" s="205"/>
      <c r="P517" s="205"/>
      <c r="Q517" s="205"/>
      <c r="R517" s="205"/>
      <c r="S517" s="205"/>
      <c r="T517" s="205"/>
      <c r="U517" s="205"/>
      <c r="V517" s="205"/>
      <c r="W517" s="205"/>
      <c r="X517" s="205"/>
      <c r="Y517" s="205"/>
      <c r="Z517" s="205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234.30030473200168</v>
      </c>
      <c r="AO517">
        <v>139.16360792265567</v>
      </c>
      <c r="AP517">
        <v>541.17397383426044</v>
      </c>
      <c r="AQ517">
        <v>844.0359798972712</v>
      </c>
      <c r="AR517">
        <v>132.39133398327775</v>
      </c>
      <c r="AS517">
        <v>1424.108518384787</v>
      </c>
      <c r="AT517">
        <v>65.69259004766127</v>
      </c>
      <c r="AU517">
        <v>180.31733941444685</v>
      </c>
      <c r="AV517"/>
      <c r="AW517"/>
      <c r="FY517" s="211">
        <v>512</v>
      </c>
      <c r="FZ517">
        <v>140.02138054298348</v>
      </c>
      <c r="GA517">
        <v>183.4609835423644</v>
      </c>
      <c r="GB517">
        <v>61.042237575121554</v>
      </c>
      <c r="GC517">
        <v>49.744887447498009</v>
      </c>
      <c r="GD517">
        <v>47.174607621585892</v>
      </c>
      <c r="GE517">
        <v>126.60103852513947</v>
      </c>
      <c r="GF517">
        <v>177.06748584614675</v>
      </c>
      <c r="GG517">
        <v>92.688395380948165</v>
      </c>
      <c r="GH517">
        <v>105.83521903034421</v>
      </c>
      <c r="GI517">
        <v>126.46708647270614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100.31379422630621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5"/>
      <c r="M518" s="205"/>
      <c r="N518" s="205"/>
      <c r="O518" s="205"/>
      <c r="P518" s="205"/>
      <c r="Q518" s="205"/>
      <c r="R518" s="205"/>
      <c r="S518" s="205"/>
      <c r="T518" s="205"/>
      <c r="U518" s="205"/>
      <c r="V518" s="205"/>
      <c r="W518" s="205"/>
      <c r="X518" s="205"/>
      <c r="Y518" s="205"/>
      <c r="Z518" s="205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283.47383920920765</v>
      </c>
      <c r="AO518">
        <v>176.08900597356225</v>
      </c>
      <c r="AP518">
        <v>793.29724665447486</v>
      </c>
      <c r="AQ518">
        <v>1002.0079107297138</v>
      </c>
      <c r="AR518">
        <v>165.45899650330816</v>
      </c>
      <c r="AS518">
        <v>1706.3196983105627</v>
      </c>
      <c r="AT518">
        <v>96.194182676912703</v>
      </c>
      <c r="AU518">
        <v>135.01976988224115</v>
      </c>
      <c r="AV518"/>
      <c r="AW518"/>
      <c r="FY518" s="211">
        <v>513</v>
      </c>
      <c r="FZ518">
        <v>121.31749679900813</v>
      </c>
      <c r="GA518">
        <v>120.77629043687605</v>
      </c>
      <c r="GB518">
        <v>46.292200114026329</v>
      </c>
      <c r="GC518">
        <v>50.488851319909649</v>
      </c>
      <c r="GD518">
        <v>35.26358477371754</v>
      </c>
      <c r="GE518">
        <v>75.215627096250927</v>
      </c>
      <c r="GF518">
        <v>100.85980637057627</v>
      </c>
      <c r="GG518">
        <v>92.46226028598528</v>
      </c>
      <c r="GH518">
        <v>133.04167627607671</v>
      </c>
      <c r="GI518">
        <v>98.610409655228977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5"/>
      <c r="M519" s="205"/>
      <c r="N519" s="205"/>
      <c r="O519" s="205"/>
      <c r="P519" s="205"/>
      <c r="Q519" s="205"/>
      <c r="R519" s="205"/>
      <c r="S519" s="205"/>
      <c r="T519" s="205"/>
      <c r="U519" s="205"/>
      <c r="V519" s="205"/>
      <c r="W519" s="205"/>
      <c r="X519" s="205"/>
      <c r="Y519" s="205"/>
      <c r="Z519" s="205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228.31334050715469</v>
      </c>
      <c r="AO519">
        <v>136.90209084347765</v>
      </c>
      <c r="AP519">
        <v>604.84731655476298</v>
      </c>
      <c r="AQ519">
        <v>765.64971114395109</v>
      </c>
      <c r="AR519">
        <v>127.05010013587143</v>
      </c>
      <c r="AS519">
        <v>1174.6232755924709</v>
      </c>
      <c r="AT519">
        <v>67.110837246498079</v>
      </c>
      <c r="AU519">
        <v>225.67790486498919</v>
      </c>
      <c r="AV519"/>
      <c r="AW519"/>
      <c r="FY519" s="211">
        <v>514</v>
      </c>
      <c r="FZ519">
        <v>121.70022220946831</v>
      </c>
      <c r="GA519">
        <v>175.2780316478563</v>
      </c>
      <c r="GB519">
        <v>57.20235920203001</v>
      </c>
      <c r="GC519">
        <v>47.198473590631963</v>
      </c>
      <c r="GD519">
        <v>48.055190755408034</v>
      </c>
      <c r="GE519">
        <v>87.160246795106389</v>
      </c>
      <c r="GF519">
        <v>77.964033288144762</v>
      </c>
      <c r="GG519">
        <v>33.164175748749585</v>
      </c>
      <c r="GH519">
        <v>36.523091660571616</v>
      </c>
      <c r="GI519">
        <v>86.596505459309498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132.49083656795773</v>
      </c>
      <c r="H520" s="63" t="s">
        <v>30</v>
      </c>
      <c r="I520" s="101">
        <f>SUM(K458:K518)</f>
        <v>674.11181368218308</v>
      </c>
      <c r="J520" s="63"/>
      <c r="K520" s="19"/>
      <c r="L520" s="205"/>
      <c r="M520" s="205"/>
      <c r="N520" s="205"/>
      <c r="O520" s="205"/>
      <c r="P520" s="205"/>
      <c r="Q520" s="205"/>
      <c r="R520" s="205"/>
      <c r="S520" s="205"/>
      <c r="T520" s="205"/>
      <c r="U520" s="205"/>
      <c r="V520" s="205"/>
      <c r="W520" s="205"/>
      <c r="X520" s="205"/>
      <c r="Y520" s="205"/>
      <c r="Z520" s="205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238.15959772206665</v>
      </c>
      <c r="AO520">
        <v>143.27889826788928</v>
      </c>
      <c r="AP520">
        <v>561.23551577662522</v>
      </c>
      <c r="AQ520">
        <v>787.56650326402018</v>
      </c>
      <c r="AR520">
        <v>135.10362934062658</v>
      </c>
      <c r="AS520">
        <v>1308.4788378556041</v>
      </c>
      <c r="AT520">
        <v>69.640748422265105</v>
      </c>
      <c r="AU520">
        <v>190.78038401172003</v>
      </c>
      <c r="AV520"/>
      <c r="AW520"/>
      <c r="FY520" s="211">
        <v>515</v>
      </c>
      <c r="FZ520">
        <v>96.04880011632676</v>
      </c>
      <c r="GA520">
        <v>143.40636261248113</v>
      </c>
      <c r="GB520">
        <v>55.367595797291465</v>
      </c>
      <c r="GC520">
        <v>40.391304052015499</v>
      </c>
      <c r="GD520">
        <v>41.585000522393536</v>
      </c>
      <c r="GE520">
        <v>92.122852632441408</v>
      </c>
      <c r="GF520">
        <v>101.23281233393826</v>
      </c>
      <c r="GG520">
        <v>73.04914107566789</v>
      </c>
      <c r="GH520">
        <v>88.766648160548556</v>
      </c>
      <c r="GI520">
        <v>93.437096112502175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5"/>
      <c r="M521" s="205"/>
      <c r="N521" s="205"/>
      <c r="O521" s="205"/>
      <c r="P521" s="205"/>
      <c r="Q521" s="205"/>
      <c r="R521" s="205"/>
      <c r="S521" s="205"/>
      <c r="T521" s="205"/>
      <c r="U521" s="205"/>
      <c r="V521" s="205"/>
      <c r="W521" s="205"/>
      <c r="X521" s="205"/>
      <c r="Y521" s="205"/>
      <c r="Z521" s="205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261.709923137744</v>
      </c>
      <c r="AO521">
        <v>127.97266356171784</v>
      </c>
      <c r="AP521">
        <v>586.066636756094</v>
      </c>
      <c r="AQ521">
        <v>711.40347219143905</v>
      </c>
      <c r="AR521">
        <v>120.44932251650303</v>
      </c>
      <c r="AS521">
        <v>1327.9922220683529</v>
      </c>
      <c r="AT521">
        <v>61.258720458969101</v>
      </c>
      <c r="AU521">
        <v>36.924561633416715</v>
      </c>
      <c r="AV521"/>
      <c r="AW521"/>
      <c r="FY521" s="211">
        <v>516</v>
      </c>
      <c r="FZ521">
        <v>133.06147702399554</v>
      </c>
      <c r="GA521">
        <v>170.09736289572302</v>
      </c>
      <c r="GB521">
        <v>42.766646015415276</v>
      </c>
      <c r="GC521">
        <v>42.291968248308976</v>
      </c>
      <c r="GD521">
        <v>32.273013573886843</v>
      </c>
      <c r="GE521">
        <v>44.852961115152283</v>
      </c>
      <c r="GF521">
        <v>102.29505406286201</v>
      </c>
      <c r="GG521">
        <v>98.257083183066101</v>
      </c>
      <c r="GH521">
        <v>86.676700108412859</v>
      </c>
      <c r="GI521">
        <v>88.803326283301615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5.0879882046515341</v>
      </c>
      <c r="G522" s="63"/>
      <c r="H522" s="63" t="s">
        <v>101</v>
      </c>
      <c r="I522">
        <v>169.82888793945312</v>
      </c>
      <c r="J522" s="19"/>
      <c r="K522" s="19"/>
      <c r="L522" s="205"/>
      <c r="M522" s="205"/>
      <c r="N522" s="205"/>
      <c r="O522" s="205"/>
      <c r="P522" s="205"/>
      <c r="Q522" s="205"/>
      <c r="R522" s="205"/>
      <c r="S522" s="205"/>
      <c r="T522">
        <v>0</v>
      </c>
      <c r="U522" s="205"/>
      <c r="V522" s="205"/>
      <c r="W522" s="205"/>
      <c r="X522" s="205"/>
      <c r="Y522" s="205"/>
      <c r="Z522" s="205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191.60515222530179</v>
      </c>
      <c r="AO522">
        <v>125.60651029750913</v>
      </c>
      <c r="AP522">
        <v>519.49521425969078</v>
      </c>
      <c r="AQ522">
        <v>702.94386810215508</v>
      </c>
      <c r="AR522">
        <v>119.11848558333183</v>
      </c>
      <c r="AS522">
        <v>1259.4701912912908</v>
      </c>
      <c r="AT522">
        <v>64.232543419276269</v>
      </c>
      <c r="AU522">
        <v>89.845275350553891</v>
      </c>
      <c r="AV522"/>
      <c r="AW522"/>
      <c r="FY522" s="211">
        <v>517</v>
      </c>
      <c r="FZ522">
        <v>96.390665611423117</v>
      </c>
      <c r="GA522">
        <v>120.23284665441317</v>
      </c>
      <c r="GB522">
        <v>27.981430816510077</v>
      </c>
      <c r="GC522">
        <v>32.177357643674526</v>
      </c>
      <c r="GD522">
        <v>28.366013357781657</v>
      </c>
      <c r="GE522">
        <v>37.082808324493314</v>
      </c>
      <c r="GF522">
        <v>72.562445433276849</v>
      </c>
      <c r="GG522">
        <v>53.641730066743442</v>
      </c>
      <c r="GH522">
        <v>38.775920939265291</v>
      </c>
      <c r="GI522">
        <v>62.127062826023213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10.93521671860622</v>
      </c>
      <c r="G523" s="63"/>
      <c r="H523" s="63" t="s">
        <v>103</v>
      </c>
      <c r="I523" s="123">
        <f>+I520*(365/I522)</f>
        <v>1448.8160111000557</v>
      </c>
      <c r="J523" s="19"/>
      <c r="K523" s="19"/>
      <c r="L523" s="205"/>
      <c r="M523" s="205"/>
      <c r="N523" s="205"/>
      <c r="O523" s="205"/>
      <c r="P523" s="205"/>
      <c r="Q523" s="205"/>
      <c r="R523" s="205"/>
      <c r="S523" s="205"/>
      <c r="T523" s="205"/>
      <c r="U523" s="205"/>
      <c r="V523" s="205"/>
      <c r="W523" s="205"/>
      <c r="X523" s="205"/>
      <c r="Y523" s="205"/>
      <c r="Z523" s="205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259.09832065624676</v>
      </c>
      <c r="AO523">
        <v>150.50623829912652</v>
      </c>
      <c r="AP523">
        <v>619.63555291386729</v>
      </c>
      <c r="AQ523">
        <v>815.71327890108785</v>
      </c>
      <c r="AR523">
        <v>142.97549948873825</v>
      </c>
      <c r="AS523">
        <v>1453.4126586702482</v>
      </c>
      <c r="AT523">
        <v>71.749866710475047</v>
      </c>
      <c r="AU523">
        <v>187.82330831218951</v>
      </c>
      <c r="AV523"/>
      <c r="AW523"/>
      <c r="FY523" s="211">
        <v>518</v>
      </c>
      <c r="FZ523">
        <v>110.42151111332272</v>
      </c>
      <c r="GA523">
        <v>135.09065491846334</v>
      </c>
      <c r="GB523">
        <v>43.564891648786748</v>
      </c>
      <c r="GC523">
        <v>41.481163019071531</v>
      </c>
      <c r="GD523">
        <v>38.84564785434651</v>
      </c>
      <c r="GE523">
        <v>79.299120187729855</v>
      </c>
      <c r="GF523">
        <v>107.51497866086304</v>
      </c>
      <c r="GG523">
        <v>76.246248065951264</v>
      </c>
      <c r="GH523">
        <v>83.818261708203167</v>
      </c>
      <c r="GI523">
        <v>91.131655551216085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5"/>
      <c r="M524" s="205"/>
      <c r="N524" s="205"/>
      <c r="O524" s="205"/>
      <c r="P524" s="205"/>
      <c r="Q524" s="205"/>
      <c r="R524" s="205"/>
      <c r="S524" s="205"/>
      <c r="T524" s="205"/>
      <c r="U524" s="205"/>
      <c r="V524" s="205"/>
      <c r="W524" s="205"/>
      <c r="X524" s="205"/>
      <c r="Y524" s="205"/>
      <c r="Z524" s="205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229.52474892688187</v>
      </c>
      <c r="AO524">
        <v>123.77363970556375</v>
      </c>
      <c r="AP524">
        <v>409.32039639570149</v>
      </c>
      <c r="AQ524">
        <v>729.92625957867801</v>
      </c>
      <c r="AR524">
        <v>118.84261450994248</v>
      </c>
      <c r="AS524">
        <v>1246.3366539978319</v>
      </c>
      <c r="AT524">
        <v>63.067332708849712</v>
      </c>
      <c r="AU524">
        <v>85.851898988025141</v>
      </c>
      <c r="AV524"/>
      <c r="AW524"/>
      <c r="FY524" s="211">
        <v>519</v>
      </c>
      <c r="FZ524">
        <v>141.9308176162136</v>
      </c>
      <c r="GA524">
        <v>174.97524752070538</v>
      </c>
      <c r="GB524">
        <v>55.653634453467447</v>
      </c>
      <c r="GC524">
        <v>47.111855360431832</v>
      </c>
      <c r="GD524">
        <v>46.966156614610291</v>
      </c>
      <c r="GE524">
        <v>62.245349110333621</v>
      </c>
      <c r="GF524">
        <v>48.270048788796949</v>
      </c>
      <c r="GG524">
        <v>59.93377405721413</v>
      </c>
      <c r="GH524">
        <v>90.68166785906709</v>
      </c>
      <c r="GI524">
        <v>91.561848548204651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204.62345330531724</v>
      </c>
      <c r="AO525">
        <v>104.88979912004761</v>
      </c>
      <c r="AP525">
        <v>447.55480926457841</v>
      </c>
      <c r="AQ525">
        <v>589.87109101600231</v>
      </c>
      <c r="AR525">
        <v>98.915540425352219</v>
      </c>
      <c r="AS525">
        <v>997.52892438598144</v>
      </c>
      <c r="AT525">
        <v>52.452692429625642</v>
      </c>
      <c r="AU525">
        <v>144.28444500740392</v>
      </c>
      <c r="AV525"/>
      <c r="AW525"/>
      <c r="FY525" s="211">
        <v>520</v>
      </c>
      <c r="FZ525">
        <v>120.38058537561565</v>
      </c>
      <c r="GA525">
        <v>123.58052700535254</v>
      </c>
      <c r="GB525">
        <v>42.417639383072832</v>
      </c>
      <c r="GC525">
        <v>44.548424322241083</v>
      </c>
      <c r="GD525">
        <v>47.957769359490875</v>
      </c>
      <c r="GE525">
        <v>76.752901248979782</v>
      </c>
      <c r="GF525">
        <v>70.751990846073582</v>
      </c>
      <c r="GG525">
        <v>36.788624619033662</v>
      </c>
      <c r="GH525">
        <v>37.973964186527304</v>
      </c>
      <c r="GI525">
        <v>82.018274558513369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245.56887956061414</v>
      </c>
      <c r="AO526">
        <v>129.88315446469332</v>
      </c>
      <c r="AP526">
        <v>594.09809108611535</v>
      </c>
      <c r="AQ526">
        <v>720.7687181073361</v>
      </c>
      <c r="AR526">
        <v>121.23723767499821</v>
      </c>
      <c r="AS526">
        <v>1211.9326012231131</v>
      </c>
      <c r="AT526">
        <v>58.208907093224276</v>
      </c>
      <c r="AU526">
        <v>155.14638708608499</v>
      </c>
      <c r="AV526"/>
      <c r="AW526"/>
      <c r="FY526" s="211">
        <v>521</v>
      </c>
      <c r="FZ526">
        <v>122.93756045605251</v>
      </c>
      <c r="GA526">
        <v>186.79505460925964</v>
      </c>
      <c r="GB526">
        <v>72.280596400758242</v>
      </c>
      <c r="GC526">
        <v>43.838461306084746</v>
      </c>
      <c r="GD526">
        <v>37.073482652606522</v>
      </c>
      <c r="GE526">
        <v>54.582956340257759</v>
      </c>
      <c r="GF526">
        <v>46.694822399486434</v>
      </c>
      <c r="GG526">
        <v>17.328790009511565</v>
      </c>
      <c r="GH526">
        <v>10.628653230837184</v>
      </c>
      <c r="GI526">
        <v>72.547393219269566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284.5970735187131</v>
      </c>
      <c r="AO527">
        <v>128.69156763001456</v>
      </c>
      <c r="AP527">
        <v>498.63270264061015</v>
      </c>
      <c r="AQ527">
        <v>723.46871799938708</v>
      </c>
      <c r="AR527">
        <v>121.12842084730393</v>
      </c>
      <c r="AS527">
        <v>1253.5039077672152</v>
      </c>
      <c r="AT527">
        <v>58.776839252886568</v>
      </c>
      <c r="AU527">
        <v>226.13523408987453</v>
      </c>
      <c r="AV527"/>
      <c r="AW527"/>
      <c r="FY527" s="211">
        <v>522</v>
      </c>
      <c r="FZ527">
        <v>109.43082729047211</v>
      </c>
      <c r="GA527">
        <v>154.52449462935914</v>
      </c>
      <c r="GB527">
        <v>64.990831726846025</v>
      </c>
      <c r="GC527">
        <v>37.192065663804016</v>
      </c>
      <c r="GD527">
        <v>46.951572404454417</v>
      </c>
      <c r="GE527">
        <v>102.63686803970195</v>
      </c>
      <c r="GF527">
        <v>90.979225681331371</v>
      </c>
      <c r="GG527">
        <v>53.280589630409665</v>
      </c>
      <c r="GH527">
        <v>57.690606099717023</v>
      </c>
      <c r="GI527">
        <v>94.656799378312655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314.04024512935916</v>
      </c>
      <c r="AO528">
        <v>207.02092154402081</v>
      </c>
      <c r="AP528">
        <v>1024.8132047909794</v>
      </c>
      <c r="AQ528">
        <v>1110.103321984838</v>
      </c>
      <c r="AR528">
        <v>193.92689913860613</v>
      </c>
      <c r="AS528">
        <v>1870.495273202039</v>
      </c>
      <c r="AT528">
        <v>99.950058061728143</v>
      </c>
      <c r="AU528">
        <v>227.00045915535159</v>
      </c>
      <c r="AV528"/>
      <c r="AW528"/>
      <c r="FY528" s="211">
        <v>523</v>
      </c>
      <c r="FZ528">
        <v>107.07527464990577</v>
      </c>
      <c r="GA528">
        <v>134.37939915770852</v>
      </c>
      <c r="GB528">
        <v>55.703645865714783</v>
      </c>
      <c r="GC528">
        <v>46.924500425669727</v>
      </c>
      <c r="GD528">
        <v>45.364355834191429</v>
      </c>
      <c r="GE528">
        <v>103.55218348522439</v>
      </c>
      <c r="GF528">
        <v>146.67974320671499</v>
      </c>
      <c r="GG528">
        <v>77.473089697815666</v>
      </c>
      <c r="GH528">
        <v>68.411566547801527</v>
      </c>
      <c r="GI528">
        <v>104.04435012532906</v>
      </c>
      <c r="GJ528"/>
      <c r="GK528"/>
      <c r="GL528"/>
      <c r="GM528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234.78997545706656</v>
      </c>
      <c r="AO529">
        <v>162.0195886653205</v>
      </c>
      <c r="AP529">
        <v>972.85327026154778</v>
      </c>
      <c r="AQ529">
        <v>874.32820312765591</v>
      </c>
      <c r="AR529">
        <v>151.85337597257131</v>
      </c>
      <c r="AS529">
        <v>1445.2231132801896</v>
      </c>
      <c r="AT529">
        <v>86.47580230038669</v>
      </c>
      <c r="AU529">
        <v>194.04803824769084</v>
      </c>
      <c r="AV529"/>
      <c r="AW529"/>
      <c r="FY529" s="211">
        <v>524</v>
      </c>
      <c r="FZ529">
        <v>143.59996965644027</v>
      </c>
      <c r="GA529">
        <v>171.50665364419586</v>
      </c>
      <c r="GB529">
        <v>38.908646194044891</v>
      </c>
      <c r="GC529">
        <v>36.37167718325437</v>
      </c>
      <c r="GD529">
        <v>26.605244525246871</v>
      </c>
      <c r="GE529">
        <v>31.134244840646652</v>
      </c>
      <c r="GF529">
        <v>68.77150100435253</v>
      </c>
      <c r="GG529">
        <v>56.596507040887573</v>
      </c>
      <c r="GH529">
        <v>44.14078678407634</v>
      </c>
      <c r="GI529">
        <v>70.843400298754119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297.01040188921962</v>
      </c>
      <c r="AO530">
        <v>137.85890141283389</v>
      </c>
      <c r="AP530">
        <v>523.80545483425362</v>
      </c>
      <c r="AQ530">
        <v>770.84233035727641</v>
      </c>
      <c r="AR530">
        <v>128.49929659666546</v>
      </c>
      <c r="AS530">
        <v>1470.6755826913952</v>
      </c>
      <c r="AT530">
        <v>61.267409499796948</v>
      </c>
      <c r="AU530">
        <v>21.292128407592635</v>
      </c>
      <c r="AV530"/>
      <c r="AW530"/>
      <c r="FY530" s="211">
        <v>525</v>
      </c>
      <c r="FZ530">
        <v>94.513199445877277</v>
      </c>
      <c r="GA530">
        <v>137.4430666584789</v>
      </c>
      <c r="GB530">
        <v>55.436151949086991</v>
      </c>
      <c r="GC530">
        <v>35.266606308389107</v>
      </c>
      <c r="GD530">
        <v>39.295994946727703</v>
      </c>
      <c r="GE530">
        <v>60.507709611229316</v>
      </c>
      <c r="GF530">
        <v>55.42313854719648</v>
      </c>
      <c r="GG530">
        <v>71.766834986666083</v>
      </c>
      <c r="GH530">
        <v>69.108780401676029</v>
      </c>
      <c r="GI530">
        <v>77.617827416244211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158.33333333333334</v>
      </c>
      <c r="E531" s="108">
        <f>E405</f>
        <v>0.38068239437772849</v>
      </c>
      <c r="F531" s="102"/>
      <c r="G531" s="101">
        <f>D531*E531</f>
        <v>60.274712443140352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267.82884651880869</v>
      </c>
      <c r="AO531">
        <v>152.14334148026495</v>
      </c>
      <c r="AP531">
        <v>806.49390160642679</v>
      </c>
      <c r="AQ531">
        <v>825.40761341560676</v>
      </c>
      <c r="AR531">
        <v>141.68148809609011</v>
      </c>
      <c r="AS531">
        <v>1349.0831981229983</v>
      </c>
      <c r="AT531">
        <v>76.816235427171577</v>
      </c>
      <c r="AU531">
        <v>295.2209286092201</v>
      </c>
      <c r="AV531"/>
      <c r="AW531"/>
      <c r="FY531" s="211">
        <v>526</v>
      </c>
      <c r="FZ531">
        <v>104.48021431838802</v>
      </c>
      <c r="GA531">
        <v>167.6008776997235</v>
      </c>
      <c r="GB531">
        <v>63.922782382037234</v>
      </c>
      <c r="GC531">
        <v>51.430427699389611</v>
      </c>
      <c r="GD531">
        <v>42.021994924053764</v>
      </c>
      <c r="GE531">
        <v>75.55089449501277</v>
      </c>
      <c r="GF531">
        <v>115.09481115392195</v>
      </c>
      <c r="GG531">
        <v>59.442611193249505</v>
      </c>
      <c r="GH531">
        <v>48.845978851431596</v>
      </c>
      <c r="GI531">
        <v>93.230682224305014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>
        <f>E533-E531</f>
        <v>0.67979271310186618</v>
      </c>
      <c r="I532" s="101">
        <f>AVERAGE(D531:D533)</f>
        <v>158.63839285714286</v>
      </c>
      <c r="J532" s="101">
        <f>I532*H532</f>
        <v>107.84122348247685</v>
      </c>
      <c r="K532" s="61">
        <f>J532/(C533-C531)</f>
        <v>3.9941193882398833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216.39773556088031</v>
      </c>
      <c r="AO532">
        <v>142.84321794498348</v>
      </c>
      <c r="AP532">
        <v>619.36811295989628</v>
      </c>
      <c r="AQ532">
        <v>841.37559251012465</v>
      </c>
      <c r="AR532">
        <v>134.95249304600426</v>
      </c>
      <c r="AS532">
        <v>1445.0547868103881</v>
      </c>
      <c r="AT532">
        <v>70.853118358646881</v>
      </c>
      <c r="AU532">
        <v>182.16209108806328</v>
      </c>
      <c r="AV532"/>
      <c r="AW532"/>
      <c r="FY532" s="211">
        <v>527</v>
      </c>
      <c r="FZ532">
        <v>130.81237264372709</v>
      </c>
      <c r="GA532">
        <v>183.28573217930594</v>
      </c>
      <c r="GB532">
        <v>55.407210480358607</v>
      </c>
      <c r="GC532">
        <v>43.648968337168142</v>
      </c>
      <c r="GD532">
        <v>51.945902029210075</v>
      </c>
      <c r="GE532">
        <v>89.969907077715575</v>
      </c>
      <c r="GF532">
        <v>90.321962637175062</v>
      </c>
      <c r="GG532">
        <v>54.190654900547024</v>
      </c>
      <c r="GH532">
        <v>41.248018729322929</v>
      </c>
      <c r="GI532">
        <v>94.430918670650087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158.94345238095238</v>
      </c>
      <c r="E533" s="108">
        <f>E406</f>
        <v>1.0604751074795946</v>
      </c>
      <c r="F533" s="102"/>
      <c r="G533" s="101">
        <f>D533*E533</f>
        <v>168.5555747468683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204.84292735110017</v>
      </c>
      <c r="AO533">
        <v>97.518527641405981</v>
      </c>
      <c r="AP533">
        <v>364.71574883217022</v>
      </c>
      <c r="AQ533">
        <v>569.33828167360457</v>
      </c>
      <c r="AR533">
        <v>92.658209474387192</v>
      </c>
      <c r="AS533">
        <v>1110.2799329110194</v>
      </c>
      <c r="AT533">
        <v>44.763714824827495</v>
      </c>
      <c r="AU533">
        <v>95.604480921019942</v>
      </c>
      <c r="AV533"/>
      <c r="AW533"/>
      <c r="FY533" s="211">
        <v>528</v>
      </c>
      <c r="FZ533">
        <v>117.34003692503326</v>
      </c>
      <c r="GA533">
        <v>181.46276782614891</v>
      </c>
      <c r="GB533">
        <v>56.415096968736449</v>
      </c>
      <c r="GC533">
        <v>35.953580211942501</v>
      </c>
      <c r="GD533">
        <v>40.437256146041349</v>
      </c>
      <c r="GE533">
        <v>66.291142920657506</v>
      </c>
      <c r="GF533">
        <v>76.555165557572451</v>
      </c>
      <c r="GG533">
        <v>91.370561278188774</v>
      </c>
      <c r="GH533">
        <v>92.232598073881633</v>
      </c>
      <c r="GI533">
        <v>91.103763130402456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-0.928055233486761</v>
      </c>
      <c r="I534" s="101">
        <f>AVERAGE(D533:D535)</f>
        <v>210.79613095238096</v>
      </c>
      <c r="J534" s="101">
        <f>I534*H534</f>
        <v>-195.63045252911778</v>
      </c>
      <c r="K534" s="61">
        <f>J534/(C535-C533)</f>
        <v>-4.7714744519297021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238.67789393977037</v>
      </c>
      <c r="AO534">
        <v>146.28390013802323</v>
      </c>
      <c r="AP534">
        <v>585.30162406192642</v>
      </c>
      <c r="AQ534">
        <v>807.41413272795421</v>
      </c>
      <c r="AR534">
        <v>137.57607457518074</v>
      </c>
      <c r="AS534">
        <v>1357.1962410436925</v>
      </c>
      <c r="AT534">
        <v>73.939880450269399</v>
      </c>
      <c r="AU534">
        <v>148.44901403780605</v>
      </c>
      <c r="AV534"/>
      <c r="AW534"/>
      <c r="FY534" s="211">
        <v>529</v>
      </c>
      <c r="FZ534">
        <v>141.62722807188877</v>
      </c>
      <c r="GA534">
        <v>207.68993917965886</v>
      </c>
      <c r="GB534">
        <v>63.492084360481456</v>
      </c>
      <c r="GC534">
        <v>46.994848563137857</v>
      </c>
      <c r="GD534">
        <v>30.024949809354304</v>
      </c>
      <c r="GE534">
        <v>30.91767471237921</v>
      </c>
      <c r="GF534">
        <v>73.430351285182184</v>
      </c>
      <c r="GG534">
        <v>76.707469715021034</v>
      </c>
      <c r="GH534">
        <v>61.756352292535496</v>
      </c>
      <c r="GI534">
        <v>83.279813144693264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262.64880952380952</v>
      </c>
      <c r="E535" s="108">
        <f>E407</f>
        <v>0.13241987399283359</v>
      </c>
      <c r="F535" s="102"/>
      <c r="G535" s="101">
        <f>D535*E535</f>
        <v>34.779922261510606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246.10727406972518</v>
      </c>
      <c r="AO535">
        <v>143.89159217572973</v>
      </c>
      <c r="AP535">
        <v>483.87506742909875</v>
      </c>
      <c r="AQ535">
        <v>819.33039992904503</v>
      </c>
      <c r="AR535">
        <v>138.06084273537232</v>
      </c>
      <c r="AS535">
        <v>1448.0095075739714</v>
      </c>
      <c r="AT535">
        <v>77.57202540791387</v>
      </c>
      <c r="AU535">
        <v>16.724922403882942</v>
      </c>
      <c r="AV535"/>
      <c r="AW535"/>
      <c r="FY535" s="211">
        <v>530</v>
      </c>
      <c r="FZ535">
        <v>100.72418589714955</v>
      </c>
      <c r="GA535">
        <v>137.66175321733081</v>
      </c>
      <c r="GB535">
        <v>48.703961171550731</v>
      </c>
      <c r="GC535">
        <v>34.303436006684947</v>
      </c>
      <c r="GD535">
        <v>35.358860172775856</v>
      </c>
      <c r="GE535">
        <v>57.914728793851069</v>
      </c>
      <c r="GF535">
        <v>64.825101299724764</v>
      </c>
      <c r="GG535">
        <v>120.54735773016458</v>
      </c>
      <c r="GH535">
        <v>137.4161350058551</v>
      </c>
      <c r="GI535">
        <v>87.680589636394529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3.4412156605164168E-2</v>
      </c>
      <c r="I536" s="101">
        <f>AVERAGE(D535:D537)</f>
        <v>302.03032420166039</v>
      </c>
      <c r="J536" s="101">
        <f>I536*H536</f>
        <v>10.393514815936042</v>
      </c>
      <c r="K536" s="61">
        <f>J536/(C537-C535)</f>
        <v>0.31495499442230429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269.74123433265282</v>
      </c>
      <c r="AO536">
        <v>126.72123863731738</v>
      </c>
      <c r="AP536">
        <v>507.6876195772611</v>
      </c>
      <c r="AQ536">
        <v>683.17070090490051</v>
      </c>
      <c r="AR536">
        <v>121.51323164598639</v>
      </c>
      <c r="AS536">
        <v>1204.100498187069</v>
      </c>
      <c r="AT536">
        <v>59.709221550579514</v>
      </c>
      <c r="AU536">
        <v>58.362417179365465</v>
      </c>
      <c r="AV536"/>
      <c r="AW536"/>
      <c r="FY536" s="211">
        <v>531</v>
      </c>
      <c r="FZ536">
        <v>103.43862708045168</v>
      </c>
      <c r="GA536">
        <v>156.264477809223</v>
      </c>
      <c r="GB536">
        <v>54.637878915669617</v>
      </c>
      <c r="GC536">
        <v>42.740880867175981</v>
      </c>
      <c r="GD536">
        <v>28.485261145211869</v>
      </c>
      <c r="GE536">
        <v>79.260616554677668</v>
      </c>
      <c r="GF536">
        <v>139.45315187522723</v>
      </c>
      <c r="GG536">
        <v>98.443197735256447</v>
      </c>
      <c r="GH536">
        <v>110.97752345231372</v>
      </c>
      <c r="GI536">
        <v>97.778704518268995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341.41183887951132</v>
      </c>
      <c r="E537" s="108">
        <f>E408</f>
        <v>0.16683203059799775</v>
      </c>
      <c r="F537" s="102"/>
      <c r="G537" s="101">
        <f>D537*E537</f>
        <v>56.958430350465314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264.60209794345337</v>
      </c>
      <c r="AO537">
        <v>113.49787213785996</v>
      </c>
      <c r="AP537">
        <v>353.9382265847932</v>
      </c>
      <c r="AQ537">
        <v>664.70777062412401</v>
      </c>
      <c r="AR537">
        <v>107.04528944103095</v>
      </c>
      <c r="AS537">
        <v>1252.5446345093037</v>
      </c>
      <c r="AT537">
        <v>51.204373466769567</v>
      </c>
      <c r="AU537">
        <v>-120.10865237992112</v>
      </c>
      <c r="AV537"/>
      <c r="AW537"/>
      <c r="FY537" s="211">
        <v>532</v>
      </c>
      <c r="FZ537">
        <v>95.80792769524038</v>
      </c>
      <c r="GA537">
        <v>133.71152453286874</v>
      </c>
      <c r="GB537">
        <v>45.483587844933602</v>
      </c>
      <c r="GC537">
        <v>41.053648614294708</v>
      </c>
      <c r="GD537">
        <v>33.25528041046752</v>
      </c>
      <c r="GE537">
        <v>46.481136409446613</v>
      </c>
      <c r="GF537">
        <v>86.634764556863871</v>
      </c>
      <c r="GG537">
        <v>77.948792361453883</v>
      </c>
      <c r="GH537">
        <v>59.3376633577493</v>
      </c>
      <c r="GI537">
        <v>76.691321174827479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0.16841458423282943</v>
      </c>
      <c r="I538" s="101">
        <f>AVERAGE(D537:D539)</f>
        <v>379.52787294920915</v>
      </c>
      <c r="J538" s="101">
        <f>I538*H538</f>
        <v>63.918028927511173</v>
      </c>
      <c r="K538" s="61">
        <f>J538/(C539-C537)</f>
        <v>2.2827867474111132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249.93816668532116</v>
      </c>
      <c r="AO538">
        <v>151.83127983685841</v>
      </c>
      <c r="AP538">
        <v>701.14840648226379</v>
      </c>
      <c r="AQ538">
        <v>812.33388054440843</v>
      </c>
      <c r="AR538">
        <v>143.26555718672259</v>
      </c>
      <c r="AS538">
        <v>1313.7466079601384</v>
      </c>
      <c r="AT538">
        <v>73.775302749087658</v>
      </c>
      <c r="AU538">
        <v>86.143511817253042</v>
      </c>
      <c r="AV538"/>
      <c r="AW538"/>
      <c r="FY538" s="211">
        <v>533</v>
      </c>
      <c r="FZ538">
        <v>147.56659997586624</v>
      </c>
      <c r="GA538">
        <v>147.40131434375093</v>
      </c>
      <c r="GB538">
        <v>45.986479217999843</v>
      </c>
      <c r="GC538">
        <v>54.024484079859185</v>
      </c>
      <c r="GD538">
        <v>54.855043449777725</v>
      </c>
      <c r="GE538">
        <v>94.924486979839926</v>
      </c>
      <c r="GF538">
        <v>102.14813118519999</v>
      </c>
      <c r="GG538">
        <v>48.349800020439169</v>
      </c>
      <c r="GH538">
        <v>33.799162393943945</v>
      </c>
      <c r="GI538">
        <v>97.639867388885634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417.64390701890693</v>
      </c>
      <c r="E539" s="108">
        <f>E409</f>
        <v>0.33524661483082718</v>
      </c>
      <c r="F539" s="102"/>
      <c r="G539" s="101">
        <f>D539*E539</f>
        <v>140.0137060328093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339.29946178542349</v>
      </c>
      <c r="AO539">
        <v>165.34222275235001</v>
      </c>
      <c r="AP539">
        <v>696.82612186711094</v>
      </c>
      <c r="AQ539">
        <v>889.60810899607588</v>
      </c>
      <c r="AR539">
        <v>156.16830974863524</v>
      </c>
      <c r="AS539">
        <v>1534.5287530081798</v>
      </c>
      <c r="AT539">
        <v>73.229772972451315</v>
      </c>
      <c r="AU539">
        <v>69.380343821985662</v>
      </c>
      <c r="AV539"/>
      <c r="AW539"/>
      <c r="FY539" s="211">
        <v>534</v>
      </c>
      <c r="FZ539">
        <v>113.86161717313793</v>
      </c>
      <c r="GA539">
        <v>151.96306867509219</v>
      </c>
      <c r="GB539">
        <v>58.295782612745732</v>
      </c>
      <c r="GC539">
        <v>44.08951203972493</v>
      </c>
      <c r="GD539">
        <v>35.080120033706145</v>
      </c>
      <c r="GE539">
        <v>71.773680679290237</v>
      </c>
      <c r="GF539">
        <v>136.26002992451521</v>
      </c>
      <c r="GG539">
        <v>65.09573949912135</v>
      </c>
      <c r="GH539">
        <v>13.861605852632966</v>
      </c>
      <c r="GI539">
        <v>87.951096992585974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-0.23617768428344071</v>
      </c>
      <c r="I540" s="101">
        <f>AVERAGE(D539:D541)</f>
        <v>755.96279265396913</v>
      </c>
      <c r="J540" s="101">
        <f>I540*H540</f>
        <v>-178.54154177345728</v>
      </c>
      <c r="K540" s="61">
        <f>J540/(C541-C539)</f>
        <v>-7.4392309072273868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182.19919549594064</v>
      </c>
      <c r="AO540">
        <v>112.24403228115075</v>
      </c>
      <c r="AP540">
        <v>572.09777106489776</v>
      </c>
      <c r="AQ540">
        <v>688.47863117189934</v>
      </c>
      <c r="AR540">
        <v>106.99516709877575</v>
      </c>
      <c r="AS540">
        <v>998.65123775224924</v>
      </c>
      <c r="AT540">
        <v>58.724460394763859</v>
      </c>
      <c r="AU540">
        <v>115.54682696108105</v>
      </c>
      <c r="AV540"/>
      <c r="AW540"/>
      <c r="FY540" s="211">
        <v>535</v>
      </c>
      <c r="FZ540">
        <v>133.93544668322269</v>
      </c>
      <c r="GA540">
        <v>150.28511777363244</v>
      </c>
      <c r="GB540">
        <v>64.025866623981742</v>
      </c>
      <c r="GC540">
        <v>50.556450677632341</v>
      </c>
      <c r="GD540">
        <v>31.58371147239713</v>
      </c>
      <c r="GE540">
        <v>47.866355430636773</v>
      </c>
      <c r="GF540">
        <v>84.135637032413925</v>
      </c>
      <c r="GG540">
        <v>87.476799718141123</v>
      </c>
      <c r="GH540">
        <v>87.195227793596217</v>
      </c>
      <c r="GI540">
        <v>89.34936256445981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1094.2816782890313</v>
      </c>
      <c r="E541" s="108">
        <f>E410</f>
        <v>9.9068930547386483E-2</v>
      </c>
      <c r="F541" s="102"/>
      <c r="G541" s="101">
        <f>D541*E541</f>
        <v>108.40931558569356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249.57960908410161</v>
      </c>
      <c r="AO541">
        <v>123.14438119909912</v>
      </c>
      <c r="AP541">
        <v>515.54260470185159</v>
      </c>
      <c r="AQ541">
        <v>696.37931027157197</v>
      </c>
      <c r="AR541">
        <v>116.24822229304611</v>
      </c>
      <c r="AS541">
        <v>1166.0206061416632</v>
      </c>
      <c r="AT541">
        <v>55.371632051933595</v>
      </c>
      <c r="AU541">
        <v>236.96438209343785</v>
      </c>
      <c r="AV541"/>
      <c r="AW541"/>
      <c r="FY541" s="211">
        <v>536</v>
      </c>
      <c r="FZ541">
        <v>94.127836585674146</v>
      </c>
      <c r="GA541">
        <v>130.85910422274452</v>
      </c>
      <c r="GB541">
        <v>50.717451451393913</v>
      </c>
      <c r="GC541">
        <v>40.443866650442686</v>
      </c>
      <c r="GD541">
        <v>37.556495451468891</v>
      </c>
      <c r="GE541">
        <v>46.314491528408766</v>
      </c>
      <c r="GF541">
        <v>66.498283382387172</v>
      </c>
      <c r="GG541">
        <v>62.2421394236925</v>
      </c>
      <c r="GH541">
        <v>41.489350141996567</v>
      </c>
      <c r="GI541">
        <v>73.118451418986851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>
        <f>E543-E541</f>
        <v>0.65590226006577468</v>
      </c>
      <c r="I542" s="101">
        <f>AVERAGE(D541:D543)</f>
        <v>608.59917247784904</v>
      </c>
      <c r="J542" s="101">
        <f>I542*H542</f>
        <v>399.1815727023814</v>
      </c>
      <c r="K542" s="61">
        <f>J542/(C543-C541)</f>
        <v>8.3162827646329465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268.59934901066492</v>
      </c>
      <c r="AO542">
        <v>149.21499067456287</v>
      </c>
      <c r="AP542">
        <v>608.45353302393892</v>
      </c>
      <c r="AQ542">
        <v>821.62127494151298</v>
      </c>
      <c r="AR542">
        <v>139.97973679066803</v>
      </c>
      <c r="AS542">
        <v>1455.2897300205645</v>
      </c>
      <c r="AT542">
        <v>70.376537553441622</v>
      </c>
      <c r="AU542">
        <v>164.45248250761387</v>
      </c>
      <c r="AV542"/>
      <c r="AW542"/>
      <c r="FY542" s="211">
        <v>537</v>
      </c>
      <c r="FZ542">
        <v>99.058170067995363</v>
      </c>
      <c r="GA542">
        <v>138.59152674999817</v>
      </c>
      <c r="GB542">
        <v>61.910883534615792</v>
      </c>
      <c r="GC542">
        <v>46.462030356601446</v>
      </c>
      <c r="GD542">
        <v>29.543498583491797</v>
      </c>
      <c r="GE542">
        <v>47.249179051798976</v>
      </c>
      <c r="GF542">
        <v>89.689059857542858</v>
      </c>
      <c r="GG542">
        <v>91.392813245308574</v>
      </c>
      <c r="GH542">
        <v>86.915856744191402</v>
      </c>
      <c r="GI542">
        <v>84.34777909360146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122.91666666666666</v>
      </c>
      <c r="E543" s="108">
        <f>E411</f>
        <v>0.7549711906131612</v>
      </c>
      <c r="F543" s="102"/>
      <c r="G543" s="101">
        <f>D543*E543</f>
        <v>92.798542179534394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272.09380420025144</v>
      </c>
      <c r="AO543">
        <v>150.01422506475055</v>
      </c>
      <c r="AP543">
        <v>520.10980310909099</v>
      </c>
      <c r="AQ543">
        <v>835.26164768518038</v>
      </c>
      <c r="AR543">
        <v>141.14261908829803</v>
      </c>
      <c r="AS543">
        <v>1446.0590459774139</v>
      </c>
      <c r="AT543">
        <v>69.322378463480007</v>
      </c>
      <c r="AU543">
        <v>131.93744435478834</v>
      </c>
      <c r="AV543"/>
      <c r="AW543"/>
      <c r="FY543" s="211">
        <v>538</v>
      </c>
      <c r="FZ543">
        <v>99.188935069297656</v>
      </c>
      <c r="GA543">
        <v>133.53331563580795</v>
      </c>
      <c r="GB543">
        <v>60.712416746286841</v>
      </c>
      <c r="GC543">
        <v>47.982708198976454</v>
      </c>
      <c r="GD543">
        <v>47.418948576755099</v>
      </c>
      <c r="GE543">
        <v>74.624553766293118</v>
      </c>
      <c r="GF543">
        <v>48.358179884939013</v>
      </c>
      <c r="GG543">
        <v>39.486540597877372</v>
      </c>
      <c r="GH543">
        <v>63.50145280961096</v>
      </c>
      <c r="GI543">
        <v>81.97068226033818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>
        <f>E545-E543</f>
        <v>-0.4466345191100734</v>
      </c>
      <c r="I544" s="101">
        <f>AVERAGE(D543:D545)</f>
        <v>106.4236111111111</v>
      </c>
      <c r="J544" s="101">
        <f>I544*H544</f>
        <v>-47.53245837056857</v>
      </c>
      <c r="K544" s="61">
        <f>J544/(C545-C543)</f>
        <v>-0.75448346619950113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259.97689133172787</v>
      </c>
      <c r="AO544">
        <v>149.42104985686379</v>
      </c>
      <c r="AP544">
        <v>577.50947307793285</v>
      </c>
      <c r="AQ544">
        <v>849.16196903860532</v>
      </c>
      <c r="AR544">
        <v>139.76309971522605</v>
      </c>
      <c r="AS544">
        <v>1422.9319458656362</v>
      </c>
      <c r="AT544">
        <v>68.727206942553636</v>
      </c>
      <c r="AU544">
        <v>138.50455760784084</v>
      </c>
      <c r="AV544"/>
      <c r="AW544"/>
      <c r="FY544" s="211">
        <v>539</v>
      </c>
      <c r="FZ544">
        <v>107.58949987618449</v>
      </c>
      <c r="GA544">
        <v>138.07158287574802</v>
      </c>
      <c r="GB544">
        <v>57.143803460432551</v>
      </c>
      <c r="GC544">
        <v>49.207384542564611</v>
      </c>
      <c r="GD544">
        <v>47.159164641614602</v>
      </c>
      <c r="GE544">
        <v>87.805269636820412</v>
      </c>
      <c r="GF544">
        <v>77.562538252269718</v>
      </c>
      <c r="GG544">
        <v>51.526908236181505</v>
      </c>
      <c r="GH544">
        <v>76.615852108290369</v>
      </c>
      <c r="GI544">
        <v>91.056189504229749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89.930555555555543</v>
      </c>
      <c r="E545" s="108">
        <f>E412</f>
        <v>0.3083366715030878</v>
      </c>
      <c r="F545" s="102"/>
      <c r="G545" s="101">
        <f>D545*E545</f>
        <v>27.728888166423516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249.58620230350363</v>
      </c>
      <c r="AO545">
        <v>134.2501552250082</v>
      </c>
      <c r="AP545">
        <v>518.47909998232365</v>
      </c>
      <c r="AQ545">
        <v>815.92071113433235</v>
      </c>
      <c r="AR545">
        <v>125.64230573033169</v>
      </c>
      <c r="AS545">
        <v>1430.929185412979</v>
      </c>
      <c r="AT545">
        <v>66.559490994336826</v>
      </c>
      <c r="AU545">
        <v>62.393556421773404</v>
      </c>
      <c r="AV545"/>
      <c r="AW545"/>
      <c r="FY545" s="211">
        <v>540</v>
      </c>
      <c r="FZ545">
        <v>140.78096825286769</v>
      </c>
      <c r="GA545">
        <v>141.43309410874988</v>
      </c>
      <c r="GB545">
        <v>39.137135850467764</v>
      </c>
      <c r="GC545">
        <v>41.425309061457554</v>
      </c>
      <c r="GD545">
        <v>59.445591012864369</v>
      </c>
      <c r="GE545">
        <v>119.0043153489829</v>
      </c>
      <c r="GF545">
        <v>98.767382081212361</v>
      </c>
      <c r="GG545">
        <v>53.542797624920482</v>
      </c>
      <c r="GH545">
        <v>37.937211464326452</v>
      </c>
      <c r="GI545">
        <v>97.559250371062092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>
        <f>E547-E545</f>
        <v>2.5482652463064102</v>
      </c>
      <c r="I546" s="101">
        <f>AVERAGE(D545:D547)</f>
        <v>55.381944444444436</v>
      </c>
      <c r="J546" s="101">
        <f>I546*H546</f>
        <v>141.12788430065012</v>
      </c>
      <c r="K546" s="61">
        <f>J546/(C547-C545)</f>
        <v>3.6186637000166697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234.95007346561692</v>
      </c>
      <c r="AO546">
        <v>143.00362344799231</v>
      </c>
      <c r="AP546">
        <v>550.6272995834488</v>
      </c>
      <c r="AQ546">
        <v>825.136108931482</v>
      </c>
      <c r="AR546">
        <v>133.52691846541646</v>
      </c>
      <c r="AS546">
        <v>1229.449478004683</v>
      </c>
      <c r="AT546">
        <v>73.326161055823107</v>
      </c>
      <c r="AU546">
        <v>65.935454862131934</v>
      </c>
      <c r="AV546"/>
      <c r="AW546"/>
      <c r="FY546" s="211">
        <v>541</v>
      </c>
      <c r="FZ546">
        <v>124.97913573249386</v>
      </c>
      <c r="GA546">
        <v>171.22526455273501</v>
      </c>
      <c r="GB546">
        <v>48.002749553248208</v>
      </c>
      <c r="GC546">
        <v>31.752423894750688</v>
      </c>
      <c r="GD546">
        <v>30.485760978684855</v>
      </c>
      <c r="GE546">
        <v>60.555830324964354</v>
      </c>
      <c r="GF546">
        <v>56.90004226790137</v>
      </c>
      <c r="GG546">
        <v>16.94389041353584</v>
      </c>
      <c r="GH546">
        <v>47.833325170882837</v>
      </c>
      <c r="GI546">
        <v>72.047631426424402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20.833333333333332</v>
      </c>
      <c r="E547" s="108">
        <f>E413</f>
        <v>2.8566019178094981</v>
      </c>
      <c r="F547" s="102"/>
      <c r="G547" s="101">
        <f>D547*E547</f>
        <v>59.512539954364541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254.01002057357317</v>
      </c>
      <c r="AO547">
        <v>160.71882767386901</v>
      </c>
      <c r="AP547">
        <v>801.14298920981014</v>
      </c>
      <c r="AQ547">
        <v>911.48031995347628</v>
      </c>
      <c r="AR547">
        <v>148.95618264086846</v>
      </c>
      <c r="AS547">
        <v>1319.4933967766333</v>
      </c>
      <c r="AT547">
        <v>82.004716759800374</v>
      </c>
      <c r="AU547">
        <v>105.76041125867984</v>
      </c>
      <c r="AV547"/>
      <c r="AW547"/>
      <c r="FY547" s="211">
        <v>542</v>
      </c>
      <c r="FZ547">
        <v>129.4916747165818</v>
      </c>
      <c r="GA547">
        <v>117.16827482561924</v>
      </c>
      <c r="GB547">
        <v>39.395496398222178</v>
      </c>
      <c r="GC547">
        <v>33.181556440823613</v>
      </c>
      <c r="GD547">
        <v>31.390972287169358</v>
      </c>
      <c r="GE547">
        <v>80.214857159783961</v>
      </c>
      <c r="GF547">
        <v>131.55141678897581</v>
      </c>
      <c r="GG547">
        <v>83.52856351668899</v>
      </c>
      <c r="GH547">
        <v>59.009796790726078</v>
      </c>
      <c r="GI547">
        <v>88.8608678590452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>
        <f>E549-E547</f>
        <v>-2.5495059648863418</v>
      </c>
      <c r="I548" s="101">
        <f>AVERAGE(D547:D549)</f>
        <v>64.412162766642737</v>
      </c>
      <c r="J548" s="101">
        <f>I548*H548</f>
        <v>-164.21919318478558</v>
      </c>
      <c r="K548" s="61">
        <f>J548/(C549-C547)</f>
        <v>-4.3215577153890941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194.76556698973337</v>
      </c>
      <c r="AO548">
        <v>122.98210084287204</v>
      </c>
      <c r="AP548">
        <v>438.14427130539809</v>
      </c>
      <c r="AQ548">
        <v>696.40564695814624</v>
      </c>
      <c r="AR548">
        <v>115.72095658249289</v>
      </c>
      <c r="AS548">
        <v>1150.559707463538</v>
      </c>
      <c r="AT548">
        <v>60.004951857887249</v>
      </c>
      <c r="AU548">
        <v>162.55243023761909</v>
      </c>
      <c r="AV548"/>
      <c r="AW548"/>
      <c r="FY548" s="211">
        <v>543</v>
      </c>
      <c r="FZ548">
        <v>111.03852401251626</v>
      </c>
      <c r="GA548">
        <v>136.78486270041176</v>
      </c>
      <c r="GB548">
        <v>60.410541541639404</v>
      </c>
      <c r="GC548">
        <v>58.605813284516692</v>
      </c>
      <c r="GD548">
        <v>41.487932680163894</v>
      </c>
      <c r="GE548">
        <v>63.088613060668806</v>
      </c>
      <c r="GF548">
        <v>93.694542709793566</v>
      </c>
      <c r="GG548">
        <v>30.019234969857635</v>
      </c>
      <c r="GH548">
        <v>16.266099335568306</v>
      </c>
      <c r="GI548">
        <v>83.157158219331862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107.99099219995213</v>
      </c>
      <c r="E549" s="108">
        <f>E414</f>
        <v>0.30709595292315622</v>
      </c>
      <c r="F549" s="102"/>
      <c r="G549" s="101">
        <f>D549*E549</f>
        <v>33.163596656761428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274.99611657616549</v>
      </c>
      <c r="AO549">
        <v>154.15755101816941</v>
      </c>
      <c r="AP549">
        <v>634.32337086238772</v>
      </c>
      <c r="AQ549">
        <v>826.69536903556252</v>
      </c>
      <c r="AR549">
        <v>145.75987477116192</v>
      </c>
      <c r="AS549">
        <v>1676.1341947832248</v>
      </c>
      <c r="AT549">
        <v>73.108845259446113</v>
      </c>
      <c r="AU549">
        <v>175.80761702587904</v>
      </c>
      <c r="AV549"/>
      <c r="AW549"/>
      <c r="FY549" s="211">
        <v>544</v>
      </c>
      <c r="FZ549">
        <v>135.68164487164316</v>
      </c>
      <c r="GA549">
        <v>146.04335686051104</v>
      </c>
      <c r="GB549">
        <v>54.198440393553973</v>
      </c>
      <c r="GC549">
        <v>45.542533793899437</v>
      </c>
      <c r="GD549">
        <v>32.897966543062338</v>
      </c>
      <c r="GE549">
        <v>54.922754359690664</v>
      </c>
      <c r="GF549">
        <v>77.209000162408842</v>
      </c>
      <c r="GG549">
        <v>80.648771698308167</v>
      </c>
      <c r="GH549">
        <v>112.53778823065949</v>
      </c>
      <c r="GI549">
        <v>91.425277836022076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>
        <f>E551-E549</f>
        <v>-0.30709595292315622</v>
      </c>
      <c r="I550" s="101">
        <f>AVERAGE(D549:D551)</f>
        <v>53.995496099976066</v>
      </c>
      <c r="J550" s="101">
        <f>I550*H550</f>
        <v>-16.581798328380714</v>
      </c>
      <c r="K550" s="61">
        <f>J550/(C551-C549)</f>
        <v>4.1467972912148231E-4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240.09925911605123</v>
      </c>
      <c r="AO550">
        <v>141.22398471081669</v>
      </c>
      <c r="AP550">
        <v>426.59996906461026</v>
      </c>
      <c r="AQ550">
        <v>778.23225348255255</v>
      </c>
      <c r="AR550">
        <v>132.6767569955793</v>
      </c>
      <c r="AS550">
        <v>1236.6896890508301</v>
      </c>
      <c r="AT550">
        <v>60.958391202862934</v>
      </c>
      <c r="AU550">
        <v>256.18297887364281</v>
      </c>
      <c r="AV550"/>
      <c r="AW550"/>
      <c r="FY550" s="211">
        <v>545</v>
      </c>
      <c r="FZ550">
        <v>114.71447885138487</v>
      </c>
      <c r="GA550">
        <v>148.30143543663513</v>
      </c>
      <c r="GB550">
        <v>47.791735814481527</v>
      </c>
      <c r="GC550">
        <v>43.879358545980146</v>
      </c>
      <c r="GD550">
        <v>52.405035284080768</v>
      </c>
      <c r="GE550">
        <v>138.59202170855505</v>
      </c>
      <c r="GF550">
        <v>173.85123914550809</v>
      </c>
      <c r="GG550">
        <v>118.62049753962337</v>
      </c>
      <c r="GH550">
        <v>131.13620065615834</v>
      </c>
      <c r="GI550">
        <v>125.6348505626633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266.81702841811261</v>
      </c>
      <c r="AO551">
        <v>141.34667608111602</v>
      </c>
      <c r="AP551">
        <v>573.0871014743791</v>
      </c>
      <c r="AQ551">
        <v>826.40997577011422</v>
      </c>
      <c r="AR551">
        <v>134.44190028720485</v>
      </c>
      <c r="AS551">
        <v>1408.2067222913652</v>
      </c>
      <c r="AT551">
        <v>69.937344633755146</v>
      </c>
      <c r="AU551">
        <v>155.42089125689853</v>
      </c>
      <c r="AV551"/>
      <c r="AW551"/>
      <c r="FY551" s="211">
        <v>546</v>
      </c>
      <c r="FZ551">
        <v>123.59814254027651</v>
      </c>
      <c r="GA551">
        <v>169.02448631519238</v>
      </c>
      <c r="GB551">
        <v>45.278252217702871</v>
      </c>
      <c r="GC551">
        <v>34.515156720677403</v>
      </c>
      <c r="GD551">
        <v>34.591971649495136</v>
      </c>
      <c r="GE551">
        <v>60.092126914415857</v>
      </c>
      <c r="GF551">
        <v>91.469363496533461</v>
      </c>
      <c r="GG551">
        <v>57.727576321251497</v>
      </c>
      <c r="GH551">
        <v>57.718541568132729</v>
      </c>
      <c r="GI551">
        <v>81.625336314828346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228.40916808989454</v>
      </c>
      <c r="AO552">
        <v>114.04703045228534</v>
      </c>
      <c r="AP552">
        <v>491.9086159502391</v>
      </c>
      <c r="AQ552">
        <v>643.36747025719603</v>
      </c>
      <c r="AR552">
        <v>108.46266675908024</v>
      </c>
      <c r="AS552">
        <v>1164.9270846597785</v>
      </c>
      <c r="AT552">
        <v>54.911102702208808</v>
      </c>
      <c r="AU552">
        <v>143.09783023017405</v>
      </c>
      <c r="AV552"/>
      <c r="AW552"/>
      <c r="FY552" s="211">
        <v>547</v>
      </c>
      <c r="FZ552">
        <v>104.61407971461625</v>
      </c>
      <c r="GA552">
        <v>122.46181939777931</v>
      </c>
      <c r="GB552">
        <v>52.473821244580293</v>
      </c>
      <c r="GC552">
        <v>40.645505138961049</v>
      </c>
      <c r="GD552">
        <v>26.438172547583651</v>
      </c>
      <c r="GE552">
        <v>37.534469470607398</v>
      </c>
      <c r="GF552">
        <v>57.181740498574513</v>
      </c>
      <c r="GG552">
        <v>38.867924732092341</v>
      </c>
      <c r="GH552">
        <v>54.67354243924585</v>
      </c>
      <c r="GI552">
        <v>67.55890151614922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230.47366210420699</v>
      </c>
      <c r="AO553">
        <v>135.99041919730615</v>
      </c>
      <c r="AP553">
        <v>572.24390588141</v>
      </c>
      <c r="AQ553">
        <v>775.16079728514592</v>
      </c>
      <c r="AR553">
        <v>127.35496031689731</v>
      </c>
      <c r="AS553">
        <v>1322.6417186060889</v>
      </c>
      <c r="AT553">
        <v>67.977940655165824</v>
      </c>
      <c r="AU553">
        <v>119.19885188655589</v>
      </c>
      <c r="AV553"/>
      <c r="AW553"/>
      <c r="FY553" s="211">
        <v>548</v>
      </c>
      <c r="FZ553">
        <v>96.778499107690266</v>
      </c>
      <c r="GA553">
        <v>202.227800992401</v>
      </c>
      <c r="GB553">
        <v>74.296791196455274</v>
      </c>
      <c r="GC553">
        <v>37.548813278732617</v>
      </c>
      <c r="GD553">
        <v>33.820050044508484</v>
      </c>
      <c r="GE553">
        <v>55.189685663153071</v>
      </c>
      <c r="GF553">
        <v>59.220081915301236</v>
      </c>
      <c r="GG553">
        <v>39.490593537669511</v>
      </c>
      <c r="GH553">
        <v>49.205868437157079</v>
      </c>
      <c r="GI553">
        <v>77.385545268859147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302.2385868963521</v>
      </c>
      <c r="AO554">
        <v>128.18624584071995</v>
      </c>
      <c r="AP554">
        <v>407.9941337819107</v>
      </c>
      <c r="AQ554">
        <v>696.77773354618273</v>
      </c>
      <c r="AR554">
        <v>121.43789997369136</v>
      </c>
      <c r="AS554">
        <v>1407.7875862335427</v>
      </c>
      <c r="AT554">
        <v>57.960137640683541</v>
      </c>
      <c r="AU554">
        <v>-99.173298716393532</v>
      </c>
      <c r="AV554"/>
      <c r="AW554"/>
      <c r="FY554" s="211">
        <v>549</v>
      </c>
      <c r="FZ554">
        <v>116.56123344209912</v>
      </c>
      <c r="GA554">
        <v>178.5754364112839</v>
      </c>
      <c r="GB554">
        <v>63.696812340845398</v>
      </c>
      <c r="GC554">
        <v>46.413918674652649</v>
      </c>
      <c r="GD554">
        <v>40.711686639238224</v>
      </c>
      <c r="GE554">
        <v>62.258688008532161</v>
      </c>
      <c r="GF554">
        <v>91.438089170944792</v>
      </c>
      <c r="GG554">
        <v>56.654406770810112</v>
      </c>
      <c r="GH554">
        <v>41.152829963057357</v>
      </c>
      <c r="GI554">
        <v>88.264898897024949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295.86313895697697</v>
      </c>
      <c r="AO555">
        <v>143.9489608960142</v>
      </c>
      <c r="AP555">
        <v>570.23907651181037</v>
      </c>
      <c r="AQ555">
        <v>783.73819313433603</v>
      </c>
      <c r="AR555">
        <v>135.6771039366165</v>
      </c>
      <c r="AS555">
        <v>1481.5188368028403</v>
      </c>
      <c r="AT555">
        <v>66.186135356380362</v>
      </c>
      <c r="AU555">
        <v>11.74324608207688</v>
      </c>
      <c r="AV555"/>
      <c r="AW555"/>
      <c r="FY555" s="211">
        <v>550</v>
      </c>
      <c r="FZ555">
        <v>126.11226371263913</v>
      </c>
      <c r="GA555">
        <v>137.522694204071</v>
      </c>
      <c r="GB555">
        <v>41.615932001479152</v>
      </c>
      <c r="GC555">
        <v>49.918980584580723</v>
      </c>
      <c r="GD555">
        <v>35.977637660477775</v>
      </c>
      <c r="GE555">
        <v>46.000805617935228</v>
      </c>
      <c r="GF555">
        <v>94.665861850317143</v>
      </c>
      <c r="GG555">
        <v>78.17403829418177</v>
      </c>
      <c r="GH555">
        <v>67.431219800449085</v>
      </c>
      <c r="GI555">
        <v>84.533247388060815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65.182935698130947</v>
      </c>
      <c r="H556" s="63" t="s">
        <v>103</v>
      </c>
      <c r="I556" s="123">
        <f>SUM(J532:J552)+G531</f>
        <v>180.23149248578599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315.63908117358812</v>
      </c>
      <c r="AO556">
        <v>154.55036600027924</v>
      </c>
      <c r="AP556">
        <v>842.13442593394097</v>
      </c>
      <c r="AQ556">
        <v>829.0330551769116</v>
      </c>
      <c r="AR556">
        <v>145.15707340763478</v>
      </c>
      <c r="AS556">
        <v>1818.0726841754806</v>
      </c>
      <c r="AT556">
        <v>76.614064031533843</v>
      </c>
      <c r="AU556">
        <v>720.89213861399605</v>
      </c>
      <c r="AV556"/>
      <c r="AW556"/>
      <c r="FY556" s="211">
        <v>551</v>
      </c>
      <c r="FZ556">
        <v>124.58146199929649</v>
      </c>
      <c r="GA556">
        <v>160.94519760387587</v>
      </c>
      <c r="GB556">
        <v>36.787126057451921</v>
      </c>
      <c r="GC556">
        <v>38.877760816664292</v>
      </c>
      <c r="GD556">
        <v>47.270602474765738</v>
      </c>
      <c r="GE556">
        <v>95.887665904331158</v>
      </c>
      <c r="GF556">
        <v>92.472922669565747</v>
      </c>
      <c r="GG556">
        <v>95.218337174867997</v>
      </c>
      <c r="GH556">
        <v>137.10724748883595</v>
      </c>
      <c r="GI556">
        <v>103.11100129462638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194.68168809330166</v>
      </c>
      <c r="AO557">
        <v>113.35523964167749</v>
      </c>
      <c r="AP557">
        <v>584.85722805535374</v>
      </c>
      <c r="AQ557">
        <v>660.72605431562147</v>
      </c>
      <c r="AR557">
        <v>109.20168829613237</v>
      </c>
      <c r="AS557">
        <v>1090.6268021719354</v>
      </c>
      <c r="AT557">
        <v>55.608983727492607</v>
      </c>
      <c r="AU557">
        <v>-15.010784698485423</v>
      </c>
      <c r="AV557"/>
      <c r="AW557"/>
      <c r="FY557" s="211">
        <v>552</v>
      </c>
      <c r="FZ557">
        <v>138.95100531899837</v>
      </c>
      <c r="GA557">
        <v>145.39385376304875</v>
      </c>
      <c r="GB557">
        <v>50.636166403976418</v>
      </c>
      <c r="GC557">
        <v>44.083494959704119</v>
      </c>
      <c r="GD557">
        <v>57.166654049761078</v>
      </c>
      <c r="GE557">
        <v>104.71754343414509</v>
      </c>
      <c r="GF557">
        <v>72.353499607320728</v>
      </c>
      <c r="GG557">
        <v>36.415853059543338</v>
      </c>
      <c r="GH557">
        <v>40.820943516987278</v>
      </c>
      <c r="GI557">
        <v>93.97817735733824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237.32193806872746</v>
      </c>
      <c r="AO558">
        <v>140.88771646883623</v>
      </c>
      <c r="AP558">
        <v>606.82047333929643</v>
      </c>
      <c r="AQ558">
        <v>793.79347678363627</v>
      </c>
      <c r="AR558">
        <v>134.48675354744319</v>
      </c>
      <c r="AS558">
        <v>1430.1680622647841</v>
      </c>
      <c r="AT558">
        <v>66.997196222123236</v>
      </c>
      <c r="AU558">
        <v>286.43986870759096</v>
      </c>
      <c r="AV558"/>
      <c r="AW558"/>
      <c r="FY558" s="211">
        <v>553</v>
      </c>
      <c r="FZ558">
        <v>124.4032293262828</v>
      </c>
      <c r="GA558">
        <v>138.89766113696786</v>
      </c>
      <c r="GB558">
        <v>35.508672139906835</v>
      </c>
      <c r="GC558">
        <v>41.69470365392521</v>
      </c>
      <c r="GD558">
        <v>39.310683908850443</v>
      </c>
      <c r="GE558">
        <v>74.339819770270267</v>
      </c>
      <c r="GF558">
        <v>120.78639704963224</v>
      </c>
      <c r="GG558">
        <v>63.105638179266698</v>
      </c>
      <c r="GH558">
        <v>44.398580834255689</v>
      </c>
      <c r="GI558">
        <v>88.095907604162676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>
        <f>I556/G556</f>
        <v>2.7650103597735618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210.59898274934412</v>
      </c>
      <c r="AO559">
        <v>131.77638814075286</v>
      </c>
      <c r="AP559">
        <v>509.8879487742434</v>
      </c>
      <c r="AQ559">
        <v>694.55332251446828</v>
      </c>
      <c r="AR559">
        <v>124.7014964696819</v>
      </c>
      <c r="AS559">
        <v>1505.7743597009046</v>
      </c>
      <c r="AT559">
        <v>63.892758534820267</v>
      </c>
      <c r="AU559">
        <v>252.16740250599449</v>
      </c>
      <c r="AV559"/>
      <c r="AW559"/>
      <c r="FY559" s="211">
        <v>554</v>
      </c>
      <c r="FZ559">
        <v>127.41116516728081</v>
      </c>
      <c r="GA559">
        <v>180.66233028073978</v>
      </c>
      <c r="GB559">
        <v>64.978411556969419</v>
      </c>
      <c r="GC559">
        <v>39.312591379859661</v>
      </c>
      <c r="GD559">
        <v>30.300296209653514</v>
      </c>
      <c r="GE559">
        <v>51.661678025084967</v>
      </c>
      <c r="GF559">
        <v>102.87906587689669</v>
      </c>
      <c r="GG559">
        <v>101.65322274560806</v>
      </c>
      <c r="GH559">
        <v>90.879955727094156</v>
      </c>
      <c r="GI559">
        <v>94.553817568646608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223.14545633992324</v>
      </c>
      <c r="AO560">
        <v>144.5662024306686</v>
      </c>
      <c r="AP560">
        <v>653.85596836663512</v>
      </c>
      <c r="AQ560">
        <v>831.10753474975922</v>
      </c>
      <c r="AR560">
        <v>139.30406166902966</v>
      </c>
      <c r="AS560">
        <v>1460.022066367781</v>
      </c>
      <c r="AT560">
        <v>76.966710621823182</v>
      </c>
      <c r="AU560">
        <v>97.920463769378898</v>
      </c>
      <c r="AV560"/>
      <c r="AW560"/>
      <c r="FY560" s="211">
        <v>555</v>
      </c>
      <c r="FZ560">
        <v>122.53100333849743</v>
      </c>
      <c r="GA560">
        <v>151.86059314387543</v>
      </c>
      <c r="GB560">
        <v>52.044554627932534</v>
      </c>
      <c r="GC560">
        <v>41.096280451787344</v>
      </c>
      <c r="GD560">
        <v>27.815480730036775</v>
      </c>
      <c r="GE560">
        <v>62.12976214365186</v>
      </c>
      <c r="GF560">
        <v>96.706611766990704</v>
      </c>
      <c r="GG560">
        <v>44.335200849372114</v>
      </c>
      <c r="GH560">
        <v>52.91239794391268</v>
      </c>
      <c r="GI560">
        <v>79.513655148861034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292.43063995323843</v>
      </c>
      <c r="AO561">
        <v>206.83646605716118</v>
      </c>
      <c r="AP561">
        <v>923.95940690315501</v>
      </c>
      <c r="AQ561">
        <v>1094.9268535450706</v>
      </c>
      <c r="AR561">
        <v>191.84542606454741</v>
      </c>
      <c r="AS561">
        <v>1899.5730092396325</v>
      </c>
      <c r="AT561">
        <v>106.84505567142928</v>
      </c>
      <c r="AU561">
        <v>342.39507903165725</v>
      </c>
      <c r="AV561"/>
      <c r="AW561"/>
      <c r="FY561" s="211">
        <v>556</v>
      </c>
      <c r="FZ561">
        <v>109.54019308399145</v>
      </c>
      <c r="GA561">
        <v>143.99502888131707</v>
      </c>
      <c r="GB561">
        <v>53.359004044903365</v>
      </c>
      <c r="GC561">
        <v>42.985211684969464</v>
      </c>
      <c r="GD561">
        <v>59.084043232963438</v>
      </c>
      <c r="GE561">
        <v>106.99757920778397</v>
      </c>
      <c r="GF561">
        <v>85.851845771731732</v>
      </c>
      <c r="GG561">
        <v>66.169338383012956</v>
      </c>
      <c r="GH561">
        <v>69.311575315039207</v>
      </c>
      <c r="GI561">
        <v>99.593721565395114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259.19760237196141</v>
      </c>
      <c r="AO562">
        <v>126.72864612823312</v>
      </c>
      <c r="AP562">
        <v>510.07865628063985</v>
      </c>
      <c r="AQ562">
        <v>755.64095405850617</v>
      </c>
      <c r="AR562">
        <v>121.60174794554338</v>
      </c>
      <c r="AS562">
        <v>1226.6031917361672</v>
      </c>
      <c r="AT562">
        <v>60.379683180068099</v>
      </c>
      <c r="AU562">
        <v>-76.089987229776</v>
      </c>
      <c r="AV562"/>
      <c r="AW562"/>
      <c r="FY562" s="211">
        <v>557</v>
      </c>
      <c r="FZ562">
        <v>102.80418772238349</v>
      </c>
      <c r="GA562">
        <v>145.43290603025204</v>
      </c>
      <c r="GB562">
        <v>56.119783298956975</v>
      </c>
      <c r="GC562">
        <v>49.37911138116894</v>
      </c>
      <c r="GD562">
        <v>34.078588033649091</v>
      </c>
      <c r="GE562">
        <v>65.885851041748836</v>
      </c>
      <c r="GF562">
        <v>126.20200036519121</v>
      </c>
      <c r="GG562">
        <v>87.384834211487345</v>
      </c>
      <c r="GH562">
        <v>75.938474792033276</v>
      </c>
      <c r="GI562">
        <v>93.257575561899458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211.2998133848489</v>
      </c>
      <c r="AO563">
        <v>103.05410182165322</v>
      </c>
      <c r="AP563">
        <v>374.66071460394244</v>
      </c>
      <c r="AQ563">
        <v>602.44997670018984</v>
      </c>
      <c r="AR563">
        <v>100.78199583832195</v>
      </c>
      <c r="AS563">
        <v>1034.3270463572703</v>
      </c>
      <c r="AT563">
        <v>54.771454792066613</v>
      </c>
      <c r="AU563">
        <v>124.93436860847282</v>
      </c>
      <c r="AV563"/>
      <c r="AW563"/>
      <c r="FY563" s="211">
        <v>558</v>
      </c>
      <c r="FZ563">
        <v>123.91227186700685</v>
      </c>
      <c r="GA563">
        <v>188.63962963933611</v>
      </c>
      <c r="GB563">
        <v>59.003346186344011</v>
      </c>
      <c r="GC563">
        <v>36.050042805481041</v>
      </c>
      <c r="GD563">
        <v>54.298020154656484</v>
      </c>
      <c r="GE563">
        <v>129.52794348591183</v>
      </c>
      <c r="GF563">
        <v>129.12562947768549</v>
      </c>
      <c r="GG563">
        <v>35.164369359755781</v>
      </c>
      <c r="GH563">
        <v>19.016447241557145</v>
      </c>
      <c r="GI563">
        <v>101.35707022680401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235.55269737786051</v>
      </c>
      <c r="AO564">
        <v>125.41536075798027</v>
      </c>
      <c r="AP564">
        <v>440.30681824686849</v>
      </c>
      <c r="AQ564">
        <v>725.16372944192756</v>
      </c>
      <c r="AR564">
        <v>117.61012055116333</v>
      </c>
      <c r="AS564">
        <v>1197.6335390432432</v>
      </c>
      <c r="AT564">
        <v>52.004665074603366</v>
      </c>
      <c r="AU564">
        <v>-82.942804929548515</v>
      </c>
      <c r="AV564"/>
      <c r="AW564"/>
      <c r="FY564" s="211">
        <v>559</v>
      </c>
      <c r="FZ564">
        <v>101.70844752520448</v>
      </c>
      <c r="GA564">
        <v>148.61171231416859</v>
      </c>
      <c r="GB564">
        <v>54.112105638154929</v>
      </c>
      <c r="GC564">
        <v>48.705499414380014</v>
      </c>
      <c r="GD564">
        <v>44.015929598699174</v>
      </c>
      <c r="GE564">
        <v>46.509732976993305</v>
      </c>
      <c r="GF564">
        <v>63.695316484848881</v>
      </c>
      <c r="GG564">
        <v>79.428411982766704</v>
      </c>
      <c r="GH564">
        <v>57.538999356835888</v>
      </c>
      <c r="GI564">
        <v>82.03210008455595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239.48567311921661</v>
      </c>
      <c r="AO565">
        <v>141.00447546337224</v>
      </c>
      <c r="AP565">
        <v>629.04451797690126</v>
      </c>
      <c r="AQ565">
        <v>785.72800031848863</v>
      </c>
      <c r="AR565">
        <v>133.20025348332837</v>
      </c>
      <c r="AS565">
        <v>1316.5986373177125</v>
      </c>
      <c r="AT565">
        <v>68.158198968177331</v>
      </c>
      <c r="AU565">
        <v>167.96171594893525</v>
      </c>
      <c r="AV565"/>
      <c r="AW565"/>
      <c r="FY565" s="211">
        <v>560</v>
      </c>
      <c r="FZ565">
        <v>116.37908912213055</v>
      </c>
      <c r="GA565">
        <v>174.01404404238136</v>
      </c>
      <c r="GB565">
        <v>62.786583382410797</v>
      </c>
      <c r="GC565">
        <v>39.358151318458638</v>
      </c>
      <c r="GD565">
        <v>28.143212371829019</v>
      </c>
      <c r="GE565">
        <v>69.333531055788569</v>
      </c>
      <c r="GF565">
        <v>131.14773072451081</v>
      </c>
      <c r="GG565">
        <v>111.88416060782446</v>
      </c>
      <c r="GH565">
        <v>119.70270274290824</v>
      </c>
      <c r="GI565">
        <v>101.92277588779761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210.95708738340954</v>
      </c>
      <c r="AO566">
        <v>134.07297637659613</v>
      </c>
      <c r="AP566">
        <v>598.15682257174456</v>
      </c>
      <c r="AQ566">
        <v>761.95268111419182</v>
      </c>
      <c r="AR566">
        <v>127.38145168441099</v>
      </c>
      <c r="AS566">
        <v>1173.3052159100505</v>
      </c>
      <c r="AT566">
        <v>69.021044610248154</v>
      </c>
      <c r="AU566">
        <v>219.4612964980725</v>
      </c>
      <c r="AV566"/>
      <c r="AW566"/>
      <c r="FY566" s="211">
        <v>561</v>
      </c>
      <c r="FZ566">
        <v>95.87077187606539</v>
      </c>
      <c r="GA566">
        <v>134.10815115222005</v>
      </c>
      <c r="GB566">
        <v>45.731761852237199</v>
      </c>
      <c r="GC566">
        <v>38.337962646391958</v>
      </c>
      <c r="GD566">
        <v>29.919455032614195</v>
      </c>
      <c r="GE566">
        <v>55.842561628536018</v>
      </c>
      <c r="GF566">
        <v>114.09374316974342</v>
      </c>
      <c r="GG566">
        <v>51.369835318355044</v>
      </c>
      <c r="GH566">
        <v>11.246429863605469</v>
      </c>
      <c r="GI566">
        <v>71.727280173014563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251.77350742918708</v>
      </c>
      <c r="AO567">
        <v>169.63852733255999</v>
      </c>
      <c r="AP567">
        <v>1035.084734250974</v>
      </c>
      <c r="AQ567">
        <v>932.25932348428148</v>
      </c>
      <c r="AR567">
        <v>158.04896207006851</v>
      </c>
      <c r="AS567">
        <v>1388.2837993402059</v>
      </c>
      <c r="AT567">
        <v>87.771213612699185</v>
      </c>
      <c r="AU567">
        <v>194.31093234849612</v>
      </c>
      <c r="AV567"/>
      <c r="AW567"/>
      <c r="FY567" s="211">
        <v>562</v>
      </c>
      <c r="FZ567">
        <v>104.41965798659463</v>
      </c>
      <c r="GA567">
        <v>125.71508942623188</v>
      </c>
      <c r="GB567">
        <v>57.6674243371519</v>
      </c>
      <c r="GC567">
        <v>46.478485135140772</v>
      </c>
      <c r="GD567">
        <v>34.387505326143533</v>
      </c>
      <c r="GE567">
        <v>33.258925473331473</v>
      </c>
      <c r="GF567">
        <v>53.16403794517224</v>
      </c>
      <c r="GG567">
        <v>59.340949436226808</v>
      </c>
      <c r="GH567">
        <v>40.541347382402613</v>
      </c>
      <c r="GI567">
        <v>71.139996064687566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300.55580215923521</v>
      </c>
      <c r="AO568">
        <v>147.9224337719414</v>
      </c>
      <c r="AP568">
        <v>563.80709084314833</v>
      </c>
      <c r="AQ568">
        <v>784.51719147082349</v>
      </c>
      <c r="AR568">
        <v>140.73301368663678</v>
      </c>
      <c r="AS568">
        <v>1550.050018088406</v>
      </c>
      <c r="AT568">
        <v>64.255294273974897</v>
      </c>
      <c r="AU568">
        <v>194.26722084369248</v>
      </c>
      <c r="AV568"/>
      <c r="AW568"/>
      <c r="FY568" s="211">
        <v>563</v>
      </c>
      <c r="FZ568">
        <v>124.23798176814661</v>
      </c>
      <c r="GA568">
        <v>159.6594000248493</v>
      </c>
      <c r="GB568">
        <v>53.575923014660155</v>
      </c>
      <c r="GC568">
        <v>30.949705629953371</v>
      </c>
      <c r="GD568">
        <v>23.181994847357345</v>
      </c>
      <c r="GE568">
        <v>60.320729865419651</v>
      </c>
      <c r="GF568">
        <v>97.402313472853848</v>
      </c>
      <c r="GG568">
        <v>39.127768129266855</v>
      </c>
      <c r="GH568">
        <v>37.52211875491215</v>
      </c>
      <c r="GI568">
        <v>75.161275228625229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249.1716457255979</v>
      </c>
      <c r="AO569">
        <v>140.65895137691052</v>
      </c>
      <c r="AP569">
        <v>640.72730860073079</v>
      </c>
      <c r="AQ569">
        <v>770.54129360352067</v>
      </c>
      <c r="AR569">
        <v>133.00732987776988</v>
      </c>
      <c r="AS569">
        <v>1319.7376573875649</v>
      </c>
      <c r="AT569">
        <v>64.661993892478719</v>
      </c>
      <c r="AU569">
        <v>139.03630044145007</v>
      </c>
      <c r="AV569"/>
      <c r="AW569"/>
      <c r="FY569" s="211">
        <v>564</v>
      </c>
      <c r="FZ569">
        <v>105.03421787445575</v>
      </c>
      <c r="GA569">
        <v>125.82334688111615</v>
      </c>
      <c r="GB569">
        <v>49.839087135220637</v>
      </c>
      <c r="GC569">
        <v>35.098690314078965</v>
      </c>
      <c r="GD569">
        <v>49.649939028646138</v>
      </c>
      <c r="GE569">
        <v>106.68928127547773</v>
      </c>
      <c r="GF569">
        <v>85.614659617664316</v>
      </c>
      <c r="GG569">
        <v>64.581630152372355</v>
      </c>
      <c r="GH569">
        <v>62.502349366519709</v>
      </c>
      <c r="GI569">
        <v>90.369916316899292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216.73792606330153</v>
      </c>
      <c r="AO570">
        <v>152.81383626680758</v>
      </c>
      <c r="AP570">
        <v>700.5541408714148</v>
      </c>
      <c r="AQ570">
        <v>884.29253453783383</v>
      </c>
      <c r="AR570">
        <v>145.10966194651289</v>
      </c>
      <c r="AS570">
        <v>1324.636773084331</v>
      </c>
      <c r="AT570">
        <v>77.206948394101062</v>
      </c>
      <c r="AU570">
        <v>256.81960529729525</v>
      </c>
      <c r="AV570"/>
      <c r="AW570"/>
      <c r="FY570" s="211">
        <v>565</v>
      </c>
      <c r="FZ570">
        <v>90.328240066219792</v>
      </c>
      <c r="GA570">
        <v>155.66307153110057</v>
      </c>
      <c r="GB570">
        <v>57.005933001993391</v>
      </c>
      <c r="GC570">
        <v>38.708703612688076</v>
      </c>
      <c r="GD570">
        <v>36.457308251512231</v>
      </c>
      <c r="GE570">
        <v>71.225250902600919</v>
      </c>
      <c r="GF570">
        <v>107.40897498292421</v>
      </c>
      <c r="GG570">
        <v>84.424096054936996</v>
      </c>
      <c r="GH570">
        <v>85.597403808050402</v>
      </c>
      <c r="GI570">
        <v>91.331568975562263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242.58782638600496</v>
      </c>
      <c r="AO571">
        <v>126.86909648391409</v>
      </c>
      <c r="AP571">
        <v>644.86691481016385</v>
      </c>
      <c r="AQ571">
        <v>730.9455401449178</v>
      </c>
      <c r="AR571">
        <v>120.12818517733064</v>
      </c>
      <c r="AS571">
        <v>1214.9610793042498</v>
      </c>
      <c r="AT571">
        <v>62.001447009367261</v>
      </c>
      <c r="AU571">
        <v>44.15647208156021</v>
      </c>
      <c r="AV571"/>
      <c r="AW571"/>
      <c r="FY571" s="211">
        <v>566</v>
      </c>
      <c r="FZ571">
        <v>121.00046763580457</v>
      </c>
      <c r="GA571">
        <v>124.39517131349317</v>
      </c>
      <c r="GB571">
        <v>35.872854510828176</v>
      </c>
      <c r="GC571">
        <v>38.143456222642847</v>
      </c>
      <c r="GD571">
        <v>53.583735690517138</v>
      </c>
      <c r="GE571">
        <v>102.84510176406046</v>
      </c>
      <c r="GF571">
        <v>61.443881405137638</v>
      </c>
      <c r="GG571">
        <v>37.805940613803941</v>
      </c>
      <c r="GH571">
        <v>66.497341426838332</v>
      </c>
      <c r="GI571">
        <v>86.710423384428992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303.44740056905073</v>
      </c>
      <c r="AO572">
        <v>158.87213418075439</v>
      </c>
      <c r="AP572">
        <v>648.51777482100704</v>
      </c>
      <c r="AQ572">
        <v>836.88754117110773</v>
      </c>
      <c r="AR572">
        <v>150.13906296857959</v>
      </c>
      <c r="AS572">
        <v>1525.159238106683</v>
      </c>
      <c r="AT572">
        <v>71.164337755204187</v>
      </c>
      <c r="AU572">
        <v>151.51369458951399</v>
      </c>
      <c r="AV572"/>
      <c r="AW572"/>
      <c r="FY572" s="211">
        <v>567</v>
      </c>
      <c r="FZ572">
        <v>117.54747394945458</v>
      </c>
      <c r="GA572">
        <v>143.42927397323743</v>
      </c>
      <c r="GB572">
        <v>51.647050696469329</v>
      </c>
      <c r="GC572">
        <v>43.956534706003701</v>
      </c>
      <c r="GD572">
        <v>49.934645656999578</v>
      </c>
      <c r="GE572">
        <v>92.932026808210779</v>
      </c>
      <c r="GF572">
        <v>92.389846820853663</v>
      </c>
      <c r="GG572">
        <v>75.033198110695736</v>
      </c>
      <c r="GH572">
        <v>86.68977845625318</v>
      </c>
      <c r="GI572">
        <v>98.389803805055834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233.93077370584083</v>
      </c>
      <c r="AO573">
        <v>153.0064630652376</v>
      </c>
      <c r="AP573">
        <v>733.28552750436177</v>
      </c>
      <c r="AQ573">
        <v>836.48331243877067</v>
      </c>
      <c r="AR573">
        <v>142.47735566889594</v>
      </c>
      <c r="AS573">
        <v>1348.2377323065755</v>
      </c>
      <c r="AT573">
        <v>75.075635990207402</v>
      </c>
      <c r="AU573">
        <v>244.14010854258854</v>
      </c>
      <c r="AV573"/>
      <c r="AW573"/>
      <c r="FY573" s="211">
        <v>568</v>
      </c>
      <c r="FZ573">
        <v>136.50955820297798</v>
      </c>
      <c r="GA573">
        <v>171.08187680703975</v>
      </c>
      <c r="GB573">
        <v>41.779592299507073</v>
      </c>
      <c r="GC573">
        <v>28.26665332501069</v>
      </c>
      <c r="GD573">
        <v>38.659624275493876</v>
      </c>
      <c r="GE573">
        <v>83.758010743437126</v>
      </c>
      <c r="GF573">
        <v>133.72179232863238</v>
      </c>
      <c r="GG573">
        <v>91.10651574158382</v>
      </c>
      <c r="GH573">
        <v>45.235864365978877</v>
      </c>
      <c r="GI573">
        <v>93.796442665667612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291.46294591926988</v>
      </c>
      <c r="AO574">
        <v>162.98249521067541</v>
      </c>
      <c r="AP574">
        <v>663.87210458505433</v>
      </c>
      <c r="AQ574">
        <v>876.09477044453877</v>
      </c>
      <c r="AR574">
        <v>152.47720538674946</v>
      </c>
      <c r="AS574">
        <v>1719.5966255417368</v>
      </c>
      <c r="AT574">
        <v>71.491271808456062</v>
      </c>
      <c r="AU574">
        <v>217.6845440573114</v>
      </c>
      <c r="AV574"/>
      <c r="AW574"/>
      <c r="FY574" s="211">
        <v>569</v>
      </c>
      <c r="FZ574">
        <v>111.45138176464316</v>
      </c>
      <c r="GA574">
        <v>162.19158982242274</v>
      </c>
      <c r="GB574">
        <v>67.600600671348261</v>
      </c>
      <c r="GC574">
        <v>49.82803838184077</v>
      </c>
      <c r="GD574">
        <v>51.36386965411176</v>
      </c>
      <c r="GE574">
        <v>82.203959939438491</v>
      </c>
      <c r="GF574">
        <v>63.873357528071196</v>
      </c>
      <c r="GG574">
        <v>34.984913526543046</v>
      </c>
      <c r="GH574">
        <v>41.177913949499626</v>
      </c>
      <c r="GI574">
        <v>88.804934629227006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231.88594891412808</v>
      </c>
      <c r="AO575">
        <v>133.27515762706338</v>
      </c>
      <c r="AP575">
        <v>634.85906373202852</v>
      </c>
      <c r="AQ575">
        <v>726.35825537660799</v>
      </c>
      <c r="AR575">
        <v>124.60356913712081</v>
      </c>
      <c r="AS575">
        <v>1177.2886881375209</v>
      </c>
      <c r="AT575">
        <v>62.421752231019788</v>
      </c>
      <c r="AU575">
        <v>366.11966810303932</v>
      </c>
      <c r="AV575"/>
      <c r="AW575"/>
      <c r="FY575" s="211">
        <v>570</v>
      </c>
      <c r="FZ575">
        <v>128.21556677674661</v>
      </c>
      <c r="GA575">
        <v>173.75988637441151</v>
      </c>
      <c r="GB575">
        <v>50.898907191808547</v>
      </c>
      <c r="GC575">
        <v>42.423933173980501</v>
      </c>
      <c r="GD575">
        <v>30.801068008401153</v>
      </c>
      <c r="GE575">
        <v>52.209851245967528</v>
      </c>
      <c r="GF575">
        <v>91.276586103984698</v>
      </c>
      <c r="GG575">
        <v>78.198583646496331</v>
      </c>
      <c r="GH575">
        <v>94.002687161948188</v>
      </c>
      <c r="GI575">
        <v>88.563007660092751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236.91508234879581</v>
      </c>
      <c r="AO576">
        <v>165.29923083840706</v>
      </c>
      <c r="AP576">
        <v>789.14861767520756</v>
      </c>
      <c r="AQ576">
        <v>954.67198125604011</v>
      </c>
      <c r="AR576">
        <v>155.7885279407914</v>
      </c>
      <c r="AS576">
        <v>1467.089806975212</v>
      </c>
      <c r="AT576">
        <v>86.918817451249367</v>
      </c>
      <c r="AU576">
        <v>126.47231792662488</v>
      </c>
      <c r="AV576"/>
      <c r="AW576"/>
      <c r="FY576" s="211">
        <v>571</v>
      </c>
      <c r="FZ576">
        <v>122.51132264378276</v>
      </c>
      <c r="GA576">
        <v>191.1761372839639</v>
      </c>
      <c r="GB576">
        <v>75.713328306102952</v>
      </c>
      <c r="GC576">
        <v>44.60378936850384</v>
      </c>
      <c r="GD576">
        <v>50.870689001925626</v>
      </c>
      <c r="GE576">
        <v>113.24690983262788</v>
      </c>
      <c r="GF576">
        <v>111.51033311562578</v>
      </c>
      <c r="GG576">
        <v>66.702646513731963</v>
      </c>
      <c r="GH576">
        <v>85.111057358071633</v>
      </c>
      <c r="GI576">
        <v>110.83414621612836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245.10806481896242</v>
      </c>
      <c r="AO577">
        <v>113.03485004201238</v>
      </c>
      <c r="AP577">
        <v>412.81738358679218</v>
      </c>
      <c r="AQ577">
        <v>648.24795271278344</v>
      </c>
      <c r="AR577">
        <v>106.23876236911632</v>
      </c>
      <c r="AS577">
        <v>1196.3288535124464</v>
      </c>
      <c r="AT577">
        <v>48.633319699108462</v>
      </c>
      <c r="AU577">
        <v>136.51678101023299</v>
      </c>
      <c r="AV577"/>
      <c r="AW577"/>
      <c r="FY577" s="211">
        <v>572</v>
      </c>
      <c r="FZ577">
        <v>131.83318874544031</v>
      </c>
      <c r="GA577">
        <v>153.24587160899245</v>
      </c>
      <c r="GB577">
        <v>54.599010453283334</v>
      </c>
      <c r="GC577">
        <v>44.127586909791411</v>
      </c>
      <c r="GD577">
        <v>46.914352338143601</v>
      </c>
      <c r="GE577">
        <v>85.226658930657052</v>
      </c>
      <c r="GF577">
        <v>73.928831686579755</v>
      </c>
      <c r="GG577">
        <v>35.978009769928114</v>
      </c>
      <c r="GH577">
        <v>37.804369287311509</v>
      </c>
      <c r="GI577">
        <v>86.984924570552096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229.18797961902919</v>
      </c>
      <c r="AO578">
        <v>110.18011883599267</v>
      </c>
      <c r="AP578">
        <v>331.31117774257132</v>
      </c>
      <c r="AQ578">
        <v>626.11341851308339</v>
      </c>
      <c r="AR578">
        <v>105.47664607424235</v>
      </c>
      <c r="AS578">
        <v>1109.9057257481861</v>
      </c>
      <c r="AT578">
        <v>53.386777647183486</v>
      </c>
      <c r="AU578">
        <v>118.99970488837396</v>
      </c>
      <c r="AV578"/>
      <c r="AW578"/>
      <c r="FY578" s="211">
        <v>573</v>
      </c>
      <c r="FZ578">
        <v>96.115885743282263</v>
      </c>
      <c r="GA578">
        <v>141.32206059355272</v>
      </c>
      <c r="GB578">
        <v>54.564821698056029</v>
      </c>
      <c r="GC578">
        <v>51.864096891263863</v>
      </c>
      <c r="GD578">
        <v>45.671049723823373</v>
      </c>
      <c r="GE578">
        <v>63.67794616203264</v>
      </c>
      <c r="GF578">
        <v>67.416206222685972</v>
      </c>
      <c r="GG578">
        <v>83.54453836615329</v>
      </c>
      <c r="GH578">
        <v>109.26423533609997</v>
      </c>
      <c r="GI578">
        <v>91.078745635333988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248.49482939560625</v>
      </c>
      <c r="AO579">
        <v>117.52696033423697</v>
      </c>
      <c r="AP579">
        <v>337.95338341228063</v>
      </c>
      <c r="AQ579">
        <v>701.13921073604445</v>
      </c>
      <c r="AR579">
        <v>112.8882593306177</v>
      </c>
      <c r="AS579">
        <v>1199.3490932647001</v>
      </c>
      <c r="AT579">
        <v>51.782011064747707</v>
      </c>
      <c r="AU579">
        <v>20.493125132129386</v>
      </c>
      <c r="AV579"/>
      <c r="AW579"/>
      <c r="FY579" s="211">
        <v>574</v>
      </c>
      <c r="FZ579">
        <v>85.675058715668712</v>
      </c>
      <c r="GA579">
        <v>100.55986742834509</v>
      </c>
      <c r="GB579">
        <v>45.509166182760445</v>
      </c>
      <c r="GC579">
        <v>36.876444867282693</v>
      </c>
      <c r="GD579">
        <v>20.403514827859965</v>
      </c>
      <c r="GE579">
        <v>46.919270722674405</v>
      </c>
      <c r="GF579">
        <v>105.26491974681429</v>
      </c>
      <c r="GG579">
        <v>88.473166329987663</v>
      </c>
      <c r="GH579">
        <v>75.871063565627054</v>
      </c>
      <c r="GI579">
        <v>73.141332339661119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285.82312941615385</v>
      </c>
      <c r="AO580">
        <v>145.85985596293966</v>
      </c>
      <c r="AP580">
        <v>705.66915536679676</v>
      </c>
      <c r="AQ580">
        <v>775.20311796245107</v>
      </c>
      <c r="AR580">
        <v>136.41190749870142</v>
      </c>
      <c r="AS580">
        <v>1376.3807815293176</v>
      </c>
      <c r="AT580">
        <v>69.568276606217111</v>
      </c>
      <c r="AU580">
        <v>600.59817382669223</v>
      </c>
      <c r="AV580"/>
      <c r="AW580"/>
      <c r="FY580" s="211">
        <v>575</v>
      </c>
      <c r="FZ580">
        <v>144.03217942053351</v>
      </c>
      <c r="GA580">
        <v>226.96641691946598</v>
      </c>
      <c r="GB580">
        <v>63.471458782827547</v>
      </c>
      <c r="GC580">
        <v>32.204812918459581</v>
      </c>
      <c r="GD580">
        <v>37.714898246545829</v>
      </c>
      <c r="GE580">
        <v>49.151459121258235</v>
      </c>
      <c r="GF580">
        <v>15.192006223650013</v>
      </c>
      <c r="GG580">
        <v>4.0573168550363548</v>
      </c>
      <c r="GH580">
        <v>17.029378545808349</v>
      </c>
      <c r="GI580">
        <v>68.676050093080747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247.67444146271464</v>
      </c>
      <c r="AO581">
        <v>149.0267461673071</v>
      </c>
      <c r="AP581">
        <v>702.49389635555701</v>
      </c>
      <c r="AQ581">
        <v>818.15055118758892</v>
      </c>
      <c r="AR581">
        <v>139.37501976139686</v>
      </c>
      <c r="AS581">
        <v>1361.9712583309636</v>
      </c>
      <c r="AT581">
        <v>74.915877669257625</v>
      </c>
      <c r="AU581">
        <v>179.12669121885654</v>
      </c>
      <c r="AV581"/>
      <c r="AW581"/>
      <c r="FY581" s="211">
        <v>576</v>
      </c>
      <c r="FZ581">
        <v>87.202265277268722</v>
      </c>
      <c r="GA581">
        <v>166.0569269053567</v>
      </c>
      <c r="GB581">
        <v>67.50107457703254</v>
      </c>
      <c r="GC581">
        <v>37.653679750225848</v>
      </c>
      <c r="GD581">
        <v>36.148919248620714</v>
      </c>
      <c r="GE581">
        <v>58.258266544514498</v>
      </c>
      <c r="GF581">
        <v>83.368861954610523</v>
      </c>
      <c r="GG581">
        <v>82.555680950111991</v>
      </c>
      <c r="GH581">
        <v>68.42932532230715</v>
      </c>
      <c r="GI581">
        <v>84.41652978959408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283.49897958519688</v>
      </c>
      <c r="AO582">
        <v>136.7268657176491</v>
      </c>
      <c r="AP582">
        <v>732.53999954457095</v>
      </c>
      <c r="AQ582">
        <v>728.29837396755534</v>
      </c>
      <c r="AR582">
        <v>129.60279242537837</v>
      </c>
      <c r="AS582">
        <v>1413.6660470326856</v>
      </c>
      <c r="AT582">
        <v>68.252008155262686</v>
      </c>
      <c r="AU582">
        <v>408.65362263719686</v>
      </c>
      <c r="AV582"/>
      <c r="AW582"/>
      <c r="FY582" s="211">
        <v>577</v>
      </c>
      <c r="FZ582">
        <v>110.23855191272594</v>
      </c>
      <c r="GA582">
        <v>106.97567441776874</v>
      </c>
      <c r="GB582">
        <v>46.560646513910733</v>
      </c>
      <c r="GC582">
        <v>41.555327007237295</v>
      </c>
      <c r="GD582">
        <v>31.498632413446678</v>
      </c>
      <c r="GE582">
        <v>60.752229893007325</v>
      </c>
      <c r="GF582">
        <v>69.547072255002419</v>
      </c>
      <c r="GG582">
        <v>71.139859587844001</v>
      </c>
      <c r="GH582">
        <v>97.378685993268277</v>
      </c>
      <c r="GI582">
        <v>80.527912115134242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267.67038394675933</v>
      </c>
      <c r="AO583">
        <v>158.1831850354074</v>
      </c>
      <c r="AP583">
        <v>639.92056577397193</v>
      </c>
      <c r="AQ583">
        <v>851.94963298323376</v>
      </c>
      <c r="AR583">
        <v>149.40090180232377</v>
      </c>
      <c r="AS583">
        <v>1398.6616226985439</v>
      </c>
      <c r="AT583">
        <v>75.853499182216012</v>
      </c>
      <c r="AU583">
        <v>120.64883338132978</v>
      </c>
      <c r="AV583"/>
      <c r="AW583"/>
      <c r="FY583" s="211">
        <v>578</v>
      </c>
      <c r="FZ583">
        <v>118.39048608622346</v>
      </c>
      <c r="GA583">
        <v>157.99787892861056</v>
      </c>
      <c r="GB583">
        <v>49.737996876906003</v>
      </c>
      <c r="GC583">
        <v>42.109472499210753</v>
      </c>
      <c r="GD583">
        <v>31.295479734482882</v>
      </c>
      <c r="GE583">
        <v>58.153925553916807</v>
      </c>
      <c r="GF583">
        <v>98.763475931731207</v>
      </c>
      <c r="GG583">
        <v>65.366942225986975</v>
      </c>
      <c r="GH583">
        <v>68.205546819299599</v>
      </c>
      <c r="GI583">
        <v>84.737729687242492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239.39875046809735</v>
      </c>
      <c r="AO584">
        <v>150.3400552108713</v>
      </c>
      <c r="AP584">
        <v>653.05574094040639</v>
      </c>
      <c r="AQ584">
        <v>863.91593075532921</v>
      </c>
      <c r="AR584">
        <v>142.02807455101114</v>
      </c>
      <c r="AS584">
        <v>1373.0326295134309</v>
      </c>
      <c r="AT584">
        <v>71.006888684706396</v>
      </c>
      <c r="AU584">
        <v>276.51164266482471</v>
      </c>
      <c r="AV584"/>
      <c r="AW584"/>
      <c r="FY584" s="211">
        <v>579</v>
      </c>
      <c r="FZ584">
        <v>101.86176972199763</v>
      </c>
      <c r="GA584">
        <v>146.74330598614355</v>
      </c>
      <c r="GB584">
        <v>47.138534548496665</v>
      </c>
      <c r="GC584">
        <v>45.523416544430297</v>
      </c>
      <c r="GD584">
        <v>28.73810300732287</v>
      </c>
      <c r="GE584">
        <v>35.219822255281024</v>
      </c>
      <c r="GF584">
        <v>75.297599556195763</v>
      </c>
      <c r="GG584">
        <v>108.13069096947632</v>
      </c>
      <c r="GH584">
        <v>119.39088048854921</v>
      </c>
      <c r="GI584">
        <v>82.944439257233697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311.34057778471998</v>
      </c>
      <c r="AO585">
        <v>140.26415975715793</v>
      </c>
      <c r="AP585">
        <v>508.28457954642516</v>
      </c>
      <c r="AQ585">
        <v>753.4805598671461</v>
      </c>
      <c r="AR585">
        <v>132.37708566401136</v>
      </c>
      <c r="AS585">
        <v>1335.75644169527</v>
      </c>
      <c r="AT585">
        <v>60.412115657107336</v>
      </c>
      <c r="AU585">
        <v>101.08653931230329</v>
      </c>
      <c r="AV585"/>
      <c r="AW585"/>
      <c r="FY585" s="211">
        <v>580</v>
      </c>
      <c r="FZ585">
        <v>118.51975086654691</v>
      </c>
      <c r="GA585">
        <v>118.74337044921552</v>
      </c>
      <c r="GB585">
        <v>44.652515841256637</v>
      </c>
      <c r="GC585">
        <v>43.416415922239516</v>
      </c>
      <c r="GD585">
        <v>35.823484605963195</v>
      </c>
      <c r="GE585">
        <v>50.30653804846758</v>
      </c>
      <c r="GF585">
        <v>81.869896416522209</v>
      </c>
      <c r="GG585">
        <v>88.865664164458394</v>
      </c>
      <c r="GH585">
        <v>90.109099377451969</v>
      </c>
      <c r="GI585">
        <v>85.95214712442808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232.43117361121921</v>
      </c>
      <c r="AO586">
        <v>143.67047788137575</v>
      </c>
      <c r="AP586">
        <v>599.75481106185953</v>
      </c>
      <c r="AQ586">
        <v>830.35007734383794</v>
      </c>
      <c r="AR586">
        <v>135.80599225667544</v>
      </c>
      <c r="AS586">
        <v>1141.430194536875</v>
      </c>
      <c r="AT586">
        <v>68.948865167364275</v>
      </c>
      <c r="AU586">
        <v>106.41089471165481</v>
      </c>
      <c r="AV586"/>
      <c r="AW586"/>
      <c r="FY586" s="211">
        <v>581</v>
      </c>
      <c r="FZ586">
        <v>97.489812243805474</v>
      </c>
      <c r="GA586">
        <v>122.00983529291969</v>
      </c>
      <c r="GB586">
        <v>37.758751059751702</v>
      </c>
      <c r="GC586">
        <v>40.267965590420346</v>
      </c>
      <c r="GD586">
        <v>29.712620653155327</v>
      </c>
      <c r="GE586">
        <v>51.674105855919699</v>
      </c>
      <c r="GF586">
        <v>110.21634014502104</v>
      </c>
      <c r="GG586">
        <v>73.412183143777256</v>
      </c>
      <c r="GH586">
        <v>48.226211481695408</v>
      </c>
      <c r="GI586">
        <v>76.197767439841897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311.96721310310141</v>
      </c>
      <c r="AO587">
        <v>179.10925853172031</v>
      </c>
      <c r="AP587">
        <v>814.48645669217012</v>
      </c>
      <c r="AQ587">
        <v>972.28035964046478</v>
      </c>
      <c r="AR587">
        <v>168.4869116641004</v>
      </c>
      <c r="AS587">
        <v>1645.6467042083514</v>
      </c>
      <c r="AT587">
        <v>87.65621343949239</v>
      </c>
      <c r="AU587">
        <v>302.41839234906911</v>
      </c>
      <c r="AV587"/>
      <c r="AW587"/>
      <c r="FY587" s="211">
        <v>582</v>
      </c>
      <c r="FZ587">
        <v>110.22881491333357</v>
      </c>
      <c r="GA587">
        <v>156.65962264022912</v>
      </c>
      <c r="GB587">
        <v>44.693677634105569</v>
      </c>
      <c r="GC587">
        <v>32.97381849489576</v>
      </c>
      <c r="GD587">
        <v>49.167907186111208</v>
      </c>
      <c r="GE587">
        <v>70.198882018870165</v>
      </c>
      <c r="GF587">
        <v>48.881660239851101</v>
      </c>
      <c r="GG587">
        <v>98.275405841447494</v>
      </c>
      <c r="GH587">
        <v>106.50811900399009</v>
      </c>
      <c r="GI587">
        <v>89.229026593176854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255.71959053475825</v>
      </c>
      <c r="AO588">
        <v>137.84416654355044</v>
      </c>
      <c r="AP588">
        <v>672.07068351864677</v>
      </c>
      <c r="AQ588">
        <v>750.6428043006797</v>
      </c>
      <c r="AR588">
        <v>130.6616217594416</v>
      </c>
      <c r="AS588">
        <v>1466.9134017021049</v>
      </c>
      <c r="AT588">
        <v>68.224621240332041</v>
      </c>
      <c r="AU588">
        <v>335.78527957478167</v>
      </c>
      <c r="AV588"/>
      <c r="AW588"/>
      <c r="FY588" s="211">
        <v>583</v>
      </c>
      <c r="FZ588">
        <v>112.87971982660819</v>
      </c>
      <c r="GA588">
        <v>124.06111539995358</v>
      </c>
      <c r="GB588">
        <v>52.208781799900095</v>
      </c>
      <c r="GC588">
        <v>42.573346049480257</v>
      </c>
      <c r="GD588">
        <v>36.983289644413972</v>
      </c>
      <c r="GE588">
        <v>55.817341358667441</v>
      </c>
      <c r="GF588">
        <v>79.685500456049141</v>
      </c>
      <c r="GG588">
        <v>73.266815751145643</v>
      </c>
      <c r="GH588">
        <v>65.007606404208587</v>
      </c>
      <c r="GI588">
        <v>82.293733690588539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261.25608270618608</v>
      </c>
      <c r="AO589">
        <v>146.46479718014024</v>
      </c>
      <c r="AP589">
        <v>539.89513713619192</v>
      </c>
      <c r="AQ589">
        <v>804.51958637228415</v>
      </c>
      <c r="AR589">
        <v>137.4263156223806</v>
      </c>
      <c r="AS589">
        <v>1505.6349516597061</v>
      </c>
      <c r="AT589">
        <v>73.030480627338548</v>
      </c>
      <c r="AU589">
        <v>54.69881472797104</v>
      </c>
      <c r="AV589"/>
      <c r="AW589"/>
      <c r="FY589" s="211">
        <v>584</v>
      </c>
      <c r="FZ589">
        <v>115.7561423581606</v>
      </c>
      <c r="GA589">
        <v>140.76088052416119</v>
      </c>
      <c r="GB589">
        <v>45.154177469936435</v>
      </c>
      <c r="GC589">
        <v>39.558306250946188</v>
      </c>
      <c r="GD589">
        <v>35.116163223438392</v>
      </c>
      <c r="GE589">
        <v>90.872328737536677</v>
      </c>
      <c r="GF589">
        <v>137.57817821754662</v>
      </c>
      <c r="GG589">
        <v>99.394945031358134</v>
      </c>
      <c r="GH589">
        <v>116.19430070517245</v>
      </c>
      <c r="GI589">
        <v>102.7748444150933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218.04245653708057</v>
      </c>
      <c r="AO590">
        <v>118.14319093476146</v>
      </c>
      <c r="AP590">
        <v>634.02107618527475</v>
      </c>
      <c r="AQ590">
        <v>678.69380472668149</v>
      </c>
      <c r="AR590">
        <v>110.8078584562398</v>
      </c>
      <c r="AS590">
        <v>1189.5039096632408</v>
      </c>
      <c r="AT590">
        <v>57.076411257455725</v>
      </c>
      <c r="AU590">
        <v>239.39698586871617</v>
      </c>
      <c r="AV590"/>
      <c r="AW590"/>
      <c r="FY590" s="211">
        <v>585</v>
      </c>
      <c r="FZ590">
        <v>102.68504479676477</v>
      </c>
      <c r="GA590">
        <v>148.5176044382207</v>
      </c>
      <c r="GB590">
        <v>46.573226179669447</v>
      </c>
      <c r="GC590">
        <v>41.275842930967485</v>
      </c>
      <c r="GD590">
        <v>31.51796367486255</v>
      </c>
      <c r="GE590">
        <v>57.850355070302811</v>
      </c>
      <c r="GF590">
        <v>119.73423969397825</v>
      </c>
      <c r="GG590">
        <v>102.24772093904366</v>
      </c>
      <c r="GH590">
        <v>82.34388388184378</v>
      </c>
      <c r="GI590">
        <v>88.756994944801676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219.63491929305502</v>
      </c>
      <c r="AO591">
        <v>107.54330409056027</v>
      </c>
      <c r="AP591">
        <v>373.59828157179726</v>
      </c>
      <c r="AQ591">
        <v>658.49597712666605</v>
      </c>
      <c r="AR591">
        <v>102.72288039121855</v>
      </c>
      <c r="AS591">
        <v>1062.0479343595939</v>
      </c>
      <c r="AT591">
        <v>50.028001974484312</v>
      </c>
      <c r="AU591">
        <v>-58.045462468295348</v>
      </c>
      <c r="AV591"/>
      <c r="AW591"/>
      <c r="FY591" s="211">
        <v>586</v>
      </c>
      <c r="FZ591">
        <v>136.38544867842052</v>
      </c>
      <c r="GA591">
        <v>181.00472919249617</v>
      </c>
      <c r="GB591">
        <v>62.409869213618698</v>
      </c>
      <c r="GC591">
        <v>43.166076592227718</v>
      </c>
      <c r="GD591">
        <v>44.912554447648084</v>
      </c>
      <c r="GE591">
        <v>105.09375037475641</v>
      </c>
      <c r="GF591">
        <v>148.02272113033737</v>
      </c>
      <c r="GG591">
        <v>54.460646509482807</v>
      </c>
      <c r="GH591">
        <v>18.077325666472241</v>
      </c>
      <c r="GI591">
        <v>102.9667927388751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261.92260201241686</v>
      </c>
      <c r="AO592">
        <v>136.1869960381463</v>
      </c>
      <c r="AP592">
        <v>576.24615007327282</v>
      </c>
      <c r="AQ592">
        <v>771.59153031964274</v>
      </c>
      <c r="AR592">
        <v>127.40101838857787</v>
      </c>
      <c r="AS592">
        <v>1257.5668570726602</v>
      </c>
      <c r="AT592">
        <v>63.484967580508659</v>
      </c>
      <c r="AU592">
        <v>134.41524378748201</v>
      </c>
      <c r="AV592"/>
      <c r="AW592"/>
      <c r="FY592" s="211">
        <v>587</v>
      </c>
      <c r="FZ592">
        <v>107.78932976717481</v>
      </c>
      <c r="GA592">
        <v>142.30964884540526</v>
      </c>
      <c r="GB592">
        <v>62.403106296544571</v>
      </c>
      <c r="GC592">
        <v>46.578293056390841</v>
      </c>
      <c r="GD592">
        <v>42.750637761597289</v>
      </c>
      <c r="GE592">
        <v>80.99990212705913</v>
      </c>
      <c r="GF592">
        <v>81.946709716121191</v>
      </c>
      <c r="GG592">
        <v>33.58269793579705</v>
      </c>
      <c r="GH592">
        <v>38.059714888069088</v>
      </c>
      <c r="GI592">
        <v>84.580021633576308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214.37165947407789</v>
      </c>
      <c r="AO593">
        <v>130.03825086025367</v>
      </c>
      <c r="AP593">
        <v>517.1862463968987</v>
      </c>
      <c r="AQ593">
        <v>716.17459210934567</v>
      </c>
      <c r="AR593">
        <v>123.17009121285295</v>
      </c>
      <c r="AS593">
        <v>1082.1974461281438</v>
      </c>
      <c r="AT593">
        <v>67.821856114166962</v>
      </c>
      <c r="AU593">
        <v>161.81213726245662</v>
      </c>
      <c r="AV593"/>
      <c r="AW593"/>
      <c r="FY593" s="211">
        <v>588</v>
      </c>
      <c r="FZ593">
        <v>109.96246017162058</v>
      </c>
      <c r="GA593">
        <v>169.51822993147724</v>
      </c>
      <c r="GB593">
        <v>54.80230634919856</v>
      </c>
      <c r="GC593">
        <v>47.520621052269107</v>
      </c>
      <c r="GD593">
        <v>34.000141608865128</v>
      </c>
      <c r="GE593">
        <v>35.232809933388751</v>
      </c>
      <c r="GF593">
        <v>70.760777958051719</v>
      </c>
      <c r="GG593">
        <v>86.270641314691915</v>
      </c>
      <c r="GH593">
        <v>86.52258743902911</v>
      </c>
      <c r="GI593">
        <v>82.554201570575003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248.0496448505167</v>
      </c>
      <c r="AO594">
        <v>136.52041122112092</v>
      </c>
      <c r="AP594">
        <v>665.28863685823285</v>
      </c>
      <c r="AQ594">
        <v>774.75893434361058</v>
      </c>
      <c r="AR594">
        <v>128.337709308168</v>
      </c>
      <c r="AS594">
        <v>1440.3693082867935</v>
      </c>
      <c r="AT594">
        <v>68.007578206352875</v>
      </c>
      <c r="AU594">
        <v>96.907079982961022</v>
      </c>
      <c r="AV594"/>
      <c r="AW594"/>
      <c r="FY594" s="211">
        <v>589</v>
      </c>
      <c r="FZ594">
        <v>108.35622878802344</v>
      </c>
      <c r="GA594">
        <v>132.05114595948419</v>
      </c>
      <c r="GB594">
        <v>49.360905516283808</v>
      </c>
      <c r="GC594">
        <v>40.463669347044274</v>
      </c>
      <c r="GD594">
        <v>40.667089703172913</v>
      </c>
      <c r="GE594">
        <v>74.096513276786212</v>
      </c>
      <c r="GF594">
        <v>101.9216613314416</v>
      </c>
      <c r="GG594">
        <v>66.242541836536063</v>
      </c>
      <c r="GH594">
        <v>38.297788884516955</v>
      </c>
      <c r="GI594">
        <v>83.383775811040849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225.20686860470695</v>
      </c>
      <c r="AO595">
        <v>138.05545615095656</v>
      </c>
      <c r="AP595">
        <v>696.80286429855005</v>
      </c>
      <c r="AQ595">
        <v>790.98856233512709</v>
      </c>
      <c r="AR595">
        <v>127.4617117130135</v>
      </c>
      <c r="AS595">
        <v>1182.1156329123121</v>
      </c>
      <c r="AT595">
        <v>72.51648550256651</v>
      </c>
      <c r="AU595">
        <v>139.37672804756752</v>
      </c>
      <c r="AV595"/>
      <c r="AW595"/>
      <c r="FY595" s="211">
        <v>590</v>
      </c>
      <c r="FZ595">
        <v>135.99912617273236</v>
      </c>
      <c r="GA595">
        <v>144.00902711666046</v>
      </c>
      <c r="GB595">
        <v>34.020982035897283</v>
      </c>
      <c r="GC595">
        <v>39.012457422575402</v>
      </c>
      <c r="GD595">
        <v>46.711948972208951</v>
      </c>
      <c r="GE595">
        <v>74.348121526645087</v>
      </c>
      <c r="GF595">
        <v>78.40192210265586</v>
      </c>
      <c r="GG595">
        <v>62.640609540056296</v>
      </c>
      <c r="GH595">
        <v>44.642228582183392</v>
      </c>
      <c r="GI595">
        <v>84.309473827910068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225.21295273511797</v>
      </c>
      <c r="AO596">
        <v>134.58717345684292</v>
      </c>
      <c r="AP596">
        <v>506.37921544053017</v>
      </c>
      <c r="AQ596">
        <v>758.25888281655</v>
      </c>
      <c r="AR596">
        <v>129.65510722110142</v>
      </c>
      <c r="AS596">
        <v>1277.7383597941684</v>
      </c>
      <c r="AT596">
        <v>69.624211056181963</v>
      </c>
      <c r="AU596">
        <v>207.52092355505516</v>
      </c>
      <c r="AV596"/>
      <c r="AW596"/>
      <c r="FY596" s="211">
        <v>591</v>
      </c>
      <c r="FZ596">
        <v>136.34623575241557</v>
      </c>
      <c r="GA596">
        <v>164.43472100472474</v>
      </c>
      <c r="GB596">
        <v>43.217225800328876</v>
      </c>
      <c r="GC596">
        <v>39.039436182598408</v>
      </c>
      <c r="GD596">
        <v>36.589884068081673</v>
      </c>
      <c r="GE596">
        <v>72.468655237551431</v>
      </c>
      <c r="GF596">
        <v>102.92115396059143</v>
      </c>
      <c r="GG596">
        <v>60.044128360455439</v>
      </c>
      <c r="GH596">
        <v>53.723734324018174</v>
      </c>
      <c r="GI596">
        <v>86.522243240039373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240.17753321968161</v>
      </c>
      <c r="AO597">
        <v>120.89662319819945</v>
      </c>
      <c r="AP597">
        <v>423.03493202245085</v>
      </c>
      <c r="AQ597">
        <v>686.96559290630785</v>
      </c>
      <c r="AR597">
        <v>113.60632645214054</v>
      </c>
      <c r="AS597">
        <v>1283.7380552098361</v>
      </c>
      <c r="AT597">
        <v>56.481071703736241</v>
      </c>
      <c r="AU597">
        <v>111.28804651048513</v>
      </c>
      <c r="AV597"/>
      <c r="AW597"/>
      <c r="FY597" s="211">
        <v>592</v>
      </c>
      <c r="FZ597">
        <v>147.14873819930727</v>
      </c>
      <c r="GA597">
        <v>192.44139239988891</v>
      </c>
      <c r="GB597">
        <v>80.437433022316597</v>
      </c>
      <c r="GC597">
        <v>50.635109606741437</v>
      </c>
      <c r="GD597">
        <v>44.498227800088124</v>
      </c>
      <c r="GE597">
        <v>55.634211946332847</v>
      </c>
      <c r="GF597">
        <v>94.843089338384743</v>
      </c>
      <c r="GG597">
        <v>101.04770960555228</v>
      </c>
      <c r="GH597">
        <v>68.789442234287264</v>
      </c>
      <c r="GI597">
        <v>104.68303225871658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238.6866277978385</v>
      </c>
      <c r="AO598">
        <v>145.14998861824014</v>
      </c>
      <c r="AP598">
        <v>624.12893146149304</v>
      </c>
      <c r="AQ598">
        <v>806.8169345660109</v>
      </c>
      <c r="AR598">
        <v>135.99967354075545</v>
      </c>
      <c r="AS598">
        <v>1292.8575916466366</v>
      </c>
      <c r="AT598">
        <v>71.084181223265958</v>
      </c>
      <c r="AU598">
        <v>255.59548494644929</v>
      </c>
      <c r="AV598"/>
      <c r="AW598"/>
      <c r="FY598" s="211">
        <v>593</v>
      </c>
      <c r="FZ598">
        <v>123.62442431733137</v>
      </c>
      <c r="GA598">
        <v>148.70716258013175</v>
      </c>
      <c r="GB598">
        <v>52.779782844822087</v>
      </c>
      <c r="GC598">
        <v>35.675397464581266</v>
      </c>
      <c r="GD598">
        <v>45.910719445993955</v>
      </c>
      <c r="GE598">
        <v>98.299827358691502</v>
      </c>
      <c r="GF598">
        <v>103.27919824752067</v>
      </c>
      <c r="GG598">
        <v>73.005323062950012</v>
      </c>
      <c r="GH598">
        <v>76.345535517113873</v>
      </c>
      <c r="GI598">
        <v>97.530915972976715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220.46033161653241</v>
      </c>
      <c r="AO599">
        <v>128.78681075866083</v>
      </c>
      <c r="AP599">
        <v>501.22029647626772</v>
      </c>
      <c r="AQ599">
        <v>724.77725038101539</v>
      </c>
      <c r="AR599">
        <v>123.67241816773162</v>
      </c>
      <c r="AS599">
        <v>1306.0290299242929</v>
      </c>
      <c r="AT599">
        <v>67.896914045506961</v>
      </c>
      <c r="AU599">
        <v>226.98066766240026</v>
      </c>
      <c r="AV599"/>
      <c r="AW599"/>
      <c r="FY599" s="211">
        <v>594</v>
      </c>
      <c r="FZ599">
        <v>121.7004721203613</v>
      </c>
      <c r="GA599">
        <v>154.03940958112651</v>
      </c>
      <c r="GB599">
        <v>51.184297589635079</v>
      </c>
      <c r="GC599">
        <v>32.802114154746484</v>
      </c>
      <c r="GD599">
        <v>29.67397544173112</v>
      </c>
      <c r="GE599">
        <v>89.061566557219606</v>
      </c>
      <c r="GF599">
        <v>143.7482361103109</v>
      </c>
      <c r="GG599">
        <v>45.044926766349775</v>
      </c>
      <c r="GH599">
        <v>21.223903046608775</v>
      </c>
      <c r="GI599">
        <v>86.997717796187302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242.42935015253479</v>
      </c>
      <c r="AO600">
        <v>167.01466524653054</v>
      </c>
      <c r="AP600">
        <v>735.31492104917038</v>
      </c>
      <c r="AQ600">
        <v>923.16026693335004</v>
      </c>
      <c r="AR600">
        <v>156.89134377203411</v>
      </c>
      <c r="AS600">
        <v>1556.0262302395927</v>
      </c>
      <c r="AT600">
        <v>85.825349280201166</v>
      </c>
      <c r="AU600">
        <v>137.07536172305981</v>
      </c>
      <c r="AV600"/>
      <c r="AW600"/>
      <c r="FY600" s="211">
        <v>595</v>
      </c>
      <c r="FZ600">
        <v>114.63550432323859</v>
      </c>
      <c r="GA600">
        <v>162.55733903555358</v>
      </c>
      <c r="GB600">
        <v>51.852148889379052</v>
      </c>
      <c r="GC600">
        <v>38.647566011505702</v>
      </c>
      <c r="GD600">
        <v>48.239942875448712</v>
      </c>
      <c r="GE600">
        <v>107.14357445516931</v>
      </c>
      <c r="GF600">
        <v>104.04160059358681</v>
      </c>
      <c r="GG600">
        <v>17.615103961587685</v>
      </c>
      <c r="GH600">
        <v>11.215367476853435</v>
      </c>
      <c r="GI600">
        <v>87.28362644466074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249.69739212307795</v>
      </c>
      <c r="AO601">
        <v>145.93185545891691</v>
      </c>
      <c r="AP601">
        <v>645.1369812917219</v>
      </c>
      <c r="AQ601">
        <v>821.5028765504552</v>
      </c>
      <c r="AR601">
        <v>135.31853434277886</v>
      </c>
      <c r="AS601">
        <v>1253.3188680333985</v>
      </c>
      <c r="AT601">
        <v>67.339250810757221</v>
      </c>
      <c r="AU601">
        <v>235.16439317935584</v>
      </c>
      <c r="AV601"/>
      <c r="AW601"/>
      <c r="FY601" s="211">
        <v>596</v>
      </c>
      <c r="FZ601">
        <v>137.14173898952092</v>
      </c>
      <c r="GA601">
        <v>177.67203968041599</v>
      </c>
      <c r="GB601">
        <v>67.813838209992738</v>
      </c>
      <c r="GC601">
        <v>57.937651717333736</v>
      </c>
      <c r="GD601">
        <v>45.428624931266924</v>
      </c>
      <c r="GE601">
        <v>67.716336684462746</v>
      </c>
      <c r="GF601">
        <v>106.81581904294573</v>
      </c>
      <c r="GG601">
        <v>83.437647797070014</v>
      </c>
      <c r="GH601">
        <v>81.962403131080521</v>
      </c>
      <c r="GI601">
        <v>106.3133598521993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278.44125391803777</v>
      </c>
      <c r="AO602">
        <v>164.61692717998864</v>
      </c>
      <c r="AP602">
        <v>602.29571740482038</v>
      </c>
      <c r="AQ602">
        <v>896.49991454433507</v>
      </c>
      <c r="AR602">
        <v>155.45123592506451</v>
      </c>
      <c r="AS602">
        <v>1359.543322669721</v>
      </c>
      <c r="AT602">
        <v>71.802432822711765</v>
      </c>
      <c r="AU602">
        <v>47.544127818271306</v>
      </c>
      <c r="AV602"/>
      <c r="AW602"/>
      <c r="FY602" s="211">
        <v>597</v>
      </c>
      <c r="FZ602">
        <v>121.18082446570179</v>
      </c>
      <c r="GA602">
        <v>144.98826400015349</v>
      </c>
      <c r="GB602">
        <v>54.558935771990562</v>
      </c>
      <c r="GC602">
        <v>46.194140550228489</v>
      </c>
      <c r="GD602">
        <v>41.236069976855205</v>
      </c>
      <c r="GE602">
        <v>67.133690319485112</v>
      </c>
      <c r="GF602">
        <v>84.982494038725932</v>
      </c>
      <c r="GG602">
        <v>71.483042935518782</v>
      </c>
      <c r="GH602">
        <v>64.317369627741755</v>
      </c>
      <c r="GI602">
        <v>87.912240879572508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275.09533256701451</v>
      </c>
      <c r="AO603">
        <v>132.21385637625659</v>
      </c>
      <c r="AP603">
        <v>454.49306069112345</v>
      </c>
      <c r="AQ603">
        <v>721.00006202773545</v>
      </c>
      <c r="AR603">
        <v>125.35884423147279</v>
      </c>
      <c r="AS603">
        <v>1213.2268581361297</v>
      </c>
      <c r="AT603">
        <v>64.623465840246567</v>
      </c>
      <c r="AU603">
        <v>223.54933612326872</v>
      </c>
      <c r="AV603"/>
      <c r="AW603"/>
      <c r="FY603" s="211">
        <v>598</v>
      </c>
      <c r="FZ603">
        <v>107.03634197583484</v>
      </c>
      <c r="GA603">
        <v>162.18005890469698</v>
      </c>
      <c r="GB603">
        <v>59.049976149837335</v>
      </c>
      <c r="GC603">
        <v>41.158053647867654</v>
      </c>
      <c r="GD603">
        <v>39.839022949943136</v>
      </c>
      <c r="GE603">
        <v>72.950866748238099</v>
      </c>
      <c r="GF603">
        <v>70.515782307915643</v>
      </c>
      <c r="GG603">
        <v>9.8833981663759012</v>
      </c>
      <c r="GH603">
        <v>14.795211718682594</v>
      </c>
      <c r="GI603">
        <v>75.564658888881965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251.65724950269106</v>
      </c>
      <c r="AO604">
        <v>132.59211352898694</v>
      </c>
      <c r="AP604">
        <v>594.15982146959777</v>
      </c>
      <c r="AQ604">
        <v>777.14477732916725</v>
      </c>
      <c r="AR604">
        <v>123.89804021725604</v>
      </c>
      <c r="AS604">
        <v>1409.1807415046494</v>
      </c>
      <c r="AT604">
        <v>69.580774336378497</v>
      </c>
      <c r="AU604">
        <v>37.719429546492734</v>
      </c>
      <c r="AV604"/>
      <c r="AW604"/>
      <c r="FY604" s="211">
        <v>599</v>
      </c>
      <c r="FZ604">
        <v>101.35307806430811</v>
      </c>
      <c r="GA604">
        <v>170.73838566486447</v>
      </c>
      <c r="GB604">
        <v>55.581547625288486</v>
      </c>
      <c r="GC604">
        <v>45.170710389201631</v>
      </c>
      <c r="GD604">
        <v>53.053177993057439</v>
      </c>
      <c r="GE604">
        <v>107.42692879698666</v>
      </c>
      <c r="GF604">
        <v>152.69283687705794</v>
      </c>
      <c r="GG604">
        <v>83.442942747336716</v>
      </c>
      <c r="GH604">
        <v>46.875707026870444</v>
      </c>
      <c r="GI604">
        <v>106.91943643482387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260.20983771132722</v>
      </c>
      <c r="AO605">
        <v>130.71507176810212</v>
      </c>
      <c r="AP605">
        <v>540.43321919649838</v>
      </c>
      <c r="AQ605">
        <v>734.84132045433034</v>
      </c>
      <c r="AR605">
        <v>123.64282558797046</v>
      </c>
      <c r="AS605">
        <v>1187.7506364391199</v>
      </c>
      <c r="AT605">
        <v>60.381207103331228</v>
      </c>
      <c r="AU605">
        <v>149.48591553019358</v>
      </c>
      <c r="AV605"/>
      <c r="AW605"/>
      <c r="FY605" s="211">
        <v>600</v>
      </c>
      <c r="FZ605">
        <v>96.832070317126039</v>
      </c>
      <c r="GA605">
        <v>138.56409113139591</v>
      </c>
      <c r="GB605">
        <v>53.950290229829029</v>
      </c>
      <c r="GC605">
        <v>42.724405784617538</v>
      </c>
      <c r="GD605">
        <v>35.972179805186997</v>
      </c>
      <c r="GE605">
        <v>45.258552020613962</v>
      </c>
      <c r="GF605">
        <v>46.679695029761604</v>
      </c>
      <c r="GG605">
        <v>55.017278011873749</v>
      </c>
      <c r="GH605">
        <v>68.546161834008373</v>
      </c>
      <c r="GI605">
        <v>72.703231842494162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269.26055260655784</v>
      </c>
      <c r="AO606">
        <v>133.42521665280327</v>
      </c>
      <c r="AP606">
        <v>653.26252724274946</v>
      </c>
      <c r="AQ606">
        <v>744.09589729952518</v>
      </c>
      <c r="AR606">
        <v>125.8280052315864</v>
      </c>
      <c r="AS606">
        <v>1471.5123900290655</v>
      </c>
      <c r="AT606">
        <v>63.683410216315245</v>
      </c>
      <c r="AU606">
        <v>316.07603332387998</v>
      </c>
      <c r="AV606"/>
      <c r="AW606"/>
      <c r="FY606" s="211">
        <v>601</v>
      </c>
      <c r="FZ606">
        <v>116.44001835177912</v>
      </c>
      <c r="GA606">
        <v>152.38895144813529</v>
      </c>
      <c r="GB606">
        <v>51.243267833398164</v>
      </c>
      <c r="GC606">
        <v>30.451302995391671</v>
      </c>
      <c r="GD606">
        <v>31.718392646821158</v>
      </c>
      <c r="GE606">
        <v>62.263692126734412</v>
      </c>
      <c r="GF606">
        <v>97.084144824581841</v>
      </c>
      <c r="GG606">
        <v>66.81336028521531</v>
      </c>
      <c r="GH606">
        <v>44.729060069232744</v>
      </c>
      <c r="GI606">
        <v>80.047600924666014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247.29451083882319</v>
      </c>
      <c r="AO607">
        <v>138.19911179370973</v>
      </c>
      <c r="AP607">
        <v>597.49643250652753</v>
      </c>
      <c r="AQ607">
        <v>795.30741793080529</v>
      </c>
      <c r="AR607">
        <v>130.40700613498834</v>
      </c>
      <c r="AS607">
        <v>1298.7056771923405</v>
      </c>
      <c r="AT607">
        <v>65.738433994341946</v>
      </c>
      <c r="AU607">
        <v>99.876488152585381</v>
      </c>
      <c r="AV607"/>
      <c r="AW607"/>
      <c r="FY607" s="211">
        <v>602</v>
      </c>
      <c r="FZ607">
        <v>116.19427719188249</v>
      </c>
      <c r="GA607">
        <v>132.57877083630379</v>
      </c>
      <c r="GB607">
        <v>29.738348768914825</v>
      </c>
      <c r="GC607">
        <v>41.105404960336074</v>
      </c>
      <c r="GD607">
        <v>39.103690376304428</v>
      </c>
      <c r="GE607">
        <v>60.01069987684847</v>
      </c>
      <c r="GF607">
        <v>114.57174526432399</v>
      </c>
      <c r="GG607">
        <v>85.971990064091841</v>
      </c>
      <c r="GH607">
        <v>60.111975657163825</v>
      </c>
      <c r="GI607">
        <v>85.860399518130677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270.67815392921926</v>
      </c>
      <c r="AO608">
        <v>163.83709873415108</v>
      </c>
      <c r="AP608">
        <v>634.33194749028337</v>
      </c>
      <c r="AQ608">
        <v>940.15838641161599</v>
      </c>
      <c r="AR608">
        <v>157.91371659683875</v>
      </c>
      <c r="AS608">
        <v>1675.0048139091843</v>
      </c>
      <c r="AT608">
        <v>81.026904918399524</v>
      </c>
      <c r="AU608">
        <v>368.95264696343895</v>
      </c>
      <c r="AV608"/>
      <c r="AW608"/>
      <c r="FY608" s="211">
        <v>603</v>
      </c>
      <c r="FZ608">
        <v>107.83227282365044</v>
      </c>
      <c r="GA608">
        <v>153.84734570288708</v>
      </c>
      <c r="GB608">
        <v>48.342758659209892</v>
      </c>
      <c r="GC608">
        <v>46.668765900515318</v>
      </c>
      <c r="GD608">
        <v>49.572178182145137</v>
      </c>
      <c r="GE608">
        <v>97.528067205450327</v>
      </c>
      <c r="GF608">
        <v>130.5920771372729</v>
      </c>
      <c r="GG608">
        <v>89.728054667710509</v>
      </c>
      <c r="GH608">
        <v>91.825182114472895</v>
      </c>
      <c r="GI608">
        <v>105.83302531174692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295.40591855012951</v>
      </c>
      <c r="AO609">
        <v>154.9251375456449</v>
      </c>
      <c r="AP609">
        <v>539.5984241890543</v>
      </c>
      <c r="AQ609">
        <v>855.15828681211303</v>
      </c>
      <c r="AR609">
        <v>147.49370740754296</v>
      </c>
      <c r="AS609">
        <v>1523.8041980831058</v>
      </c>
      <c r="AT609">
        <v>75.533241845595384</v>
      </c>
      <c r="AU609">
        <v>238.28896814215182</v>
      </c>
      <c r="AV609"/>
      <c r="AW609"/>
      <c r="FY609" s="211">
        <v>604</v>
      </c>
      <c r="FZ609">
        <v>116.55317287997644</v>
      </c>
      <c r="GA609">
        <v>143.4588499378826</v>
      </c>
      <c r="GB609">
        <v>52.927932703598685</v>
      </c>
      <c r="GC609">
        <v>39.494506494889045</v>
      </c>
      <c r="GD609">
        <v>26.669582792408356</v>
      </c>
      <c r="GE609">
        <v>66.587892064289136</v>
      </c>
      <c r="GF609">
        <v>126.45075919552879</v>
      </c>
      <c r="GG609">
        <v>61.930350081312177</v>
      </c>
      <c r="GH609">
        <v>41.744818441228901</v>
      </c>
      <c r="GI609">
        <v>83.000429797512183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235.73466118958572</v>
      </c>
      <c r="AO610">
        <v>138.75361461545373</v>
      </c>
      <c r="AP610">
        <v>596.17955664017154</v>
      </c>
      <c r="AQ610">
        <v>775.47661916427694</v>
      </c>
      <c r="AR610">
        <v>131.58468613121812</v>
      </c>
      <c r="AS610">
        <v>1367.5907530305651</v>
      </c>
      <c r="AT610">
        <v>67.154555356436092</v>
      </c>
      <c r="AU610">
        <v>204.28880914030731</v>
      </c>
      <c r="AV610"/>
      <c r="AW610"/>
      <c r="FY610" s="211">
        <v>605</v>
      </c>
      <c r="FZ610">
        <v>128.14773614589541</v>
      </c>
      <c r="GA610">
        <v>159.71592376598807</v>
      </c>
      <c r="GB610">
        <v>47.018193749247246</v>
      </c>
      <c r="GC610">
        <v>34.195231377753117</v>
      </c>
      <c r="GD610">
        <v>28.340413917324376</v>
      </c>
      <c r="GE610">
        <v>54.386709766313338</v>
      </c>
      <c r="GF610">
        <v>85.023295729831219</v>
      </c>
      <c r="GG610">
        <v>50.661906604879441</v>
      </c>
      <c r="GH610">
        <v>41.514857214030265</v>
      </c>
      <c r="GI610">
        <v>75.462631279886097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294.72512698188245</v>
      </c>
      <c r="AO611">
        <v>139.02122888756332</v>
      </c>
      <c r="AP611">
        <v>610.27943159461574</v>
      </c>
      <c r="AQ611">
        <v>743.23177406698369</v>
      </c>
      <c r="AR611">
        <v>130.28194813378349</v>
      </c>
      <c r="AS611">
        <v>1194.1065831132407</v>
      </c>
      <c r="AT611">
        <v>60.58676898374619</v>
      </c>
      <c r="AU611">
        <v>270.51821855132579</v>
      </c>
      <c r="AV611"/>
      <c r="AW611"/>
      <c r="FY611" s="211">
        <v>606</v>
      </c>
      <c r="FZ611">
        <v>122.1397788078427</v>
      </c>
      <c r="GA611">
        <v>131.20916872486373</v>
      </c>
      <c r="GB611">
        <v>38.925041942716788</v>
      </c>
      <c r="GC611">
        <v>39.902576612789289</v>
      </c>
      <c r="GD611">
        <v>33.013244629195242</v>
      </c>
      <c r="GE611">
        <v>53.49407475490132</v>
      </c>
      <c r="GF611">
        <v>108.26221774028497</v>
      </c>
      <c r="GG611">
        <v>79.233912109182512</v>
      </c>
      <c r="GH611">
        <v>43.375494886501251</v>
      </c>
      <c r="GI611">
        <v>80.999866392819882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285.23007863812438</v>
      </c>
      <c r="AO612">
        <v>170.39213825205442</v>
      </c>
      <c r="AP612">
        <v>753.12021161039706</v>
      </c>
      <c r="AQ612">
        <v>932.23946003628862</v>
      </c>
      <c r="AR612">
        <v>161.75241859163052</v>
      </c>
      <c r="AS612">
        <v>1651.9105983852994</v>
      </c>
      <c r="AT612">
        <v>84.289627685467607</v>
      </c>
      <c r="AU612">
        <v>269.95857256742767</v>
      </c>
      <c r="AV612"/>
      <c r="AW612"/>
      <c r="FY612" s="211">
        <v>607</v>
      </c>
      <c r="FZ612">
        <v>119.26969185373574</v>
      </c>
      <c r="GA612">
        <v>133.11105055060023</v>
      </c>
      <c r="GB612">
        <v>62.7563503011839</v>
      </c>
      <c r="GC612">
        <v>55.643209745233754</v>
      </c>
      <c r="GD612">
        <v>40.44682084013413</v>
      </c>
      <c r="GE612">
        <v>42.538913231684177</v>
      </c>
      <c r="GF612">
        <v>35.550474282745135</v>
      </c>
      <c r="GG612">
        <v>51.29634389824453</v>
      </c>
      <c r="GH612">
        <v>63.110589656726304</v>
      </c>
      <c r="GI612">
        <v>78.213746554618169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248.63675751429474</v>
      </c>
      <c r="AO613">
        <v>139.47926050643139</v>
      </c>
      <c r="AP613">
        <v>576.53495827828056</v>
      </c>
      <c r="AQ613">
        <v>783.98707256597368</v>
      </c>
      <c r="AR613">
        <v>131.82745150151118</v>
      </c>
      <c r="AS613">
        <v>1402.1169695762123</v>
      </c>
      <c r="AT613">
        <v>70.299233267860458</v>
      </c>
      <c r="AU613">
        <v>187.81719006027402</v>
      </c>
      <c r="AV613"/>
      <c r="AW613"/>
      <c r="FY613" s="211">
        <v>608</v>
      </c>
      <c r="FZ613">
        <v>132.63833767373021</v>
      </c>
      <c r="GA613">
        <v>137.0809029905752</v>
      </c>
      <c r="GB613">
        <v>47.910451818525935</v>
      </c>
      <c r="GC613">
        <v>47.712389254571917</v>
      </c>
      <c r="GD613">
        <v>54.376698664283133</v>
      </c>
      <c r="GE613">
        <v>109.63152638080999</v>
      </c>
      <c r="GF613">
        <v>148.82606634967053</v>
      </c>
      <c r="GG613">
        <v>80.163884807984275</v>
      </c>
      <c r="GH613">
        <v>32.84496224574626</v>
      </c>
      <c r="GI613">
        <v>106.15693505691137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217.36725348094774</v>
      </c>
      <c r="AO614">
        <v>118.26948636071502</v>
      </c>
      <c r="AP614">
        <v>497.84066946530271</v>
      </c>
      <c r="AQ614">
        <v>652.97337145827396</v>
      </c>
      <c r="AR614">
        <v>112.5722586013992</v>
      </c>
      <c r="AS614">
        <v>1165.9876167422035</v>
      </c>
      <c r="AT614">
        <v>57.775426898594617</v>
      </c>
      <c r="AU614">
        <v>271.94687803502836</v>
      </c>
      <c r="AV614"/>
      <c r="AW614"/>
      <c r="FY614" s="211">
        <v>609</v>
      </c>
      <c r="FZ614">
        <v>105.47679685521592</v>
      </c>
      <c r="GA614">
        <v>134.33746848346973</v>
      </c>
      <c r="GB614">
        <v>46.891455871428768</v>
      </c>
      <c r="GC614">
        <v>40.051126679320227</v>
      </c>
      <c r="GD614">
        <v>26.849545918503416</v>
      </c>
      <c r="GE614">
        <v>50.708809164822704</v>
      </c>
      <c r="GF614">
        <v>108.46341223371</v>
      </c>
      <c r="GG614">
        <v>75.939517325328055</v>
      </c>
      <c r="GH614">
        <v>66.434414924556265</v>
      </c>
      <c r="GI614">
        <v>80.857621043320805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268.28354400273804</v>
      </c>
      <c r="AO615">
        <v>173.81265890115236</v>
      </c>
      <c r="AP615">
        <v>707.86150163254092</v>
      </c>
      <c r="AQ615">
        <v>923.2547516197958</v>
      </c>
      <c r="AR615">
        <v>161.5331658787544</v>
      </c>
      <c r="AS615">
        <v>1894.6493479038659</v>
      </c>
      <c r="AT615">
        <v>79.121288097266003</v>
      </c>
      <c r="AU615">
        <v>242.9994643108557</v>
      </c>
      <c r="AV615"/>
      <c r="AW615"/>
      <c r="FY615" s="211">
        <v>610</v>
      </c>
      <c r="FZ615">
        <v>127.55452382530247</v>
      </c>
      <c r="GA615">
        <v>168.4988668570544</v>
      </c>
      <c r="GB615">
        <v>48.869047359074862</v>
      </c>
      <c r="GC615">
        <v>40.689105542942357</v>
      </c>
      <c r="GD615">
        <v>50.839556995547738</v>
      </c>
      <c r="GE615">
        <v>89.083652356735897</v>
      </c>
      <c r="GF615">
        <v>83.379167219563527</v>
      </c>
      <c r="GG615">
        <v>60.873341267886723</v>
      </c>
      <c r="GH615">
        <v>51.918837828918953</v>
      </c>
      <c r="GI615">
        <v>92.170559795544989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233.34090419959392</v>
      </c>
      <c r="AO616">
        <v>113.61361775935593</v>
      </c>
      <c r="AP616">
        <v>416.43378107883427</v>
      </c>
      <c r="AQ616">
        <v>656.24795600690732</v>
      </c>
      <c r="AR616">
        <v>107.51360194618374</v>
      </c>
      <c r="AS616">
        <v>1159.6359185016227</v>
      </c>
      <c r="AT616">
        <v>60.074490041037997</v>
      </c>
      <c r="AU616">
        <v>-36.30516596870774</v>
      </c>
      <c r="AV616"/>
      <c r="AW616"/>
      <c r="FY616" s="211">
        <v>611</v>
      </c>
      <c r="FZ616">
        <v>114.87808382201372</v>
      </c>
      <c r="GA616">
        <v>130.47037410687145</v>
      </c>
      <c r="GB616">
        <v>32.772095705901933</v>
      </c>
      <c r="GC616">
        <v>28.080424923017485</v>
      </c>
      <c r="GD616">
        <v>30.918753431493371</v>
      </c>
      <c r="GE616">
        <v>97.924914167755077</v>
      </c>
      <c r="GF616">
        <v>128.17770727318882</v>
      </c>
      <c r="GG616">
        <v>21.410776700266588</v>
      </c>
      <c r="GH616">
        <v>23.778885669512732</v>
      </c>
      <c r="GI616">
        <v>78.589694963162557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244.71120647343346</v>
      </c>
      <c r="AO617">
        <v>124.95442670202154</v>
      </c>
      <c r="AP617">
        <v>421.70125471493282</v>
      </c>
      <c r="AQ617">
        <v>733.17979150595556</v>
      </c>
      <c r="AR617">
        <v>119.73422218318132</v>
      </c>
      <c r="AS617">
        <v>1192.6170999800534</v>
      </c>
      <c r="AT617">
        <v>55.973419455025599</v>
      </c>
      <c r="AU617">
        <v>97.742289139145626</v>
      </c>
      <c r="AV617"/>
      <c r="AW617"/>
      <c r="FY617" s="211">
        <v>612</v>
      </c>
      <c r="FZ617">
        <v>107.30982848612544</v>
      </c>
      <c r="GA617">
        <v>136.55918847909533</v>
      </c>
      <c r="GB617">
        <v>46.799486595365742</v>
      </c>
      <c r="GC617">
        <v>43.11888862855124</v>
      </c>
      <c r="GD617">
        <v>36.096782610783315</v>
      </c>
      <c r="GE617">
        <v>40.838498203355712</v>
      </c>
      <c r="GF617">
        <v>52.738228241952143</v>
      </c>
      <c r="GG617">
        <v>80.509454465552167</v>
      </c>
      <c r="GH617">
        <v>89.100149261356336</v>
      </c>
      <c r="GI617">
        <v>78.136622744492144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232.4697302756328</v>
      </c>
      <c r="AO618">
        <v>138.37932446511178</v>
      </c>
      <c r="AP618">
        <v>724.11164580077309</v>
      </c>
      <c r="AQ618">
        <v>765.24730251430049</v>
      </c>
      <c r="AR618">
        <v>130.22864902525509</v>
      </c>
      <c r="AS618">
        <v>1303.2149011696417</v>
      </c>
      <c r="AT618">
        <v>67.783496068407786</v>
      </c>
      <c r="AU618">
        <v>188.46391350263539</v>
      </c>
      <c r="AV618"/>
      <c r="AW618"/>
      <c r="FY618" s="211">
        <v>613</v>
      </c>
      <c r="FZ618">
        <v>106.04836657199624</v>
      </c>
      <c r="GA618">
        <v>121.28250534288283</v>
      </c>
      <c r="GB618">
        <v>50.178953575011455</v>
      </c>
      <c r="GC618">
        <v>56.124464742964989</v>
      </c>
      <c r="GD618">
        <v>56.838141292098214</v>
      </c>
      <c r="GE618">
        <v>73.403779675645865</v>
      </c>
      <c r="GF618">
        <v>71.098664573710607</v>
      </c>
      <c r="GG618">
        <v>79.161824305670962</v>
      </c>
      <c r="GH618">
        <v>72.822178171257207</v>
      </c>
      <c r="GI618">
        <v>93.517592588938683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265.20886355209234</v>
      </c>
      <c r="AO619">
        <v>171.04738070051206</v>
      </c>
      <c r="AP619">
        <v>783.2344006880395</v>
      </c>
      <c r="AQ619">
        <v>921.76972770506143</v>
      </c>
      <c r="AR619">
        <v>160.27302022859729</v>
      </c>
      <c r="AS619">
        <v>1783.1136003280969</v>
      </c>
      <c r="AT619">
        <v>84.051542297941495</v>
      </c>
      <c r="AU619">
        <v>54.598356395875044</v>
      </c>
      <c r="AV619"/>
      <c r="AW619"/>
      <c r="FY619" s="211">
        <v>614</v>
      </c>
      <c r="FZ619">
        <v>105.40276056123862</v>
      </c>
      <c r="GA619">
        <v>148.7795029151149</v>
      </c>
      <c r="GB619">
        <v>50.709144467686087</v>
      </c>
      <c r="GC619">
        <v>38.040660754709975</v>
      </c>
      <c r="GD619">
        <v>51.155394769925927</v>
      </c>
      <c r="GE619">
        <v>116.85329586895736</v>
      </c>
      <c r="GF619">
        <v>100.94878226275304</v>
      </c>
      <c r="GG619">
        <v>32.047752524091635</v>
      </c>
      <c r="GH619">
        <v>55.09424165919927</v>
      </c>
      <c r="GI619">
        <v>94.209517574027956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206.34765960826431</v>
      </c>
      <c r="AO620">
        <v>132.52100603491564</v>
      </c>
      <c r="AP620">
        <v>508.89171506411026</v>
      </c>
      <c r="AQ620">
        <v>758.81829438862621</v>
      </c>
      <c r="AR620">
        <v>125.27350318409526</v>
      </c>
      <c r="AS620">
        <v>1138.3975542365224</v>
      </c>
      <c r="AT620">
        <v>65.540403604354339</v>
      </c>
      <c r="AU620">
        <v>140.47064180039405</v>
      </c>
      <c r="AV620"/>
      <c r="AW620"/>
      <c r="FY620" s="211">
        <v>615</v>
      </c>
      <c r="FZ620">
        <v>110.57622817024286</v>
      </c>
      <c r="GA620">
        <v>179.47816545386601</v>
      </c>
      <c r="GB620">
        <v>72.027512467442307</v>
      </c>
      <c r="GC620">
        <v>45.713368692392571</v>
      </c>
      <c r="GD620">
        <v>36.223150879891378</v>
      </c>
      <c r="GE620">
        <v>68.155187648572991</v>
      </c>
      <c r="GF620">
        <v>156.73406851998794</v>
      </c>
      <c r="GG620">
        <v>111.78986013412604</v>
      </c>
      <c r="GH620">
        <v>65.915804842294776</v>
      </c>
      <c r="GI620">
        <v>105.81909218465972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234.48886300590456</v>
      </c>
      <c r="AO621">
        <v>120.21533766323464</v>
      </c>
      <c r="AP621">
        <v>583.92088884872442</v>
      </c>
      <c r="AQ621">
        <v>704.46689955114857</v>
      </c>
      <c r="AR621">
        <v>113.96557082923476</v>
      </c>
      <c r="AS621">
        <v>1262.6179493065522</v>
      </c>
      <c r="AT621">
        <v>58.966953391019921</v>
      </c>
      <c r="AU621">
        <v>159.80729222209359</v>
      </c>
      <c r="AV621"/>
      <c r="AW621"/>
      <c r="FY621" s="211">
        <v>616</v>
      </c>
      <c r="FZ621">
        <v>90.747361930388351</v>
      </c>
      <c r="GA621">
        <v>123.25866102056413</v>
      </c>
      <c r="GB621">
        <v>48.794036819375982</v>
      </c>
      <c r="GC621">
        <v>51.748126641565214</v>
      </c>
      <c r="GD621">
        <v>40.786588007675846</v>
      </c>
      <c r="GE621">
        <v>39.273600682576905</v>
      </c>
      <c r="GF621">
        <v>59.62658551580715</v>
      </c>
      <c r="GG621">
        <v>37.69186154095209</v>
      </c>
      <c r="GH621">
        <v>16.630988225083243</v>
      </c>
      <c r="GI621">
        <v>68.449452678828791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218.20471793692042</v>
      </c>
      <c r="AO622">
        <v>127.91929603136433</v>
      </c>
      <c r="AP622">
        <v>500.33995781146956</v>
      </c>
      <c r="AQ622">
        <v>730.55537660109758</v>
      </c>
      <c r="AR622">
        <v>121.33395876126531</v>
      </c>
      <c r="AS622">
        <v>1169.0733191250933</v>
      </c>
      <c r="AT622">
        <v>61.226698668641632</v>
      </c>
      <c r="AU622">
        <v>222.89067065474265</v>
      </c>
      <c r="AV622"/>
      <c r="AW622"/>
      <c r="FY622" s="211">
        <v>617</v>
      </c>
      <c r="FZ622">
        <v>127.93378871934885</v>
      </c>
      <c r="GA622">
        <v>176.07907657147607</v>
      </c>
      <c r="GB622">
        <v>49.448135398559735</v>
      </c>
      <c r="GC622">
        <v>39.970644616385741</v>
      </c>
      <c r="GD622">
        <v>44.743137485191276</v>
      </c>
      <c r="GE622">
        <v>57.507928032006859</v>
      </c>
      <c r="GF622">
        <v>31.083808210332773</v>
      </c>
      <c r="GG622">
        <v>31.615433501611882</v>
      </c>
      <c r="GH622">
        <v>39.626575379432666</v>
      </c>
      <c r="GI622">
        <v>74.797916012572571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256.64651823275574</v>
      </c>
      <c r="AO623">
        <v>122.89712151129815</v>
      </c>
      <c r="AP623">
        <v>387.50956874411247</v>
      </c>
      <c r="AQ623">
        <v>681.93719091490618</v>
      </c>
      <c r="AR623">
        <v>116.99932714784705</v>
      </c>
      <c r="AS623">
        <v>1303.212911607859</v>
      </c>
      <c r="AT623">
        <v>59.505352072259576</v>
      </c>
      <c r="AU623">
        <v>66.092576967627352</v>
      </c>
      <c r="AV623"/>
      <c r="AW623"/>
      <c r="FY623" s="211">
        <v>618</v>
      </c>
      <c r="FZ623">
        <v>106.06298951140353</v>
      </c>
      <c r="GA623">
        <v>169.638842571532</v>
      </c>
      <c r="GB623">
        <v>63.51163269326392</v>
      </c>
      <c r="GC623">
        <v>42.655137395860471</v>
      </c>
      <c r="GD623">
        <v>40.745520842163444</v>
      </c>
      <c r="GE623">
        <v>68.037544865859232</v>
      </c>
      <c r="GF623">
        <v>68.198606008924358</v>
      </c>
      <c r="GG623">
        <v>55.970260982561847</v>
      </c>
      <c r="GH623">
        <v>61.207965954361597</v>
      </c>
      <c r="GI623">
        <v>84.428281526768728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348.86289818004275</v>
      </c>
      <c r="AO624">
        <v>169.18953072101027</v>
      </c>
      <c r="AP624">
        <v>729.80417130693149</v>
      </c>
      <c r="AQ624">
        <v>897.34215524280876</v>
      </c>
      <c r="AR624">
        <v>159.20585748508526</v>
      </c>
      <c r="AS624">
        <v>1627.1768359673108</v>
      </c>
      <c r="AT624">
        <v>71.960774805353395</v>
      </c>
      <c r="AU624">
        <v>381.61142489714808</v>
      </c>
      <c r="AV624"/>
      <c r="AW624"/>
      <c r="FY624" s="211">
        <v>619</v>
      </c>
      <c r="FZ624">
        <v>123.90471460823572</v>
      </c>
      <c r="GA624">
        <v>151.79033794992446</v>
      </c>
      <c r="GB624">
        <v>54.494530271582953</v>
      </c>
      <c r="GC624">
        <v>45.581718579306539</v>
      </c>
      <c r="GD624">
        <v>38.338541644860278</v>
      </c>
      <c r="GE624">
        <v>48.857151547488343</v>
      </c>
      <c r="GF624">
        <v>62.120489132239584</v>
      </c>
      <c r="GG624">
        <v>52.266603531189489</v>
      </c>
      <c r="GH624">
        <v>40.080056094908286</v>
      </c>
      <c r="GI624">
        <v>77.727507670190874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199.98724449667094</v>
      </c>
      <c r="AO625">
        <v>130.13636919098548</v>
      </c>
      <c r="AP625">
        <v>648.00044713299189</v>
      </c>
      <c r="AQ625">
        <v>736.01016849967584</v>
      </c>
      <c r="AR625">
        <v>123.08204854178574</v>
      </c>
      <c r="AS625">
        <v>1233.1478844311212</v>
      </c>
      <c r="AT625">
        <v>64.942899764371134</v>
      </c>
      <c r="AU625">
        <v>181.2546603556915</v>
      </c>
      <c r="AV625"/>
      <c r="AW625"/>
      <c r="FY625" s="211">
        <v>620</v>
      </c>
      <c r="FZ625">
        <v>119.3068617974651</v>
      </c>
      <c r="GA625">
        <v>147.14159508312784</v>
      </c>
      <c r="GB625">
        <v>32.039848846642691</v>
      </c>
      <c r="GC625">
        <v>35.65062454156412</v>
      </c>
      <c r="GD625">
        <v>38.836055130948012</v>
      </c>
      <c r="GE625">
        <v>54.287142568716284</v>
      </c>
      <c r="GF625">
        <v>43.658312711640988</v>
      </c>
      <c r="GG625">
        <v>93.789651540541712</v>
      </c>
      <c r="GH625">
        <v>139.74352923599511</v>
      </c>
      <c r="GI625">
        <v>83.955372741875991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270.22444116494665</v>
      </c>
      <c r="AO626">
        <v>147.65061075248769</v>
      </c>
      <c r="AP626">
        <v>642.86430140988432</v>
      </c>
      <c r="AQ626">
        <v>813.87665904857204</v>
      </c>
      <c r="AR626">
        <v>138.13774263251452</v>
      </c>
      <c r="AS626">
        <v>1462.711268576697</v>
      </c>
      <c r="AT626">
        <v>69.856897806703685</v>
      </c>
      <c r="AU626">
        <v>123.85614817689085</v>
      </c>
      <c r="AV626"/>
      <c r="AW626"/>
      <c r="FY626" s="211">
        <v>621</v>
      </c>
      <c r="FZ626">
        <v>111.89321629946947</v>
      </c>
      <c r="GA626">
        <v>126.85263161684331</v>
      </c>
      <c r="GB626">
        <v>50.86919166022799</v>
      </c>
      <c r="GC626">
        <v>45.74406285884033</v>
      </c>
      <c r="GD626">
        <v>41.132373623702094</v>
      </c>
      <c r="GE626">
        <v>71.473745148211094</v>
      </c>
      <c r="GF626">
        <v>75.224478625767404</v>
      </c>
      <c r="GG626">
        <v>50.179156032931914</v>
      </c>
      <c r="GH626">
        <v>65.498265763287279</v>
      </c>
      <c r="GI626">
        <v>84.513581641398062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232.94250496371632</v>
      </c>
      <c r="AO627">
        <v>125.75338684237798</v>
      </c>
      <c r="AP627">
        <v>540.60697134945713</v>
      </c>
      <c r="AQ627">
        <v>687.00171076318384</v>
      </c>
      <c r="AR627">
        <v>118.88179640136505</v>
      </c>
      <c r="AS627">
        <v>1256.0031322148711</v>
      </c>
      <c r="AT627">
        <v>57.778923909618776</v>
      </c>
      <c r="AU627">
        <v>135.74767867400305</v>
      </c>
      <c r="AV627"/>
      <c r="AW627"/>
      <c r="FY627" s="211">
        <v>622</v>
      </c>
      <c r="FZ627">
        <v>125.79836767986161</v>
      </c>
      <c r="GA627">
        <v>163.43115355513245</v>
      </c>
      <c r="GB627">
        <v>41.321709962022155</v>
      </c>
      <c r="GC627">
        <v>34.458227464473246</v>
      </c>
      <c r="GD627">
        <v>53.801929638243124</v>
      </c>
      <c r="GE627">
        <v>110.54809633764638</v>
      </c>
      <c r="GF627">
        <v>88.323975296951176</v>
      </c>
      <c r="GG627">
        <v>88.559729428442992</v>
      </c>
      <c r="GH627">
        <v>114.82285067359496</v>
      </c>
      <c r="GI627">
        <v>102.73342011474783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184.48877077043809</v>
      </c>
      <c r="AO628">
        <v>125.32789257070417</v>
      </c>
      <c r="AP628">
        <v>513.20812308690256</v>
      </c>
      <c r="AQ628">
        <v>711.20712771662954</v>
      </c>
      <c r="AR628">
        <v>118.44863773239206</v>
      </c>
      <c r="AS628">
        <v>1162.0840813260636</v>
      </c>
      <c r="AT628">
        <v>66.226566121351922</v>
      </c>
      <c r="AU628">
        <v>171.68881242264132</v>
      </c>
      <c r="AV628"/>
      <c r="AW628"/>
      <c r="FY628" s="211">
        <v>623</v>
      </c>
      <c r="FZ628">
        <v>131.84877186953025</v>
      </c>
      <c r="GA628">
        <v>162.13482803508529</v>
      </c>
      <c r="GB628">
        <v>52.428281882591492</v>
      </c>
      <c r="GC628">
        <v>44.236962115148508</v>
      </c>
      <c r="GD628">
        <v>49.312134294384812</v>
      </c>
      <c r="GE628">
        <v>82.119753434101014</v>
      </c>
      <c r="GF628">
        <v>78.764176138172772</v>
      </c>
      <c r="GG628">
        <v>43.341739888123612</v>
      </c>
      <c r="GH628">
        <v>39.528009904381697</v>
      </c>
      <c r="GI628">
        <v>88.716100035714135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272.16016836886035</v>
      </c>
      <c r="AO629">
        <v>147.95222351907105</v>
      </c>
      <c r="AP629">
        <v>681.83289045914989</v>
      </c>
      <c r="AQ629">
        <v>780.47647084017706</v>
      </c>
      <c r="AR629">
        <v>139.76101182690391</v>
      </c>
      <c r="AS629">
        <v>1474.3777260770878</v>
      </c>
      <c r="AT629">
        <v>72.856152569977652</v>
      </c>
      <c r="AU629">
        <v>470.06539421407274</v>
      </c>
      <c r="AV629"/>
      <c r="AW629"/>
      <c r="FY629" s="211">
        <v>624</v>
      </c>
      <c r="FZ629">
        <v>120.79673632748532</v>
      </c>
      <c r="GA629">
        <v>143.57187244489086</v>
      </c>
      <c r="GB629">
        <v>46.803075637177422</v>
      </c>
      <c r="GC629">
        <v>50.928265921200293</v>
      </c>
      <c r="GD629">
        <v>34.52971779666391</v>
      </c>
      <c r="GE629">
        <v>50.772174845773108</v>
      </c>
      <c r="GF629">
        <v>84.704783325308128</v>
      </c>
      <c r="GG629">
        <v>59.255009021470798</v>
      </c>
      <c r="GH629">
        <v>73.402182230875383</v>
      </c>
      <c r="GI629">
        <v>83.742783095015795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287.90830733554111</v>
      </c>
      <c r="AO630">
        <v>149.37361583443857</v>
      </c>
      <c r="AP630">
        <v>747.40110767370493</v>
      </c>
      <c r="AQ630">
        <v>793.24105335770469</v>
      </c>
      <c r="AR630">
        <v>141.24322406708595</v>
      </c>
      <c r="AS630">
        <v>1463.8451703631565</v>
      </c>
      <c r="AT630">
        <v>68.63386598385236</v>
      </c>
      <c r="AU630">
        <v>63.012000578542931</v>
      </c>
      <c r="AV630"/>
      <c r="AW630"/>
      <c r="FY630" s="211">
        <v>625</v>
      </c>
      <c r="FZ630">
        <v>107.18687227139168</v>
      </c>
      <c r="GA630">
        <v>142.84124290610188</v>
      </c>
      <c r="GB630">
        <v>51.556941792433797</v>
      </c>
      <c r="GC630">
        <v>41.249575348388163</v>
      </c>
      <c r="GD630">
        <v>45.112291481833438</v>
      </c>
      <c r="GE630">
        <v>90.271131491014273</v>
      </c>
      <c r="GF630">
        <v>114.98683731350509</v>
      </c>
      <c r="GG630">
        <v>81.10026737167783</v>
      </c>
      <c r="GH630">
        <v>68.997430996322237</v>
      </c>
      <c r="GI630">
        <v>95.478859928380004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258.66278293522959</v>
      </c>
      <c r="AO631">
        <v>170.29148982098715</v>
      </c>
      <c r="AP631">
        <v>698.60580694426426</v>
      </c>
      <c r="AQ631">
        <v>952.43243899347658</v>
      </c>
      <c r="AR631">
        <v>161.04767241622685</v>
      </c>
      <c r="AS631">
        <v>1474.8394939829018</v>
      </c>
      <c r="AT631">
        <v>81.831878261131877</v>
      </c>
      <c r="AU631">
        <v>184.18215772562303</v>
      </c>
      <c r="AV631"/>
      <c r="AW631"/>
      <c r="FY631" s="211">
        <v>626</v>
      </c>
      <c r="FZ631">
        <v>113.87135942508317</v>
      </c>
      <c r="GA631">
        <v>154.84670404572051</v>
      </c>
      <c r="GB631">
        <v>54.591637075098966</v>
      </c>
      <c r="GC631">
        <v>57.333544026331921</v>
      </c>
      <c r="GD631">
        <v>54.44189926707373</v>
      </c>
      <c r="GE631">
        <v>58.40023507230012</v>
      </c>
      <c r="GF631">
        <v>55.378379997188063</v>
      </c>
      <c r="GG631">
        <v>61.812171725810735</v>
      </c>
      <c r="GH631">
        <v>44.161275672752573</v>
      </c>
      <c r="GI631">
        <v>86.488234621954106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235.75751382444827</v>
      </c>
      <c r="AO632">
        <v>106.97015612413122</v>
      </c>
      <c r="AP632">
        <v>383.29068258715466</v>
      </c>
      <c r="AQ632">
        <v>577.00726306281774</v>
      </c>
      <c r="AR632">
        <v>101.36532637946273</v>
      </c>
      <c r="AS632">
        <v>1113.6132408158105</v>
      </c>
      <c r="AT632">
        <v>46.366043255383296</v>
      </c>
      <c r="AU632">
        <v>137.96810832264026</v>
      </c>
      <c r="AV632"/>
      <c r="AW632"/>
      <c r="FY632" s="211">
        <v>627</v>
      </c>
      <c r="FZ632">
        <v>88.053788087773285</v>
      </c>
      <c r="GA632">
        <v>137.47912353488658</v>
      </c>
      <c r="GB632">
        <v>57.216652143256546</v>
      </c>
      <c r="GC632">
        <v>35.151671067056888</v>
      </c>
      <c r="GD632">
        <v>35.329074457471016</v>
      </c>
      <c r="GE632">
        <v>80.378657998714431</v>
      </c>
      <c r="GF632">
        <v>128.13490917639834</v>
      </c>
      <c r="GG632">
        <v>88.672589459491121</v>
      </c>
      <c r="GH632">
        <v>62.471751319682781</v>
      </c>
      <c r="GI632">
        <v>90.539158367733364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186.60470665415741</v>
      </c>
      <c r="AO633">
        <v>119.15500044140319</v>
      </c>
      <c r="AP633">
        <v>505.40153548489036</v>
      </c>
      <c r="AQ633">
        <v>672.8064439269184</v>
      </c>
      <c r="AR633">
        <v>112.38658220603942</v>
      </c>
      <c r="AS633">
        <v>1049.6238599344372</v>
      </c>
      <c r="AT633">
        <v>64.485132145022462</v>
      </c>
      <c r="AU633">
        <v>273.86828296948522</v>
      </c>
      <c r="AV633"/>
      <c r="AW633"/>
      <c r="FY633" s="211">
        <v>628</v>
      </c>
      <c r="FZ633">
        <v>108.27309652960265</v>
      </c>
      <c r="GA633">
        <v>147.8739871902325</v>
      </c>
      <c r="GB633">
        <v>46.602162518708923</v>
      </c>
      <c r="GC633">
        <v>40.287176619541057</v>
      </c>
      <c r="GD633">
        <v>33.448182534980972</v>
      </c>
      <c r="GE633">
        <v>61.954046208659982</v>
      </c>
      <c r="GF633">
        <v>91.211869002042135</v>
      </c>
      <c r="GG633">
        <v>19.040535595348405</v>
      </c>
      <c r="GH633">
        <v>22.837651605863179</v>
      </c>
      <c r="GI633">
        <v>74.659401051007677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235.07739357018673</v>
      </c>
      <c r="AO634">
        <v>136.13170829185466</v>
      </c>
      <c r="AP634">
        <v>628.36085005961149</v>
      </c>
      <c r="AQ634">
        <v>760.45678235269918</v>
      </c>
      <c r="AR634">
        <v>127.06085142291188</v>
      </c>
      <c r="AS634">
        <v>1318.6658380250756</v>
      </c>
      <c r="AT634">
        <v>67.968036242846708</v>
      </c>
      <c r="AU634">
        <v>98.719986906872819</v>
      </c>
      <c r="AV634"/>
      <c r="AW634"/>
      <c r="FY634" s="211">
        <v>629</v>
      </c>
      <c r="FZ634">
        <v>120.61913802414938</v>
      </c>
      <c r="GA634">
        <v>175.07693850876785</v>
      </c>
      <c r="GB634">
        <v>55.644549805011977</v>
      </c>
      <c r="GC634">
        <v>36.33881530952393</v>
      </c>
      <c r="GD634">
        <v>36.30708288950111</v>
      </c>
      <c r="GE634">
        <v>69.991802159364127</v>
      </c>
      <c r="GF634">
        <v>96.158469376155082</v>
      </c>
      <c r="GG634">
        <v>60.735397074348526</v>
      </c>
      <c r="GH634">
        <v>41.276532518745583</v>
      </c>
      <c r="GI634">
        <v>84.248915000341526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224.76658403781317</v>
      </c>
      <c r="AO635">
        <v>121.95734821123241</v>
      </c>
      <c r="AP635">
        <v>581.99592856672655</v>
      </c>
      <c r="AQ635">
        <v>695.16165102992659</v>
      </c>
      <c r="AR635">
        <v>115.96279875051593</v>
      </c>
      <c r="AS635">
        <v>1219.5426311045926</v>
      </c>
      <c r="AT635">
        <v>61.786903424536696</v>
      </c>
      <c r="AU635">
        <v>282.80856449063594</v>
      </c>
      <c r="AV635"/>
      <c r="AW635"/>
      <c r="FY635" s="211">
        <v>630</v>
      </c>
      <c r="FZ635">
        <v>127.39780088368181</v>
      </c>
      <c r="GA635">
        <v>146.64273222859524</v>
      </c>
      <c r="GB635">
        <v>40.353126421702022</v>
      </c>
      <c r="GC635">
        <v>40.923704666925438</v>
      </c>
      <c r="GD635">
        <v>73.060042686800443</v>
      </c>
      <c r="GE635">
        <v>138.04688006449905</v>
      </c>
      <c r="GF635">
        <v>109.0598928326071</v>
      </c>
      <c r="GG635">
        <v>94.582061212320397</v>
      </c>
      <c r="GH635">
        <v>92.333150872473368</v>
      </c>
      <c r="GI635">
        <v>116.73257581603158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230.30778702079306</v>
      </c>
      <c r="AO636">
        <v>136.23369047846154</v>
      </c>
      <c r="AP636">
        <v>695.5478821247782</v>
      </c>
      <c r="AQ636">
        <v>788.4089941985178</v>
      </c>
      <c r="AR636">
        <v>128.1186333928224</v>
      </c>
      <c r="AS636">
        <v>1334.7268125283836</v>
      </c>
      <c r="AT636">
        <v>73.258998047917643</v>
      </c>
      <c r="AU636">
        <v>189.2778439583181</v>
      </c>
      <c r="AV636"/>
      <c r="AW636"/>
      <c r="FY636" s="211">
        <v>631</v>
      </c>
      <c r="FZ636">
        <v>122.06367677362638</v>
      </c>
      <c r="GA636">
        <v>168.69611664779876</v>
      </c>
      <c r="GB636">
        <v>55.299919705042001</v>
      </c>
      <c r="GC636">
        <v>45.610018710029905</v>
      </c>
      <c r="GD636">
        <v>43.353466926525662</v>
      </c>
      <c r="GE636">
        <v>82.535965009377605</v>
      </c>
      <c r="GF636">
        <v>114.40310421919789</v>
      </c>
      <c r="GG636">
        <v>81.472580479047934</v>
      </c>
      <c r="GH636">
        <v>88.759466462506012</v>
      </c>
      <c r="GI636">
        <v>101.73166175497457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233.08146599790356</v>
      </c>
      <c r="AO637">
        <v>134.59972277044966</v>
      </c>
      <c r="AP637">
        <v>622.68741184292401</v>
      </c>
      <c r="AQ637">
        <v>723.38070327067896</v>
      </c>
      <c r="AR637">
        <v>128.1497508204879</v>
      </c>
      <c r="AS637">
        <v>1191.8173266598085</v>
      </c>
      <c r="AT637">
        <v>66.57288756608726</v>
      </c>
      <c r="AU637">
        <v>249.68179627125141</v>
      </c>
      <c r="AV637"/>
      <c r="AW637"/>
      <c r="FY637" s="211">
        <v>632</v>
      </c>
      <c r="FZ637">
        <v>123.67553379572092</v>
      </c>
      <c r="GA637">
        <v>139.10402711948433</v>
      </c>
      <c r="GB637">
        <v>33.886431606413076</v>
      </c>
      <c r="GC637">
        <v>43.764438674116072</v>
      </c>
      <c r="GD637">
        <v>51.158884756555288</v>
      </c>
      <c r="GE637">
        <v>82.323794631584931</v>
      </c>
      <c r="GF637">
        <v>86.680360613876346</v>
      </c>
      <c r="GG637">
        <v>39.931419924911481</v>
      </c>
      <c r="GH637">
        <v>11.140763174275637</v>
      </c>
      <c r="GI637">
        <v>81.855525215099391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299.61901524575353</v>
      </c>
      <c r="AO638">
        <v>165.69605492765726</v>
      </c>
      <c r="AP638">
        <v>715.84000731601577</v>
      </c>
      <c r="AQ638">
        <v>923.79946015111591</v>
      </c>
      <c r="AR638">
        <v>154.83818927782329</v>
      </c>
      <c r="AS638">
        <v>1614.2908688961629</v>
      </c>
      <c r="AT638">
        <v>84.154990653580754</v>
      </c>
      <c r="AU638">
        <v>91.903371828298702</v>
      </c>
      <c r="AV638"/>
      <c r="AW638"/>
      <c r="FY638" s="211">
        <v>633</v>
      </c>
      <c r="FZ638">
        <v>115.0034325890209</v>
      </c>
      <c r="GA638">
        <v>115.5444278699138</v>
      </c>
      <c r="GB638">
        <v>38.834013404316856</v>
      </c>
      <c r="GC638">
        <v>41.240948112947343</v>
      </c>
      <c r="GD638">
        <v>43.53872498170977</v>
      </c>
      <c r="GE638">
        <v>54.378492216196605</v>
      </c>
      <c r="GF638">
        <v>45.087485043012151</v>
      </c>
      <c r="GG638">
        <v>72.239276252049223</v>
      </c>
      <c r="GH638">
        <v>63.378884169744154</v>
      </c>
      <c r="GI638">
        <v>75.477556620901979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311.37573774626526</v>
      </c>
      <c r="AO639">
        <v>138.42260872562488</v>
      </c>
      <c r="AP639">
        <v>395.71186162484184</v>
      </c>
      <c r="AQ639">
        <v>772.43075759723354</v>
      </c>
      <c r="AR639">
        <v>131.71531329302823</v>
      </c>
      <c r="AS639">
        <v>1484.4829508311661</v>
      </c>
      <c r="AT639">
        <v>61.305299934005284</v>
      </c>
      <c r="AU639">
        <v>-28.519820824456318</v>
      </c>
      <c r="AV639"/>
      <c r="AW639"/>
      <c r="FY639" s="211">
        <v>634</v>
      </c>
      <c r="FZ639">
        <v>106.25517770526254</v>
      </c>
      <c r="GA639">
        <v>146.15601871316807</v>
      </c>
      <c r="GB639">
        <v>46.798609976471496</v>
      </c>
      <c r="GC639">
        <v>39.806529416066958</v>
      </c>
      <c r="GD639">
        <v>26.773940216441801</v>
      </c>
      <c r="GE639">
        <v>37.028075697779265</v>
      </c>
      <c r="GF639">
        <v>104.66468689277804</v>
      </c>
      <c r="GG639">
        <v>105.95183967791198</v>
      </c>
      <c r="GH639">
        <v>81.713830766924318</v>
      </c>
      <c r="GI639">
        <v>82.177741315736583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200.89154880749965</v>
      </c>
      <c r="AO640">
        <v>132.87651690211447</v>
      </c>
      <c r="AP640">
        <v>553.60862952488662</v>
      </c>
      <c r="AQ640">
        <v>748.506600645861</v>
      </c>
      <c r="AR640">
        <v>126.33895797770667</v>
      </c>
      <c r="AS640">
        <v>1158.4385671631028</v>
      </c>
      <c r="AT640">
        <v>71.178892318385138</v>
      </c>
      <c r="AU640">
        <v>85.016108114613317</v>
      </c>
      <c r="AV640"/>
      <c r="AW640"/>
      <c r="FY640" s="211">
        <v>635</v>
      </c>
      <c r="FZ640">
        <v>113.60838952879438</v>
      </c>
      <c r="GA640">
        <v>183.88502928455969</v>
      </c>
      <c r="GB640">
        <v>73.099733301347229</v>
      </c>
      <c r="GC640">
        <v>50.720530263630188</v>
      </c>
      <c r="GD640">
        <v>32.057273694856363</v>
      </c>
      <c r="GE640">
        <v>33.69358323010534</v>
      </c>
      <c r="GF640">
        <v>79.07849221425684</v>
      </c>
      <c r="GG640">
        <v>104.25879669435245</v>
      </c>
      <c r="GH640">
        <v>93.322874791074611</v>
      </c>
      <c r="GI640">
        <v>89.997084632087365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264.72803288111834</v>
      </c>
      <c r="AO641">
        <v>153.34515809282863</v>
      </c>
      <c r="AP641">
        <v>714.08445463216754</v>
      </c>
      <c r="AQ641">
        <v>838.7814509010484</v>
      </c>
      <c r="AR641">
        <v>143.93393833803816</v>
      </c>
      <c r="AS641">
        <v>1344.6000113551049</v>
      </c>
      <c r="AT641">
        <v>75.221274847819899</v>
      </c>
      <c r="AU641">
        <v>340.22636188720929</v>
      </c>
      <c r="AV641"/>
      <c r="AW641"/>
      <c r="FY641" s="211">
        <v>636</v>
      </c>
      <c r="FZ641">
        <v>104.9801854574652</v>
      </c>
      <c r="GA641">
        <v>124.79386288197678</v>
      </c>
      <c r="GB641">
        <v>47.911959648052473</v>
      </c>
      <c r="GC641">
        <v>50.065408972525219</v>
      </c>
      <c r="GD641">
        <v>39.610422731371571</v>
      </c>
      <c r="GE641">
        <v>77.74818129628359</v>
      </c>
      <c r="GF641">
        <v>154.19925917382955</v>
      </c>
      <c r="GG641">
        <v>94.38310022217189</v>
      </c>
      <c r="GH641">
        <v>55.920889848502121</v>
      </c>
      <c r="GI641">
        <v>98.432320086567785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256.12238360570308</v>
      </c>
      <c r="AO642">
        <v>137.84793540185299</v>
      </c>
      <c r="AP642">
        <v>707.4829411186214</v>
      </c>
      <c r="AQ642">
        <v>741.32544092931391</v>
      </c>
      <c r="AR642">
        <v>128.87438003022763</v>
      </c>
      <c r="AS642">
        <v>1494.2064477972979</v>
      </c>
      <c r="AT642">
        <v>69.100386283927193</v>
      </c>
      <c r="AU642">
        <v>211.52077643956829</v>
      </c>
      <c r="AV642"/>
      <c r="AW642"/>
      <c r="FY642" s="211">
        <v>637</v>
      </c>
      <c r="FZ642">
        <v>106.67508451218544</v>
      </c>
      <c r="GA642">
        <v>95.260050258702464</v>
      </c>
      <c r="GB642">
        <v>36.596285451153292</v>
      </c>
      <c r="GC642">
        <v>31.960412026218879</v>
      </c>
      <c r="GD642">
        <v>45.575414295619105</v>
      </c>
      <c r="GE642">
        <v>95.612462446057236</v>
      </c>
      <c r="GF642">
        <v>76.752508179138161</v>
      </c>
      <c r="GG642">
        <v>90.164152883222812</v>
      </c>
      <c r="GH642">
        <v>110.22553142537268</v>
      </c>
      <c r="GI642">
        <v>89.386510399846117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271.70424169105507</v>
      </c>
      <c r="AO643">
        <v>146.64563610045889</v>
      </c>
      <c r="AP643">
        <v>668.74054886729618</v>
      </c>
      <c r="AQ643">
        <v>803.4273756124644</v>
      </c>
      <c r="AR643">
        <v>137.19353523790448</v>
      </c>
      <c r="AS643">
        <v>1356.4954947530257</v>
      </c>
      <c r="AT643">
        <v>69.222700448611121</v>
      </c>
      <c r="AU643">
        <v>247.83703207954323</v>
      </c>
      <c r="AV643"/>
      <c r="AW643"/>
      <c r="FY643" s="211">
        <v>638</v>
      </c>
      <c r="FZ643">
        <v>119.70545268803147</v>
      </c>
      <c r="GA643">
        <v>127.85367498009894</v>
      </c>
      <c r="GB643">
        <v>49.403702157302618</v>
      </c>
      <c r="GC643">
        <v>47.496679414968284</v>
      </c>
      <c r="GD643">
        <v>47.343451753425946</v>
      </c>
      <c r="GE643">
        <v>71.337684603095497</v>
      </c>
      <c r="GF643">
        <v>73.543000968918548</v>
      </c>
      <c r="GG643">
        <v>43.738655380249888</v>
      </c>
      <c r="GH643">
        <v>36.150369507293419</v>
      </c>
      <c r="GI643">
        <v>83.799876473967402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228.80314631159149</v>
      </c>
      <c r="AO644">
        <v>116.32300974214702</v>
      </c>
      <c r="AP644">
        <v>526.85577560942761</v>
      </c>
      <c r="AQ644">
        <v>646.18810885598737</v>
      </c>
      <c r="AR644">
        <v>111.51342583721477</v>
      </c>
      <c r="AS644">
        <v>1095.7248033656494</v>
      </c>
      <c r="AT644">
        <v>57.668483692538103</v>
      </c>
      <c r="AU644">
        <v>107.17373555201848</v>
      </c>
      <c r="AV644"/>
      <c r="AW644"/>
      <c r="FY644" s="211">
        <v>639</v>
      </c>
      <c r="FZ644">
        <v>135.31283721301935</v>
      </c>
      <c r="GA644">
        <v>168.25039143204847</v>
      </c>
      <c r="GB644">
        <v>45.68073178142464</v>
      </c>
      <c r="GC644">
        <v>35.122985445130119</v>
      </c>
      <c r="GD644">
        <v>42.074665587788594</v>
      </c>
      <c r="GE644">
        <v>82.211277517921388</v>
      </c>
      <c r="GF644">
        <v>123.53575439145543</v>
      </c>
      <c r="GG644">
        <v>98.73105548731256</v>
      </c>
      <c r="GH644">
        <v>54.610079135799261</v>
      </c>
      <c r="GI644">
        <v>95.796936470435426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250.02721421048767</v>
      </c>
      <c r="AO645">
        <v>134.88034042901558</v>
      </c>
      <c r="AP645">
        <v>498.67049774028828</v>
      </c>
      <c r="AQ645">
        <v>776.39764066590908</v>
      </c>
      <c r="AR645">
        <v>126.52564665031133</v>
      </c>
      <c r="AS645">
        <v>1249.0901321901097</v>
      </c>
      <c r="AT645">
        <v>61.752854738073232</v>
      </c>
      <c r="AU645">
        <v>78.173207067128146</v>
      </c>
      <c r="AV645"/>
      <c r="AW645"/>
      <c r="FY645" s="211">
        <v>640</v>
      </c>
      <c r="FZ645">
        <v>107.04809382285846</v>
      </c>
      <c r="GA645">
        <v>99.27329322007715</v>
      </c>
      <c r="GB645">
        <v>41.190347251929168</v>
      </c>
      <c r="GC645">
        <v>42.107577455975658</v>
      </c>
      <c r="GD645">
        <v>43.644472322976426</v>
      </c>
      <c r="GE645">
        <v>72.620079535252415</v>
      </c>
      <c r="GF645">
        <v>77.535291071125044</v>
      </c>
      <c r="GG645">
        <v>73.175810519133975</v>
      </c>
      <c r="GH645">
        <v>57.908589541397042</v>
      </c>
      <c r="GI645">
        <v>81.589771041732746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362.09730693864503</v>
      </c>
      <c r="AO646">
        <v>185.62717731067613</v>
      </c>
      <c r="AP646">
        <v>755.83327596908305</v>
      </c>
      <c r="AQ646">
        <v>979.13196768563648</v>
      </c>
      <c r="AR646">
        <v>174.97044520496388</v>
      </c>
      <c r="AS646">
        <v>2071.7064791660027</v>
      </c>
      <c r="AT646">
        <v>84.938068319960806</v>
      </c>
      <c r="AU646">
        <v>344.97645656274409</v>
      </c>
      <c r="AV646"/>
      <c r="AW646"/>
      <c r="FY646" s="211">
        <v>641</v>
      </c>
      <c r="FZ646">
        <v>99.082766265245198</v>
      </c>
      <c r="GA646">
        <v>182.58594146115641</v>
      </c>
      <c r="GB646">
        <v>63.852713489873302</v>
      </c>
      <c r="GC646">
        <v>49.487728589074784</v>
      </c>
      <c r="GD646">
        <v>47.795075179190235</v>
      </c>
      <c r="GE646">
        <v>90.660787107176375</v>
      </c>
      <c r="GF646">
        <v>104.01568639621685</v>
      </c>
      <c r="GG646">
        <v>48.342287308953047</v>
      </c>
      <c r="GH646">
        <v>61.345676234770664</v>
      </c>
      <c r="GI646">
        <v>97.188020588520985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292.47607104243315</v>
      </c>
      <c r="AO647">
        <v>163.70593727884608</v>
      </c>
      <c r="AP647">
        <v>692.13043301546236</v>
      </c>
      <c r="AQ647">
        <v>903.92597668812664</v>
      </c>
      <c r="AR647">
        <v>154.35278100419094</v>
      </c>
      <c r="AS647">
        <v>1501.1498428490979</v>
      </c>
      <c r="AT647">
        <v>77.373704021930294</v>
      </c>
      <c r="AU647">
        <v>110.68171417605058</v>
      </c>
      <c r="AV647"/>
      <c r="AW647"/>
      <c r="FY647" s="211">
        <v>642</v>
      </c>
      <c r="FZ647">
        <v>125.63532671608574</v>
      </c>
      <c r="GA647">
        <v>132.3066020288413</v>
      </c>
      <c r="GB647">
        <v>35.469891672129108</v>
      </c>
      <c r="GC647">
        <v>37.311080642527969</v>
      </c>
      <c r="GD647">
        <v>41.448482752190088</v>
      </c>
      <c r="GE647">
        <v>96.349255007919595</v>
      </c>
      <c r="GF647">
        <v>147.24482467515597</v>
      </c>
      <c r="GG647">
        <v>86.547684347617889</v>
      </c>
      <c r="GH647">
        <v>69.449905758502254</v>
      </c>
      <c r="GI647">
        <v>100.34383782058462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228.92250918567635</v>
      </c>
      <c r="AO648">
        <v>129.41698553323141</v>
      </c>
      <c r="AP648">
        <v>559.76696463643225</v>
      </c>
      <c r="AQ648">
        <v>693.52117951203741</v>
      </c>
      <c r="AR648">
        <v>121.1245948396412</v>
      </c>
      <c r="AS648">
        <v>1217.568433620909</v>
      </c>
      <c r="AT648">
        <v>63.84642559903844</v>
      </c>
      <c r="AU648">
        <v>228.60966390649622</v>
      </c>
      <c r="AV648"/>
      <c r="AW648"/>
      <c r="FY648" s="211">
        <v>643</v>
      </c>
      <c r="FZ648">
        <v>96.836687734784434</v>
      </c>
      <c r="GA648">
        <v>144.69438652859674</v>
      </c>
      <c r="GB648">
        <v>52.25908590505</v>
      </c>
      <c r="GC648">
        <v>47.144959538566205</v>
      </c>
      <c r="GD648">
        <v>33.268123512759473</v>
      </c>
      <c r="GE648">
        <v>71.117066884820474</v>
      </c>
      <c r="GF648">
        <v>132.50358741057912</v>
      </c>
      <c r="GG648">
        <v>42.89769386860749</v>
      </c>
      <c r="GH648">
        <v>26.428775066605141</v>
      </c>
      <c r="GI648">
        <v>83.606466266926319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232.86067830389803</v>
      </c>
      <c r="AO649">
        <v>118.9178695631512</v>
      </c>
      <c r="AP649">
        <v>408.50274240883806</v>
      </c>
      <c r="AQ649">
        <v>664.72324125981277</v>
      </c>
      <c r="AR649">
        <v>112.31217978172295</v>
      </c>
      <c r="AS649">
        <v>1106.8832917184172</v>
      </c>
      <c r="AT649">
        <v>59.083864301247615</v>
      </c>
      <c r="AU649">
        <v>380.16621608516579</v>
      </c>
      <c r="AV649"/>
      <c r="AW649"/>
      <c r="FY649" s="211">
        <v>644</v>
      </c>
      <c r="FZ649">
        <v>128.64542031453001</v>
      </c>
      <c r="GA649">
        <v>120.94821112792692</v>
      </c>
      <c r="GB649">
        <v>32.310616151497108</v>
      </c>
      <c r="GC649">
        <v>31.570735310260513</v>
      </c>
      <c r="GD649">
        <v>37.959517748045194</v>
      </c>
      <c r="GE649">
        <v>88.499905695575606</v>
      </c>
      <c r="GF649">
        <v>117.57999234483746</v>
      </c>
      <c r="GG649">
        <v>114.7925553758563</v>
      </c>
      <c r="GH649">
        <v>116.90758595688233</v>
      </c>
      <c r="GI649">
        <v>98.229621812405739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206.56129823767219</v>
      </c>
      <c r="AO650">
        <v>132.78428818319273</v>
      </c>
      <c r="AP650">
        <v>613.44243210622335</v>
      </c>
      <c r="AQ650">
        <v>777.32645037854104</v>
      </c>
      <c r="AR650">
        <v>124.81109570931289</v>
      </c>
      <c r="AS650">
        <v>1172.33436457578</v>
      </c>
      <c r="AT650">
        <v>64.917970744751003</v>
      </c>
      <c r="AU650">
        <v>221.70777711386708</v>
      </c>
      <c r="AV650"/>
      <c r="AW650"/>
      <c r="FY650" s="211">
        <v>645</v>
      </c>
      <c r="FZ650">
        <v>133.12154898956618</v>
      </c>
      <c r="GA650">
        <v>140.91425949320904</v>
      </c>
      <c r="GB650">
        <v>46.646619925959392</v>
      </c>
      <c r="GC650">
        <v>46.918100581306298</v>
      </c>
      <c r="GD650">
        <v>47.336037234097454</v>
      </c>
      <c r="GE650">
        <v>77.537372490236166</v>
      </c>
      <c r="GF650">
        <v>64.75731790362822</v>
      </c>
      <c r="GG650">
        <v>78.559695919694647</v>
      </c>
      <c r="GH650">
        <v>118.38113308147751</v>
      </c>
      <c r="GI650">
        <v>96.725891433956946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206.70922111303102</v>
      </c>
      <c r="AO651">
        <v>145.77116127637646</v>
      </c>
      <c r="AP651">
        <v>493.33920330797491</v>
      </c>
      <c r="AQ651">
        <v>853.7217876350644</v>
      </c>
      <c r="AR651">
        <v>136.30049295296874</v>
      </c>
      <c r="AS651">
        <v>1399.5764653085562</v>
      </c>
      <c r="AT651">
        <v>72.683693228449698</v>
      </c>
      <c r="AU651">
        <v>114.5550496820204</v>
      </c>
      <c r="AV651"/>
      <c r="AW651"/>
      <c r="FY651" s="211">
        <v>646</v>
      </c>
      <c r="FZ651">
        <v>143.01356443119772</v>
      </c>
      <c r="GA651">
        <v>145.51000440348861</v>
      </c>
      <c r="GB651">
        <v>49.308036459853966</v>
      </c>
      <c r="GC651">
        <v>42.230050161195493</v>
      </c>
      <c r="GD651">
        <v>43.181344850511564</v>
      </c>
      <c r="GE651">
        <v>98.019320054742792</v>
      </c>
      <c r="GF651">
        <v>118.14604587172181</v>
      </c>
      <c r="GG651">
        <v>45.746472572679281</v>
      </c>
      <c r="GH651">
        <v>41.952138211310981</v>
      </c>
      <c r="GI651">
        <v>95.633080146219086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214.8113779083539</v>
      </c>
      <c r="AO652">
        <v>159.40280179501539</v>
      </c>
      <c r="AP652">
        <v>846.00795581826549</v>
      </c>
      <c r="AQ652">
        <v>848.04559031874612</v>
      </c>
      <c r="AR652">
        <v>149.50479738309809</v>
      </c>
      <c r="AS652">
        <v>1248.1336814204158</v>
      </c>
      <c r="AT652">
        <v>84.700179807677813</v>
      </c>
      <c r="AU652">
        <v>325.90165794020953</v>
      </c>
      <c r="AV652"/>
      <c r="AW652"/>
      <c r="FY652" s="211">
        <v>647</v>
      </c>
      <c r="FZ652">
        <v>120.49824786370138</v>
      </c>
      <c r="GA652">
        <v>162.20023604293399</v>
      </c>
      <c r="GB652">
        <v>54.201281185878408</v>
      </c>
      <c r="GC652">
        <v>45.914876179630681</v>
      </c>
      <c r="GD652">
        <v>44.171807311996957</v>
      </c>
      <c r="GE652">
        <v>60.915569059242493</v>
      </c>
      <c r="GF652">
        <v>63.258202073352443</v>
      </c>
      <c r="GG652">
        <v>59.499587771550559</v>
      </c>
      <c r="GH652">
        <v>66.212368517158552</v>
      </c>
      <c r="GI652">
        <v>85.097398191866617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269.62769637795589</v>
      </c>
      <c r="AO653">
        <v>142.51887934599029</v>
      </c>
      <c r="AP653">
        <v>599.48329785599822</v>
      </c>
      <c r="AQ653">
        <v>778.20841187751603</v>
      </c>
      <c r="AR653">
        <v>135.24810179766766</v>
      </c>
      <c r="AS653">
        <v>1463.76290729318</v>
      </c>
      <c r="AT653">
        <v>71.734649929744776</v>
      </c>
      <c r="AU653">
        <v>275.05480409083731</v>
      </c>
      <c r="AV653"/>
      <c r="AW653"/>
      <c r="FY653" s="211">
        <v>648</v>
      </c>
      <c r="FZ653">
        <v>127.25733725677409</v>
      </c>
      <c r="GA653">
        <v>130.04367860058193</v>
      </c>
      <c r="GB653">
        <v>37.092776114570562</v>
      </c>
      <c r="GC653">
        <v>40.385433540684524</v>
      </c>
      <c r="GD653">
        <v>44.86149780679898</v>
      </c>
      <c r="GE653">
        <v>63.505164543146385</v>
      </c>
      <c r="GF653">
        <v>36.911173238788358</v>
      </c>
      <c r="GG653">
        <v>59.441931567982067</v>
      </c>
      <c r="GH653">
        <v>88.625466370066903</v>
      </c>
      <c r="GI653">
        <v>79.96957733424982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232.49402526554937</v>
      </c>
      <c r="AO654">
        <v>130.42732821807053</v>
      </c>
      <c r="AP654">
        <v>516.06355165483546</v>
      </c>
      <c r="AQ654">
        <v>700.372547927352</v>
      </c>
      <c r="AR654">
        <v>124.79235290412943</v>
      </c>
      <c r="AS654">
        <v>1310.0002487239487</v>
      </c>
      <c r="AT654">
        <v>65.508076240459218</v>
      </c>
      <c r="AU654">
        <v>232.0161470931186</v>
      </c>
      <c r="AV654"/>
      <c r="AW654"/>
      <c r="FY654" s="211">
        <v>649</v>
      </c>
      <c r="FZ654">
        <v>113.74182478027842</v>
      </c>
      <c r="GA654">
        <v>136.02215954188554</v>
      </c>
      <c r="GB654">
        <v>39.692575813056088</v>
      </c>
      <c r="GC654">
        <v>41.853228751093525</v>
      </c>
      <c r="GD654">
        <v>38.617341103781094</v>
      </c>
      <c r="GE654">
        <v>62.784712225995918</v>
      </c>
      <c r="GF654">
        <v>140.04297551434462</v>
      </c>
      <c r="GG654">
        <v>111.84615791364449</v>
      </c>
      <c r="GH654">
        <v>64.011812535612123</v>
      </c>
      <c r="GI654">
        <v>94.624162973848101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269.02557772656724</v>
      </c>
      <c r="AO655">
        <v>154.26902701236946</v>
      </c>
      <c r="AP655">
        <v>540.58192260174769</v>
      </c>
      <c r="AQ655">
        <v>881.3267144623353</v>
      </c>
      <c r="AR655">
        <v>144.76705813622755</v>
      </c>
      <c r="AS655">
        <v>1401.3214357504062</v>
      </c>
      <c r="AT655">
        <v>70.507167695672692</v>
      </c>
      <c r="AU655">
        <v>311.41201914460464</v>
      </c>
      <c r="AV655"/>
      <c r="AW655"/>
      <c r="FY655" s="211">
        <v>650</v>
      </c>
      <c r="FZ655">
        <v>118.51777804576777</v>
      </c>
      <c r="GA655">
        <v>133.12016511120592</v>
      </c>
      <c r="GB655">
        <v>46.846048359726716</v>
      </c>
      <c r="GC655">
        <v>42.784016058118766</v>
      </c>
      <c r="GD655">
        <v>42.25558681361435</v>
      </c>
      <c r="GE655">
        <v>62.233024600572421</v>
      </c>
      <c r="GF655">
        <v>65.148677209451094</v>
      </c>
      <c r="GG655">
        <v>59.023543139087103</v>
      </c>
      <c r="GH655">
        <v>56.953726128342105</v>
      </c>
      <c r="GI655">
        <v>80.595566644814213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257.50515517651138</v>
      </c>
      <c r="AO656">
        <v>129.02856523614378</v>
      </c>
      <c r="AP656">
        <v>477.58085762985593</v>
      </c>
      <c r="AQ656">
        <v>696.09332578245812</v>
      </c>
      <c r="AR656">
        <v>122.09819372452093</v>
      </c>
      <c r="AS656">
        <v>1360.2603447237566</v>
      </c>
      <c r="AT656">
        <v>58.809509140457237</v>
      </c>
      <c r="AU656">
        <v>222.54029900776604</v>
      </c>
      <c r="AV656"/>
      <c r="AW656"/>
      <c r="FY656" s="211">
        <v>651</v>
      </c>
      <c r="FZ656">
        <v>91.140999531108918</v>
      </c>
      <c r="GA656">
        <v>125.09128664495184</v>
      </c>
      <c r="GB656">
        <v>47.888122273831939</v>
      </c>
      <c r="GC656">
        <v>42.841371361432245</v>
      </c>
      <c r="GD656">
        <v>34.006808079530366</v>
      </c>
      <c r="GE656">
        <v>45.399693208859546</v>
      </c>
      <c r="GF656">
        <v>64.498566156530643</v>
      </c>
      <c r="GG656">
        <v>97.95738915202223</v>
      </c>
      <c r="GH656">
        <v>105.02456239227432</v>
      </c>
      <c r="GI656">
        <v>79.358630745791004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261.97395436339599</v>
      </c>
      <c r="AO657">
        <v>157.86919290439127</v>
      </c>
      <c r="AP657">
        <v>866.98253035578216</v>
      </c>
      <c r="AQ657">
        <v>844.35668262017782</v>
      </c>
      <c r="AR657">
        <v>146.70640041854409</v>
      </c>
      <c r="AS657">
        <v>1405.5972513185234</v>
      </c>
      <c r="AT657">
        <v>80.925795343994778</v>
      </c>
      <c r="AU657">
        <v>41.973877988085178</v>
      </c>
      <c r="AV657"/>
      <c r="AW657"/>
      <c r="FY657" s="211">
        <v>652</v>
      </c>
      <c r="FZ657">
        <v>117.73804309451373</v>
      </c>
      <c r="GA657">
        <v>138.93252361658594</v>
      </c>
      <c r="GB657">
        <v>42.58138452743475</v>
      </c>
      <c r="GC657">
        <v>40.602624603373592</v>
      </c>
      <c r="GD657">
        <v>39.775255400628311</v>
      </c>
      <c r="GE657">
        <v>45.590167985191059</v>
      </c>
      <c r="GF657">
        <v>54.085409149464041</v>
      </c>
      <c r="GG657">
        <v>83.647723764349834</v>
      </c>
      <c r="GH657">
        <v>77.564882717719641</v>
      </c>
      <c r="GI657">
        <v>79.15159594166154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241.25291594331748</v>
      </c>
      <c r="AO658">
        <v>160.77449895416817</v>
      </c>
      <c r="AP658">
        <v>807.26686001240716</v>
      </c>
      <c r="AQ658">
        <v>872.10689142155468</v>
      </c>
      <c r="AR658">
        <v>152.02136796199514</v>
      </c>
      <c r="AS658">
        <v>1361.7043071734824</v>
      </c>
      <c r="AT658">
        <v>83.846882611312935</v>
      </c>
      <c r="AU658">
        <v>176.18958598239846</v>
      </c>
      <c r="AV658"/>
      <c r="AW658"/>
      <c r="FY658" s="211">
        <v>653</v>
      </c>
      <c r="FZ658">
        <v>116.9266576937722</v>
      </c>
      <c r="GA658">
        <v>174.88888884888107</v>
      </c>
      <c r="GB658">
        <v>62.751978924713612</v>
      </c>
      <c r="GC658">
        <v>39.510978322138165</v>
      </c>
      <c r="GD658">
        <v>25.84242896296211</v>
      </c>
      <c r="GE658">
        <v>49.428829112083307</v>
      </c>
      <c r="GF658">
        <v>122.57733178382686</v>
      </c>
      <c r="GG658">
        <v>87.576398117153232</v>
      </c>
      <c r="GH658">
        <v>55.922194610705134</v>
      </c>
      <c r="GI658">
        <v>86.962770514131961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224.98529415757213</v>
      </c>
      <c r="AO659">
        <v>134.10749028854624</v>
      </c>
      <c r="AP659">
        <v>640.46195335828895</v>
      </c>
      <c r="AQ659">
        <v>730.75683271729531</v>
      </c>
      <c r="AR659">
        <v>125.90185523701889</v>
      </c>
      <c r="AS659">
        <v>1260.3631439387402</v>
      </c>
      <c r="AT659">
        <v>64.197111706578795</v>
      </c>
      <c r="AU659">
        <v>260.36285621672039</v>
      </c>
      <c r="AV659"/>
      <c r="AW659"/>
      <c r="FY659" s="211">
        <v>654</v>
      </c>
      <c r="FZ659">
        <v>125.30074489147526</v>
      </c>
      <c r="GA659">
        <v>160.9056883991021</v>
      </c>
      <c r="GB659">
        <v>50.028705281873115</v>
      </c>
      <c r="GC659">
        <v>32.340799128065441</v>
      </c>
      <c r="GD659">
        <v>56.54631110369349</v>
      </c>
      <c r="GE659">
        <v>133.63353244660402</v>
      </c>
      <c r="GF659">
        <v>115.52883139354331</v>
      </c>
      <c r="GG659">
        <v>44.381307850013684</v>
      </c>
      <c r="GH659">
        <v>40.861194279507345</v>
      </c>
      <c r="GI659">
        <v>101.70749971307899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242.21964945527648</v>
      </c>
      <c r="AO660">
        <v>160.14345205521471</v>
      </c>
      <c r="AP660">
        <v>676.60514172612204</v>
      </c>
      <c r="AQ660">
        <v>887.44416183781721</v>
      </c>
      <c r="AR660">
        <v>151.14315546590817</v>
      </c>
      <c r="AS660">
        <v>1481.0214658977702</v>
      </c>
      <c r="AT660">
        <v>79.167592669538962</v>
      </c>
      <c r="AU660">
        <v>335.39900706572877</v>
      </c>
      <c r="AV660"/>
      <c r="AW660"/>
      <c r="FY660" s="211">
        <v>655</v>
      </c>
      <c r="FZ660">
        <v>117.91504717456023</v>
      </c>
      <c r="GA660">
        <v>154.02629466392585</v>
      </c>
      <c r="GB660">
        <v>35.740048640334997</v>
      </c>
      <c r="GC660">
        <v>31.822751193446067</v>
      </c>
      <c r="GD660">
        <v>39.068950565564748</v>
      </c>
      <c r="GE660">
        <v>88.788087406900132</v>
      </c>
      <c r="GF660">
        <v>123.64502994407609</v>
      </c>
      <c r="GG660">
        <v>111.48339175710112</v>
      </c>
      <c r="GH660">
        <v>118.07748476165632</v>
      </c>
      <c r="GI660">
        <v>99.807861011027001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270.1433171573363</v>
      </c>
      <c r="AO661">
        <v>153.75688458289929</v>
      </c>
      <c r="AP661">
        <v>548.82362236403435</v>
      </c>
      <c r="AQ661">
        <v>850.89797705313174</v>
      </c>
      <c r="AR661">
        <v>146.31114963097312</v>
      </c>
      <c r="AS661">
        <v>1528.5732542594467</v>
      </c>
      <c r="AT661">
        <v>77.618736739462861</v>
      </c>
      <c r="AU661">
        <v>-32.782295145185373</v>
      </c>
      <c r="AV661"/>
      <c r="AW661"/>
      <c r="FY661" s="211">
        <v>656</v>
      </c>
      <c r="FZ661">
        <v>122.95847180888163</v>
      </c>
      <c r="GA661">
        <v>145.531587526175</v>
      </c>
      <c r="GB661">
        <v>53.959327380694759</v>
      </c>
      <c r="GC661">
        <v>43.969165670689129</v>
      </c>
      <c r="GD661">
        <v>42.287957868952226</v>
      </c>
      <c r="GE661">
        <v>64.11972780581165</v>
      </c>
      <c r="GF661">
        <v>77.002062005850135</v>
      </c>
      <c r="GG661">
        <v>71.183636871062333</v>
      </c>
      <c r="GH661">
        <v>64.558147473893925</v>
      </c>
      <c r="GI661">
        <v>87.298538474028632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266.37460842799999</v>
      </c>
      <c r="AO662">
        <v>151.09109683191468</v>
      </c>
      <c r="AP662">
        <v>631.60633477131762</v>
      </c>
      <c r="AQ662">
        <v>822.74005716292118</v>
      </c>
      <c r="AR662">
        <v>144.06202109546086</v>
      </c>
      <c r="AS662">
        <v>1417.1635493751271</v>
      </c>
      <c r="AT662">
        <v>73.369363798579414</v>
      </c>
      <c r="AU662">
        <v>208.72447717069053</v>
      </c>
      <c r="AV662"/>
      <c r="AW662"/>
      <c r="FY662" s="211">
        <v>657</v>
      </c>
      <c r="FZ662">
        <v>103.60828117966116</v>
      </c>
      <c r="GA662">
        <v>161.33703787294795</v>
      </c>
      <c r="GB662">
        <v>58.681937091827464</v>
      </c>
      <c r="GC662">
        <v>46.829207992621193</v>
      </c>
      <c r="GD662">
        <v>34.21252673188549</v>
      </c>
      <c r="GE662">
        <v>58.438181059328514</v>
      </c>
      <c r="GF662">
        <v>128.61560131421365</v>
      </c>
      <c r="GG662">
        <v>85.708599139991307</v>
      </c>
      <c r="GH662">
        <v>65.982105957350342</v>
      </c>
      <c r="GI662">
        <v>93.43624822317355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251.20726961783816</v>
      </c>
      <c r="AO663">
        <v>134.11096338862865</v>
      </c>
      <c r="AP663">
        <v>474.19964971049876</v>
      </c>
      <c r="AQ663">
        <v>761.96957419731223</v>
      </c>
      <c r="AR663">
        <v>127.21341555210587</v>
      </c>
      <c r="AS663">
        <v>1510.5111497294486</v>
      </c>
      <c r="AT663">
        <v>63.804940633138408</v>
      </c>
      <c r="AU663">
        <v>67.095176182699404</v>
      </c>
      <c r="AV663"/>
      <c r="AW663"/>
      <c r="FY663" s="211">
        <v>658</v>
      </c>
      <c r="FZ663">
        <v>87.02653789922681</v>
      </c>
      <c r="GA663">
        <v>97.937884780934496</v>
      </c>
      <c r="GB663">
        <v>43.82777739252581</v>
      </c>
      <c r="GC663">
        <v>38.449182433357414</v>
      </c>
      <c r="GD663">
        <v>28.170912422532247</v>
      </c>
      <c r="GE663">
        <v>55.825834956134138</v>
      </c>
      <c r="GF663">
        <v>104.51999668074794</v>
      </c>
      <c r="GG663">
        <v>80.314955298063211</v>
      </c>
      <c r="GH663">
        <v>61.243563336217846</v>
      </c>
      <c r="GI663">
        <v>75.803937650017957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248.64346960269191</v>
      </c>
      <c r="AO664">
        <v>126.72474803826915</v>
      </c>
      <c r="AP664">
        <v>576.7986516699516</v>
      </c>
      <c r="AQ664">
        <v>708.09403637364358</v>
      </c>
      <c r="AR664">
        <v>120.61299881726822</v>
      </c>
      <c r="AS664">
        <v>1185.3520293443869</v>
      </c>
      <c r="AT664">
        <v>63.903120168388966</v>
      </c>
      <c r="AU664">
        <v>41.206560628583823</v>
      </c>
      <c r="AV664"/>
      <c r="AW664"/>
      <c r="FY664" s="211">
        <v>659</v>
      </c>
      <c r="FZ664">
        <v>135.97351529939471</v>
      </c>
      <c r="GA664">
        <v>201.79127743438801</v>
      </c>
      <c r="GB664">
        <v>69.212881871018951</v>
      </c>
      <c r="GC664">
        <v>45.859945666440453</v>
      </c>
      <c r="GD664">
        <v>29.725956150442467</v>
      </c>
      <c r="GE664">
        <v>19.389768381810228</v>
      </c>
      <c r="GF664">
        <v>66.635010154330658</v>
      </c>
      <c r="GG664">
        <v>74.233454006272197</v>
      </c>
      <c r="GH664">
        <v>39.79048509677888</v>
      </c>
      <c r="GI664">
        <v>79.637170241943764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259.00778513610692</v>
      </c>
      <c r="AO665">
        <v>150.58790496017377</v>
      </c>
      <c r="AP665">
        <v>632.11674017650478</v>
      </c>
      <c r="AQ665">
        <v>843.23695115353985</v>
      </c>
      <c r="AR665">
        <v>142.55616803301297</v>
      </c>
      <c r="AS665">
        <v>1397.1109693196086</v>
      </c>
      <c r="AT665">
        <v>70.102398235245175</v>
      </c>
      <c r="AU665">
        <v>255.86163991832888</v>
      </c>
      <c r="AV665"/>
      <c r="AW665"/>
      <c r="FY665" s="211">
        <v>660</v>
      </c>
      <c r="FZ665">
        <v>111.22826144743401</v>
      </c>
      <c r="GA665">
        <v>139.88354678839184</v>
      </c>
      <c r="GB665">
        <v>53.452075804736474</v>
      </c>
      <c r="GC665">
        <v>40.281820677300914</v>
      </c>
      <c r="GD665">
        <v>39.968169830604793</v>
      </c>
      <c r="GE665">
        <v>86.008704360745085</v>
      </c>
      <c r="GF665">
        <v>156.80999984752003</v>
      </c>
      <c r="GG665">
        <v>117.07348498001727</v>
      </c>
      <c r="GH665">
        <v>58.229555332121294</v>
      </c>
      <c r="GI665">
        <v>101.03989135329036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248.52780574526105</v>
      </c>
      <c r="AO666">
        <v>126.2432927837024</v>
      </c>
      <c r="AP666">
        <v>546.52686483144453</v>
      </c>
      <c r="AQ666">
        <v>707.47813211070036</v>
      </c>
      <c r="AR666">
        <v>120.29696199448361</v>
      </c>
      <c r="AS666">
        <v>1270.9710305970223</v>
      </c>
      <c r="AT666">
        <v>63.386733158827582</v>
      </c>
      <c r="AU666">
        <v>409.08601539538068</v>
      </c>
      <c r="AV666"/>
      <c r="AW666"/>
      <c r="FY666" s="211">
        <v>661</v>
      </c>
      <c r="FZ666">
        <v>107.51194320254007</v>
      </c>
      <c r="GA666">
        <v>131.12296245603656</v>
      </c>
      <c r="GB666">
        <v>41.344385405340915</v>
      </c>
      <c r="GC666">
        <v>44.500914465017964</v>
      </c>
      <c r="GD666">
        <v>54.909167744930862</v>
      </c>
      <c r="GE666">
        <v>101.06770811093385</v>
      </c>
      <c r="GF666">
        <v>87.611042085482424</v>
      </c>
      <c r="GG666">
        <v>69.312306028474694</v>
      </c>
      <c r="GH666">
        <v>95.151985889648131</v>
      </c>
      <c r="GI666">
        <v>97.890136969226219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229.95428428953181</v>
      </c>
      <c r="AO667">
        <v>129.24160284345038</v>
      </c>
      <c r="AP667">
        <v>504.67510023983743</v>
      </c>
      <c r="AQ667">
        <v>733.20742954633306</v>
      </c>
      <c r="AR667">
        <v>120.22285169546178</v>
      </c>
      <c r="AS667">
        <v>1267.5797611669088</v>
      </c>
      <c r="AT667">
        <v>63.710146549043223</v>
      </c>
      <c r="AU667">
        <v>147.05449999570038</v>
      </c>
      <c r="AV667"/>
      <c r="AW667"/>
      <c r="FY667" s="211">
        <v>662</v>
      </c>
      <c r="FZ667">
        <v>129.88582494509376</v>
      </c>
      <c r="GA667">
        <v>163.37044677574792</v>
      </c>
      <c r="GB667">
        <v>49.170446749797776</v>
      </c>
      <c r="GC667">
        <v>40.581217542368648</v>
      </c>
      <c r="GD667">
        <v>25.496135602942822</v>
      </c>
      <c r="GE667">
        <v>56.843478639084907</v>
      </c>
      <c r="GF667">
        <v>116.26530565823404</v>
      </c>
      <c r="GG667">
        <v>60.140350009438365</v>
      </c>
      <c r="GH667">
        <v>51.579627678785627</v>
      </c>
      <c r="GI667">
        <v>83.633294589903002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211.50000021509672</v>
      </c>
      <c r="AO668">
        <v>126.0799575116736</v>
      </c>
      <c r="AP668">
        <v>517.35277994021067</v>
      </c>
      <c r="AQ668">
        <v>719.66961080092256</v>
      </c>
      <c r="AR668">
        <v>119.27380082030059</v>
      </c>
      <c r="AS668">
        <v>1105.0337729652836</v>
      </c>
      <c r="AT668">
        <v>64.282193411605547</v>
      </c>
      <c r="AU668">
        <v>178.3090616653763</v>
      </c>
      <c r="AV668"/>
      <c r="AW668"/>
      <c r="FY668" s="211">
        <v>663</v>
      </c>
      <c r="FZ668">
        <v>85.77751957372908</v>
      </c>
      <c r="GA668">
        <v>161.998100470965</v>
      </c>
      <c r="GB668">
        <v>69.543446214865469</v>
      </c>
      <c r="GC668">
        <v>44.608730846919265</v>
      </c>
      <c r="GD668">
        <v>40.787563494550795</v>
      </c>
      <c r="GE668">
        <v>101.26587361753189</v>
      </c>
      <c r="GF668">
        <v>135.73917022579667</v>
      </c>
      <c r="GG668">
        <v>81.060399238391724</v>
      </c>
      <c r="GH668">
        <v>90.742652314667282</v>
      </c>
      <c r="GI668">
        <v>103.93891764714718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226.33805757603983</v>
      </c>
      <c r="AO669">
        <v>140.05668716163655</v>
      </c>
      <c r="AP669">
        <v>523.26878047956745</v>
      </c>
      <c r="AQ669">
        <v>822.38845689036759</v>
      </c>
      <c r="AR669">
        <v>131.82303275314246</v>
      </c>
      <c r="AS669">
        <v>1241.4080041604907</v>
      </c>
      <c r="AT669">
        <v>66.165247545424549</v>
      </c>
      <c r="AU669">
        <v>175.59244920013899</v>
      </c>
      <c r="AV669"/>
      <c r="AW669"/>
      <c r="FY669" s="211">
        <v>664</v>
      </c>
      <c r="FZ669">
        <v>104.87106657612469</v>
      </c>
      <c r="GA669">
        <v>132.26916308758084</v>
      </c>
      <c r="GB669">
        <v>45.220368341470163</v>
      </c>
      <c r="GC669">
        <v>38.795462140605878</v>
      </c>
      <c r="GD669">
        <v>34.167275747105649</v>
      </c>
      <c r="GE669">
        <v>67.596103232699875</v>
      </c>
      <c r="GF669">
        <v>105.27880973446905</v>
      </c>
      <c r="GG669">
        <v>39.146478839549061</v>
      </c>
      <c r="GH669">
        <v>18.332420466754598</v>
      </c>
      <c r="GI669">
        <v>75.705512992116226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283.41196577018337</v>
      </c>
      <c r="AO670">
        <v>162.09681219085937</v>
      </c>
      <c r="AP670">
        <v>697.19772249150913</v>
      </c>
      <c r="AQ670">
        <v>861.23461448695684</v>
      </c>
      <c r="AR670">
        <v>153.08717511517241</v>
      </c>
      <c r="AS670">
        <v>1600.8962792446021</v>
      </c>
      <c r="AT670">
        <v>75.124017130455414</v>
      </c>
      <c r="AU670">
        <v>462.92075632423769</v>
      </c>
      <c r="AV670"/>
      <c r="AW670"/>
      <c r="FY670" s="211">
        <v>665</v>
      </c>
      <c r="FZ670">
        <v>147.87758156496631</v>
      </c>
      <c r="GA670">
        <v>136.09802421536466</v>
      </c>
      <c r="GB670">
        <v>38.35099352137199</v>
      </c>
      <c r="GC670">
        <v>41.132060751579424</v>
      </c>
      <c r="GD670">
        <v>40.948513743364565</v>
      </c>
      <c r="GE670">
        <v>99.882368490278111</v>
      </c>
      <c r="GF670">
        <v>148.6450780475864</v>
      </c>
      <c r="GG670">
        <v>74.521566724237118</v>
      </c>
      <c r="GH670">
        <v>61.819501424176167</v>
      </c>
      <c r="GI670">
        <v>102.69117341610919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253.17257741809749</v>
      </c>
      <c r="AO671">
        <v>162.50886054320847</v>
      </c>
      <c r="AP671">
        <v>823.23334570296311</v>
      </c>
      <c r="AQ671">
        <v>920.37494711859267</v>
      </c>
      <c r="AR671">
        <v>151.99368940054376</v>
      </c>
      <c r="AS671">
        <v>1454.662945587251</v>
      </c>
      <c r="AT671">
        <v>84.414184675172734</v>
      </c>
      <c r="AU671">
        <v>288.53916289106866</v>
      </c>
      <c r="AV671"/>
      <c r="AW671"/>
      <c r="FY671" s="211">
        <v>666</v>
      </c>
      <c r="FZ671">
        <v>109.93233157657782</v>
      </c>
      <c r="GA671">
        <v>151.65732691105282</v>
      </c>
      <c r="GB671">
        <v>59.53367666828111</v>
      </c>
      <c r="GC671">
        <v>41.088139280610967</v>
      </c>
      <c r="GD671">
        <v>38.41157761685151</v>
      </c>
      <c r="GE671">
        <v>78.263506005833193</v>
      </c>
      <c r="GF671">
        <v>85.128972709803904</v>
      </c>
      <c r="GG671">
        <v>36.761896674925822</v>
      </c>
      <c r="GH671">
        <v>40.39746940000434</v>
      </c>
      <c r="GI671">
        <v>83.204257043555117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276.71113976344134</v>
      </c>
      <c r="AO672">
        <v>137.64187695465654</v>
      </c>
      <c r="AP672">
        <v>389.26789295553129</v>
      </c>
      <c r="AQ672">
        <v>772.86862288603936</v>
      </c>
      <c r="AR672">
        <v>131.38791115802169</v>
      </c>
      <c r="AS672">
        <v>1414.11638010515</v>
      </c>
      <c r="AT672">
        <v>61.130868771678543</v>
      </c>
      <c r="AU672">
        <v>118.78495309425102</v>
      </c>
      <c r="AV672"/>
      <c r="AW672"/>
      <c r="FY672" s="211">
        <v>667</v>
      </c>
      <c r="FZ672">
        <v>137.14216591700983</v>
      </c>
      <c r="GA672">
        <v>146.38935765606035</v>
      </c>
      <c r="GB672">
        <v>41.010795819709898</v>
      </c>
      <c r="GC672">
        <v>43.244874409874328</v>
      </c>
      <c r="GD672">
        <v>51.780061738725735</v>
      </c>
      <c r="GE672">
        <v>91.66115679501398</v>
      </c>
      <c r="GF672">
        <v>90.573801855942108</v>
      </c>
      <c r="GG672">
        <v>69.718602937243787</v>
      </c>
      <c r="GH672">
        <v>65.201032359428908</v>
      </c>
      <c r="GI672">
        <v>96.098772592223483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235.36706851512434</v>
      </c>
      <c r="AO673">
        <v>150.5603816391278</v>
      </c>
      <c r="AP673">
        <v>698.73825832014779</v>
      </c>
      <c r="AQ673">
        <v>836.84972656300056</v>
      </c>
      <c r="AR673">
        <v>141.74121344931581</v>
      </c>
      <c r="AS673">
        <v>1416.1349424405457</v>
      </c>
      <c r="AT673">
        <v>76.14647624932077</v>
      </c>
      <c r="AU673">
        <v>109.33785412870789</v>
      </c>
      <c r="AV673"/>
      <c r="AW673"/>
      <c r="FY673" s="211">
        <v>668</v>
      </c>
      <c r="FZ673">
        <v>126.73817905970721</v>
      </c>
      <c r="GA673">
        <v>152.04151241096304</v>
      </c>
      <c r="GB673">
        <v>58.086821827092642</v>
      </c>
      <c r="GC673">
        <v>52.562342578355093</v>
      </c>
      <c r="GD673">
        <v>60.688238197733043</v>
      </c>
      <c r="GE673">
        <v>93.411685680519042</v>
      </c>
      <c r="GF673">
        <v>96.324355882705774</v>
      </c>
      <c r="GG673">
        <v>101.94008556915873</v>
      </c>
      <c r="GH673">
        <v>88.31160566760876</v>
      </c>
      <c r="GI673">
        <v>109.53136744144825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176.99943406648475</v>
      </c>
      <c r="AO674">
        <v>121.26747427376847</v>
      </c>
      <c r="AP674">
        <v>471.49542993203289</v>
      </c>
      <c r="AQ674">
        <v>673.12058284975785</v>
      </c>
      <c r="AR674">
        <v>114.27517848546623</v>
      </c>
      <c r="AS674">
        <v>1205.8713042096037</v>
      </c>
      <c r="AT674">
        <v>65.264993659939535</v>
      </c>
      <c r="AU674">
        <v>223.54995065000989</v>
      </c>
      <c r="AV674"/>
      <c r="AW674"/>
      <c r="FY674" s="211">
        <v>669</v>
      </c>
      <c r="FZ674">
        <v>138.98491126081225</v>
      </c>
      <c r="GA674">
        <v>166.67339672267627</v>
      </c>
      <c r="GB674">
        <v>41.07793866932176</v>
      </c>
      <c r="GC674">
        <v>38.854763625960956</v>
      </c>
      <c r="GD674">
        <v>45.78579585891076</v>
      </c>
      <c r="GE674">
        <v>64.807484738475679</v>
      </c>
      <c r="GF674">
        <v>79.674123079639415</v>
      </c>
      <c r="GG674">
        <v>81.591939375377066</v>
      </c>
      <c r="GH674">
        <v>58.319831219873763</v>
      </c>
      <c r="GI674">
        <v>88.197724837584076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204.14979670866774</v>
      </c>
      <c r="AO675">
        <v>126.64891886534163</v>
      </c>
      <c r="AP675">
        <v>392.46700982608309</v>
      </c>
      <c r="AQ675">
        <v>762.24946430282023</v>
      </c>
      <c r="AR675">
        <v>120.36056676599692</v>
      </c>
      <c r="AS675">
        <v>1264.0416864551114</v>
      </c>
      <c r="AT675">
        <v>57.30369845014625</v>
      </c>
      <c r="AU675">
        <v>117.38620907931849</v>
      </c>
      <c r="AV675"/>
      <c r="AW675"/>
      <c r="FY675" s="211">
        <v>670</v>
      </c>
      <c r="FZ675">
        <v>100.62935496440143</v>
      </c>
      <c r="GA675">
        <v>170.13821686073862</v>
      </c>
      <c r="GB675">
        <v>56.389334203453572</v>
      </c>
      <c r="GC675">
        <v>40.523149590560891</v>
      </c>
      <c r="GD675">
        <v>54.886198704593625</v>
      </c>
      <c r="GE675">
        <v>117.97378318935228</v>
      </c>
      <c r="GF675">
        <v>124.84977417971976</v>
      </c>
      <c r="GG675">
        <v>36.220249762052994</v>
      </c>
      <c r="GH675">
        <v>18.395029257339871</v>
      </c>
      <c r="GI675">
        <v>97.452988397872801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328.12293381361627</v>
      </c>
      <c r="AO676">
        <v>162.87423166705463</v>
      </c>
      <c r="AP676">
        <v>737.07464184774403</v>
      </c>
      <c r="AQ676">
        <v>903.97551042216207</v>
      </c>
      <c r="AR676">
        <v>152.2439724082268</v>
      </c>
      <c r="AS676">
        <v>1336.909395122301</v>
      </c>
      <c r="AT676">
        <v>70.006925147139455</v>
      </c>
      <c r="AU676">
        <v>295.80263826696211</v>
      </c>
      <c r="AV676"/>
      <c r="AW676"/>
      <c r="FY676" s="211">
        <v>671</v>
      </c>
      <c r="FZ676">
        <v>128.65306455366678</v>
      </c>
      <c r="GA676">
        <v>192.18906878493297</v>
      </c>
      <c r="GB676">
        <v>56.984047931029778</v>
      </c>
      <c r="GC676">
        <v>42.534591397946457</v>
      </c>
      <c r="GD676">
        <v>39.986007067926941</v>
      </c>
      <c r="GE676">
        <v>74.744273404478974</v>
      </c>
      <c r="GF676">
        <v>116.27559001071644</v>
      </c>
      <c r="GG676">
        <v>63.88161159369556</v>
      </c>
      <c r="GH676">
        <v>43.20801563035608</v>
      </c>
      <c r="GI676">
        <v>93.130246525741271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277.85305761346069</v>
      </c>
      <c r="AO677">
        <v>156.12141736611764</v>
      </c>
      <c r="AP677">
        <v>615.37559430036561</v>
      </c>
      <c r="AQ677">
        <v>830.42255235763173</v>
      </c>
      <c r="AR677">
        <v>147.12593376349517</v>
      </c>
      <c r="AS677">
        <v>1542.3999553380443</v>
      </c>
      <c r="AT677">
        <v>74.418558690357528</v>
      </c>
      <c r="AU677">
        <v>59.455573988484346</v>
      </c>
      <c r="AV677"/>
      <c r="AW677"/>
      <c r="FY677" s="211">
        <v>672</v>
      </c>
      <c r="FZ677">
        <v>113.84483391279207</v>
      </c>
      <c r="GA677">
        <v>203.21127086597832</v>
      </c>
      <c r="GB677">
        <v>81.750045390752959</v>
      </c>
      <c r="GC677">
        <v>45.297006568906447</v>
      </c>
      <c r="GD677">
        <v>39.694507974563393</v>
      </c>
      <c r="GE677">
        <v>54.862952661650937</v>
      </c>
      <c r="GF677">
        <v>55.98338095457035</v>
      </c>
      <c r="GG677">
        <v>97.730691160230577</v>
      </c>
      <c r="GH677">
        <v>111.81965615559892</v>
      </c>
      <c r="GI677">
        <v>95.779734002515667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240.91215801831191</v>
      </c>
      <c r="AO678">
        <v>134.94759462001949</v>
      </c>
      <c r="AP678">
        <v>716.58665281432161</v>
      </c>
      <c r="AQ678">
        <v>776.96612819139705</v>
      </c>
      <c r="AR678">
        <v>127.46350804330599</v>
      </c>
      <c r="AS678">
        <v>1260.849493383236</v>
      </c>
      <c r="AT678">
        <v>64.546228696153008</v>
      </c>
      <c r="AU678">
        <v>201.13134752344578</v>
      </c>
      <c r="AV678"/>
      <c r="AW678"/>
      <c r="FY678" s="211">
        <v>673</v>
      </c>
      <c r="FZ678">
        <v>112.51750386030349</v>
      </c>
      <c r="GA678">
        <v>155.80012616012118</v>
      </c>
      <c r="GB678">
        <v>46.396522751288686</v>
      </c>
      <c r="GC678">
        <v>42.025294387003676</v>
      </c>
      <c r="GD678">
        <v>46.975323614007486</v>
      </c>
      <c r="GE678">
        <v>91.67225052573184</v>
      </c>
      <c r="GF678">
        <v>123.97691310499137</v>
      </c>
      <c r="GG678">
        <v>63.054281520450772</v>
      </c>
      <c r="GH678">
        <v>42.702520990714767</v>
      </c>
      <c r="GI678">
        <v>95.327666748729627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280.1456819017618</v>
      </c>
      <c r="AO679">
        <v>170.14909336410813</v>
      </c>
      <c r="AP679">
        <v>965.91801785655878</v>
      </c>
      <c r="AQ679">
        <v>915.46237364456431</v>
      </c>
      <c r="AR679">
        <v>157.991878690085</v>
      </c>
      <c r="AS679">
        <v>1608.3857814228236</v>
      </c>
      <c r="AT679">
        <v>87.073209089414846</v>
      </c>
      <c r="AU679">
        <v>208.76264804274348</v>
      </c>
      <c r="AV679"/>
      <c r="AW679"/>
      <c r="FY679" s="211">
        <v>674</v>
      </c>
      <c r="FZ679">
        <v>102.82200684548984</v>
      </c>
      <c r="GA679">
        <v>139.64885748697921</v>
      </c>
      <c r="GB679">
        <v>62.636284593514247</v>
      </c>
      <c r="GC679">
        <v>45.521784114495567</v>
      </c>
      <c r="GD679">
        <v>39.026878977226353</v>
      </c>
      <c r="GE679">
        <v>65.696647524086657</v>
      </c>
      <c r="GF679">
        <v>67.280366705013705</v>
      </c>
      <c r="GG679">
        <v>21.545376869224853</v>
      </c>
      <c r="GH679">
        <v>23.201155469467469</v>
      </c>
      <c r="GI679">
        <v>75.760350273381903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237.27858117428354</v>
      </c>
      <c r="AO680">
        <v>118.07587779317592</v>
      </c>
      <c r="AP680">
        <v>445.16227399160698</v>
      </c>
      <c r="AQ680">
        <v>661.38266115847603</v>
      </c>
      <c r="AR680">
        <v>112.30261754644718</v>
      </c>
      <c r="AS680">
        <v>1111.9203314857191</v>
      </c>
      <c r="AT680">
        <v>55.417317449395085</v>
      </c>
      <c r="AU680">
        <v>61.419046330283095</v>
      </c>
      <c r="AV680"/>
      <c r="AW680"/>
      <c r="FY680" s="211">
        <v>675</v>
      </c>
      <c r="FZ680">
        <v>125.13464373579953</v>
      </c>
      <c r="GA680">
        <v>160.41460129559383</v>
      </c>
      <c r="GB680">
        <v>47.257931265327265</v>
      </c>
      <c r="GC680">
        <v>36.589114456892325</v>
      </c>
      <c r="GD680">
        <v>33.924301797282787</v>
      </c>
      <c r="GE680">
        <v>67.232759480933893</v>
      </c>
      <c r="GF680">
        <v>80.76046548487983</v>
      </c>
      <c r="GG680">
        <v>21.656984777335222</v>
      </c>
      <c r="GH680">
        <v>15.097751399912879</v>
      </c>
      <c r="GI680">
        <v>72.926697525455126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282.54859305096613</v>
      </c>
      <c r="AO681">
        <v>162.77746992482355</v>
      </c>
      <c r="AP681">
        <v>738.89068304915213</v>
      </c>
      <c r="AQ681">
        <v>891.96686189903403</v>
      </c>
      <c r="AR681">
        <v>155.22860778424572</v>
      </c>
      <c r="AS681">
        <v>1369.6986482124844</v>
      </c>
      <c r="AT681">
        <v>77.227727866067738</v>
      </c>
      <c r="AU681">
        <v>178.72827300151752</v>
      </c>
      <c r="AV681"/>
      <c r="AW681"/>
      <c r="FY681" s="211">
        <v>676</v>
      </c>
      <c r="FZ681">
        <v>99.872580221933788</v>
      </c>
      <c r="GA681">
        <v>135.96817175081313</v>
      </c>
      <c r="GB681">
        <v>54.39498318433683</v>
      </c>
      <c r="GC681">
        <v>46.804368237132451</v>
      </c>
      <c r="GD681">
        <v>44.683171346700924</v>
      </c>
      <c r="GE681">
        <v>76.887491027598699</v>
      </c>
      <c r="GF681">
        <v>93.902893906115665</v>
      </c>
      <c r="GG681">
        <v>47.58723453325031</v>
      </c>
      <c r="GH681">
        <v>38.043260685582034</v>
      </c>
      <c r="GI681">
        <v>86.100978921157804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232.29795248144177</v>
      </c>
      <c r="AO682">
        <v>132.41302057843254</v>
      </c>
      <c r="AP682">
        <v>468.86792248061181</v>
      </c>
      <c r="AQ682">
        <v>724.3791538874965</v>
      </c>
      <c r="AR682">
        <v>125.21850119176878</v>
      </c>
      <c r="AS682">
        <v>1311.4827777477044</v>
      </c>
      <c r="AT682">
        <v>63.092929119501832</v>
      </c>
      <c r="AU682">
        <v>157.53883206565831</v>
      </c>
      <c r="AV682"/>
      <c r="AW682"/>
      <c r="FY682" s="211">
        <v>677</v>
      </c>
      <c r="FZ682">
        <v>110.59270556730483</v>
      </c>
      <c r="GA682">
        <v>153.80392564107953</v>
      </c>
      <c r="GB682">
        <v>61.573983980442065</v>
      </c>
      <c r="GC682">
        <v>41.755420220065105</v>
      </c>
      <c r="GD682">
        <v>38.789564006294349</v>
      </c>
      <c r="GE682">
        <v>64.070560784656905</v>
      </c>
      <c r="GF682">
        <v>85.473980351976095</v>
      </c>
      <c r="GG682">
        <v>78.516718432273393</v>
      </c>
      <c r="GH682">
        <v>55.468103883660071</v>
      </c>
      <c r="GI682">
        <v>86.228954425479699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225.75274473717542</v>
      </c>
      <c r="AO683">
        <v>153.63238160725072</v>
      </c>
      <c r="AP683">
        <v>612.58469582695204</v>
      </c>
      <c r="AQ683">
        <v>832.82062208123239</v>
      </c>
      <c r="AR683">
        <v>145.27162461814964</v>
      </c>
      <c r="AS683">
        <v>1542.2728031239787</v>
      </c>
      <c r="AT683">
        <v>78.801626241048481</v>
      </c>
      <c r="AU683">
        <v>117.90252472538779</v>
      </c>
      <c r="AV683"/>
      <c r="AW683"/>
      <c r="FY683" s="211">
        <v>678</v>
      </c>
      <c r="FZ683">
        <v>100.07436766081031</v>
      </c>
      <c r="GA683">
        <v>113.11964155286391</v>
      </c>
      <c r="GB683">
        <v>46.688756334812346</v>
      </c>
      <c r="GC683">
        <v>46.324354604612395</v>
      </c>
      <c r="GD683">
        <v>36.039435039188639</v>
      </c>
      <c r="GE683">
        <v>71.82594499075357</v>
      </c>
      <c r="GF683">
        <v>106.50772525733488</v>
      </c>
      <c r="GG683">
        <v>79.325603869076687</v>
      </c>
      <c r="GH683">
        <v>84.219502987066051</v>
      </c>
      <c r="GI683">
        <v>88.750850038016054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321.64169521250517</v>
      </c>
      <c r="AO684">
        <v>174.93239807604269</v>
      </c>
      <c r="AP684">
        <v>807.9813702326129</v>
      </c>
      <c r="AQ684">
        <v>939.6361943152915</v>
      </c>
      <c r="AR684">
        <v>164.8126134098828</v>
      </c>
      <c r="AS684">
        <v>1696.7341974402543</v>
      </c>
      <c r="AT684">
        <v>86.672129504600989</v>
      </c>
      <c r="AU684">
        <v>378.66740676342636</v>
      </c>
      <c r="AV684"/>
      <c r="AW684"/>
      <c r="FY684" s="211">
        <v>679</v>
      </c>
      <c r="FZ684">
        <v>99.176220633452175</v>
      </c>
      <c r="GA684">
        <v>154.77075135803648</v>
      </c>
      <c r="GB684">
        <v>63.931413706211274</v>
      </c>
      <c r="GC684">
        <v>52.891717576603099</v>
      </c>
      <c r="GD684">
        <v>35.581286820086675</v>
      </c>
      <c r="GE684">
        <v>46.441296708411201</v>
      </c>
      <c r="GF684">
        <v>69.191405997856521</v>
      </c>
      <c r="GG684">
        <v>75.08325682838516</v>
      </c>
      <c r="GH684">
        <v>81.491502242938736</v>
      </c>
      <c r="GI684">
        <v>83.798095685087361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242.31090507195569</v>
      </c>
      <c r="AO685">
        <v>141.09674828693423</v>
      </c>
      <c r="AP685">
        <v>588.9106178919659</v>
      </c>
      <c r="AQ685">
        <v>803.96790938863205</v>
      </c>
      <c r="AR685">
        <v>133.17339446308617</v>
      </c>
      <c r="AS685">
        <v>1281.8755173303693</v>
      </c>
      <c r="AT685">
        <v>67.665587177159054</v>
      </c>
      <c r="AU685">
        <v>306.32629175026233</v>
      </c>
      <c r="AV685"/>
      <c r="AW685"/>
      <c r="FY685" s="211">
        <v>680</v>
      </c>
      <c r="FZ685">
        <v>116.31856450242404</v>
      </c>
      <c r="GA685">
        <v>155.83716324100624</v>
      </c>
      <c r="GB685">
        <v>59.849244343093602</v>
      </c>
      <c r="GC685">
        <v>43.600013473883465</v>
      </c>
      <c r="GD685">
        <v>44.184494143092536</v>
      </c>
      <c r="GE685">
        <v>77.56990601172896</v>
      </c>
      <c r="GF685">
        <v>85.739342954700518</v>
      </c>
      <c r="GG685">
        <v>49.747302154166675</v>
      </c>
      <c r="GH685">
        <v>41.531507934652304</v>
      </c>
      <c r="GI685">
        <v>87.841128831537461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283.44696824547543</v>
      </c>
      <c r="AO686">
        <v>156.93485694443325</v>
      </c>
      <c r="AP686">
        <v>626.94453800910628</v>
      </c>
      <c r="AQ686">
        <v>817.45807911008569</v>
      </c>
      <c r="AR686">
        <v>146.52579461315193</v>
      </c>
      <c r="AS686">
        <v>1493.8659729906949</v>
      </c>
      <c r="AT686">
        <v>66.70310558766765</v>
      </c>
      <c r="AU686">
        <v>179.12011790624308</v>
      </c>
      <c r="AV686"/>
      <c r="AW686"/>
      <c r="FY686" s="211">
        <v>681</v>
      </c>
      <c r="FZ686">
        <v>93.082984331738444</v>
      </c>
      <c r="GA686">
        <v>114.20011520894732</v>
      </c>
      <c r="GB686">
        <v>48.07114601558456</v>
      </c>
      <c r="GC686">
        <v>38.086801795263952</v>
      </c>
      <c r="GD686">
        <v>44.712702155298359</v>
      </c>
      <c r="GE686">
        <v>105.61135641383174</v>
      </c>
      <c r="GF686">
        <v>135.81181545397618</v>
      </c>
      <c r="GG686">
        <v>98.484518834267575</v>
      </c>
      <c r="GH686">
        <v>99.09566983193875</v>
      </c>
      <c r="GI686">
        <v>102.46724256436841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273.08047538720797</v>
      </c>
      <c r="AO687">
        <v>149.91573651180244</v>
      </c>
      <c r="AP687">
        <v>687.4439402909311</v>
      </c>
      <c r="AQ687">
        <v>851.58651690049112</v>
      </c>
      <c r="AR687">
        <v>140.47972544780239</v>
      </c>
      <c r="AS687">
        <v>1459.7886489623315</v>
      </c>
      <c r="AT687">
        <v>69.790752083059999</v>
      </c>
      <c r="AU687">
        <v>54.469995623678074</v>
      </c>
      <c r="AV687"/>
      <c r="AW687"/>
      <c r="FY687" s="211">
        <v>682</v>
      </c>
      <c r="FZ687">
        <v>96.099101705077302</v>
      </c>
      <c r="GA687">
        <v>130.68238954664668</v>
      </c>
      <c r="GB687">
        <v>46.745608654054294</v>
      </c>
      <c r="GC687">
        <v>53.326189298566661</v>
      </c>
      <c r="GD687">
        <v>37.840935144420541</v>
      </c>
      <c r="GE687">
        <v>66.019871755464663</v>
      </c>
      <c r="GF687">
        <v>142.49416885161415</v>
      </c>
      <c r="GG687">
        <v>98.408596858804501</v>
      </c>
      <c r="GH687">
        <v>73.274869054598952</v>
      </c>
      <c r="GI687">
        <v>95.494705419789085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256.36560057139701</v>
      </c>
      <c r="AO688">
        <v>157.01893043411764</v>
      </c>
      <c r="AP688">
        <v>625.51908807211248</v>
      </c>
      <c r="AQ688">
        <v>899.97407964755962</v>
      </c>
      <c r="AR688">
        <v>146.57593000033015</v>
      </c>
      <c r="AS688">
        <v>1308.1408927095074</v>
      </c>
      <c r="AT688">
        <v>77.493853819745169</v>
      </c>
      <c r="AU688">
        <v>190.18586536889097</v>
      </c>
      <c r="AV688"/>
      <c r="AW688"/>
      <c r="FY688" s="211">
        <v>683</v>
      </c>
      <c r="FZ688">
        <v>121.47257216787717</v>
      </c>
      <c r="GA688">
        <v>187.33443375312567</v>
      </c>
      <c r="GB688">
        <v>76.015779968566207</v>
      </c>
      <c r="GC688">
        <v>37.480356423136143</v>
      </c>
      <c r="GD688">
        <v>34.693404686098269</v>
      </c>
      <c r="GE688">
        <v>51.635091019678057</v>
      </c>
      <c r="GF688">
        <v>49.543343205961158</v>
      </c>
      <c r="GG688">
        <v>86.339023396857968</v>
      </c>
      <c r="GH688">
        <v>109.81936220450658</v>
      </c>
      <c r="GI688">
        <v>89.952738571045103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235.09208831325023</v>
      </c>
      <c r="AO689">
        <v>153.33066836545336</v>
      </c>
      <c r="AP689">
        <v>572.90337541719691</v>
      </c>
      <c r="AQ689">
        <v>820.4484036633429</v>
      </c>
      <c r="AR689">
        <v>144.10595926576073</v>
      </c>
      <c r="AS689">
        <v>1629.8235854773447</v>
      </c>
      <c r="AT689">
        <v>70.405602546220322</v>
      </c>
      <c r="AU689">
        <v>178.480044163635</v>
      </c>
      <c r="AV689"/>
      <c r="AW689"/>
      <c r="FY689" s="211">
        <v>684</v>
      </c>
      <c r="FZ689">
        <v>122.80771194138903</v>
      </c>
      <c r="GA689">
        <v>150.13140445818647</v>
      </c>
      <c r="GB689">
        <v>47.269115899500036</v>
      </c>
      <c r="GC689">
        <v>46.364462775899248</v>
      </c>
      <c r="GD689">
        <v>43.898403920225881</v>
      </c>
      <c r="GE689">
        <v>80.197292454466918</v>
      </c>
      <c r="GF689">
        <v>93.075992206346072</v>
      </c>
      <c r="GG689">
        <v>25.527795933122853</v>
      </c>
      <c r="GH689">
        <v>23.954480277944199</v>
      </c>
      <c r="GI689">
        <v>82.845697543551466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285.9691962668</v>
      </c>
      <c r="AO690">
        <v>117.94969669127565</v>
      </c>
      <c r="AP690">
        <v>345.09621500178054</v>
      </c>
      <c r="AQ690">
        <v>643.13970885887966</v>
      </c>
      <c r="AR690">
        <v>112.36758861367403</v>
      </c>
      <c r="AS690">
        <v>1191.2112653169343</v>
      </c>
      <c r="AT690">
        <v>49.831176506393511</v>
      </c>
      <c r="AU690">
        <v>-42.392138797216667</v>
      </c>
      <c r="AV690"/>
      <c r="AW690"/>
      <c r="FY690" s="211">
        <v>685</v>
      </c>
      <c r="FZ690">
        <v>94.538326244374602</v>
      </c>
      <c r="GA690">
        <v>144.57805782328882</v>
      </c>
      <c r="GB690">
        <v>58.160189562008746</v>
      </c>
      <c r="GC690">
        <v>49.852091877543387</v>
      </c>
      <c r="GD690">
        <v>59.275954989888874</v>
      </c>
      <c r="GE690">
        <v>87.025284494024916</v>
      </c>
      <c r="GF690">
        <v>83.187716863455449</v>
      </c>
      <c r="GG690">
        <v>85.062616354154116</v>
      </c>
      <c r="GH690">
        <v>59.556044411273135</v>
      </c>
      <c r="GI690">
        <v>95.987870517721007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239.05034413605185</v>
      </c>
      <c r="AO691">
        <v>114.21744266570254</v>
      </c>
      <c r="AP691">
        <v>396.3979033331002</v>
      </c>
      <c r="AQ691">
        <v>660.99525121941269</v>
      </c>
      <c r="AR691">
        <v>108.18793344125287</v>
      </c>
      <c r="AS691">
        <v>1068.4747810003682</v>
      </c>
      <c r="AT691">
        <v>51.800163291992732</v>
      </c>
      <c r="AU691">
        <v>25.786763649639617</v>
      </c>
      <c r="AV691"/>
      <c r="AW691"/>
      <c r="FY691" s="211">
        <v>686</v>
      </c>
      <c r="FZ691">
        <v>146.78645956608685</v>
      </c>
      <c r="GA691">
        <v>192.6426157556256</v>
      </c>
      <c r="GB691">
        <v>54.991700991017908</v>
      </c>
      <c r="GC691">
        <v>40.732718366305349</v>
      </c>
      <c r="GD691">
        <v>37.430927198039278</v>
      </c>
      <c r="GE691">
        <v>73.855133069957972</v>
      </c>
      <c r="GF691">
        <v>109.36512212224578</v>
      </c>
      <c r="GG691">
        <v>44.04386902531742</v>
      </c>
      <c r="GH691">
        <v>19.317604403916981</v>
      </c>
      <c r="GI691">
        <v>88.73802500763108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264.43764716353996</v>
      </c>
      <c r="AO692">
        <v>136.81452675614318</v>
      </c>
      <c r="AP692">
        <v>543.78698107301238</v>
      </c>
      <c r="AQ692">
        <v>724.24513381462168</v>
      </c>
      <c r="AR692">
        <v>129.10230457888696</v>
      </c>
      <c r="AS692">
        <v>1253.8587380149045</v>
      </c>
      <c r="AT692">
        <v>64.180112050899666</v>
      </c>
      <c r="AU692">
        <v>236.73883821514713</v>
      </c>
      <c r="AV692"/>
      <c r="AW692"/>
      <c r="FY692" s="211">
        <v>687</v>
      </c>
      <c r="FZ692">
        <v>157.447857680125</v>
      </c>
      <c r="GA692">
        <v>144.54408303204895</v>
      </c>
      <c r="GB692">
        <v>41.473584951336619</v>
      </c>
      <c r="GC692">
        <v>49.638953927789473</v>
      </c>
      <c r="GD692">
        <v>41.086583785138032</v>
      </c>
      <c r="GE692">
        <v>46.058360384258521</v>
      </c>
      <c r="GF692">
        <v>63.003938612650835</v>
      </c>
      <c r="GG692">
        <v>115.59695905103891</v>
      </c>
      <c r="GH692">
        <v>137.13773517743394</v>
      </c>
      <c r="GI692">
        <v>97.336203353937876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239.34712904320472</v>
      </c>
      <c r="AO693">
        <v>139.33679100702531</v>
      </c>
      <c r="AP693">
        <v>514.77941214570581</v>
      </c>
      <c r="AQ693">
        <v>776.2739172932321</v>
      </c>
      <c r="AR693">
        <v>130.36662783614386</v>
      </c>
      <c r="AS693">
        <v>1182.5559543879742</v>
      </c>
      <c r="AT693">
        <v>67.348959641244818</v>
      </c>
      <c r="AU693">
        <v>288.25089792025352</v>
      </c>
      <c r="AV693"/>
      <c r="AW693"/>
      <c r="FY693" s="211">
        <v>688</v>
      </c>
      <c r="FZ693">
        <v>92.682057713175354</v>
      </c>
      <c r="GA693">
        <v>111.93166510912138</v>
      </c>
      <c r="GB693">
        <v>54.040167369920965</v>
      </c>
      <c r="GC693">
        <v>41.059418590486843</v>
      </c>
      <c r="GD693">
        <v>52.625276574088218</v>
      </c>
      <c r="GE693">
        <v>87.054902291917145</v>
      </c>
      <c r="GF693">
        <v>65.771274499966466</v>
      </c>
      <c r="GG693">
        <v>62.828595146340724</v>
      </c>
      <c r="GH693">
        <v>60.659547023316463</v>
      </c>
      <c r="GI693">
        <v>86.652927033277237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224.18617864951588</v>
      </c>
      <c r="AO694">
        <v>143.60611059084499</v>
      </c>
      <c r="AP694">
        <v>740.31516591000138</v>
      </c>
      <c r="AQ694">
        <v>772.87618233453486</v>
      </c>
      <c r="AR694">
        <v>134.77822066047386</v>
      </c>
      <c r="AS694">
        <v>1259.8098574375883</v>
      </c>
      <c r="AT694">
        <v>76.178378934048226</v>
      </c>
      <c r="AU694">
        <v>245.33429412438807</v>
      </c>
      <c r="AV694"/>
      <c r="AW694"/>
      <c r="FY694" s="211">
        <v>689</v>
      </c>
      <c r="FZ694">
        <v>109.47515990012508</v>
      </c>
      <c r="GA694">
        <v>145.22709369077026</v>
      </c>
      <c r="GB694">
        <v>46.408289560869818</v>
      </c>
      <c r="GC694">
        <v>41.197285314223031</v>
      </c>
      <c r="GD694">
        <v>42.252415880201163</v>
      </c>
      <c r="GE694">
        <v>62.772236269398931</v>
      </c>
      <c r="GF694">
        <v>66.68631511471159</v>
      </c>
      <c r="GG694">
        <v>59.082431226031417</v>
      </c>
      <c r="GH694">
        <v>65.055319201540883</v>
      </c>
      <c r="GI694">
        <v>81.140242071539006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251.22382183146701</v>
      </c>
      <c r="AO695">
        <v>136.65860682816134</v>
      </c>
      <c r="AP695">
        <v>721.697088023893</v>
      </c>
      <c r="AQ695">
        <v>762.35694755706868</v>
      </c>
      <c r="AR695">
        <v>126.65543428143413</v>
      </c>
      <c r="AS695">
        <v>1315.6159381746736</v>
      </c>
      <c r="AT695">
        <v>68.796778238919828</v>
      </c>
      <c r="AU695">
        <v>154.24178241235757</v>
      </c>
      <c r="AV695"/>
      <c r="AW695"/>
      <c r="FY695" s="211">
        <v>690</v>
      </c>
      <c r="FZ695">
        <v>136.09737723189909</v>
      </c>
      <c r="GA695">
        <v>195.97407380225329</v>
      </c>
      <c r="GB695">
        <v>82.159967791774989</v>
      </c>
      <c r="GC695">
        <v>50.058194256389548</v>
      </c>
      <c r="GD695">
        <v>34.205884821488077</v>
      </c>
      <c r="GE695">
        <v>58.511498487954903</v>
      </c>
      <c r="GF695">
        <v>120.60531881853574</v>
      </c>
      <c r="GG695">
        <v>100.98862623964446</v>
      </c>
      <c r="GH695">
        <v>61.436156836328131</v>
      </c>
      <c r="GI695">
        <v>100.42926140954734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252.42495426731867</v>
      </c>
      <c r="AO696">
        <v>138.80412393645946</v>
      </c>
      <c r="AP696">
        <v>616.85196895245349</v>
      </c>
      <c r="AQ696">
        <v>762.2186675902858</v>
      </c>
      <c r="AR696">
        <v>131.54007019245398</v>
      </c>
      <c r="AS696">
        <v>1455.7095400122789</v>
      </c>
      <c r="AT696">
        <v>67.895294110200695</v>
      </c>
      <c r="AU696">
        <v>249.28538254697747</v>
      </c>
      <c r="AV696"/>
      <c r="AW696"/>
      <c r="FY696" s="211">
        <v>691</v>
      </c>
      <c r="FZ696">
        <v>104.15802631498897</v>
      </c>
      <c r="GA696">
        <v>153.4426753666925</v>
      </c>
      <c r="GB696">
        <v>62.743617368909163</v>
      </c>
      <c r="GC696">
        <v>40.134869189254623</v>
      </c>
      <c r="GD696">
        <v>28.990014650418857</v>
      </c>
      <c r="GE696">
        <v>67.585279754919995</v>
      </c>
      <c r="GF696">
        <v>121.15423870561023</v>
      </c>
      <c r="GG696">
        <v>85.49392592375861</v>
      </c>
      <c r="GH696">
        <v>85.633858164540868</v>
      </c>
      <c r="GI696">
        <v>92.505501986529652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283.47840335490912</v>
      </c>
      <c r="AO697">
        <v>163.80003889484635</v>
      </c>
      <c r="AP697">
        <v>644.39511534931478</v>
      </c>
      <c r="AQ697">
        <v>879.62435260521511</v>
      </c>
      <c r="AR697">
        <v>154.72284703329336</v>
      </c>
      <c r="AS697">
        <v>1502.4080011932456</v>
      </c>
      <c r="AT697">
        <v>76.818713877395396</v>
      </c>
      <c r="AU697">
        <v>195.58402097124517</v>
      </c>
      <c r="AV697"/>
      <c r="AW697"/>
      <c r="FY697" s="211">
        <v>692</v>
      </c>
      <c r="FZ697">
        <v>119.28370955353981</v>
      </c>
      <c r="GA697">
        <v>133.11966413793209</v>
      </c>
      <c r="GB697">
        <v>28.530736712009677</v>
      </c>
      <c r="GC697">
        <v>22.607462188463579</v>
      </c>
      <c r="GD697">
        <v>24.946328865453076</v>
      </c>
      <c r="GE697">
        <v>61.69260400656313</v>
      </c>
      <c r="GF697">
        <v>98.161560428402723</v>
      </c>
      <c r="GG697">
        <v>73.331608134309661</v>
      </c>
      <c r="GH697">
        <v>64.711343142043205</v>
      </c>
      <c r="GI697">
        <v>73.502316438240413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221.59665503788506</v>
      </c>
      <c r="AO698">
        <v>156.39421881492248</v>
      </c>
      <c r="AP698">
        <v>705.69412289259049</v>
      </c>
      <c r="AQ698">
        <v>840.38643628903685</v>
      </c>
      <c r="AR698">
        <v>145.16387581336701</v>
      </c>
      <c r="AS698">
        <v>1238.1504713665829</v>
      </c>
      <c r="AT698">
        <v>77.931257616081879</v>
      </c>
      <c r="AU698">
        <v>205.44973436255282</v>
      </c>
      <c r="AV698"/>
      <c r="AW698"/>
      <c r="FY698" s="211">
        <v>693</v>
      </c>
      <c r="FZ698">
        <v>109.98904823565722</v>
      </c>
      <c r="GA698">
        <v>167.66003705384978</v>
      </c>
      <c r="GB698">
        <v>66.665252185002799</v>
      </c>
      <c r="GC698">
        <v>48.643190702234442</v>
      </c>
      <c r="GD698">
        <v>33.834747613004502</v>
      </c>
      <c r="GE698">
        <v>85.034301907336314</v>
      </c>
      <c r="GF698">
        <v>140.10850897025344</v>
      </c>
      <c r="GG698">
        <v>77.104090944305568</v>
      </c>
      <c r="GH698">
        <v>83.533523148802246</v>
      </c>
      <c r="GI698">
        <v>100.88938108621744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228.92153204656978</v>
      </c>
      <c r="AO699">
        <v>143.09876543006573</v>
      </c>
      <c r="AP699">
        <v>495.70449761769851</v>
      </c>
      <c r="AQ699">
        <v>844.28610539685235</v>
      </c>
      <c r="AR699">
        <v>136.79527926858242</v>
      </c>
      <c r="AS699">
        <v>1346.749391200191</v>
      </c>
      <c r="AT699">
        <v>72.199022299332469</v>
      </c>
      <c r="AU699">
        <v>15.396016839740824</v>
      </c>
      <c r="AV699"/>
      <c r="AW699"/>
      <c r="FY699" s="211">
        <v>694</v>
      </c>
      <c r="FZ699">
        <v>106.8455597748144</v>
      </c>
      <c r="GA699">
        <v>139.03434812294088</v>
      </c>
      <c r="GB699">
        <v>49.91302688115497</v>
      </c>
      <c r="GC699">
        <v>33.437857219198953</v>
      </c>
      <c r="GD699">
        <v>32.382010670885649</v>
      </c>
      <c r="GE699">
        <v>69.771523220856224</v>
      </c>
      <c r="GF699">
        <v>87.311432018543897</v>
      </c>
      <c r="GG699">
        <v>70.52173848762007</v>
      </c>
      <c r="GH699">
        <v>77.02992111420636</v>
      </c>
      <c r="GI699">
        <v>82.194832594922261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276.81630914509725</v>
      </c>
      <c r="AO700">
        <v>128.98661429703827</v>
      </c>
      <c r="AP700">
        <v>450.37134675247097</v>
      </c>
      <c r="AQ700">
        <v>716.07235741063209</v>
      </c>
      <c r="AR700">
        <v>122.91171664747954</v>
      </c>
      <c r="AS700">
        <v>1375.2093027907938</v>
      </c>
      <c r="AT700">
        <v>56.282772915506364</v>
      </c>
      <c r="AU700">
        <v>16.988635905734881</v>
      </c>
      <c r="AV700"/>
      <c r="AW700"/>
      <c r="FY700" s="211">
        <v>695</v>
      </c>
      <c r="FZ700">
        <v>98.143743571861066</v>
      </c>
      <c r="GA700">
        <v>157.30184290298288</v>
      </c>
      <c r="GB700">
        <v>67.069303453264382</v>
      </c>
      <c r="GC700">
        <v>49.970974172202673</v>
      </c>
      <c r="GD700">
        <v>56.185427663881718</v>
      </c>
      <c r="GE700">
        <v>107.4386403173698</v>
      </c>
      <c r="GF700">
        <v>130.95601866375046</v>
      </c>
      <c r="GG700">
        <v>75.182490509533849</v>
      </c>
      <c r="GH700">
        <v>44.301276511654329</v>
      </c>
      <c r="GI700">
        <v>105.97503010912952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331.7185501215917</v>
      </c>
      <c r="AO701">
        <v>153.45573541750437</v>
      </c>
      <c r="AP701">
        <v>623.55678562477488</v>
      </c>
      <c r="AQ701">
        <v>817.22415313773297</v>
      </c>
      <c r="AR701">
        <v>142.68248396621141</v>
      </c>
      <c r="AS701">
        <v>1531.3190001394557</v>
      </c>
      <c r="AT701">
        <v>67.96638758126862</v>
      </c>
      <c r="AU701">
        <v>97.528202979286036</v>
      </c>
      <c r="AV701"/>
      <c r="AW701"/>
      <c r="FY701" s="211">
        <v>696</v>
      </c>
      <c r="FZ701">
        <v>150.52128059172759</v>
      </c>
      <c r="GA701">
        <v>194.26587609083683</v>
      </c>
      <c r="GB701">
        <v>59.249982061738379</v>
      </c>
      <c r="GC701">
        <v>45.645502768095135</v>
      </c>
      <c r="GD701">
        <v>51.487221061841936</v>
      </c>
      <c r="GE701">
        <v>105.87070454505162</v>
      </c>
      <c r="GF701">
        <v>107.61752401474043</v>
      </c>
      <c r="GG701">
        <v>123.21165472471577</v>
      </c>
      <c r="GH701">
        <v>151.72737266191916</v>
      </c>
      <c r="GI701">
        <v>120.97874321256155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223.08426005460819</v>
      </c>
      <c r="AO702">
        <v>142.17894922110412</v>
      </c>
      <c r="AP702">
        <v>626.0495682002072</v>
      </c>
      <c r="AQ702">
        <v>807.90417550614438</v>
      </c>
      <c r="AR702">
        <v>134.19804167304787</v>
      </c>
      <c r="AS702">
        <v>1442.3161411507226</v>
      </c>
      <c r="AT702">
        <v>68.744200463941795</v>
      </c>
      <c r="AU702">
        <v>187.66805993423773</v>
      </c>
      <c r="AV702"/>
      <c r="AW702"/>
      <c r="FY702" s="211">
        <v>697</v>
      </c>
      <c r="FZ702">
        <v>121.40519376497893</v>
      </c>
      <c r="GA702">
        <v>160.90908173468671</v>
      </c>
      <c r="GB702">
        <v>58.951975099707511</v>
      </c>
      <c r="GC702">
        <v>45.89352711006304</v>
      </c>
      <c r="GD702">
        <v>48.002961923670973</v>
      </c>
      <c r="GE702">
        <v>82.628641882006491</v>
      </c>
      <c r="GF702">
        <v>89.045832252494591</v>
      </c>
      <c r="GG702">
        <v>59.601787486677416</v>
      </c>
      <c r="GH702">
        <v>37.077392807642873</v>
      </c>
      <c r="GI702">
        <v>90.035318997312359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237.40785744490094</v>
      </c>
      <c r="AO703">
        <v>154.02960372971253</v>
      </c>
      <c r="AP703">
        <v>649.58175354328284</v>
      </c>
      <c r="AQ703">
        <v>893.32425995575807</v>
      </c>
      <c r="AR703">
        <v>147.89826834672087</v>
      </c>
      <c r="AS703">
        <v>1360.5913111242312</v>
      </c>
      <c r="AT703">
        <v>84.59411677580205</v>
      </c>
      <c r="AU703">
        <v>316.79071905674061</v>
      </c>
      <c r="AV703"/>
      <c r="AW703"/>
      <c r="FY703" s="211">
        <v>698</v>
      </c>
      <c r="FZ703">
        <v>118.32013126333959</v>
      </c>
      <c r="GA703">
        <v>145.54487068124331</v>
      </c>
      <c r="GB703">
        <v>37.466378295115298</v>
      </c>
      <c r="GC703">
        <v>38.286237295058896</v>
      </c>
      <c r="GD703">
        <v>30.729715532191374</v>
      </c>
      <c r="GE703">
        <v>33.534617089995905</v>
      </c>
      <c r="GF703">
        <v>124.57453851656487</v>
      </c>
      <c r="GG703">
        <v>155.00988670616496</v>
      </c>
      <c r="GH703">
        <v>89.447950897921785</v>
      </c>
      <c r="GI703">
        <v>89.881432160965844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280.22707375941229</v>
      </c>
      <c r="AO704">
        <v>136.82908758285981</v>
      </c>
      <c r="AP704">
        <v>486.33612412643538</v>
      </c>
      <c r="AQ704">
        <v>715.30583135161078</v>
      </c>
      <c r="AR704">
        <v>130.03202573409743</v>
      </c>
      <c r="AS704">
        <v>1498.3376454261272</v>
      </c>
      <c r="AT704">
        <v>63.618288602449006</v>
      </c>
      <c r="AU704">
        <v>261.81100587456797</v>
      </c>
      <c r="AV704"/>
      <c r="AW704"/>
      <c r="FY704" s="211">
        <v>699</v>
      </c>
      <c r="FZ704">
        <v>107.70522983550796</v>
      </c>
      <c r="GA704">
        <v>113.63573597844766</v>
      </c>
      <c r="GB704">
        <v>42.041505201112095</v>
      </c>
      <c r="GC704">
        <v>32.572410227468289</v>
      </c>
      <c r="GD704">
        <v>29.887034271865051</v>
      </c>
      <c r="GE704">
        <v>61.263636936056926</v>
      </c>
      <c r="GF704">
        <v>77.09083423844001</v>
      </c>
      <c r="GG704">
        <v>44.291143062542851</v>
      </c>
      <c r="GH704">
        <v>56.298954119012052</v>
      </c>
      <c r="GI704">
        <v>71.745318495637591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227.20164479298305</v>
      </c>
      <c r="AO705">
        <v>128.94916108829415</v>
      </c>
      <c r="AP705">
        <v>506.34334633302058</v>
      </c>
      <c r="AQ705">
        <v>719.29678822941116</v>
      </c>
      <c r="AR705">
        <v>122.03323957483573</v>
      </c>
      <c r="AS705">
        <v>1175.7341834632646</v>
      </c>
      <c r="AT705">
        <v>64.886067918355721</v>
      </c>
      <c r="AU705">
        <v>28.419537273480035</v>
      </c>
      <c r="AV705"/>
      <c r="AW705"/>
      <c r="FY705" s="211">
        <v>700</v>
      </c>
      <c r="FZ705">
        <v>132.25194099563529</v>
      </c>
      <c r="GA705">
        <v>175.95516656044407</v>
      </c>
      <c r="GB705">
        <v>62.958611428627691</v>
      </c>
      <c r="GC705">
        <v>43.665557044742599</v>
      </c>
      <c r="GD705">
        <v>28.740201629517557</v>
      </c>
      <c r="GE705">
        <v>50.624778775234752</v>
      </c>
      <c r="GF705">
        <v>72.44914459382332</v>
      </c>
      <c r="GG705">
        <v>11.14177051728576</v>
      </c>
      <c r="GH705">
        <v>15.381533733257871</v>
      </c>
      <c r="GI705">
        <v>72.582466295237921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270.44745903065308</v>
      </c>
      <c r="AO706">
        <v>160.53074242602412</v>
      </c>
      <c r="AP706">
        <v>609.78994901695978</v>
      </c>
      <c r="AQ706">
        <v>940.46635969581553</v>
      </c>
      <c r="AR706">
        <v>151.13494032080109</v>
      </c>
      <c r="AS706">
        <v>1554.9370214349019</v>
      </c>
      <c r="AT706">
        <v>75.906866850510056</v>
      </c>
      <c r="AU706">
        <v>269.29720810028272</v>
      </c>
      <c r="AV706"/>
      <c r="AW706"/>
      <c r="FY706" s="211">
        <v>701</v>
      </c>
      <c r="FZ706">
        <v>119.11883333603004</v>
      </c>
      <c r="GA706">
        <v>168.47302291142492</v>
      </c>
      <c r="GB706">
        <v>49.327402235835095</v>
      </c>
      <c r="GC706">
        <v>46.011927544502051</v>
      </c>
      <c r="GD706">
        <v>35.08762997331214</v>
      </c>
      <c r="GE706">
        <v>29.588630684542895</v>
      </c>
      <c r="GF706">
        <v>50.10236138053174</v>
      </c>
      <c r="GG706">
        <v>64.146324334688629</v>
      </c>
      <c r="GH706">
        <v>69.064724338023751</v>
      </c>
      <c r="GI706">
        <v>76.049324277282992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235.49011392097586</v>
      </c>
      <c r="AO707">
        <v>149.22020578562388</v>
      </c>
      <c r="AP707">
        <v>718.25173574875214</v>
      </c>
      <c r="AQ707">
        <v>841.84200742562348</v>
      </c>
      <c r="AR707">
        <v>141.03148776189238</v>
      </c>
      <c r="AS707">
        <v>1236.6175053553893</v>
      </c>
      <c r="AT707">
        <v>78.377208527583676</v>
      </c>
      <c r="AU707">
        <v>187.57677036550632</v>
      </c>
      <c r="AV707"/>
      <c r="AW707"/>
      <c r="FY707" s="211">
        <v>702</v>
      </c>
      <c r="FZ707">
        <v>118.17958729706643</v>
      </c>
      <c r="GA707">
        <v>124.03856154952004</v>
      </c>
      <c r="GB707">
        <v>44.640602400103525</v>
      </c>
      <c r="GC707">
        <v>44.192921081128269</v>
      </c>
      <c r="GD707">
        <v>53.202287343573659</v>
      </c>
      <c r="GE707">
        <v>118.56472357294453</v>
      </c>
      <c r="GF707">
        <v>94.962269683999139</v>
      </c>
      <c r="GG707">
        <v>45.110867224674145</v>
      </c>
      <c r="GH707">
        <v>71.456500455316103</v>
      </c>
      <c r="GI707">
        <v>96.794471556467713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212.43141042474682</v>
      </c>
      <c r="AO708">
        <v>117.2331871506793</v>
      </c>
      <c r="AP708">
        <v>451.55754898756572</v>
      </c>
      <c r="AQ708">
        <v>699.88733360695744</v>
      </c>
      <c r="AR708">
        <v>110.78473136475102</v>
      </c>
      <c r="AS708">
        <v>1139.3430471664055</v>
      </c>
      <c r="AT708">
        <v>56.666320703027594</v>
      </c>
      <c r="AU708">
        <v>145.97892041994635</v>
      </c>
      <c r="AV708"/>
      <c r="AW708"/>
      <c r="FY708" s="211">
        <v>703</v>
      </c>
      <c r="FZ708">
        <v>123.63191991029551</v>
      </c>
      <c r="GA708">
        <v>137.79573891342378</v>
      </c>
      <c r="GB708">
        <v>53.07365435427495</v>
      </c>
      <c r="GC708">
        <v>47.181818725696303</v>
      </c>
      <c r="GD708">
        <v>47.578744933993647</v>
      </c>
      <c r="GE708">
        <v>82.787046715903145</v>
      </c>
      <c r="GF708">
        <v>93.973130953459247</v>
      </c>
      <c r="GG708">
        <v>37.35576407665728</v>
      </c>
      <c r="GH708">
        <v>11.605204589347752</v>
      </c>
      <c r="GI708">
        <v>85.959336929539916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292.70900771562009</v>
      </c>
      <c r="AO709">
        <v>165.21103299028988</v>
      </c>
      <c r="AP709">
        <v>662.04946090935528</v>
      </c>
      <c r="AQ709">
        <v>913.46208184666375</v>
      </c>
      <c r="AR709">
        <v>154.21296726490834</v>
      </c>
      <c r="AS709">
        <v>1518.8906562297898</v>
      </c>
      <c r="AT709">
        <v>79.725521608961316</v>
      </c>
      <c r="AU709">
        <v>105.50395636693406</v>
      </c>
      <c r="AV709"/>
      <c r="AW709"/>
      <c r="FY709" s="211">
        <v>704</v>
      </c>
      <c r="FZ709">
        <v>74.602386836251128</v>
      </c>
      <c r="GA709">
        <v>108.53699288050919</v>
      </c>
      <c r="GB709">
        <v>61.068082344184276</v>
      </c>
      <c r="GC709">
        <v>52.803109049984371</v>
      </c>
      <c r="GD709">
        <v>34.972753119475414</v>
      </c>
      <c r="GE709">
        <v>60.596309685462487</v>
      </c>
      <c r="GF709">
        <v>134.98056242336835</v>
      </c>
      <c r="GG709">
        <v>96.81703433704007</v>
      </c>
      <c r="GH709">
        <v>71.700104333355313</v>
      </c>
      <c r="GI709">
        <v>91.653194065517965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235.51405335943554</v>
      </c>
      <c r="AO710">
        <v>131.26596309321613</v>
      </c>
      <c r="AP710">
        <v>598.71447194573852</v>
      </c>
      <c r="AQ710">
        <v>748.44225010514356</v>
      </c>
      <c r="AR710">
        <v>123.88427182148304</v>
      </c>
      <c r="AS710">
        <v>1283.4746427676832</v>
      </c>
      <c r="AT710">
        <v>64.252241895137061</v>
      </c>
      <c r="AU710">
        <v>112.47961641733554</v>
      </c>
      <c r="AV710"/>
      <c r="AW710"/>
      <c r="FY710" s="211">
        <v>705</v>
      </c>
      <c r="FZ710">
        <v>138.92988593562535</v>
      </c>
      <c r="GA710">
        <v>115.09723916821511</v>
      </c>
      <c r="GB710">
        <v>39.324829539854584</v>
      </c>
      <c r="GC710">
        <v>54.167392053631453</v>
      </c>
      <c r="GD710">
        <v>43.046379543261459</v>
      </c>
      <c r="GE710">
        <v>58.849222535566255</v>
      </c>
      <c r="GF710">
        <v>88.572651709235586</v>
      </c>
      <c r="GG710">
        <v>42.878372766039718</v>
      </c>
      <c r="GH710">
        <v>26.872398565065609</v>
      </c>
      <c r="GI710">
        <v>82.744308329202383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298.7454743556076</v>
      </c>
      <c r="AO711">
        <v>169.84421417694077</v>
      </c>
      <c r="AP711">
        <v>679.57980443720453</v>
      </c>
      <c r="AQ711">
        <v>892.52474787563074</v>
      </c>
      <c r="AR711">
        <v>159.18296038215479</v>
      </c>
      <c r="AS711">
        <v>1675.0384973469038</v>
      </c>
      <c r="AT711">
        <v>78.051409280789557</v>
      </c>
      <c r="AU711">
        <v>434.36417517779461</v>
      </c>
      <c r="AV711"/>
      <c r="AW711"/>
      <c r="FY711" s="211">
        <v>706</v>
      </c>
      <c r="FZ711">
        <v>129.02914368177343</v>
      </c>
      <c r="GA711">
        <v>155.07089598515654</v>
      </c>
      <c r="GB711">
        <v>42.083288747704088</v>
      </c>
      <c r="GC711">
        <v>42.319518788774594</v>
      </c>
      <c r="GD711">
        <v>41.698110608553193</v>
      </c>
      <c r="GE711">
        <v>84.996406995315084</v>
      </c>
      <c r="GF711">
        <v>104.82931355901384</v>
      </c>
      <c r="GG711">
        <v>42.400751196068761</v>
      </c>
      <c r="GH711">
        <v>50.719723751805645</v>
      </c>
      <c r="GI711">
        <v>89.440194365951882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314.1147619254474</v>
      </c>
      <c r="AO712">
        <v>198.32383132375935</v>
      </c>
      <c r="AP712">
        <v>871.39151851978215</v>
      </c>
      <c r="AQ712">
        <v>1110.5758617332283</v>
      </c>
      <c r="AR712">
        <v>184.70040709624161</v>
      </c>
      <c r="AS712">
        <v>1610.8817237557028</v>
      </c>
      <c r="AT712">
        <v>103.53704867989768</v>
      </c>
      <c r="AU712">
        <v>214.41218237816739</v>
      </c>
      <c r="AV712"/>
      <c r="AW712"/>
      <c r="FY712" s="211">
        <v>707</v>
      </c>
      <c r="FZ712">
        <v>89.863690809492638</v>
      </c>
      <c r="GA712">
        <v>96.427801168073614</v>
      </c>
      <c r="GB712">
        <v>24.850706932616518</v>
      </c>
      <c r="GC712">
        <v>35.96552578359708</v>
      </c>
      <c r="GD712">
        <v>41.933227736651062</v>
      </c>
      <c r="GE712">
        <v>62.410480795890948</v>
      </c>
      <c r="GF712">
        <v>86.346562049212793</v>
      </c>
      <c r="GG712">
        <v>70.128361351647357</v>
      </c>
      <c r="GH712">
        <v>44.148466586323465</v>
      </c>
      <c r="GI712">
        <v>73.457393330404528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300.1476202665097</v>
      </c>
      <c r="AO713">
        <v>142.94779574484633</v>
      </c>
      <c r="AP713">
        <v>528.33431753397315</v>
      </c>
      <c r="AQ713">
        <v>793.55171305924102</v>
      </c>
      <c r="AR713">
        <v>133.85826121527964</v>
      </c>
      <c r="AS713">
        <v>1621.1045091012184</v>
      </c>
      <c r="AT713">
        <v>62.749018759321039</v>
      </c>
      <c r="AU713">
        <v>33.168996416348776</v>
      </c>
      <c r="AV713"/>
      <c r="AW713"/>
      <c r="FY713" s="211">
        <v>708</v>
      </c>
      <c r="FZ713">
        <v>119.70480683919087</v>
      </c>
      <c r="GA713">
        <v>146.9946338290319</v>
      </c>
      <c r="GB713">
        <v>42.435888800972833</v>
      </c>
      <c r="GC713">
        <v>43.200905147747072</v>
      </c>
      <c r="GD713">
        <v>48.037132866565528</v>
      </c>
      <c r="GE713">
        <v>76.039608740509365</v>
      </c>
      <c r="GF713">
        <v>109.50797908831487</v>
      </c>
      <c r="GG713">
        <v>93.491356151704792</v>
      </c>
      <c r="GH713">
        <v>64.484864246428018</v>
      </c>
      <c r="GI713">
        <v>95.169549548083438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231.32846130276357</v>
      </c>
      <c r="AO714">
        <v>146.01657109164461</v>
      </c>
      <c r="AP714">
        <v>592.02404860681963</v>
      </c>
      <c r="AQ714">
        <v>862.79575843856185</v>
      </c>
      <c r="AR714">
        <v>136.27055399457339</v>
      </c>
      <c r="AS714">
        <v>1268.5913470990702</v>
      </c>
      <c r="AT714">
        <v>71.809447497178553</v>
      </c>
      <c r="AU714">
        <v>236.5679966607546</v>
      </c>
      <c r="AV714"/>
      <c r="AW714"/>
      <c r="FY714" s="211">
        <v>709</v>
      </c>
      <c r="FZ714">
        <v>97.683573233636551</v>
      </c>
      <c r="GA714">
        <v>149.74588612441687</v>
      </c>
      <c r="GB714">
        <v>56.540615147309254</v>
      </c>
      <c r="GC714">
        <v>39.049470771072947</v>
      </c>
      <c r="GD714">
        <v>29.32389248702269</v>
      </c>
      <c r="GE714">
        <v>63.302188373008526</v>
      </c>
      <c r="GF714">
        <v>111.82771285297547</v>
      </c>
      <c r="GG714">
        <v>75.515143432599672</v>
      </c>
      <c r="GH714">
        <v>66.545356849349119</v>
      </c>
      <c r="GI714">
        <v>84.113465269415741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211.36102647264329</v>
      </c>
      <c r="AO715">
        <v>109.73782035396403</v>
      </c>
      <c r="AP715">
        <v>377.8789408814074</v>
      </c>
      <c r="AQ715">
        <v>636.53180236609046</v>
      </c>
      <c r="AR715">
        <v>106.70176215941898</v>
      </c>
      <c r="AS715">
        <v>1044.912765099134</v>
      </c>
      <c r="AT715">
        <v>55.891955998932048</v>
      </c>
      <c r="AU715">
        <v>63.456323837854427</v>
      </c>
      <c r="AV715"/>
      <c r="AW715"/>
      <c r="FY715" s="211">
        <v>710</v>
      </c>
      <c r="FZ715">
        <v>87.195105386639938</v>
      </c>
      <c r="GA715">
        <v>119.81263258465115</v>
      </c>
      <c r="GB715">
        <v>58.197590891437088</v>
      </c>
      <c r="GC715">
        <v>50.788068369924517</v>
      </c>
      <c r="GD715">
        <v>41.463637293105954</v>
      </c>
      <c r="GE715">
        <v>66.318042687666519</v>
      </c>
      <c r="GF715">
        <v>95.809180956423191</v>
      </c>
      <c r="GG715">
        <v>79.82480424606274</v>
      </c>
      <c r="GH715">
        <v>64.096780566178339</v>
      </c>
      <c r="GI715">
        <v>87.18247212204075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252.91452754604728</v>
      </c>
      <c r="AO716">
        <v>111.44554008298617</v>
      </c>
      <c r="AP716">
        <v>375.5695493228572</v>
      </c>
      <c r="AQ716">
        <v>665.75117157380691</v>
      </c>
      <c r="AR716">
        <v>107.76111409148959</v>
      </c>
      <c r="AS716">
        <v>1123.1579252170097</v>
      </c>
      <c r="AT716">
        <v>49.401443958859119</v>
      </c>
      <c r="AU716">
        <v>162.66727036221957</v>
      </c>
      <c r="AV716"/>
      <c r="AW716"/>
      <c r="FY716" s="211">
        <v>711</v>
      </c>
      <c r="FZ716">
        <v>117.50782812048134</v>
      </c>
      <c r="GA716">
        <v>159.6057731377972</v>
      </c>
      <c r="GB716">
        <v>57.19069935174732</v>
      </c>
      <c r="GC716">
        <v>46.954520847615342</v>
      </c>
      <c r="GD716">
        <v>32.239056458719382</v>
      </c>
      <c r="GE716">
        <v>26.216869522173297</v>
      </c>
      <c r="GF716">
        <v>66.535078160564467</v>
      </c>
      <c r="GG716">
        <v>83.972258511985132</v>
      </c>
      <c r="GH716">
        <v>63.88368860060416</v>
      </c>
      <c r="GI716">
        <v>78.57340241694655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204.60737423934148</v>
      </c>
      <c r="AO717">
        <v>121.11943160993651</v>
      </c>
      <c r="AP717">
        <v>480.53220482505606</v>
      </c>
      <c r="AQ717">
        <v>706.97018101617425</v>
      </c>
      <c r="AR717">
        <v>114.82949439414899</v>
      </c>
      <c r="AS717">
        <v>1096.6376726897486</v>
      </c>
      <c r="AT717">
        <v>58.912746800266028</v>
      </c>
      <c r="AU717">
        <v>33.373162221143616</v>
      </c>
      <c r="AV717"/>
      <c r="AW717"/>
      <c r="FY717" s="211">
        <v>712</v>
      </c>
      <c r="FZ717">
        <v>90.277766286256423</v>
      </c>
      <c r="GA717">
        <v>117.38368004456055</v>
      </c>
      <c r="GB717">
        <v>43.146993717515777</v>
      </c>
      <c r="GC717">
        <v>42.339637943060197</v>
      </c>
      <c r="GD717">
        <v>46.365045510973999</v>
      </c>
      <c r="GE717">
        <v>86.746277194089615</v>
      </c>
      <c r="GF717">
        <v>91.298217206487763</v>
      </c>
      <c r="GG717">
        <v>45.048887453604038</v>
      </c>
      <c r="GH717">
        <v>46.74625208032559</v>
      </c>
      <c r="GI717">
        <v>82.811078990465205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291.05066132359741</v>
      </c>
      <c r="AO718">
        <v>153.80926815158455</v>
      </c>
      <c r="AP718">
        <v>647.40404689897173</v>
      </c>
      <c r="AQ718">
        <v>811.1427921647936</v>
      </c>
      <c r="AR718">
        <v>144.69464050195765</v>
      </c>
      <c r="AS718">
        <v>1369.7171541675748</v>
      </c>
      <c r="AT718">
        <v>70.703546569156899</v>
      </c>
      <c r="AU718">
        <v>150.11600641978714</v>
      </c>
      <c r="AV718"/>
      <c r="AW718"/>
      <c r="FY718" s="211">
        <v>713</v>
      </c>
      <c r="FZ718">
        <v>112.82830762167129</v>
      </c>
      <c r="GA718">
        <v>126.08432044738366</v>
      </c>
      <c r="GB718">
        <v>49.750231847174028</v>
      </c>
      <c r="GC718">
        <v>53.165898851681725</v>
      </c>
      <c r="GD718">
        <v>55.670435756004352</v>
      </c>
      <c r="GE718">
        <v>100.90169583537126</v>
      </c>
      <c r="GF718">
        <v>115.83180570123655</v>
      </c>
      <c r="GG718">
        <v>77.680352281598019</v>
      </c>
      <c r="GH718">
        <v>65.56200557793936</v>
      </c>
      <c r="GI718">
        <v>102.76128272532631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268.47149950672724</v>
      </c>
      <c r="AO719">
        <v>133.83546808344317</v>
      </c>
      <c r="AP719">
        <v>355.31629499308895</v>
      </c>
      <c r="AQ719">
        <v>720.94236010259146</v>
      </c>
      <c r="AR719">
        <v>127.33992982897834</v>
      </c>
      <c r="AS719">
        <v>1312.162899165533</v>
      </c>
      <c r="AT719">
        <v>58.567219351328021</v>
      </c>
      <c r="AU719">
        <v>105.05740542463634</v>
      </c>
      <c r="AV719"/>
      <c r="AW719"/>
      <c r="FY719" s="211">
        <v>714</v>
      </c>
      <c r="FZ719">
        <v>149.01336867053146</v>
      </c>
      <c r="GA719">
        <v>161.95826936305858</v>
      </c>
      <c r="GB719">
        <v>39.533525521353852</v>
      </c>
      <c r="GC719">
        <v>35.901131029513763</v>
      </c>
      <c r="GD719">
        <v>43.358330327416787</v>
      </c>
      <c r="GE719">
        <v>94.523008180773658</v>
      </c>
      <c r="GF719">
        <v>105.02857747289873</v>
      </c>
      <c r="GG719">
        <v>107.58299009547505</v>
      </c>
      <c r="GH719">
        <v>134.58363793701128</v>
      </c>
      <c r="GI719">
        <v>107.20277798079277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260.46708406600311</v>
      </c>
      <c r="AO720">
        <v>146.79107784010549</v>
      </c>
      <c r="AP720">
        <v>637.17357372700337</v>
      </c>
      <c r="AQ720">
        <v>787.73052907514852</v>
      </c>
      <c r="AR720">
        <v>138.39086246920618</v>
      </c>
      <c r="AS720">
        <v>1487.0013799930693</v>
      </c>
      <c r="AT720">
        <v>67.81679352786071</v>
      </c>
      <c r="AU720">
        <v>187.25554522558957</v>
      </c>
      <c r="AV720"/>
      <c r="AW720"/>
      <c r="FY720" s="211">
        <v>715</v>
      </c>
      <c r="FZ720">
        <v>100.81552950763142</v>
      </c>
      <c r="GA720">
        <v>131.28907408265886</v>
      </c>
      <c r="GB720">
        <v>48.647298305455315</v>
      </c>
      <c r="GC720">
        <v>33.984166814010315</v>
      </c>
      <c r="GD720">
        <v>40.870593482458112</v>
      </c>
      <c r="GE720">
        <v>118.32330624224502</v>
      </c>
      <c r="GF720">
        <v>165.17687842917994</v>
      </c>
      <c r="GG720">
        <v>79.880473648122745</v>
      </c>
      <c r="GH720">
        <v>71.671172014825146</v>
      </c>
      <c r="GI720">
        <v>103.98434080475928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216.11162889037837</v>
      </c>
      <c r="AO721">
        <v>127.43433477572501</v>
      </c>
      <c r="AP721">
        <v>440.46790260595878</v>
      </c>
      <c r="AQ721">
        <v>690.48268014569749</v>
      </c>
      <c r="AR721">
        <v>123.04206907188964</v>
      </c>
      <c r="AS721">
        <v>1344.6272253382494</v>
      </c>
      <c r="AT721">
        <v>67.819300636827478</v>
      </c>
      <c r="AU721">
        <v>178.29552123566955</v>
      </c>
      <c r="AV721"/>
      <c r="AW721"/>
      <c r="FY721" s="211">
        <v>716</v>
      </c>
      <c r="FZ721">
        <v>139.05138981367932</v>
      </c>
      <c r="GA721">
        <v>172.32336991557992</v>
      </c>
      <c r="GB721">
        <v>49.513546078271268</v>
      </c>
      <c r="GC721">
        <v>46.110003039991241</v>
      </c>
      <c r="GD721">
        <v>47.746910889776814</v>
      </c>
      <c r="GE721">
        <v>76.168727807169802</v>
      </c>
      <c r="GF721">
        <v>88.993547651073996</v>
      </c>
      <c r="GG721">
        <v>85.02285029990378</v>
      </c>
      <c r="GH721">
        <v>103.2116412655844</v>
      </c>
      <c r="GI721">
        <v>101.44146425691234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246.18632516952485</v>
      </c>
      <c r="AO722">
        <v>142.05701309696272</v>
      </c>
      <c r="AP722">
        <v>607.84038487823864</v>
      </c>
      <c r="AQ722">
        <v>782.58734768011709</v>
      </c>
      <c r="AR722">
        <v>134.81741298205503</v>
      </c>
      <c r="AS722">
        <v>1305.0063914421853</v>
      </c>
      <c r="AT722">
        <v>65.447044841379906</v>
      </c>
      <c r="AU722">
        <v>93.851120411130125</v>
      </c>
      <c r="AV722"/>
      <c r="AW722"/>
      <c r="FY722" s="211">
        <v>717</v>
      </c>
      <c r="FZ722">
        <v>110.75224352478935</v>
      </c>
      <c r="GA722">
        <v>155.60763348256276</v>
      </c>
      <c r="GB722">
        <v>51.697183123914442</v>
      </c>
      <c r="GC722">
        <v>32.896700483338932</v>
      </c>
      <c r="GD722">
        <v>28.599093787093636</v>
      </c>
      <c r="GE722">
        <v>51.474087212167575</v>
      </c>
      <c r="GF722">
        <v>112.27295523807402</v>
      </c>
      <c r="GG722">
        <v>119.3624231624939</v>
      </c>
      <c r="GH722">
        <v>99.157480956596359</v>
      </c>
      <c r="GI722">
        <v>90.959350413050984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210.53755597369883</v>
      </c>
      <c r="AO723">
        <v>115.95187965130727</v>
      </c>
      <c r="AP723">
        <v>594.12696594254498</v>
      </c>
      <c r="AQ723">
        <v>625.53221654390995</v>
      </c>
      <c r="AR723">
        <v>109.50813559532658</v>
      </c>
      <c r="AS723">
        <v>1153.9440602491147</v>
      </c>
      <c r="AT723">
        <v>57.823604152796882</v>
      </c>
      <c r="AU723">
        <v>361.24943095352313</v>
      </c>
      <c r="AV723"/>
      <c r="AW723"/>
      <c r="FY723" s="211">
        <v>718</v>
      </c>
      <c r="FZ723">
        <v>123.71684228416267</v>
      </c>
      <c r="GA723">
        <v>153.53353299913744</v>
      </c>
      <c r="GB723">
        <v>46.233539644840185</v>
      </c>
      <c r="GC723">
        <v>28.056470468687728</v>
      </c>
      <c r="GD723">
        <v>37.552244599982188</v>
      </c>
      <c r="GE723">
        <v>88.065149022435776</v>
      </c>
      <c r="GF723">
        <v>95.552007118031966</v>
      </c>
      <c r="GG723">
        <v>69.005204299599271</v>
      </c>
      <c r="GH723">
        <v>61.86282632464205</v>
      </c>
      <c r="GI723">
        <v>86.1792639978176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282.21291240722906</v>
      </c>
      <c r="AO724">
        <v>150.87863814983658</v>
      </c>
      <c r="AP724">
        <v>500.91855437606341</v>
      </c>
      <c r="AQ724">
        <v>839.06672525854867</v>
      </c>
      <c r="AR724">
        <v>142.34993663886925</v>
      </c>
      <c r="AS724">
        <v>1569.9809869056028</v>
      </c>
      <c r="AT724">
        <v>68.576164071509211</v>
      </c>
      <c r="AU724">
        <v>183.83762871211724</v>
      </c>
      <c r="AV724"/>
      <c r="AW724"/>
      <c r="FY724" s="211">
        <v>719</v>
      </c>
      <c r="FZ724">
        <v>145.60425537356841</v>
      </c>
      <c r="GA724">
        <v>167.37095629153663</v>
      </c>
      <c r="GB724">
        <v>33.249155278371795</v>
      </c>
      <c r="GC724">
        <v>36.113865224182959</v>
      </c>
      <c r="GD724">
        <v>51.18455091442037</v>
      </c>
      <c r="GE724">
        <v>71.337857306521116</v>
      </c>
      <c r="GF724">
        <v>60.664909925097305</v>
      </c>
      <c r="GG724">
        <v>98.035170661569182</v>
      </c>
      <c r="GH724">
        <v>96.852874570417669</v>
      </c>
      <c r="GI724">
        <v>93.251245495075821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250.91753957907932</v>
      </c>
      <c r="AO725">
        <v>135.20243816828494</v>
      </c>
      <c r="AP725">
        <v>547.20118478239397</v>
      </c>
      <c r="AQ725">
        <v>773.64730454080677</v>
      </c>
      <c r="AR725">
        <v>126.55277661972319</v>
      </c>
      <c r="AS725">
        <v>1127.9700476450453</v>
      </c>
      <c r="AT725">
        <v>62.821598197849688</v>
      </c>
      <c r="AU725">
        <v>85.891697662262217</v>
      </c>
      <c r="AV725"/>
      <c r="AW725"/>
      <c r="FY725" s="211">
        <v>720</v>
      </c>
      <c r="FZ725">
        <v>110.45320080598715</v>
      </c>
      <c r="GA725">
        <v>130.47011906726965</v>
      </c>
      <c r="GB725">
        <v>44.354937142988156</v>
      </c>
      <c r="GC725">
        <v>41.485425827947921</v>
      </c>
      <c r="GD725">
        <v>31.520165992485456</v>
      </c>
      <c r="GE725">
        <v>50.073144435465352</v>
      </c>
      <c r="GF725">
        <v>92.112571992097941</v>
      </c>
      <c r="GG725">
        <v>95.722082081293905</v>
      </c>
      <c r="GH725">
        <v>88.708991284896882</v>
      </c>
      <c r="GI725">
        <v>83.161421727217203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244.16662758341459</v>
      </c>
      <c r="AO726">
        <v>139.68314382768708</v>
      </c>
      <c r="AP726">
        <v>659.85472656076104</v>
      </c>
      <c r="AQ726">
        <v>750.6883151041302</v>
      </c>
      <c r="AR726">
        <v>130.48176724303366</v>
      </c>
      <c r="AS726">
        <v>1264.3647534021609</v>
      </c>
      <c r="AT726">
        <v>72.299488968265834</v>
      </c>
      <c r="AU726">
        <v>231.46890720124216</v>
      </c>
      <c r="AV726"/>
      <c r="AW726"/>
      <c r="FY726" s="211">
        <v>721</v>
      </c>
      <c r="FZ726">
        <v>92.103299551597587</v>
      </c>
      <c r="GA726">
        <v>121.23523028947493</v>
      </c>
      <c r="GB726">
        <v>38.665364198157889</v>
      </c>
      <c r="GC726">
        <v>42.318482962708913</v>
      </c>
      <c r="GD726">
        <v>40.572233390080648</v>
      </c>
      <c r="GE726">
        <v>68.47738613343023</v>
      </c>
      <c r="GF726">
        <v>89.627222395188483</v>
      </c>
      <c r="GG726">
        <v>51.210964150202599</v>
      </c>
      <c r="GH726">
        <v>35.427063402370791</v>
      </c>
      <c r="GI726">
        <v>75.602012859054582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222.55653877186464</v>
      </c>
      <c r="AO727">
        <v>125.30787579090409</v>
      </c>
      <c r="AP727">
        <v>554.06001081994555</v>
      </c>
      <c r="AQ727">
        <v>732.67917512863426</v>
      </c>
      <c r="AR727">
        <v>118.46483550432404</v>
      </c>
      <c r="AS727">
        <v>1268.8500823017903</v>
      </c>
      <c r="AT727">
        <v>64.090113292121643</v>
      </c>
      <c r="AU727">
        <v>196.98268600085075</v>
      </c>
      <c r="AV727"/>
      <c r="AW727"/>
      <c r="FY727" s="211">
        <v>722</v>
      </c>
      <c r="FZ727">
        <v>112.26492581103545</v>
      </c>
      <c r="GA727">
        <v>152.83855257506417</v>
      </c>
      <c r="GB727">
        <v>54.912200611974242</v>
      </c>
      <c r="GC727">
        <v>44.477517676347659</v>
      </c>
      <c r="GD727">
        <v>37.908116630888429</v>
      </c>
      <c r="GE727">
        <v>65.056079969530316</v>
      </c>
      <c r="GF727">
        <v>95.350276697451761</v>
      </c>
      <c r="GG727">
        <v>98.513051328896879</v>
      </c>
      <c r="GH727">
        <v>130.19497118065442</v>
      </c>
      <c r="GI727">
        <v>98.28140591375238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246.88975558082819</v>
      </c>
      <c r="AO728">
        <v>131.47727854155335</v>
      </c>
      <c r="AP728">
        <v>604.39617021635411</v>
      </c>
      <c r="AQ728">
        <v>692.16383642733922</v>
      </c>
      <c r="AR728">
        <v>123.66149009757858</v>
      </c>
      <c r="AS728">
        <v>1266.6082813271096</v>
      </c>
      <c r="AT728">
        <v>60.739793437594471</v>
      </c>
      <c r="AU728">
        <v>35.301078353146821</v>
      </c>
      <c r="AV728"/>
      <c r="AW728"/>
      <c r="FY728" s="211">
        <v>723</v>
      </c>
      <c r="FZ728">
        <v>112.76081565984025</v>
      </c>
      <c r="GA728">
        <v>101.90390711366469</v>
      </c>
      <c r="GB728">
        <v>35.761980332197716</v>
      </c>
      <c r="GC728">
        <v>39.879817484446576</v>
      </c>
      <c r="GD728">
        <v>48.357171575105838</v>
      </c>
      <c r="GE728">
        <v>77.249909261347227</v>
      </c>
      <c r="GF728">
        <v>72.426219255264186</v>
      </c>
      <c r="GG728">
        <v>52.917399504143582</v>
      </c>
      <c r="GH728">
        <v>37.445321301707857</v>
      </c>
      <c r="GI728">
        <v>79.458485768404259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303.07583287182518</v>
      </c>
      <c r="AO729">
        <v>163.7072900860243</v>
      </c>
      <c r="AP729">
        <v>637.11886988185688</v>
      </c>
      <c r="AQ729">
        <v>860.23633664538647</v>
      </c>
      <c r="AR729">
        <v>153.90332871074312</v>
      </c>
      <c r="AS729">
        <v>1666.5155528788048</v>
      </c>
      <c r="AT729">
        <v>75.528354619164261</v>
      </c>
      <c r="AU729">
        <v>167.17015315859078</v>
      </c>
      <c r="AV729"/>
      <c r="AW729"/>
      <c r="FY729" s="211">
        <v>724</v>
      </c>
      <c r="FZ729">
        <v>102.8263274452338</v>
      </c>
      <c r="GA729">
        <v>146.30992895036124</v>
      </c>
      <c r="GB729">
        <v>44.960292013071069</v>
      </c>
      <c r="GC729">
        <v>43.285836366731012</v>
      </c>
      <c r="GD729">
        <v>47.998429821393543</v>
      </c>
      <c r="GE729">
        <v>108.32292116565773</v>
      </c>
      <c r="GF729">
        <v>130.89690249637067</v>
      </c>
      <c r="GG729">
        <v>49.622088651472616</v>
      </c>
      <c r="GH729">
        <v>54.278031921078281</v>
      </c>
      <c r="GI729">
        <v>97.31470448847513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252.68247380739172</v>
      </c>
      <c r="AO730">
        <v>174.72170595791417</v>
      </c>
      <c r="AP730">
        <v>768.12003490638403</v>
      </c>
      <c r="AQ730">
        <v>978.68561657882606</v>
      </c>
      <c r="AR730">
        <v>164.93847694448556</v>
      </c>
      <c r="AS730">
        <v>1444.8946329557746</v>
      </c>
      <c r="AT730">
        <v>88.486348978708619</v>
      </c>
      <c r="AU730">
        <v>130.44461734522156</v>
      </c>
      <c r="AV730"/>
      <c r="AW730"/>
      <c r="FY730" s="211">
        <v>725</v>
      </c>
      <c r="FZ730">
        <v>113.97199582568314</v>
      </c>
      <c r="GA730">
        <v>175.47958325005794</v>
      </c>
      <c r="GB730">
        <v>54.784625621314213</v>
      </c>
      <c r="GC730">
        <v>32.255063094728364</v>
      </c>
      <c r="GD730">
        <v>30.709860529596799</v>
      </c>
      <c r="GE730">
        <v>49.280709156504948</v>
      </c>
      <c r="GF730">
        <v>85.893040618719638</v>
      </c>
      <c r="GG730">
        <v>72.246720557038316</v>
      </c>
      <c r="GH730">
        <v>45.135149132442734</v>
      </c>
      <c r="GI730">
        <v>76.900069207518513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283.85315442011847</v>
      </c>
      <c r="AO731">
        <v>167.80002905633404</v>
      </c>
      <c r="AP731">
        <v>773.33043366259517</v>
      </c>
      <c r="AQ731">
        <v>894.6428333313462</v>
      </c>
      <c r="AR731">
        <v>157.85930743791351</v>
      </c>
      <c r="AS731">
        <v>1732.7238167642531</v>
      </c>
      <c r="AT731">
        <v>82.997817991152885</v>
      </c>
      <c r="AU731">
        <v>283.38249472910883</v>
      </c>
      <c r="AV731"/>
      <c r="AW731"/>
      <c r="FY731" s="211">
        <v>726</v>
      </c>
      <c r="FZ731">
        <v>104.93901381379584</v>
      </c>
      <c r="GA731">
        <v>127.8503216896295</v>
      </c>
      <c r="GB731">
        <v>53.65252640586268</v>
      </c>
      <c r="GC731">
        <v>41.174064546106678</v>
      </c>
      <c r="GD731">
        <v>32.451880981172955</v>
      </c>
      <c r="GE731">
        <v>86.153125711778358</v>
      </c>
      <c r="GF731">
        <v>137.38919860718454</v>
      </c>
      <c r="GG731">
        <v>89.148545630326964</v>
      </c>
      <c r="GH731">
        <v>84.847893461121572</v>
      </c>
      <c r="GI731">
        <v>95.267642889541577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277.3107761976936</v>
      </c>
      <c r="AO732">
        <v>160.74269492797879</v>
      </c>
      <c r="AP732">
        <v>684.34106370887184</v>
      </c>
      <c r="AQ732">
        <v>909.58345101794282</v>
      </c>
      <c r="AR732">
        <v>153.02720473497439</v>
      </c>
      <c r="AS732">
        <v>1613.3482914485426</v>
      </c>
      <c r="AT732">
        <v>79.64999640457151</v>
      </c>
      <c r="AU732">
        <v>-30.913627446845119</v>
      </c>
      <c r="AV732"/>
      <c r="AW732"/>
      <c r="FY732" s="211">
        <v>727</v>
      </c>
      <c r="FZ732">
        <v>120.56460692319465</v>
      </c>
      <c r="GA732">
        <v>151.37786782432536</v>
      </c>
      <c r="GB732">
        <v>54.176618601823918</v>
      </c>
      <c r="GC732">
        <v>45.634444498670426</v>
      </c>
      <c r="GD732">
        <v>50.57216203270918</v>
      </c>
      <c r="GE732">
        <v>67.977836354048648</v>
      </c>
      <c r="GF732">
        <v>80.319643909973152</v>
      </c>
      <c r="GG732">
        <v>55.317528918721429</v>
      </c>
      <c r="GH732">
        <v>23.891592243989319</v>
      </c>
      <c r="GI732">
        <v>86.718687663916782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219.22092932767015</v>
      </c>
      <c r="AO733">
        <v>147.78281228721914</v>
      </c>
      <c r="AP733">
        <v>643.42238344799557</v>
      </c>
      <c r="AQ733">
        <v>852.77915138408196</v>
      </c>
      <c r="AR733">
        <v>139.79028923790207</v>
      </c>
      <c r="AS733">
        <v>1296.3154959867861</v>
      </c>
      <c r="AT733">
        <v>73.428038295832934</v>
      </c>
      <c r="AU733">
        <v>298.44503903754492</v>
      </c>
      <c r="AV733"/>
      <c r="AW733"/>
      <c r="FY733" s="211">
        <v>728</v>
      </c>
      <c r="FZ733">
        <v>120.83303362689335</v>
      </c>
      <c r="GA733">
        <v>176.76276142998969</v>
      </c>
      <c r="GB733">
        <v>73.33785184384331</v>
      </c>
      <c r="GC733">
        <v>44.131223126408081</v>
      </c>
      <c r="GD733">
        <v>36.53637302428411</v>
      </c>
      <c r="GE733">
        <v>75.700617018426044</v>
      </c>
      <c r="GF733">
        <v>93.652712200052648</v>
      </c>
      <c r="GG733">
        <v>63.168398568373298</v>
      </c>
      <c r="GH733">
        <v>79.67858444093288</v>
      </c>
      <c r="GI733">
        <v>95.056332062234048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268.08558090264171</v>
      </c>
      <c r="AO734">
        <v>138.18458817664322</v>
      </c>
      <c r="AP734">
        <v>548.36504990995809</v>
      </c>
      <c r="AQ734">
        <v>789.75708075933699</v>
      </c>
      <c r="AR734">
        <v>129.87508339323296</v>
      </c>
      <c r="AS734">
        <v>1310.1311150390106</v>
      </c>
      <c r="AT734">
        <v>63.626765534920651</v>
      </c>
      <c r="AU734">
        <v>107.2866389034244</v>
      </c>
      <c r="AV734"/>
      <c r="AW734"/>
      <c r="FY734" s="211">
        <v>729</v>
      </c>
      <c r="FZ734">
        <v>111.13598122301042</v>
      </c>
      <c r="GA734">
        <v>169.22377503524069</v>
      </c>
      <c r="GB734">
        <v>61.579514805490234</v>
      </c>
      <c r="GC734">
        <v>39.384136581366036</v>
      </c>
      <c r="GD734">
        <v>36.053127233701225</v>
      </c>
      <c r="GE734">
        <v>71.709463703737484</v>
      </c>
      <c r="GF734">
        <v>107.57656394309716</v>
      </c>
      <c r="GG734">
        <v>91.54812988388511</v>
      </c>
      <c r="GH734">
        <v>79.815483650623122</v>
      </c>
      <c r="GI734">
        <v>92.903544947334922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240.52855586467422</v>
      </c>
      <c r="AO735">
        <v>151.14263162630249</v>
      </c>
      <c r="AP735">
        <v>600.80179113761881</v>
      </c>
      <c r="AQ735">
        <v>853.6648410407613</v>
      </c>
      <c r="AR735">
        <v>142.18415592817703</v>
      </c>
      <c r="AS735">
        <v>1377.1214368791013</v>
      </c>
      <c r="AT735">
        <v>75.841983455854702</v>
      </c>
      <c r="AU735">
        <v>125.03916815356874</v>
      </c>
      <c r="AV735"/>
      <c r="AW735"/>
      <c r="FY735" s="211">
        <v>730</v>
      </c>
      <c r="FZ735">
        <v>78.477995847269042</v>
      </c>
      <c r="GA735">
        <v>107.46336449834111</v>
      </c>
      <c r="GB735">
        <v>40.00424860784431</v>
      </c>
      <c r="GC735">
        <v>38.204235377352184</v>
      </c>
      <c r="GD735">
        <v>38.632639256943605</v>
      </c>
      <c r="GE735">
        <v>95.135785925430653</v>
      </c>
      <c r="GF735">
        <v>119.00762372607079</v>
      </c>
      <c r="GG735">
        <v>59.764142788127472</v>
      </c>
      <c r="GH735">
        <v>64.638071911465673</v>
      </c>
      <c r="GI735">
        <v>84.770395749183891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188.52391979434609</v>
      </c>
      <c r="AO736">
        <v>134.53140958583481</v>
      </c>
      <c r="AP736">
        <v>574.15755873625585</v>
      </c>
      <c r="AQ736">
        <v>768.06206035764967</v>
      </c>
      <c r="AR736">
        <v>126.22264655561489</v>
      </c>
      <c r="AS736">
        <v>1128.6656045881566</v>
      </c>
      <c r="AT736">
        <v>71.123525349936173</v>
      </c>
      <c r="AU736">
        <v>135.10850089111841</v>
      </c>
      <c r="AV736"/>
      <c r="AW736"/>
      <c r="FY736" s="211">
        <v>731</v>
      </c>
      <c r="FZ736">
        <v>92.627315283682989</v>
      </c>
      <c r="GA736">
        <v>127.89363105210813</v>
      </c>
      <c r="GB736">
        <v>50.593128910762154</v>
      </c>
      <c r="GC736">
        <v>48.799219006898404</v>
      </c>
      <c r="GD736">
        <v>45.971007712049627</v>
      </c>
      <c r="GE736">
        <v>57.127658099745709</v>
      </c>
      <c r="GF736">
        <v>59.931563379221146</v>
      </c>
      <c r="GG736">
        <v>85.414874555464834</v>
      </c>
      <c r="GH736">
        <v>84.100584550769412</v>
      </c>
      <c r="GI736">
        <v>83.765416273387174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235.93001518260931</v>
      </c>
      <c r="AO737">
        <v>120.95176910652768</v>
      </c>
      <c r="AP737">
        <v>490.74191086802841</v>
      </c>
      <c r="AQ737">
        <v>655.23925933226656</v>
      </c>
      <c r="AR737">
        <v>112.95377836811966</v>
      </c>
      <c r="AS737">
        <v>1201.0180516267235</v>
      </c>
      <c r="AT737">
        <v>54.327614812367038</v>
      </c>
      <c r="AU737">
        <v>160.04907955806348</v>
      </c>
      <c r="AV737"/>
      <c r="AW737"/>
      <c r="FY737" s="211">
        <v>732</v>
      </c>
      <c r="FZ737">
        <v>101.77675614799207</v>
      </c>
      <c r="GA737">
        <v>153.28518385336068</v>
      </c>
      <c r="GB737">
        <v>52.410558012936391</v>
      </c>
      <c r="GC737">
        <v>40.50675690460406</v>
      </c>
      <c r="GD737">
        <v>30.377343073574298</v>
      </c>
      <c r="GE737">
        <v>47.295013503270837</v>
      </c>
      <c r="GF737">
        <v>73.609421195786993</v>
      </c>
      <c r="GG737">
        <v>38.50570032456335</v>
      </c>
      <c r="GH737">
        <v>36.687774774495978</v>
      </c>
      <c r="GI737">
        <v>71.015570901573241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253.68505776974712</v>
      </c>
      <c r="AO738">
        <v>155.21136608649505</v>
      </c>
      <c r="AP738">
        <v>589.56375393051565</v>
      </c>
      <c r="AQ738">
        <v>889.79709839559553</v>
      </c>
      <c r="AR738">
        <v>147.92075606836477</v>
      </c>
      <c r="AS738">
        <v>1441.4723306066139</v>
      </c>
      <c r="AT738">
        <v>85.196475923557372</v>
      </c>
      <c r="AU738">
        <v>18.689146956139027</v>
      </c>
      <c r="AV738"/>
      <c r="AW738"/>
      <c r="FY738" s="211">
        <v>733</v>
      </c>
      <c r="FZ738">
        <v>98.97738450263337</v>
      </c>
      <c r="GA738">
        <v>149.80550740340558</v>
      </c>
      <c r="GB738">
        <v>54.093342538266739</v>
      </c>
      <c r="GC738">
        <v>55.163448742995158</v>
      </c>
      <c r="GD738">
        <v>48.936786825429699</v>
      </c>
      <c r="GE738">
        <v>51.597876869324899</v>
      </c>
      <c r="GF738">
        <v>81.554775982341951</v>
      </c>
      <c r="GG738">
        <v>96.426856148350979</v>
      </c>
      <c r="GH738">
        <v>83.014781141922469</v>
      </c>
      <c r="GI738">
        <v>93.009841339900532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235.30195449084914</v>
      </c>
      <c r="AO739">
        <v>122.38841242596786</v>
      </c>
      <c r="AP739">
        <v>362.37242005976407</v>
      </c>
      <c r="AQ739">
        <v>658.16102725612211</v>
      </c>
      <c r="AR739">
        <v>117.5670532630855</v>
      </c>
      <c r="AS739">
        <v>1206.676290145346</v>
      </c>
      <c r="AT739">
        <v>57.826991762089555</v>
      </c>
      <c r="AU739">
        <v>123.22556445075804</v>
      </c>
      <c r="AV739"/>
      <c r="AW739"/>
      <c r="FY739" s="211">
        <v>734</v>
      </c>
      <c r="FZ739">
        <v>148.69709020562675</v>
      </c>
      <c r="GA739">
        <v>158.96257865094225</v>
      </c>
      <c r="GB739">
        <v>52.45733341800085</v>
      </c>
      <c r="GC739">
        <v>38.591789885667893</v>
      </c>
      <c r="GD739">
        <v>21.192278627692069</v>
      </c>
      <c r="GE739">
        <v>54.858708438776802</v>
      </c>
      <c r="GF739">
        <v>134.66317167713922</v>
      </c>
      <c r="GG739">
        <v>70.024537673259175</v>
      </c>
      <c r="GH739">
        <v>31.127452654660786</v>
      </c>
      <c r="GI739">
        <v>84.629977703404663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252.38221011511382</v>
      </c>
      <c r="AO740">
        <v>156.83603266767278</v>
      </c>
      <c r="AP740">
        <v>724.34259736828301</v>
      </c>
      <c r="AQ740">
        <v>825.81546331984509</v>
      </c>
      <c r="AR740">
        <v>146.72471480190603</v>
      </c>
      <c r="AS740">
        <v>1403.1970740299962</v>
      </c>
      <c r="AT740">
        <v>75.892161720457509</v>
      </c>
      <c r="AU740">
        <v>77.714573371224503</v>
      </c>
      <c r="AV740"/>
      <c r="AW740"/>
      <c r="FY740" s="211">
        <v>735</v>
      </c>
      <c r="FZ740">
        <v>124.30042377240207</v>
      </c>
      <c r="GA740">
        <v>160.87882604257089</v>
      </c>
      <c r="GB740">
        <v>55.628411134150468</v>
      </c>
      <c r="GC740">
        <v>35.485532996174577</v>
      </c>
      <c r="GD740">
        <v>37.165993354753901</v>
      </c>
      <c r="GE740">
        <v>65.556387442043956</v>
      </c>
      <c r="GF740">
        <v>56.365646864311209</v>
      </c>
      <c r="GG740">
        <v>33.576183668497272</v>
      </c>
      <c r="GH740">
        <v>39.026794367649693</v>
      </c>
      <c r="GI740">
        <v>75.063223493671018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240.42899829280185</v>
      </c>
      <c r="AO741">
        <v>122.31150418902105</v>
      </c>
      <c r="AP741">
        <v>410.83823586132189</v>
      </c>
      <c r="AQ741">
        <v>736.65681699360459</v>
      </c>
      <c r="AR741">
        <v>115.1229017258113</v>
      </c>
      <c r="AS741">
        <v>1179.2734299036708</v>
      </c>
      <c r="AT741">
        <v>57.952199123357985</v>
      </c>
      <c r="AU741">
        <v>89.002233263045611</v>
      </c>
      <c r="AV741"/>
      <c r="AW741"/>
      <c r="FY741" s="211">
        <v>736</v>
      </c>
      <c r="FZ741">
        <v>121.06699268381526</v>
      </c>
      <c r="GA741">
        <v>151.42260870253085</v>
      </c>
      <c r="GB741">
        <v>60.48728647090536</v>
      </c>
      <c r="GC741">
        <v>48.14349185276415</v>
      </c>
      <c r="GD741">
        <v>50.284289582400596</v>
      </c>
      <c r="GE741">
        <v>77.472001482383703</v>
      </c>
      <c r="GF741">
        <v>64.444215669950168</v>
      </c>
      <c r="GG741">
        <v>53.74138340474034</v>
      </c>
      <c r="GH741">
        <v>54.805580552634723</v>
      </c>
      <c r="GI741">
        <v>89.622985980551917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270.7073940596137</v>
      </c>
      <c r="AO742">
        <v>153.48820835467836</v>
      </c>
      <c r="AP742">
        <v>612.78070390787491</v>
      </c>
      <c r="AQ742">
        <v>852.87421373652057</v>
      </c>
      <c r="AR742">
        <v>143.81649708389108</v>
      </c>
      <c r="AS742">
        <v>1449.514843299519</v>
      </c>
      <c r="AT742">
        <v>73.059675903990637</v>
      </c>
      <c r="AU742">
        <v>169.48497444278956</v>
      </c>
      <c r="AV742"/>
      <c r="AW742"/>
      <c r="FY742" s="211">
        <v>737</v>
      </c>
      <c r="FZ742">
        <v>78.262924563134931</v>
      </c>
      <c r="GA742">
        <v>100.39086957503841</v>
      </c>
      <c r="GB742">
        <v>52.710633436872044</v>
      </c>
      <c r="GC742">
        <v>36.135343866106496</v>
      </c>
      <c r="GD742">
        <v>34.556476811848938</v>
      </c>
      <c r="GE742">
        <v>60.083045507425624</v>
      </c>
      <c r="GF742">
        <v>69.634467115181167</v>
      </c>
      <c r="GG742">
        <v>79.614628613992835</v>
      </c>
      <c r="GH742">
        <v>83.230396488059398</v>
      </c>
      <c r="GI742">
        <v>77.043139440142724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282.5426931878693</v>
      </c>
      <c r="AO743">
        <v>134.70921813424621</v>
      </c>
      <c r="AP743">
        <v>640.76614412118283</v>
      </c>
      <c r="AQ743">
        <v>736.55098897137282</v>
      </c>
      <c r="AR743">
        <v>129.10336303529948</v>
      </c>
      <c r="AS743">
        <v>1493.0107110764386</v>
      </c>
      <c r="AT743">
        <v>63.930863354490576</v>
      </c>
      <c r="AU743">
        <v>241.73752801521226</v>
      </c>
      <c r="AV743"/>
      <c r="AW743"/>
      <c r="FY743" s="211">
        <v>738</v>
      </c>
      <c r="FZ743">
        <v>106.55985092713266</v>
      </c>
      <c r="GA743">
        <v>201.14993408484776</v>
      </c>
      <c r="GB743">
        <v>70.810986661820735</v>
      </c>
      <c r="GC743">
        <v>35.575940225365727</v>
      </c>
      <c r="GD743">
        <v>43.324712865195558</v>
      </c>
      <c r="GE743">
        <v>80.361978569647604</v>
      </c>
      <c r="GF743">
        <v>111.88886803182223</v>
      </c>
      <c r="GG743">
        <v>144.40521908363345</v>
      </c>
      <c r="GH743">
        <v>146.69722694168573</v>
      </c>
      <c r="GI743">
        <v>112.74653193475656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264.7199774000768</v>
      </c>
      <c r="AO744">
        <v>150.26100675226732</v>
      </c>
      <c r="AP744">
        <v>512.39320211748645</v>
      </c>
      <c r="AQ744">
        <v>858.85788734143739</v>
      </c>
      <c r="AR744">
        <v>143.09442755000433</v>
      </c>
      <c r="AS744">
        <v>1424.780264884396</v>
      </c>
      <c r="AT744">
        <v>73.844645017725028</v>
      </c>
      <c r="AU744">
        <v>95.923250956991865</v>
      </c>
      <c r="AV744"/>
      <c r="AW744"/>
      <c r="FY744" s="211">
        <v>739</v>
      </c>
      <c r="FZ744">
        <v>125.28370485893376</v>
      </c>
      <c r="GA744">
        <v>162.08890342870413</v>
      </c>
      <c r="GB744">
        <v>46.711141222161352</v>
      </c>
      <c r="GC744">
        <v>33.773447459653525</v>
      </c>
      <c r="GD744">
        <v>45.97398052148543</v>
      </c>
      <c r="GE744">
        <v>89.731739186682475</v>
      </c>
      <c r="GF744">
        <v>67.393301796597427</v>
      </c>
      <c r="GG744">
        <v>76.011860094748371</v>
      </c>
      <c r="GH744">
        <v>110.69427399266407</v>
      </c>
      <c r="GI744">
        <v>94.093852140604824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273.78828122977274</v>
      </c>
      <c r="AO745">
        <v>151.08732887430543</v>
      </c>
      <c r="AP745">
        <v>599.06670986802021</v>
      </c>
      <c r="AQ745">
        <v>860.92972100748636</v>
      </c>
      <c r="AR745">
        <v>140.82646490665522</v>
      </c>
      <c r="AS745">
        <v>1507.4092556129169</v>
      </c>
      <c r="AT745">
        <v>72.796096243967995</v>
      </c>
      <c r="AU745">
        <v>99.655203889196713</v>
      </c>
      <c r="AV745"/>
      <c r="AW745"/>
      <c r="FY745" s="211">
        <v>740</v>
      </c>
      <c r="FZ745">
        <v>115.52286407183234</v>
      </c>
      <c r="GA745">
        <v>175.23762230624507</v>
      </c>
      <c r="GB745">
        <v>70.388122002925698</v>
      </c>
      <c r="GC745">
        <v>55.638754635323096</v>
      </c>
      <c r="GD745">
        <v>38.256942649978186</v>
      </c>
      <c r="GE745">
        <v>86.262830982687007</v>
      </c>
      <c r="GF745">
        <v>157.29072464708005</v>
      </c>
      <c r="GG745">
        <v>70.309856972059208</v>
      </c>
      <c r="GH745">
        <v>40.335424674087434</v>
      </c>
      <c r="GI745">
        <v>103.09517389468409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225.9096568328082</v>
      </c>
      <c r="AO746">
        <v>138.31580960503317</v>
      </c>
      <c r="AP746">
        <v>702.53809224715212</v>
      </c>
      <c r="AQ746">
        <v>726.09850368802881</v>
      </c>
      <c r="AR746">
        <v>128.20817499427267</v>
      </c>
      <c r="AS746">
        <v>1291.0693152329741</v>
      </c>
      <c r="AT746">
        <v>66.848568840898665</v>
      </c>
      <c r="AU746">
        <v>139.23728430847473</v>
      </c>
      <c r="AV746"/>
      <c r="AW746"/>
      <c r="FY746" s="211">
        <v>741</v>
      </c>
      <c r="FZ746">
        <v>115.85058742325296</v>
      </c>
      <c r="GA746">
        <v>157.9504731712471</v>
      </c>
      <c r="GB746">
        <v>74.902853895991655</v>
      </c>
      <c r="GC746">
        <v>54.18343474927034</v>
      </c>
      <c r="GD746">
        <v>33.715983827813453</v>
      </c>
      <c r="GE746">
        <v>55.497552858263354</v>
      </c>
      <c r="GF746">
        <v>74.37403150208101</v>
      </c>
      <c r="GG746">
        <v>68.905205007092931</v>
      </c>
      <c r="GH746">
        <v>96.757450747165763</v>
      </c>
      <c r="GI746">
        <v>90.958638011752242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254.43395956631804</v>
      </c>
      <c r="AO747">
        <v>134.04817853425607</v>
      </c>
      <c r="AP747">
        <v>528.01206614378452</v>
      </c>
      <c r="AQ747">
        <v>736.22439882408958</v>
      </c>
      <c r="AR747">
        <v>125.07055951754826</v>
      </c>
      <c r="AS747">
        <v>1270.8136271409974</v>
      </c>
      <c r="AT747">
        <v>64.395996255622194</v>
      </c>
      <c r="AU747">
        <v>78.29023357592672</v>
      </c>
      <c r="AV747"/>
      <c r="AW747"/>
      <c r="FY747" s="211">
        <v>742</v>
      </c>
      <c r="FZ747">
        <v>150.47740789587289</v>
      </c>
      <c r="GA747">
        <v>207.26477631393377</v>
      </c>
      <c r="GB747">
        <v>52.49210780276448</v>
      </c>
      <c r="GC747">
        <v>41.530652591107732</v>
      </c>
      <c r="GD747">
        <v>42.143520906876255</v>
      </c>
      <c r="GE747">
        <v>73.250480938782644</v>
      </c>
      <c r="GF747">
        <v>79.787920337729261</v>
      </c>
      <c r="GG747">
        <v>17.77330917255097</v>
      </c>
      <c r="GH747">
        <v>33.155467941459769</v>
      </c>
      <c r="GI747">
        <v>87.278823579358559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224.17709674262315</v>
      </c>
      <c r="AO748">
        <v>113.61201778976451</v>
      </c>
      <c r="AP748">
        <v>413.07579652352536</v>
      </c>
      <c r="AQ748">
        <v>645.47007869215793</v>
      </c>
      <c r="AR748">
        <v>106.92181216903796</v>
      </c>
      <c r="AS748">
        <v>1053.7865164552595</v>
      </c>
      <c r="AT748">
        <v>53.636448309328237</v>
      </c>
      <c r="AU748">
        <v>66.196043669156666</v>
      </c>
      <c r="AV748"/>
      <c r="AW748"/>
      <c r="FY748" s="211">
        <v>743</v>
      </c>
      <c r="FZ748">
        <v>92.761617595796281</v>
      </c>
      <c r="GA748">
        <v>108.87582814343426</v>
      </c>
      <c r="GB748">
        <v>54.630372012147618</v>
      </c>
      <c r="GC748">
        <v>43.174698355612584</v>
      </c>
      <c r="GD748">
        <v>25.946661905989277</v>
      </c>
      <c r="GE748">
        <v>50.508278311954115</v>
      </c>
      <c r="GF748">
        <v>78.10601965456695</v>
      </c>
      <c r="GG748">
        <v>61.637982770527266</v>
      </c>
      <c r="GH748">
        <v>85.8230736092016</v>
      </c>
      <c r="GI748">
        <v>75.81878762442841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270.4336895310766</v>
      </c>
      <c r="AO749">
        <v>149.85860237931553</v>
      </c>
      <c r="AP749">
        <v>728.30102479127504</v>
      </c>
      <c r="AQ749">
        <v>812.58060149457151</v>
      </c>
      <c r="AR749">
        <v>140.38887712486866</v>
      </c>
      <c r="AS749">
        <v>1307.7713221493107</v>
      </c>
      <c r="AT749">
        <v>75.17627852486244</v>
      </c>
      <c r="AU749">
        <v>94.268651416332801</v>
      </c>
      <c r="AV749"/>
      <c r="AW749"/>
      <c r="FY749" s="211">
        <v>744</v>
      </c>
      <c r="FZ749">
        <v>119.01405860241692</v>
      </c>
      <c r="GA749">
        <v>124.43645830541324</v>
      </c>
      <c r="GB749">
        <v>43.717355831003687</v>
      </c>
      <c r="GC749">
        <v>36.680204647403905</v>
      </c>
      <c r="GD749">
        <v>40.911554701385555</v>
      </c>
      <c r="GE749">
        <v>69.444507947810663</v>
      </c>
      <c r="GF749">
        <v>92.053566703010475</v>
      </c>
      <c r="GG749">
        <v>107.93212093191258</v>
      </c>
      <c r="GH749">
        <v>81.98790173144333</v>
      </c>
      <c r="GI749">
        <v>90.105800015752735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239.59772997775957</v>
      </c>
      <c r="AO750">
        <v>134.65242754505715</v>
      </c>
      <c r="AP750">
        <v>576.5542629410694</v>
      </c>
      <c r="AQ750">
        <v>795.20491893517044</v>
      </c>
      <c r="AR750">
        <v>128.2070899445535</v>
      </c>
      <c r="AS750">
        <v>1282.7436815607582</v>
      </c>
      <c r="AT750">
        <v>67.242262061258387</v>
      </c>
      <c r="AU750">
        <v>176.64190000214995</v>
      </c>
      <c r="AV750"/>
      <c r="AW750"/>
      <c r="FY750" s="211">
        <v>745</v>
      </c>
      <c r="FZ750">
        <v>65.585391704847751</v>
      </c>
      <c r="GA750">
        <v>97.625752594983055</v>
      </c>
      <c r="GB750">
        <v>34.109114317958969</v>
      </c>
      <c r="GC750">
        <v>38.684263136158975</v>
      </c>
      <c r="GD750">
        <v>43.461522321529088</v>
      </c>
      <c r="GE750">
        <v>52.662486087006279</v>
      </c>
      <c r="GF750">
        <v>44.231493354015264</v>
      </c>
      <c r="GG750">
        <v>75.007087340883885</v>
      </c>
      <c r="GH750">
        <v>87.457851327837915</v>
      </c>
      <c r="GI750">
        <v>71.572126742459915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234.18522607239106</v>
      </c>
      <c r="AO751">
        <v>116.36901019371226</v>
      </c>
      <c r="AP751">
        <v>512.10616594193334</v>
      </c>
      <c r="AQ751">
        <v>683.04742313622512</v>
      </c>
      <c r="AR751">
        <v>111.25549286253388</v>
      </c>
      <c r="AS751">
        <v>1151.4129950732379</v>
      </c>
      <c r="AT751">
        <v>58.74695892822448</v>
      </c>
      <c r="AU751">
        <v>204.43221690166845</v>
      </c>
      <c r="AV751"/>
      <c r="AW751"/>
      <c r="FY751" s="211">
        <v>746</v>
      </c>
      <c r="FZ751">
        <v>121.60598626316772</v>
      </c>
      <c r="GA751">
        <v>132.97209837277842</v>
      </c>
      <c r="GB751">
        <v>52.506735757400563</v>
      </c>
      <c r="GC751">
        <v>54.30194124949881</v>
      </c>
      <c r="GD751">
        <v>53.425865670957762</v>
      </c>
      <c r="GE751">
        <v>79.158572663422063</v>
      </c>
      <c r="GF751">
        <v>91.089738791956933</v>
      </c>
      <c r="GG751">
        <v>112.99112246346688</v>
      </c>
      <c r="GH751">
        <v>115.85981692488578</v>
      </c>
      <c r="GI751">
        <v>106.26695049558002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277.53466440656541</v>
      </c>
      <c r="AO752">
        <v>141.58109990269489</v>
      </c>
      <c r="AP752">
        <v>634.21566581957836</v>
      </c>
      <c r="AQ752">
        <v>771.49083638267712</v>
      </c>
      <c r="AR752">
        <v>134.12567864893802</v>
      </c>
      <c r="AS752">
        <v>1494.7101149867242</v>
      </c>
      <c r="AT752">
        <v>68.961133464528658</v>
      </c>
      <c r="AU752">
        <v>432.75633100444509</v>
      </c>
      <c r="AV752"/>
      <c r="AW752"/>
      <c r="FY752" s="211">
        <v>747</v>
      </c>
      <c r="FZ752">
        <v>97.372816590692807</v>
      </c>
      <c r="GA752">
        <v>120.20334845075904</v>
      </c>
      <c r="GB752">
        <v>34.47732935196229</v>
      </c>
      <c r="GC752">
        <v>33.282592926891986</v>
      </c>
      <c r="GD752">
        <v>45.994958327984733</v>
      </c>
      <c r="GE752">
        <v>75.035676704329674</v>
      </c>
      <c r="GF752">
        <v>75.462640699814798</v>
      </c>
      <c r="GG752">
        <v>39.827116333183106</v>
      </c>
      <c r="GH752">
        <v>42.419971444998801</v>
      </c>
      <c r="GI752">
        <v>76.187484002573768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225.05623638841993</v>
      </c>
      <c r="AO753">
        <v>122.42000458645673</v>
      </c>
      <c r="AP753">
        <v>430.69393390846653</v>
      </c>
      <c r="AQ753">
        <v>671.66192541780254</v>
      </c>
      <c r="AR753">
        <v>116.56236453050495</v>
      </c>
      <c r="AS753">
        <v>1168.938698320226</v>
      </c>
      <c r="AT753">
        <v>58.983595741732053</v>
      </c>
      <c r="AU753">
        <v>118.65079238447979</v>
      </c>
      <c r="AV753"/>
      <c r="AW753"/>
      <c r="FY753" s="211">
        <v>748</v>
      </c>
      <c r="FZ753">
        <v>138.41979913846023</v>
      </c>
      <c r="GA753">
        <v>147.61668963049524</v>
      </c>
      <c r="GB753">
        <v>45.201295313711221</v>
      </c>
      <c r="GC753">
        <v>45.051793113691218</v>
      </c>
      <c r="GD753">
        <v>51.726158728856127</v>
      </c>
      <c r="GE753">
        <v>95.797511751040687</v>
      </c>
      <c r="GF753">
        <v>99.750748658262196</v>
      </c>
      <c r="GG753">
        <v>58.219179918453698</v>
      </c>
      <c r="GH753">
        <v>41.042940550093689</v>
      </c>
      <c r="GI753">
        <v>94.905301298538106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283.4224779913319</v>
      </c>
      <c r="AO754">
        <v>184.10657825487061</v>
      </c>
      <c r="AP754">
        <v>748.16193445542524</v>
      </c>
      <c r="AQ754">
        <v>1053.521249325908</v>
      </c>
      <c r="AR754">
        <v>172.65533063153126</v>
      </c>
      <c r="AS754">
        <v>1680.5234412059649</v>
      </c>
      <c r="AT754">
        <v>87.617312889463122</v>
      </c>
      <c r="AU754">
        <v>148.51876943737267</v>
      </c>
      <c r="AV754"/>
      <c r="AW754"/>
      <c r="FY754" s="211">
        <v>749</v>
      </c>
      <c r="FZ754">
        <v>140.92373728462891</v>
      </c>
      <c r="GA754">
        <v>183.86306881809631</v>
      </c>
      <c r="GB754">
        <v>63.455469779934774</v>
      </c>
      <c r="GC754">
        <v>45.592934837275642</v>
      </c>
      <c r="GD754">
        <v>48.567942401650754</v>
      </c>
      <c r="GE754">
        <v>98.301579922537201</v>
      </c>
      <c r="GF754">
        <v>100.56607084530961</v>
      </c>
      <c r="GG754">
        <v>54.742781161303796</v>
      </c>
      <c r="GH754">
        <v>59.956738274915708</v>
      </c>
      <c r="GI754">
        <v>102.3167156892472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270.38105062658553</v>
      </c>
      <c r="AO755">
        <v>150.67000107675909</v>
      </c>
      <c r="AP755">
        <v>673.12589637966209</v>
      </c>
      <c r="AQ755">
        <v>851.75620470223532</v>
      </c>
      <c r="AR755">
        <v>142.38424951011035</v>
      </c>
      <c r="AS755">
        <v>1324.7773182857748</v>
      </c>
      <c r="AT755">
        <v>75.00932984031077</v>
      </c>
      <c r="AU755">
        <v>88.919410205543244</v>
      </c>
      <c r="AV755"/>
      <c r="AW755"/>
      <c r="FY755" s="211">
        <v>750</v>
      </c>
      <c r="FZ755">
        <v>122.43785630032801</v>
      </c>
      <c r="GA755">
        <v>149.91264656006729</v>
      </c>
      <c r="GB755">
        <v>64.012822984367574</v>
      </c>
      <c r="GC755">
        <v>46.833717626547553</v>
      </c>
      <c r="GD755">
        <v>54.7519457894672</v>
      </c>
      <c r="GE755">
        <v>95.297816526420277</v>
      </c>
      <c r="GF755">
        <v>85.692172389201716</v>
      </c>
      <c r="GG755">
        <v>103.34247454612155</v>
      </c>
      <c r="GH755">
        <v>116.3625566153755</v>
      </c>
      <c r="GI755">
        <v>108.2996002625087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271.73679266217835</v>
      </c>
      <c r="AO756">
        <v>168.41349709274039</v>
      </c>
      <c r="AP756">
        <v>773.30851081958599</v>
      </c>
      <c r="AQ756">
        <v>912.3383168369021</v>
      </c>
      <c r="AR756">
        <v>156.03207389600561</v>
      </c>
      <c r="AS756">
        <v>1536.4694870014612</v>
      </c>
      <c r="AT756">
        <v>78.214055684679934</v>
      </c>
      <c r="AU756">
        <v>205.12214862634417</v>
      </c>
      <c r="AV756"/>
      <c r="AW756"/>
      <c r="FY756" s="211">
        <v>751</v>
      </c>
      <c r="FZ756">
        <v>121.92762604005659</v>
      </c>
      <c r="GA756">
        <v>198.98619245099911</v>
      </c>
      <c r="GB756">
        <v>59.847383923265767</v>
      </c>
      <c r="GC756">
        <v>33.368394964034643</v>
      </c>
      <c r="GD756">
        <v>22.876143978377783</v>
      </c>
      <c r="GE756">
        <v>45.828534873429668</v>
      </c>
      <c r="GF756">
        <v>97.523052524354327</v>
      </c>
      <c r="GG756">
        <v>41.226575232444908</v>
      </c>
      <c r="GH756">
        <v>23.873876869681332</v>
      </c>
      <c r="GI756">
        <v>73.288370756545163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281.97696134144127</v>
      </c>
      <c r="AO757">
        <v>144.23896712921609</v>
      </c>
      <c r="AP757">
        <v>655.62130439656141</v>
      </c>
      <c r="AQ757">
        <v>823.0962111939308</v>
      </c>
      <c r="AR757">
        <v>136.34160611244047</v>
      </c>
      <c r="AS757">
        <v>1315.5497000903508</v>
      </c>
      <c r="AT757">
        <v>75.327776218441429</v>
      </c>
      <c r="AU757">
        <v>88.953408313677613</v>
      </c>
      <c r="AV757"/>
      <c r="AW757"/>
      <c r="FY757" s="211">
        <v>752</v>
      </c>
      <c r="FZ757">
        <v>160.67914177338909</v>
      </c>
      <c r="GA757">
        <v>184.07713006542792</v>
      </c>
      <c r="GB757">
        <v>48.054300360689055</v>
      </c>
      <c r="GC757">
        <v>42.495564329547221</v>
      </c>
      <c r="GD757">
        <v>43.891284064091309</v>
      </c>
      <c r="GE757">
        <v>60.86402760581899</v>
      </c>
      <c r="GF757">
        <v>39.289130876993433</v>
      </c>
      <c r="GG757">
        <v>71.106735369112599</v>
      </c>
      <c r="GH757">
        <v>113.84427031251388</v>
      </c>
      <c r="GI757">
        <v>91.816739110263214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238.79927248489147</v>
      </c>
      <c r="AO758">
        <v>136.76108321824222</v>
      </c>
      <c r="AP758">
        <v>559.24703306565254</v>
      </c>
      <c r="AQ758">
        <v>785.15446748043632</v>
      </c>
      <c r="AR758">
        <v>130.88018547084468</v>
      </c>
      <c r="AS758">
        <v>1350.0347069305435</v>
      </c>
      <c r="AT758">
        <v>68.860070518281418</v>
      </c>
      <c r="AU758">
        <v>31.092337889300047</v>
      </c>
      <c r="AV758"/>
      <c r="AW758"/>
      <c r="FY758" s="211">
        <v>753</v>
      </c>
      <c r="FZ758">
        <v>120.8450920468098</v>
      </c>
      <c r="GA758">
        <v>148.18000184211451</v>
      </c>
      <c r="GB758">
        <v>59.251929786050042</v>
      </c>
      <c r="GC758">
        <v>50.752809366526051</v>
      </c>
      <c r="GD758">
        <v>40.68176978956533</v>
      </c>
      <c r="GE758">
        <v>71.959541834550066</v>
      </c>
      <c r="GF758">
        <v>92.587026815570496</v>
      </c>
      <c r="GG758">
        <v>76.392321633649928</v>
      </c>
      <c r="GH758">
        <v>84.728132107901629</v>
      </c>
      <c r="GI758">
        <v>94.685697746424793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240.88912013946288</v>
      </c>
      <c r="AO759">
        <v>119.37888082072723</v>
      </c>
      <c r="AP759">
        <v>503.91389223837371</v>
      </c>
      <c r="AQ759">
        <v>677.28331998365843</v>
      </c>
      <c r="AR759">
        <v>113.79917359465489</v>
      </c>
      <c r="AS759">
        <v>1181.4524752183042</v>
      </c>
      <c r="AT759">
        <v>60.874610583001889</v>
      </c>
      <c r="AU759">
        <v>1.0272088602128875</v>
      </c>
      <c r="AV759"/>
      <c r="AW759"/>
      <c r="FY759" s="211">
        <v>754</v>
      </c>
      <c r="FZ759">
        <v>109.40060534805622</v>
      </c>
      <c r="GA759">
        <v>109.35595624924559</v>
      </c>
      <c r="GB759">
        <v>42.664833334995286</v>
      </c>
      <c r="GC759">
        <v>39.413807581479524</v>
      </c>
      <c r="GD759">
        <v>27.353853470422116</v>
      </c>
      <c r="GE759">
        <v>67.411854962752912</v>
      </c>
      <c r="GF759">
        <v>107.14628077593959</v>
      </c>
      <c r="GG759">
        <v>62.304035126464896</v>
      </c>
      <c r="GH759">
        <v>63.918721790571908</v>
      </c>
      <c r="GI759">
        <v>79.80881287218395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255.95467647407955</v>
      </c>
      <c r="AO760">
        <v>144.0567461122813</v>
      </c>
      <c r="AP760">
        <v>656.37606584456103</v>
      </c>
      <c r="AQ760">
        <v>806.28352941755304</v>
      </c>
      <c r="AR760">
        <v>135.81161577574508</v>
      </c>
      <c r="AS760">
        <v>1401.2904410926719</v>
      </c>
      <c r="AT760">
        <v>70.216531331038382</v>
      </c>
      <c r="AU760">
        <v>369.53047545742646</v>
      </c>
      <c r="AV760"/>
      <c r="AW760"/>
      <c r="FY760" s="211">
        <v>755</v>
      </c>
      <c r="FZ760">
        <v>102.68319637879659</v>
      </c>
      <c r="GA760">
        <v>190.51760174413758</v>
      </c>
      <c r="GB760">
        <v>72.417197900592086</v>
      </c>
      <c r="GC760">
        <v>39.566301597937581</v>
      </c>
      <c r="GD760">
        <v>37.500137090187224</v>
      </c>
      <c r="GE760">
        <v>81.863857171140978</v>
      </c>
      <c r="GF760">
        <v>127.35240447231929</v>
      </c>
      <c r="GG760">
        <v>97.903644440927636</v>
      </c>
      <c r="GH760">
        <v>85.96618259569081</v>
      </c>
      <c r="GI760">
        <v>102.3992155404666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203.89893109191206</v>
      </c>
      <c r="AO761">
        <v>115.17515995660187</v>
      </c>
      <c r="AP761">
        <v>403.5545796004526</v>
      </c>
      <c r="AQ761">
        <v>610.39708892768112</v>
      </c>
      <c r="AR761">
        <v>107.82552195828785</v>
      </c>
      <c r="AS761">
        <v>1150.6856085895545</v>
      </c>
      <c r="AT761">
        <v>55.016347055805262</v>
      </c>
      <c r="AU761">
        <v>39.705533076719362</v>
      </c>
      <c r="AV761"/>
      <c r="AW761"/>
      <c r="FY761" s="211">
        <v>756</v>
      </c>
      <c r="FZ761">
        <v>126.55121168621056</v>
      </c>
      <c r="GA761">
        <v>158.87099227808559</v>
      </c>
      <c r="GB761">
        <v>43.997671170757179</v>
      </c>
      <c r="GC761">
        <v>35.605304366534732</v>
      </c>
      <c r="GD761">
        <v>29.919137118709383</v>
      </c>
      <c r="GE761">
        <v>59.44341068302046</v>
      </c>
      <c r="GF761">
        <v>63.576020337735237</v>
      </c>
      <c r="GG761">
        <v>30.933378133074477</v>
      </c>
      <c r="GH761">
        <v>51.825000241011566</v>
      </c>
      <c r="GI761">
        <v>72.31212190183065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300.32605908206455</v>
      </c>
      <c r="AO762">
        <v>170.78208168822033</v>
      </c>
      <c r="AP762">
        <v>846.07108437793465</v>
      </c>
      <c r="AQ762">
        <v>920.17882865311492</v>
      </c>
      <c r="AR762">
        <v>160.89114927278223</v>
      </c>
      <c r="AS762">
        <v>1645.0547997774249</v>
      </c>
      <c r="AT762">
        <v>86.675629743301883</v>
      </c>
      <c r="AU762">
        <v>372.21637196319858</v>
      </c>
      <c r="AV762"/>
      <c r="AW762"/>
      <c r="FY762" s="211">
        <v>757</v>
      </c>
      <c r="FZ762">
        <v>132.25791347195505</v>
      </c>
      <c r="GA762">
        <v>184.9571574168427</v>
      </c>
      <c r="GB762">
        <v>64.686302564339869</v>
      </c>
      <c r="GC762">
        <v>43.764041503410631</v>
      </c>
      <c r="GD762">
        <v>41.791578769633155</v>
      </c>
      <c r="GE762">
        <v>55.833725968258086</v>
      </c>
      <c r="GF762">
        <v>88.17535023218656</v>
      </c>
      <c r="GG762">
        <v>121.96810202564977</v>
      </c>
      <c r="GH762">
        <v>102.84110057547947</v>
      </c>
      <c r="GI762">
        <v>100.42719338975928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260.22988026477566</v>
      </c>
      <c r="AO763">
        <v>116.31850613243202</v>
      </c>
      <c r="AP763">
        <v>379.94448695962797</v>
      </c>
      <c r="AQ763">
        <v>640.263934833191</v>
      </c>
      <c r="AR763">
        <v>112.99586465852889</v>
      </c>
      <c r="AS763">
        <v>1153.3628207950642</v>
      </c>
      <c r="AT763">
        <v>54.981229701612563</v>
      </c>
      <c r="AU763">
        <v>6.6749272721743935</v>
      </c>
      <c r="AV763"/>
      <c r="AW763"/>
      <c r="FY763" s="211">
        <v>758</v>
      </c>
      <c r="FZ763">
        <v>119.63443953240795</v>
      </c>
      <c r="GA763">
        <v>155.27041222059862</v>
      </c>
      <c r="GB763">
        <v>44.084848294177014</v>
      </c>
      <c r="GC763">
        <v>45.547746777862407</v>
      </c>
      <c r="GD763">
        <v>53.475848767889467</v>
      </c>
      <c r="GE763">
        <v>75.241298539714094</v>
      </c>
      <c r="GF763">
        <v>65.378989854556963</v>
      </c>
      <c r="GG763">
        <v>49.947719085087236</v>
      </c>
      <c r="GH763">
        <v>30.263183059775837</v>
      </c>
      <c r="GI763">
        <v>83.186705644318124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279.22637760895077</v>
      </c>
      <c r="AO764">
        <v>150.91270430037466</v>
      </c>
      <c r="AP764">
        <v>692.5791251781144</v>
      </c>
      <c r="AQ764">
        <v>817.73141810160246</v>
      </c>
      <c r="AR764">
        <v>142.28100407467653</v>
      </c>
      <c r="AS764">
        <v>1481.313781702979</v>
      </c>
      <c r="AT764">
        <v>70.829942584056838</v>
      </c>
      <c r="AU764">
        <v>226.55511803692144</v>
      </c>
      <c r="AV764"/>
      <c r="AW764"/>
      <c r="FY764" s="211">
        <v>759</v>
      </c>
      <c r="FZ764">
        <v>127.0359969051749</v>
      </c>
      <c r="GA764">
        <v>146.84311194727337</v>
      </c>
      <c r="GB764">
        <v>49.484294011296768</v>
      </c>
      <c r="GC764">
        <v>41.437269519722008</v>
      </c>
      <c r="GD764">
        <v>24.801872294849918</v>
      </c>
      <c r="GE764">
        <v>88.625451708950408</v>
      </c>
      <c r="GF764">
        <v>162.07782567738104</v>
      </c>
      <c r="GG764">
        <v>77.192744657245655</v>
      </c>
      <c r="GH764">
        <v>86.963613756826462</v>
      </c>
      <c r="GI764">
        <v>99.313356940898501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288.33980836191313</v>
      </c>
      <c r="AO765">
        <v>165.0073937194548</v>
      </c>
      <c r="AP765">
        <v>718.77352357831285</v>
      </c>
      <c r="AQ765">
        <v>898.28703901489996</v>
      </c>
      <c r="AR765">
        <v>155.5046809862562</v>
      </c>
      <c r="AS765">
        <v>1591.5149520526354</v>
      </c>
      <c r="AT765">
        <v>78.428426517228843</v>
      </c>
      <c r="AU765">
        <v>129.99196028721821</v>
      </c>
      <c r="AV765"/>
      <c r="AW765"/>
      <c r="FY765" s="211">
        <v>760</v>
      </c>
      <c r="FZ765">
        <v>159.09601864403672</v>
      </c>
      <c r="GA765">
        <v>174.66916919194003</v>
      </c>
      <c r="GB765">
        <v>48.340231531350028</v>
      </c>
      <c r="GC765">
        <v>35.766442324907267</v>
      </c>
      <c r="GD765">
        <v>41.283195233115741</v>
      </c>
      <c r="GE765">
        <v>80.086831234221194</v>
      </c>
      <c r="GF765">
        <v>104.20717423784325</v>
      </c>
      <c r="GG765">
        <v>115.47653524088553</v>
      </c>
      <c r="GH765">
        <v>96.761723842154197</v>
      </c>
      <c r="GI765">
        <v>102.24590850213644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356.05411933539744</v>
      </c>
      <c r="AO766">
        <v>170.80485085649832</v>
      </c>
      <c r="AP766">
        <v>482.36122647630879</v>
      </c>
      <c r="AQ766">
        <v>946.94360960040535</v>
      </c>
      <c r="AR766">
        <v>162.10247841345659</v>
      </c>
      <c r="AS766">
        <v>1704.2715234645691</v>
      </c>
      <c r="AT766">
        <v>78.173100273407115</v>
      </c>
      <c r="AU766">
        <v>64.836666654058874</v>
      </c>
      <c r="AV766"/>
      <c r="AW766"/>
      <c r="FY766" s="211">
        <v>761</v>
      </c>
      <c r="FZ766">
        <v>94.662107050591402</v>
      </c>
      <c r="GA766">
        <v>141.47844757064453</v>
      </c>
      <c r="GB766">
        <v>38.731697275806958</v>
      </c>
      <c r="GC766">
        <v>43.602669652346293</v>
      </c>
      <c r="GD766">
        <v>37.236819013561544</v>
      </c>
      <c r="GE766">
        <v>72.487275407576973</v>
      </c>
      <c r="GF766">
        <v>95.428662582259236</v>
      </c>
      <c r="GG766">
        <v>59.782465446508901</v>
      </c>
      <c r="GH766">
        <v>99.131890137336725</v>
      </c>
      <c r="GI766">
        <v>86.955603364714094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231.14959632135501</v>
      </c>
      <c r="AO767">
        <v>115.71218920859883</v>
      </c>
      <c r="AP767">
        <v>482.21025323206391</v>
      </c>
      <c r="AQ767">
        <v>718.74615161318934</v>
      </c>
      <c r="AR767">
        <v>109.84275161532923</v>
      </c>
      <c r="AS767">
        <v>1145.9233816909652</v>
      </c>
      <c r="AT767">
        <v>53.74886813633691</v>
      </c>
      <c r="AU767">
        <v>-50.48427487077214</v>
      </c>
      <c r="AV767"/>
      <c r="AW767"/>
      <c r="FY767" s="211">
        <v>762</v>
      </c>
      <c r="FZ767">
        <v>110.63263552812573</v>
      </c>
      <c r="GA767">
        <v>117.3417414580787</v>
      </c>
      <c r="GB767">
        <v>41.263445669413706</v>
      </c>
      <c r="GC767">
        <v>49.93010799334931</v>
      </c>
      <c r="GD767">
        <v>46.551071136524833</v>
      </c>
      <c r="GE767">
        <v>83.484910010493124</v>
      </c>
      <c r="GF767">
        <v>141.2180871537004</v>
      </c>
      <c r="GG767">
        <v>101.99766596854069</v>
      </c>
      <c r="GH767">
        <v>63.24115151444412</v>
      </c>
      <c r="GI767">
        <v>99.242568381687192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271.76766307982524</v>
      </c>
      <c r="AO768">
        <v>143.76116079304126</v>
      </c>
      <c r="AP768">
        <v>775.393034603807</v>
      </c>
      <c r="AQ768">
        <v>856.11832386784693</v>
      </c>
      <c r="AR768">
        <v>137.74145902903541</v>
      </c>
      <c r="AS768">
        <v>1504.7379688048136</v>
      </c>
      <c r="AT768">
        <v>77.360284838372806</v>
      </c>
      <c r="AU768">
        <v>243.63855471321514</v>
      </c>
      <c r="AV768"/>
      <c r="AW768"/>
      <c r="FY768" s="211">
        <v>763</v>
      </c>
      <c r="FZ768">
        <v>110.82438768392021</v>
      </c>
      <c r="GA768">
        <v>117.34952257895695</v>
      </c>
      <c r="GB768">
        <v>39.920733954328576</v>
      </c>
      <c r="GC768">
        <v>44.662025047932175</v>
      </c>
      <c r="GD768">
        <v>45.23837793524482</v>
      </c>
      <c r="GE768">
        <v>95.163595931386695</v>
      </c>
      <c r="GF768">
        <v>114.08138007933046</v>
      </c>
      <c r="GG768">
        <v>59.408684618574711</v>
      </c>
      <c r="GH768">
        <v>64.389702519759396</v>
      </c>
      <c r="GI768">
        <v>92.712991324970247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268.21202219711734</v>
      </c>
      <c r="AO769">
        <v>152.22226925258661</v>
      </c>
      <c r="AP769">
        <v>636.5474958757959</v>
      </c>
      <c r="AQ769">
        <v>840.06432296916262</v>
      </c>
      <c r="AR769">
        <v>143.12676352206563</v>
      </c>
      <c r="AS769">
        <v>1379.8252528483181</v>
      </c>
      <c r="AT769">
        <v>71.858199672815502</v>
      </c>
      <c r="AU769">
        <v>131.95946063440161</v>
      </c>
      <c r="AV769"/>
      <c r="AW769"/>
      <c r="FY769" s="211">
        <v>764</v>
      </c>
      <c r="FZ769">
        <v>116.69996575901547</v>
      </c>
      <c r="GA769">
        <v>152.0201628143445</v>
      </c>
      <c r="GB769">
        <v>52.719616958753505</v>
      </c>
      <c r="GC769">
        <v>43.122052917392502</v>
      </c>
      <c r="GD769">
        <v>39.756954335855532</v>
      </c>
      <c r="GE769">
        <v>70.37574763308244</v>
      </c>
      <c r="GF769">
        <v>65.254858210223162</v>
      </c>
      <c r="GG769">
        <v>60.326460874394037</v>
      </c>
      <c r="GH769">
        <v>81.742935870423679</v>
      </c>
      <c r="GI769">
        <v>84.968026057383369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211.75506344713753</v>
      </c>
      <c r="AO770">
        <v>126.88700485919166</v>
      </c>
      <c r="AP770">
        <v>654.40479546816641</v>
      </c>
      <c r="AQ770">
        <v>708.77876151211206</v>
      </c>
      <c r="AR770">
        <v>120.08687755923864</v>
      </c>
      <c r="AS770">
        <v>1253.5284060446525</v>
      </c>
      <c r="AT770">
        <v>68.419085789552213</v>
      </c>
      <c r="AU770">
        <v>240.43607517262535</v>
      </c>
      <c r="AV770"/>
      <c r="AW770"/>
      <c r="FY770" s="211">
        <v>765</v>
      </c>
      <c r="FZ770">
        <v>91.853134497780445</v>
      </c>
      <c r="GA770">
        <v>136.82464155050633</v>
      </c>
      <c r="GB770">
        <v>59.774081606726064</v>
      </c>
      <c r="GC770">
        <v>40.72918626795061</v>
      </c>
      <c r="GD770">
        <v>41.565004609216778</v>
      </c>
      <c r="GE770">
        <v>88.606101592888209</v>
      </c>
      <c r="GF770">
        <v>107.71427192786696</v>
      </c>
      <c r="GG770">
        <v>91.933534002200346</v>
      </c>
      <c r="GH770">
        <v>111.7160934262637</v>
      </c>
      <c r="GI770">
        <v>98.679214807778592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285.3156442052815</v>
      </c>
      <c r="AO771">
        <v>168.42326557102774</v>
      </c>
      <c r="AP771">
        <v>760.65317563686335</v>
      </c>
      <c r="AQ771">
        <v>938.16973893219642</v>
      </c>
      <c r="AR771">
        <v>156.77977657739092</v>
      </c>
      <c r="AS771">
        <v>1643.1409817306758</v>
      </c>
      <c r="AT771">
        <v>76.202929759329606</v>
      </c>
      <c r="AU771">
        <v>178.81858959988767</v>
      </c>
      <c r="AV771"/>
      <c r="AW771"/>
      <c r="FY771" s="211">
        <v>766</v>
      </c>
      <c r="FZ771">
        <v>127.99069611912773</v>
      </c>
      <c r="GA771">
        <v>137.03813080874565</v>
      </c>
      <c r="GB771">
        <v>40.03868973601481</v>
      </c>
      <c r="GC771">
        <v>40.438132700480949</v>
      </c>
      <c r="GD771">
        <v>37.717025231317123</v>
      </c>
      <c r="GE771">
        <v>53.981327806264673</v>
      </c>
      <c r="GF771">
        <v>105.66064946802256</v>
      </c>
      <c r="GG771">
        <v>107.80001587741221</v>
      </c>
      <c r="GH771">
        <v>86.228341998167821</v>
      </c>
      <c r="GI771">
        <v>92.024143213969836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204.48747726533622</v>
      </c>
      <c r="AO772">
        <v>116.08975423872816</v>
      </c>
      <c r="AP772">
        <v>437.23531639073565</v>
      </c>
      <c r="AQ772">
        <v>673.03424791696989</v>
      </c>
      <c r="AR772">
        <v>109.64417514860355</v>
      </c>
      <c r="AS772">
        <v>986.20809272983001</v>
      </c>
      <c r="AT772">
        <v>59.156810972213833</v>
      </c>
      <c r="AU772">
        <v>111.92953875085723</v>
      </c>
      <c r="AV772"/>
      <c r="AW772"/>
      <c r="FY772" s="211">
        <v>767</v>
      </c>
      <c r="FZ772">
        <v>130.53154753448894</v>
      </c>
      <c r="GA772">
        <v>140.91093171511804</v>
      </c>
      <c r="GB772">
        <v>40.87292793229939</v>
      </c>
      <c r="GC772">
        <v>34.91036129020133</v>
      </c>
      <c r="GD772">
        <v>32.483096818165407</v>
      </c>
      <c r="GE772">
        <v>67.811085475553512</v>
      </c>
      <c r="GF772">
        <v>111.3969157970072</v>
      </c>
      <c r="GG772">
        <v>68.770061905638471</v>
      </c>
      <c r="GH772">
        <v>51.719131857438654</v>
      </c>
      <c r="GI772">
        <v>83.884278627267236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282.78299301312779</v>
      </c>
      <c r="AO773">
        <v>162.66915233755674</v>
      </c>
      <c r="AP773">
        <v>643.58681688031766</v>
      </c>
      <c r="AQ773">
        <v>936.70246591751459</v>
      </c>
      <c r="AR773">
        <v>153.22143744321917</v>
      </c>
      <c r="AS773">
        <v>1518.3516570938864</v>
      </c>
      <c r="AT773">
        <v>76.866039113820122</v>
      </c>
      <c r="AU773">
        <v>283.42431446428316</v>
      </c>
      <c r="AV773"/>
      <c r="AW773"/>
      <c r="FY773" s="211">
        <v>768</v>
      </c>
      <c r="FZ773">
        <v>105.3947984548233</v>
      </c>
      <c r="GA773">
        <v>145.12345188146958</v>
      </c>
      <c r="GB773">
        <v>54.534475729104777</v>
      </c>
      <c r="GC773">
        <v>44.912222961232487</v>
      </c>
      <c r="GD773">
        <v>34.67232823338604</v>
      </c>
      <c r="GE773">
        <v>63.412198054883611</v>
      </c>
      <c r="GF773">
        <v>103.99373639001625</v>
      </c>
      <c r="GG773">
        <v>81.671972124208608</v>
      </c>
      <c r="GH773">
        <v>82.838364064195048</v>
      </c>
      <c r="GI773">
        <v>90.318335447566128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255.63466918926025</v>
      </c>
      <c r="AO774">
        <v>133.11408071395618</v>
      </c>
      <c r="AP774">
        <v>568.28619544537685</v>
      </c>
      <c r="AQ774">
        <v>722.03119177638769</v>
      </c>
      <c r="AR774">
        <v>123.88720142513287</v>
      </c>
      <c r="AS774">
        <v>1289.0990815274895</v>
      </c>
      <c r="AT774">
        <v>62.042852440538518</v>
      </c>
      <c r="AU774">
        <v>298.94104895723723</v>
      </c>
      <c r="AV774"/>
      <c r="AW774"/>
      <c r="FY774" s="211">
        <v>769</v>
      </c>
      <c r="FZ774">
        <v>139.14987017445526</v>
      </c>
      <c r="GA774">
        <v>183.49467058711605</v>
      </c>
      <c r="GB774">
        <v>62.99521763744599</v>
      </c>
      <c r="GC774">
        <v>54.129955915001389</v>
      </c>
      <c r="GD774">
        <v>39.944636684790851</v>
      </c>
      <c r="GE774">
        <v>71.070045903837013</v>
      </c>
      <c r="GF774">
        <v>137.51219670192862</v>
      </c>
      <c r="GG774">
        <v>109.76205639326103</v>
      </c>
      <c r="GH774">
        <v>93.64002450715887</v>
      </c>
      <c r="GI774">
        <v>110.13950107742779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255.72036662261399</v>
      </c>
      <c r="AO775">
        <v>162.1104355835277</v>
      </c>
      <c r="AP775">
        <v>940.92770832793724</v>
      </c>
      <c r="AQ775">
        <v>903.77553741961901</v>
      </c>
      <c r="AR775">
        <v>152.26999207102565</v>
      </c>
      <c r="AS775">
        <v>1380.2034218537383</v>
      </c>
      <c r="AT775">
        <v>80.788648676346583</v>
      </c>
      <c r="AU775">
        <v>167.40153242321156</v>
      </c>
      <c r="AV775"/>
      <c r="AW775"/>
      <c r="FY775" s="211">
        <v>770</v>
      </c>
      <c r="FZ775">
        <v>107.79126078095908</v>
      </c>
      <c r="GA775">
        <v>145.24195906500344</v>
      </c>
      <c r="GB775">
        <v>55.953047189624669</v>
      </c>
      <c r="GC775">
        <v>41.102424832084957</v>
      </c>
      <c r="GD775">
        <v>38.3048233197418</v>
      </c>
      <c r="GE775">
        <v>72.512185969978205</v>
      </c>
      <c r="GF775">
        <v>94.480579818276951</v>
      </c>
      <c r="GG775">
        <v>78.826776628410968</v>
      </c>
      <c r="GH775">
        <v>91.117611214941192</v>
      </c>
      <c r="GI775">
        <v>92.666675807241262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280.10542623822431</v>
      </c>
      <c r="AO776">
        <v>165.55374276672981</v>
      </c>
      <c r="AP776">
        <v>671.38901764666741</v>
      </c>
      <c r="AQ776">
        <v>957.93322998259032</v>
      </c>
      <c r="AR776">
        <v>155.63026715222853</v>
      </c>
      <c r="AS776">
        <v>1524.1403546641707</v>
      </c>
      <c r="AT776">
        <v>79.731002716376352</v>
      </c>
      <c r="AU776">
        <v>438.74051566079032</v>
      </c>
      <c r="AV776"/>
      <c r="AW776"/>
      <c r="FY776" s="211">
        <v>771</v>
      </c>
      <c r="FZ776">
        <v>141.28515803900433</v>
      </c>
      <c r="GA776">
        <v>187.19090272765123</v>
      </c>
      <c r="GB776">
        <v>45.482236877448443</v>
      </c>
      <c r="GC776">
        <v>40.553857815209433</v>
      </c>
      <c r="GD776">
        <v>54.194457266635709</v>
      </c>
      <c r="GE776">
        <v>82.625786467234079</v>
      </c>
      <c r="GF776">
        <v>67.634694506067333</v>
      </c>
      <c r="GG776">
        <v>44.593168454152455</v>
      </c>
      <c r="GH776">
        <v>39.885607102958168</v>
      </c>
      <c r="GI776">
        <v>89.339922352774181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187.83754268384217</v>
      </c>
      <c r="AO777">
        <v>141.33611450901668</v>
      </c>
      <c r="AP777">
        <v>579.06818357629845</v>
      </c>
      <c r="AQ777">
        <v>769.49763750134673</v>
      </c>
      <c r="AR777">
        <v>132.61943453425323</v>
      </c>
      <c r="AS777">
        <v>1103.6140362168876</v>
      </c>
      <c r="AT777">
        <v>71.993756513252436</v>
      </c>
      <c r="AU777">
        <v>-22.688152356129461</v>
      </c>
      <c r="AV777"/>
      <c r="AW777"/>
      <c r="FY777" s="211">
        <v>772</v>
      </c>
      <c r="FZ777">
        <v>130.74638242288057</v>
      </c>
      <c r="GA777">
        <v>161.260843581735</v>
      </c>
      <c r="GB777">
        <v>66.424460740374641</v>
      </c>
      <c r="GC777">
        <v>48.214901590166598</v>
      </c>
      <c r="GD777">
        <v>41.908320873653999</v>
      </c>
      <c r="GE777">
        <v>54.649392277412758</v>
      </c>
      <c r="GF777">
        <v>59.153749036383303</v>
      </c>
      <c r="GG777">
        <v>64.60856499912947</v>
      </c>
      <c r="GH777">
        <v>57.123965217961839</v>
      </c>
      <c r="GI777">
        <v>86.020930965945311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270.66543828231852</v>
      </c>
      <c r="AO778">
        <v>158.8525631850348</v>
      </c>
      <c r="AP778">
        <v>677.02469020751357</v>
      </c>
      <c r="AQ778">
        <v>854.90338481435788</v>
      </c>
      <c r="AR778">
        <v>149.2254311588471</v>
      </c>
      <c r="AS778">
        <v>1612.272612153736</v>
      </c>
      <c r="AT778">
        <v>76.149926946675194</v>
      </c>
      <c r="AU778">
        <v>307.07991369455306</v>
      </c>
      <c r="AV778"/>
      <c r="AW778"/>
      <c r="FY778" s="211">
        <v>773</v>
      </c>
      <c r="FZ778">
        <v>122.03680093988127</v>
      </c>
      <c r="GA778">
        <v>167.40605011066978</v>
      </c>
      <c r="GB778">
        <v>64.647832905467411</v>
      </c>
      <c r="GC778">
        <v>48.486048732520345</v>
      </c>
      <c r="GD778">
        <v>30.090395961705845</v>
      </c>
      <c r="GE778">
        <v>37.277944712000554</v>
      </c>
      <c r="GF778">
        <v>52.465796817772109</v>
      </c>
      <c r="GG778">
        <v>28.475866967782935</v>
      </c>
      <c r="GH778">
        <v>37.494925814083331</v>
      </c>
      <c r="GI778">
        <v>72.636701941605196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236.47857858075849</v>
      </c>
      <c r="AO779">
        <v>147.49565087364351</v>
      </c>
      <c r="AP779">
        <v>739.6196473651612</v>
      </c>
      <c r="AQ779">
        <v>783.75140167440418</v>
      </c>
      <c r="AR779">
        <v>139.31357285776571</v>
      </c>
      <c r="AS779">
        <v>1452.9166523150116</v>
      </c>
      <c r="AT779">
        <v>76.891162672002608</v>
      </c>
      <c r="AU779">
        <v>229.15093901498037</v>
      </c>
      <c r="AV779"/>
      <c r="AW779"/>
      <c r="FY779" s="211">
        <v>774</v>
      </c>
      <c r="FZ779">
        <v>112.4264052853032</v>
      </c>
      <c r="GA779">
        <v>156.30178836802128</v>
      </c>
      <c r="GB779">
        <v>51.02344580246249</v>
      </c>
      <c r="GC779">
        <v>51.404565306568315</v>
      </c>
      <c r="GD779">
        <v>39.563518665729767</v>
      </c>
      <c r="GE779">
        <v>64.699533944307973</v>
      </c>
      <c r="GF779">
        <v>98.720373120603043</v>
      </c>
      <c r="GG779">
        <v>62.518778742917021</v>
      </c>
      <c r="GH779">
        <v>62.267048678428708</v>
      </c>
      <c r="GI779">
        <v>88.991735817809456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233.6797017373971</v>
      </c>
      <c r="AO780">
        <v>136.53476278530746</v>
      </c>
      <c r="AP780">
        <v>656.58122437448628</v>
      </c>
      <c r="AQ780">
        <v>766.98678143086806</v>
      </c>
      <c r="AR780">
        <v>127.87012874511603</v>
      </c>
      <c r="AS780">
        <v>1365.4630908689342</v>
      </c>
      <c r="AT780">
        <v>72.275815365621341</v>
      </c>
      <c r="AU780">
        <v>214.08593938287382</v>
      </c>
      <c r="AV780"/>
      <c r="AW780"/>
      <c r="FY780" s="211">
        <v>775</v>
      </c>
      <c r="FZ780">
        <v>94.181742281365487</v>
      </c>
      <c r="GA780">
        <v>140.60893275985683</v>
      </c>
      <c r="GB780">
        <v>61.155178289847115</v>
      </c>
      <c r="GC780">
        <v>45.904703103744843</v>
      </c>
      <c r="GD780">
        <v>41.154264702917331</v>
      </c>
      <c r="GE780">
        <v>67.168958941618186</v>
      </c>
      <c r="GF780">
        <v>64.871477907481037</v>
      </c>
      <c r="GG780">
        <v>34.860676666387</v>
      </c>
      <c r="GH780">
        <v>38.489725992299718</v>
      </c>
      <c r="GI780">
        <v>77.921832281139459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284.27869339246126</v>
      </c>
      <c r="AO781">
        <v>158.94522031029203</v>
      </c>
      <c r="AP781">
        <v>652.18412056643342</v>
      </c>
      <c r="AQ781">
        <v>869.39526428917804</v>
      </c>
      <c r="AR781">
        <v>149.9684829112671</v>
      </c>
      <c r="AS781">
        <v>1390.092472686872</v>
      </c>
      <c r="AT781">
        <v>76.69401605912536</v>
      </c>
      <c r="AU781">
        <v>-27.628462711792054</v>
      </c>
      <c r="AV781"/>
      <c r="AW781"/>
      <c r="FY781" s="211">
        <v>776</v>
      </c>
      <c r="FZ781">
        <v>106.25955793395612</v>
      </c>
      <c r="GA781">
        <v>135.95995400011287</v>
      </c>
      <c r="GB781">
        <v>51.413657480818003</v>
      </c>
      <c r="GC781">
        <v>50.352934364004078</v>
      </c>
      <c r="GD781">
        <v>33.22939198176018</v>
      </c>
      <c r="GE781">
        <v>38.860869796466908</v>
      </c>
      <c r="GF781">
        <v>74.759679192294215</v>
      </c>
      <c r="GG781">
        <v>38.669342127885507</v>
      </c>
      <c r="GH781">
        <v>17.191356839660415</v>
      </c>
      <c r="GI781">
        <v>69.743800789369999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250.95711901742652</v>
      </c>
      <c r="AO782">
        <v>146.88299092460792</v>
      </c>
      <c r="AP782">
        <v>729.30419882044362</v>
      </c>
      <c r="AQ782">
        <v>828.91715295952338</v>
      </c>
      <c r="AR782">
        <v>140.22788527292767</v>
      </c>
      <c r="AS782">
        <v>1418.524250258477</v>
      </c>
      <c r="AT782">
        <v>74.962134789357663</v>
      </c>
      <c r="AU782">
        <v>296.94095741141734</v>
      </c>
      <c r="AV782"/>
      <c r="AW782"/>
      <c r="FY782" s="211">
        <v>777</v>
      </c>
      <c r="FZ782">
        <v>101.06031898944271</v>
      </c>
      <c r="GA782">
        <v>150.0450398901215</v>
      </c>
      <c r="GB782">
        <v>53.346910935803088</v>
      </c>
      <c r="GC782">
        <v>39.694334130517319</v>
      </c>
      <c r="GD782">
        <v>32.4742618395534</v>
      </c>
      <c r="GE782">
        <v>85.506957095666678</v>
      </c>
      <c r="GF782">
        <v>121.00364629237698</v>
      </c>
      <c r="GG782">
        <v>72.022871629791879</v>
      </c>
      <c r="GH782">
        <v>89.943035408669061</v>
      </c>
      <c r="GI782">
        <v>92.691067114910723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243.94160997656763</v>
      </c>
      <c r="AO783">
        <v>131.31118888000867</v>
      </c>
      <c r="AP783">
        <v>604.37213080107392</v>
      </c>
      <c r="AQ783">
        <v>763.29033895317821</v>
      </c>
      <c r="AR783">
        <v>125.58273271559719</v>
      </c>
      <c r="AS783">
        <v>1382.8540271969582</v>
      </c>
      <c r="AT783">
        <v>65.097972923401343</v>
      </c>
      <c r="AU783">
        <v>261.34285960385932</v>
      </c>
      <c r="AV783"/>
      <c r="AW783"/>
      <c r="FY783" s="211">
        <v>778</v>
      </c>
      <c r="FZ783">
        <v>98.044046715239858</v>
      </c>
      <c r="GA783">
        <v>136.26318451284772</v>
      </c>
      <c r="GB783">
        <v>38.310839811626892</v>
      </c>
      <c r="GC783">
        <v>37.344508752611361</v>
      </c>
      <c r="GD783">
        <v>49.283777775756697</v>
      </c>
      <c r="GE783">
        <v>104.81536863517974</v>
      </c>
      <c r="GF783">
        <v>100.12321094011371</v>
      </c>
      <c r="GG783">
        <v>112.6817420847873</v>
      </c>
      <c r="GH783">
        <v>158.13047619199745</v>
      </c>
      <c r="GI783">
        <v>105.75886316517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238.39001168546392</v>
      </c>
      <c r="AO784">
        <v>147.26097786178181</v>
      </c>
      <c r="AP784">
        <v>612.3312493175614</v>
      </c>
      <c r="AQ784">
        <v>806.87188334088592</v>
      </c>
      <c r="AR784">
        <v>138.07776081868133</v>
      </c>
      <c r="AS784">
        <v>1295.1431879493887</v>
      </c>
      <c r="AT784">
        <v>73.468418968462387</v>
      </c>
      <c r="AU784">
        <v>161.57527182682594</v>
      </c>
      <c r="AV784"/>
      <c r="AW784"/>
      <c r="FY784" s="211">
        <v>779</v>
      </c>
      <c r="FZ784">
        <v>131.90499724321796</v>
      </c>
      <c r="GA784">
        <v>162.75849788544869</v>
      </c>
      <c r="GB784">
        <v>57.020630681077378</v>
      </c>
      <c r="GC784">
        <v>44.926350896950339</v>
      </c>
      <c r="GD784">
        <v>21.983553058105549</v>
      </c>
      <c r="GE784">
        <v>11.604365285023693</v>
      </c>
      <c r="GF784">
        <v>29.4787787350851</v>
      </c>
      <c r="GG784">
        <v>49.724158124428207</v>
      </c>
      <c r="GH784">
        <v>60.181291802021221</v>
      </c>
      <c r="GI784">
        <v>64.885641731774086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270.12183727960132</v>
      </c>
      <c r="AO785">
        <v>178.40257512279598</v>
      </c>
      <c r="AP785">
        <v>669.44269579517254</v>
      </c>
      <c r="AQ785">
        <v>1001.8381755824228</v>
      </c>
      <c r="AR785">
        <v>167.55195027817399</v>
      </c>
      <c r="AS785">
        <v>1573.2224333557376</v>
      </c>
      <c r="AT785">
        <v>87.59250732080362</v>
      </c>
      <c r="AU785">
        <v>156.20456813817509</v>
      </c>
      <c r="AV785"/>
      <c r="AW785"/>
      <c r="FY785" s="211">
        <v>780</v>
      </c>
      <c r="FZ785">
        <v>137.95082397676501</v>
      </c>
      <c r="GA785">
        <v>141.23561947469452</v>
      </c>
      <c r="GB785">
        <v>38.952320361509173</v>
      </c>
      <c r="GC785">
        <v>34.64019975014093</v>
      </c>
      <c r="GD785">
        <v>35.696054187308576</v>
      </c>
      <c r="GE785">
        <v>62.569637022034058</v>
      </c>
      <c r="GF785">
        <v>52.514242913717212</v>
      </c>
      <c r="GG785">
        <v>13.752598006213095</v>
      </c>
      <c r="GH785">
        <v>19.295981520740828</v>
      </c>
      <c r="GI785">
        <v>67.594575426761708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244.13046624782837</v>
      </c>
      <c r="AO786">
        <v>148.48177104114376</v>
      </c>
      <c r="AP786">
        <v>677.89216075064382</v>
      </c>
      <c r="AQ786">
        <v>817.99734462626247</v>
      </c>
      <c r="AR786">
        <v>140.69539131066304</v>
      </c>
      <c r="AS786">
        <v>1325.9482267677556</v>
      </c>
      <c r="AT786">
        <v>73.307436618319187</v>
      </c>
      <c r="AU786">
        <v>119.43634562014984</v>
      </c>
      <c r="AV786"/>
      <c r="AW786"/>
      <c r="FY786" s="211">
        <v>781</v>
      </c>
      <c r="FZ786">
        <v>128.01881622933485</v>
      </c>
      <c r="GA786">
        <v>153.86125781837148</v>
      </c>
      <c r="GB786">
        <v>53.832520617950102</v>
      </c>
      <c r="GC786">
        <v>47.048880617499016</v>
      </c>
      <c r="GD786">
        <v>52.886883196670539</v>
      </c>
      <c r="GE786">
        <v>94.637473730841336</v>
      </c>
      <c r="GF786">
        <v>91.028882653891159</v>
      </c>
      <c r="GG786">
        <v>45.665515570791086</v>
      </c>
      <c r="GH786">
        <v>43.464016373844018</v>
      </c>
      <c r="GI786">
        <v>94.957545052646239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310.24375607414441</v>
      </c>
      <c r="AO787">
        <v>139.80697639643657</v>
      </c>
      <c r="AP787">
        <v>599.42940750598029</v>
      </c>
      <c r="AQ787">
        <v>792.78579160913523</v>
      </c>
      <c r="AR787">
        <v>132.4096931301001</v>
      </c>
      <c r="AS787">
        <v>1404.0759933681977</v>
      </c>
      <c r="AT787">
        <v>66.991785966438286</v>
      </c>
      <c r="AU787">
        <v>-102.25347560037771</v>
      </c>
      <c r="AV787"/>
      <c r="AW787"/>
      <c r="FY787" s="211">
        <v>782</v>
      </c>
      <c r="FZ787">
        <v>111.84039229506621</v>
      </c>
      <c r="GA787">
        <v>159.48403233808602</v>
      </c>
      <c r="GB787">
        <v>46.721177560147332</v>
      </c>
      <c r="GC787">
        <v>38.008962139926751</v>
      </c>
      <c r="GD787">
        <v>40.635723070698013</v>
      </c>
      <c r="GE787">
        <v>49.874503355673035</v>
      </c>
      <c r="GF787">
        <v>69.593293669092247</v>
      </c>
      <c r="GG787">
        <v>69.012006533486442</v>
      </c>
      <c r="GH787">
        <v>36.142801390757974</v>
      </c>
      <c r="GI787">
        <v>76.747877810369673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271.89886499778169</v>
      </c>
      <c r="AO788">
        <v>134.80238045692718</v>
      </c>
      <c r="AP788">
        <v>478.24971704121685</v>
      </c>
      <c r="AQ788">
        <v>770.11151170564358</v>
      </c>
      <c r="AR788">
        <v>128.54938299578151</v>
      </c>
      <c r="AS788">
        <v>1396.2873105734484</v>
      </c>
      <c r="AT788">
        <v>63.099065508308342</v>
      </c>
      <c r="AU788">
        <v>245.03939666863727</v>
      </c>
      <c r="AV788"/>
      <c r="AW788"/>
      <c r="FY788" s="211">
        <v>783</v>
      </c>
      <c r="FZ788">
        <v>108.75607214302453</v>
      </c>
      <c r="GA788">
        <v>142.03040420244335</v>
      </c>
      <c r="GB788">
        <v>58.3705116536199</v>
      </c>
      <c r="GC788">
        <v>48.143220739619288</v>
      </c>
      <c r="GD788">
        <v>39.861008516215847</v>
      </c>
      <c r="GE788">
        <v>61.340036487919583</v>
      </c>
      <c r="GF788">
        <v>95.330025119231962</v>
      </c>
      <c r="GG788">
        <v>100.86458077644333</v>
      </c>
      <c r="GH788">
        <v>97.815951333253437</v>
      </c>
      <c r="GI788">
        <v>94.228235743338701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192.460320793053</v>
      </c>
      <c r="AO789">
        <v>114.97832496478097</v>
      </c>
      <c r="AP789">
        <v>539.07745111471877</v>
      </c>
      <c r="AQ789">
        <v>661.01836490348876</v>
      </c>
      <c r="AR789">
        <v>109.45300060449485</v>
      </c>
      <c r="AS789">
        <v>1203.7792888201659</v>
      </c>
      <c r="AT789">
        <v>60.96045015768032</v>
      </c>
      <c r="AU789">
        <v>69.75616378085752</v>
      </c>
      <c r="AV789"/>
      <c r="AW789"/>
      <c r="FY789" s="211">
        <v>784</v>
      </c>
      <c r="FZ789">
        <v>125.62375303206926</v>
      </c>
      <c r="GA789">
        <v>185.11003301543815</v>
      </c>
      <c r="GB789">
        <v>67.402304718429463</v>
      </c>
      <c r="GC789">
        <v>47.599603196409376</v>
      </c>
      <c r="GD789">
        <v>42.345275147201818</v>
      </c>
      <c r="GE789">
        <v>65.113905411003515</v>
      </c>
      <c r="GF789">
        <v>67.618690881691506</v>
      </c>
      <c r="GG789">
        <v>54.769440608116611</v>
      </c>
      <c r="GH789">
        <v>76.153212900684792</v>
      </c>
      <c r="GI789">
        <v>90.975384469629418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226.53294649212549</v>
      </c>
      <c r="AO790">
        <v>143.64748412560556</v>
      </c>
      <c r="AP790">
        <v>676.91796349884135</v>
      </c>
      <c r="AQ790">
        <v>787.91719373215119</v>
      </c>
      <c r="AR790">
        <v>133.98608022781542</v>
      </c>
      <c r="AS790">
        <v>1354.3110016023277</v>
      </c>
      <c r="AT790">
        <v>71.689855422827961</v>
      </c>
      <c r="AU790">
        <v>125.89024274717161</v>
      </c>
      <c r="AV790"/>
      <c r="AW790"/>
      <c r="FY790" s="211">
        <v>785</v>
      </c>
      <c r="FZ790">
        <v>113.02357798537088</v>
      </c>
      <c r="GA790">
        <v>136.19839810799817</v>
      </c>
      <c r="GB790">
        <v>52.79711316805102</v>
      </c>
      <c r="GC790">
        <v>38.887569381885122</v>
      </c>
      <c r="GD790">
        <v>28.691708799290968</v>
      </c>
      <c r="GE790">
        <v>62.381429600581974</v>
      </c>
      <c r="GF790">
        <v>92.563614431095473</v>
      </c>
      <c r="GG790">
        <v>47.120173939616308</v>
      </c>
      <c r="GH790">
        <v>55.445148308008527</v>
      </c>
      <c r="GI790">
        <v>78.790736142153065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239.64028394026326</v>
      </c>
      <c r="AO791">
        <v>123.37914094326398</v>
      </c>
      <c r="AP791">
        <v>489.1891987863246</v>
      </c>
      <c r="AQ791">
        <v>666.317492926657</v>
      </c>
      <c r="AR791">
        <v>116.01363232573758</v>
      </c>
      <c r="AS791">
        <v>1205.7162179048273</v>
      </c>
      <c r="AT791">
        <v>58.592923746385402</v>
      </c>
      <c r="AU791">
        <v>168.05525036847524</v>
      </c>
      <c r="AV791"/>
      <c r="AW791"/>
      <c r="FY791" s="211">
        <v>786</v>
      </c>
      <c r="FZ791">
        <v>100.38100810589231</v>
      </c>
      <c r="GA791">
        <v>139.81061019668556</v>
      </c>
      <c r="GB791">
        <v>56.192509252200445</v>
      </c>
      <c r="GC791">
        <v>43.849405310167974</v>
      </c>
      <c r="GD791">
        <v>39.5898723727422</v>
      </c>
      <c r="GE791">
        <v>81.756429079860681</v>
      </c>
      <c r="GF791">
        <v>99.657863392252764</v>
      </c>
      <c r="GG791">
        <v>58.756097712507334</v>
      </c>
      <c r="GH791">
        <v>60.00094721926407</v>
      </c>
      <c r="GI791">
        <v>87.390944725213316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202.43360141873785</v>
      </c>
      <c r="AO792">
        <v>109.98864041640218</v>
      </c>
      <c r="AP792">
        <v>473.71198903152674</v>
      </c>
      <c r="AQ792">
        <v>616.44054450632825</v>
      </c>
      <c r="AR792">
        <v>103.97029668341185</v>
      </c>
      <c r="AS792">
        <v>1013.105930843969</v>
      </c>
      <c r="AT792">
        <v>54.446002918389041</v>
      </c>
      <c r="AU792">
        <v>173.12767961628575</v>
      </c>
      <c r="AV792"/>
      <c r="AW792"/>
      <c r="FY792" s="211">
        <v>787</v>
      </c>
      <c r="FZ792">
        <v>103.01181994569239</v>
      </c>
      <c r="GA792">
        <v>134.10692232050727</v>
      </c>
      <c r="GB792">
        <v>45.684734819952475</v>
      </c>
      <c r="GC792">
        <v>42.354210256254277</v>
      </c>
      <c r="GD792">
        <v>55.34378240734808</v>
      </c>
      <c r="GE792">
        <v>131.99477984186601</v>
      </c>
      <c r="GF792">
        <v>153.99417843607299</v>
      </c>
      <c r="GG792">
        <v>74.640319255965053</v>
      </c>
      <c r="GH792">
        <v>67.951532521901768</v>
      </c>
      <c r="GI792">
        <v>109.29387426596958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228.58629997186443</v>
      </c>
      <c r="AO793">
        <v>151.88287797359749</v>
      </c>
      <c r="AP793">
        <v>673.35553252829152</v>
      </c>
      <c r="AQ793">
        <v>837.78844332685344</v>
      </c>
      <c r="AR793">
        <v>141.35017299509241</v>
      </c>
      <c r="AS793">
        <v>1353.6399316337504</v>
      </c>
      <c r="AT793">
        <v>81.156156433322181</v>
      </c>
      <c r="AU793">
        <v>158.92488393752012</v>
      </c>
      <c r="AV793"/>
      <c r="AW793"/>
      <c r="FY793" s="211">
        <v>788</v>
      </c>
      <c r="FZ793">
        <v>121.28308559400284</v>
      </c>
      <c r="GA793">
        <v>176.49090710560941</v>
      </c>
      <c r="GB793">
        <v>61.127536098308454</v>
      </c>
      <c r="GC793">
        <v>38.553651325671893</v>
      </c>
      <c r="GD793">
        <v>24.394571254088376</v>
      </c>
      <c r="GE793">
        <v>57.922573934284031</v>
      </c>
      <c r="GF793">
        <v>131.77138211461335</v>
      </c>
      <c r="GG793">
        <v>132.98727025938973</v>
      </c>
      <c r="GH793">
        <v>126.83333153597779</v>
      </c>
      <c r="GI793">
        <v>101.11078937787342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293.29798460071822</v>
      </c>
      <c r="AO794">
        <v>173.96416544627917</v>
      </c>
      <c r="AP794">
        <v>798.25733302252263</v>
      </c>
      <c r="AQ794">
        <v>940.75601858533059</v>
      </c>
      <c r="AR794">
        <v>161.63986849462353</v>
      </c>
      <c r="AS794">
        <v>1546.735711603716</v>
      </c>
      <c r="AT794">
        <v>84.773378982050843</v>
      </c>
      <c r="AU794">
        <v>42.225776889815222</v>
      </c>
      <c r="AV794"/>
      <c r="AW794"/>
      <c r="FY794" s="211">
        <v>789</v>
      </c>
      <c r="FZ794">
        <v>97.615067000792607</v>
      </c>
      <c r="GA794">
        <v>127.358557860384</v>
      </c>
      <c r="GB794">
        <v>50.107786674930878</v>
      </c>
      <c r="GC794">
        <v>38.675411527831969</v>
      </c>
      <c r="GD794">
        <v>35.832259304807849</v>
      </c>
      <c r="GE794">
        <v>83.167951745806718</v>
      </c>
      <c r="GF794">
        <v>117.62795005061039</v>
      </c>
      <c r="GG794">
        <v>88.224452525112213</v>
      </c>
      <c r="GH794">
        <v>94.764991026753648</v>
      </c>
      <c r="GI794">
        <v>93.436290740722669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192.67565689933156</v>
      </c>
      <c r="AO795">
        <v>102.69151163355097</v>
      </c>
      <c r="AP795">
        <v>322.36444410571823</v>
      </c>
      <c r="AQ795">
        <v>634.46826544313217</v>
      </c>
      <c r="AR795">
        <v>97.716091472839935</v>
      </c>
      <c r="AS795">
        <v>1019.5245479212136</v>
      </c>
      <c r="AT795">
        <v>53.083126635596436</v>
      </c>
      <c r="AU795">
        <v>13.449860955398698</v>
      </c>
      <c r="AV795"/>
      <c r="AW795"/>
      <c r="FY795" s="211">
        <v>790</v>
      </c>
      <c r="FZ795">
        <v>105.64475856882888</v>
      </c>
      <c r="GA795">
        <v>170.48540954497201</v>
      </c>
      <c r="GB795">
        <v>51.391114103520515</v>
      </c>
      <c r="GC795">
        <v>29.290890259064437</v>
      </c>
      <c r="GD795">
        <v>29.047667300141718</v>
      </c>
      <c r="GE795">
        <v>56.980332044222358</v>
      </c>
      <c r="GF795">
        <v>81.618045790136279</v>
      </c>
      <c r="GG795">
        <v>60.598141246308955</v>
      </c>
      <c r="GH795">
        <v>59.202229290722755</v>
      </c>
      <c r="GI795">
        <v>75.349624681652301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250.61025939773762</v>
      </c>
      <c r="AO796">
        <v>102.13602781264686</v>
      </c>
      <c r="AP796">
        <v>358.57191535129533</v>
      </c>
      <c r="AQ796">
        <v>604.2020526398851</v>
      </c>
      <c r="AR796">
        <v>99.045795734148697</v>
      </c>
      <c r="AS796">
        <v>1022.038372215025</v>
      </c>
      <c r="AT796">
        <v>48.215311816311704</v>
      </c>
      <c r="AU796">
        <v>21.229345911368817</v>
      </c>
      <c r="AV796"/>
      <c r="AW796"/>
      <c r="FY796" s="211">
        <v>791</v>
      </c>
      <c r="FZ796">
        <v>117.41510557727675</v>
      </c>
      <c r="GA796">
        <v>165.6270251764584</v>
      </c>
      <c r="GB796">
        <v>60.122861764932225</v>
      </c>
      <c r="GC796">
        <v>51.406916337103432</v>
      </c>
      <c r="GD796">
        <v>38.229597427573779</v>
      </c>
      <c r="GE796">
        <v>53.286628153848334</v>
      </c>
      <c r="GF796">
        <v>63.560926205861705</v>
      </c>
      <c r="GG796">
        <v>17.8255305177011</v>
      </c>
      <c r="GH796">
        <v>27.422998054440669</v>
      </c>
      <c r="GI796">
        <v>76.95607707106754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291.70666612928505</v>
      </c>
      <c r="AO797">
        <v>148.70740942061667</v>
      </c>
      <c r="AP797">
        <v>566.44088160623221</v>
      </c>
      <c r="AQ797">
        <v>805.4017918618398</v>
      </c>
      <c r="AR797">
        <v>141.2994139570115</v>
      </c>
      <c r="AS797">
        <v>1603.0765169937288</v>
      </c>
      <c r="AT797">
        <v>69.385279919784566</v>
      </c>
      <c r="AU797">
        <v>129.88092871448745</v>
      </c>
      <c r="AV797"/>
      <c r="AW797"/>
      <c r="FY797" s="211">
        <v>792</v>
      </c>
      <c r="FZ797">
        <v>114.31480614979012</v>
      </c>
      <c r="GA797">
        <v>177.12283231265044</v>
      </c>
      <c r="GB797">
        <v>53.715303938200037</v>
      </c>
      <c r="GC797">
        <v>36.865430456085129</v>
      </c>
      <c r="GD797">
        <v>37.894617844583422</v>
      </c>
      <c r="GE797">
        <v>65.935385989209095</v>
      </c>
      <c r="GF797">
        <v>70.906003673698009</v>
      </c>
      <c r="GG797">
        <v>51.707958165589773</v>
      </c>
      <c r="GH797">
        <v>61.735721417674569</v>
      </c>
      <c r="GI797">
        <v>81.068466706665163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225.07058581776772</v>
      </c>
      <c r="AO798">
        <v>123.34967770208247</v>
      </c>
      <c r="AP798">
        <v>414.1845385203182</v>
      </c>
      <c r="AQ798">
        <v>698.0607701633038</v>
      </c>
      <c r="AR798">
        <v>115.80800530072777</v>
      </c>
      <c r="AS798">
        <v>1101.0371728039095</v>
      </c>
      <c r="AT798">
        <v>55.674241215139823</v>
      </c>
      <c r="AU798">
        <v>138.25753521104119</v>
      </c>
      <c r="AV798"/>
      <c r="AW798"/>
      <c r="FY798" s="211">
        <v>793</v>
      </c>
      <c r="FZ798">
        <v>110.34193707730773</v>
      </c>
      <c r="GA798">
        <v>156.06787359700692</v>
      </c>
      <c r="GB798">
        <v>61.255580080534166</v>
      </c>
      <c r="GC798">
        <v>46.453644038395559</v>
      </c>
      <c r="GD798">
        <v>38.350524387457178</v>
      </c>
      <c r="GE798">
        <v>65.17828662874453</v>
      </c>
      <c r="GF798">
        <v>70.444499566892517</v>
      </c>
      <c r="GG798">
        <v>50.085489957716916</v>
      </c>
      <c r="GH798">
        <v>65.02329822586384</v>
      </c>
      <c r="GI798">
        <v>83.397762234688571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229.04355587456979</v>
      </c>
      <c r="AO799">
        <v>149.39584895189483</v>
      </c>
      <c r="AP799">
        <v>560.14487814072618</v>
      </c>
      <c r="AQ799">
        <v>846.74004671510988</v>
      </c>
      <c r="AR799">
        <v>141.27391356235702</v>
      </c>
      <c r="AS799">
        <v>1431.8130996156187</v>
      </c>
      <c r="AT799">
        <v>77.190626830497436</v>
      </c>
      <c r="AU799">
        <v>123.84423175566393</v>
      </c>
      <c r="AV799"/>
      <c r="AW799"/>
      <c r="FY799" s="211">
        <v>794</v>
      </c>
      <c r="FZ799">
        <v>131.05956607538604</v>
      </c>
      <c r="GA799">
        <v>175.67798987325719</v>
      </c>
      <c r="GB799">
        <v>58.857767283929938</v>
      </c>
      <c r="GC799">
        <v>45.229855605417384</v>
      </c>
      <c r="GD799">
        <v>34.422686421290891</v>
      </c>
      <c r="GE799">
        <v>44.985433695399593</v>
      </c>
      <c r="GF799">
        <v>48.616856657974822</v>
      </c>
      <c r="GG799">
        <v>21.351939008780882</v>
      </c>
      <c r="GH799">
        <v>21.024830046555003</v>
      </c>
      <c r="GI799">
        <v>71.044518562989495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274.74671935349937</v>
      </c>
      <c r="AO800">
        <v>142.73116849802449</v>
      </c>
      <c r="AP800">
        <v>526.41618526521029</v>
      </c>
      <c r="AQ800">
        <v>822.71160338067386</v>
      </c>
      <c r="AR800">
        <v>135.98887185859095</v>
      </c>
      <c r="AS800">
        <v>1258.4468718819915</v>
      </c>
      <c r="AT800">
        <v>67.592633939132426</v>
      </c>
      <c r="AU800">
        <v>-35.444600056842759</v>
      </c>
      <c r="AV800"/>
      <c r="AW800"/>
      <c r="FY800" s="211">
        <v>795</v>
      </c>
      <c r="FZ800">
        <v>110.28608300595283</v>
      </c>
      <c r="GA800">
        <v>148.46894029096288</v>
      </c>
      <c r="GB800">
        <v>54.258042487732112</v>
      </c>
      <c r="GC800">
        <v>37.18555085085972</v>
      </c>
      <c r="GD800">
        <v>34.645456097905182</v>
      </c>
      <c r="GE800">
        <v>63.025419951041812</v>
      </c>
      <c r="GF800">
        <v>76.003667125749402</v>
      </c>
      <c r="GG800">
        <v>115.76790751948943</v>
      </c>
      <c r="GH800">
        <v>141.08031529599438</v>
      </c>
      <c r="GI800">
        <v>93.742363688565263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227.89400209588365</v>
      </c>
      <c r="AO801">
        <v>123.60484235870152</v>
      </c>
      <c r="AP801">
        <v>541.87388969392964</v>
      </c>
      <c r="AQ801">
        <v>705.8994698640513</v>
      </c>
      <c r="AR801">
        <v>118.04723160771421</v>
      </c>
      <c r="AS801">
        <v>1230.1884392085205</v>
      </c>
      <c r="AT801">
        <v>62.231491569937525</v>
      </c>
      <c r="AU801">
        <v>117.28005908719865</v>
      </c>
      <c r="AV801"/>
      <c r="AW801"/>
      <c r="FY801" s="211">
        <v>796</v>
      </c>
      <c r="FZ801">
        <v>143.03835191439248</v>
      </c>
      <c r="GA801">
        <v>204.96848751761604</v>
      </c>
      <c r="GB801">
        <v>60.244525449992373</v>
      </c>
      <c r="GC801">
        <v>36.264261560481927</v>
      </c>
      <c r="GD801">
        <v>42.347944232947832</v>
      </c>
      <c r="GE801">
        <v>99.046880281027825</v>
      </c>
      <c r="GF801">
        <v>125.63620506653055</v>
      </c>
      <c r="GG801">
        <v>70.396695470458852</v>
      </c>
      <c r="GH801">
        <v>65.436805944195086</v>
      </c>
      <c r="GI801">
        <v>103.38989307363516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277.59083234719208</v>
      </c>
      <c r="AO802">
        <v>140.64537815800728</v>
      </c>
      <c r="AP802">
        <v>524.54216652576542</v>
      </c>
      <c r="AQ802">
        <v>767.38568736678667</v>
      </c>
      <c r="AR802">
        <v>131.43307297034696</v>
      </c>
      <c r="AS802">
        <v>1395.9403406261426</v>
      </c>
      <c r="AT802">
        <v>61.668789650146444</v>
      </c>
      <c r="AU802">
        <v>89.728878139773286</v>
      </c>
      <c r="AV802"/>
      <c r="AW802"/>
      <c r="FY802" s="211">
        <v>797</v>
      </c>
      <c r="FZ802">
        <v>112.88469204502013</v>
      </c>
      <c r="GA802">
        <v>151.22096985016137</v>
      </c>
      <c r="GB802">
        <v>58.361094808266216</v>
      </c>
      <c r="GC802">
        <v>41.635882327711549</v>
      </c>
      <c r="GD802">
        <v>39.773827311402101</v>
      </c>
      <c r="GE802">
        <v>85.170153836707058</v>
      </c>
      <c r="GF802">
        <v>91.628149721964817</v>
      </c>
      <c r="GG802">
        <v>51.936920157782723</v>
      </c>
      <c r="GH802">
        <v>62.386176741178446</v>
      </c>
      <c r="GI802">
        <v>89.235089368088026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298.36395400088435</v>
      </c>
      <c r="AO803">
        <v>176.6786584286254</v>
      </c>
      <c r="AP803">
        <v>849.03484438907901</v>
      </c>
      <c r="AQ803">
        <v>918.37615407152998</v>
      </c>
      <c r="AR803">
        <v>164.91237163983445</v>
      </c>
      <c r="AS803">
        <v>1794.0589834365435</v>
      </c>
      <c r="AT803">
        <v>84.787274839113877</v>
      </c>
      <c r="AU803">
        <v>310.60736429335321</v>
      </c>
      <c r="AV803"/>
      <c r="AW803"/>
      <c r="FY803" s="211">
        <v>798</v>
      </c>
      <c r="FZ803">
        <v>122.97365467318167</v>
      </c>
      <c r="GA803">
        <v>159.53285557230308</v>
      </c>
      <c r="GB803">
        <v>62.801084864132974</v>
      </c>
      <c r="GC803">
        <v>45.635003349021503</v>
      </c>
      <c r="GD803">
        <v>46.711673386510277</v>
      </c>
      <c r="GE803">
        <v>115.4649702734212</v>
      </c>
      <c r="GF803">
        <v>139.51524719644996</v>
      </c>
      <c r="GG803">
        <v>32.05451625672378</v>
      </c>
      <c r="GH803">
        <v>22.63607548268957</v>
      </c>
      <c r="GI803">
        <v>101.20032487190467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239.98935296004134</v>
      </c>
      <c r="AO804">
        <v>166.38781925628982</v>
      </c>
      <c r="AP804">
        <v>746.23854685625997</v>
      </c>
      <c r="AQ804">
        <v>972.47509859981926</v>
      </c>
      <c r="AR804">
        <v>155.4046649926816</v>
      </c>
      <c r="AS804">
        <v>1429.2787050402617</v>
      </c>
      <c r="AT804">
        <v>83.164864592873045</v>
      </c>
      <c r="AU804">
        <v>227.68220101576918</v>
      </c>
      <c r="AV804"/>
      <c r="AW804"/>
      <c r="FY804" s="211">
        <v>799</v>
      </c>
      <c r="FZ804">
        <v>108.78892689706481</v>
      </c>
      <c r="GA804">
        <v>144.44081047952415</v>
      </c>
      <c r="GB804">
        <v>43.097032456572592</v>
      </c>
      <c r="GC804">
        <v>35.610491802316965</v>
      </c>
      <c r="GD804">
        <v>34.137856991418452</v>
      </c>
      <c r="GE804">
        <v>111.36619518917539</v>
      </c>
      <c r="GF804">
        <v>186.03052356910459</v>
      </c>
      <c r="GG804">
        <v>54.31219463594131</v>
      </c>
      <c r="GH804">
        <v>13.328378933211772</v>
      </c>
      <c r="GI804">
        <v>94.646694534737421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241.68918920416644</v>
      </c>
      <c r="AO805">
        <v>151.26895568777812</v>
      </c>
      <c r="AP805">
        <v>683.86442176705009</v>
      </c>
      <c r="AQ805">
        <v>826.81071845775307</v>
      </c>
      <c r="AR805">
        <v>142.38944318383233</v>
      </c>
      <c r="AS805">
        <v>1448.0267601095054</v>
      </c>
      <c r="AT805">
        <v>78.596484831207945</v>
      </c>
      <c r="AU805">
        <v>212.88413187677889</v>
      </c>
      <c r="AV805"/>
      <c r="AW805"/>
      <c r="FY805" s="211">
        <v>800</v>
      </c>
      <c r="FZ805">
        <v>107.47158374129349</v>
      </c>
      <c r="GA805">
        <v>163.74308030940188</v>
      </c>
      <c r="GB805">
        <v>62.557721966525882</v>
      </c>
      <c r="GC805">
        <v>43.659817186770617</v>
      </c>
      <c r="GD805">
        <v>35.348911183540324</v>
      </c>
      <c r="GE805">
        <v>61.911628696464106</v>
      </c>
      <c r="GF805">
        <v>81.350853302440157</v>
      </c>
      <c r="GG805">
        <v>75.338946764685971</v>
      </c>
      <c r="GH805">
        <v>84.836187006640316</v>
      </c>
      <c r="GI805">
        <v>88.059871656765537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218.73232911926885</v>
      </c>
      <c r="AO806">
        <v>120.48797770608692</v>
      </c>
      <c r="AP806">
        <v>449.24102347486951</v>
      </c>
      <c r="AQ806">
        <v>719.60821282957022</v>
      </c>
      <c r="AR806">
        <v>113.50378614500471</v>
      </c>
      <c r="AS806">
        <v>1163.6582181586271</v>
      </c>
      <c r="AT806">
        <v>59.303024414636333</v>
      </c>
      <c r="AU806">
        <v>132.42016524304501</v>
      </c>
      <c r="AV806"/>
      <c r="AW806"/>
      <c r="FY806" s="211">
        <v>801</v>
      </c>
      <c r="FZ806">
        <v>115.86490056661626</v>
      </c>
      <c r="GA806">
        <v>166.92672367325156</v>
      </c>
      <c r="GB806">
        <v>64.48664630458299</v>
      </c>
      <c r="GC806">
        <v>55.121091363980455</v>
      </c>
      <c r="GD806">
        <v>35.231983685750102</v>
      </c>
      <c r="GE806">
        <v>46.386624085980017</v>
      </c>
      <c r="GF806">
        <v>94.251168234585336</v>
      </c>
      <c r="GG806">
        <v>69.891811459078994</v>
      </c>
      <c r="GH806">
        <v>62.537734507287524</v>
      </c>
      <c r="GI806">
        <v>88.64517012316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192.91983508374008</v>
      </c>
      <c r="AO807">
        <v>121.09937841385627</v>
      </c>
      <c r="AP807">
        <v>604.0206235537039</v>
      </c>
      <c r="AQ807">
        <v>671.85366628626377</v>
      </c>
      <c r="AR807">
        <v>114.99931719622747</v>
      </c>
      <c r="AS807">
        <v>1094.2721578103833</v>
      </c>
      <c r="AT807">
        <v>64.623410141957024</v>
      </c>
      <c r="AU807">
        <v>44.490507368822264</v>
      </c>
      <c r="AV807"/>
      <c r="AW807"/>
      <c r="FY807" s="211">
        <v>802</v>
      </c>
      <c r="FZ807">
        <v>119.44880624514178</v>
      </c>
      <c r="GA807">
        <v>145.57352825844407</v>
      </c>
      <c r="GB807">
        <v>46.94576855604371</v>
      </c>
      <c r="GC807">
        <v>45.44621672973301</v>
      </c>
      <c r="GD807">
        <v>39.177459740139255</v>
      </c>
      <c r="GE807">
        <v>79.93990350234489</v>
      </c>
      <c r="GF807">
        <v>118.06696540881558</v>
      </c>
      <c r="GG807">
        <v>59.474022357232002</v>
      </c>
      <c r="GH807">
        <v>49.027861167413221</v>
      </c>
      <c r="GI807">
        <v>90.01803610791039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268.04181769561774</v>
      </c>
      <c r="AO808">
        <v>129.93683626997381</v>
      </c>
      <c r="AP808">
        <v>566.78385735310974</v>
      </c>
      <c r="AQ808">
        <v>751.26652665414565</v>
      </c>
      <c r="AR808">
        <v>122.05126427293021</v>
      </c>
      <c r="AS808">
        <v>1312.12037172429</v>
      </c>
      <c r="AT808">
        <v>62.115228902981194</v>
      </c>
      <c r="AU808">
        <v>13.219043452169917</v>
      </c>
      <c r="AV808"/>
      <c r="AW808"/>
      <c r="FY808" s="211">
        <v>803</v>
      </c>
      <c r="FZ808">
        <v>130.16857637167229</v>
      </c>
      <c r="GA808">
        <v>165.06321119360575</v>
      </c>
      <c r="GB808">
        <v>52.288454588620127</v>
      </c>
      <c r="GC808">
        <v>49.037005226102259</v>
      </c>
      <c r="GD808">
        <v>41.927347080225488</v>
      </c>
      <c r="GE808">
        <v>87.613288241423064</v>
      </c>
      <c r="GF808">
        <v>135.09384544034955</v>
      </c>
      <c r="GG808">
        <v>83.225717564115342</v>
      </c>
      <c r="GH808">
        <v>93.332442496699159</v>
      </c>
      <c r="GI808">
        <v>106.35861795791745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258.79206761515445</v>
      </c>
      <c r="AO809">
        <v>132.44258606565901</v>
      </c>
      <c r="AP809">
        <v>444.09147999677367</v>
      </c>
      <c r="AQ809">
        <v>746.5988957946081</v>
      </c>
      <c r="AR809">
        <v>124.77559199534569</v>
      </c>
      <c r="AS809">
        <v>1299.9632929315335</v>
      </c>
      <c r="AT809">
        <v>62.599102248026867</v>
      </c>
      <c r="AU809">
        <v>67.27068328508544</v>
      </c>
      <c r="AV809"/>
      <c r="AW809"/>
      <c r="FY809" s="211">
        <v>804</v>
      </c>
      <c r="FZ809">
        <v>139.49246818788001</v>
      </c>
      <c r="GA809">
        <v>161.31482397423753</v>
      </c>
      <c r="GB809">
        <v>63.898549177389548</v>
      </c>
      <c r="GC809">
        <v>46.808360651940262</v>
      </c>
      <c r="GD809">
        <v>32.300748535538418</v>
      </c>
      <c r="GE809">
        <v>46.226638312919825</v>
      </c>
      <c r="GF809">
        <v>86.148109753108713</v>
      </c>
      <c r="GG809">
        <v>116.934951185226</v>
      </c>
      <c r="GH809">
        <v>110.22482338714373</v>
      </c>
      <c r="GI809">
        <v>94.988031899622499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215.83339050303553</v>
      </c>
      <c r="AO810">
        <v>111.61630865271566</v>
      </c>
      <c r="AP810">
        <v>404.09276929065226</v>
      </c>
      <c r="AQ810">
        <v>652.27144323098139</v>
      </c>
      <c r="AR810">
        <v>105.72144348346909</v>
      </c>
      <c r="AS810">
        <v>1045.5836544985327</v>
      </c>
      <c r="AT810">
        <v>52.681867551385132</v>
      </c>
      <c r="AU810">
        <v>12.641298071636491</v>
      </c>
      <c r="AV810"/>
      <c r="AW810"/>
      <c r="FY810" s="211">
        <v>805</v>
      </c>
      <c r="FZ810">
        <v>130.5991689417686</v>
      </c>
      <c r="GA810">
        <v>154.8427579986396</v>
      </c>
      <c r="GB810">
        <v>48.310724414094473</v>
      </c>
      <c r="GC810">
        <v>49.427716730358192</v>
      </c>
      <c r="GD810">
        <v>68.746867572046824</v>
      </c>
      <c r="GE810">
        <v>108.2611732084831</v>
      </c>
      <c r="GF810">
        <v>52.380866631045237</v>
      </c>
      <c r="GG810">
        <v>28.819823850689232</v>
      </c>
      <c r="GH810">
        <v>36.758334195050658</v>
      </c>
      <c r="GI810">
        <v>93.867935246969111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255.33762559623239</v>
      </c>
      <c r="AO811">
        <v>152.33308497538664</v>
      </c>
      <c r="AP811">
        <v>696.8505669590711</v>
      </c>
      <c r="AQ811">
        <v>874.46374631425306</v>
      </c>
      <c r="AR811">
        <v>142.95622293694095</v>
      </c>
      <c r="AS811">
        <v>1351.1867939750291</v>
      </c>
      <c r="AT811">
        <v>78.733815351465267</v>
      </c>
      <c r="AU811">
        <v>270.67084664955826</v>
      </c>
      <c r="AV811"/>
      <c r="AW811"/>
      <c r="FY811" s="211">
        <v>806</v>
      </c>
      <c r="FZ811">
        <v>128.47532047633806</v>
      </c>
      <c r="GA811">
        <v>176.11069414157333</v>
      </c>
      <c r="GB811">
        <v>46.343850193755571</v>
      </c>
      <c r="GC811">
        <v>30.682126023744246</v>
      </c>
      <c r="GD811">
        <v>45.044066749438706</v>
      </c>
      <c r="GE811">
        <v>81.464024790730491</v>
      </c>
      <c r="GF811">
        <v>59.898754019644549</v>
      </c>
      <c r="GG811">
        <v>55.177467876277433</v>
      </c>
      <c r="GH811">
        <v>62.235024759815509</v>
      </c>
      <c r="GI811">
        <v>84.032766968904511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289.22528729995008</v>
      </c>
      <c r="AO812">
        <v>166.4480190396344</v>
      </c>
      <c r="AP812">
        <v>661.7274373102066</v>
      </c>
      <c r="AQ812">
        <v>950.77005051127821</v>
      </c>
      <c r="AR812">
        <v>156.4156907419937</v>
      </c>
      <c r="AS812">
        <v>1602.3031037068738</v>
      </c>
      <c r="AT812">
        <v>79.205641475088527</v>
      </c>
      <c r="AU812">
        <v>41.280031779316296</v>
      </c>
      <c r="AV812"/>
      <c r="AW812"/>
      <c r="FY812" s="211">
        <v>807</v>
      </c>
      <c r="FZ812">
        <v>141.28172717936962</v>
      </c>
      <c r="GA812">
        <v>137.39388122732987</v>
      </c>
      <c r="GB812">
        <v>42.843450194287222</v>
      </c>
      <c r="GC812">
        <v>34.944577472352655</v>
      </c>
      <c r="GD812">
        <v>30.762412942254542</v>
      </c>
      <c r="GE812">
        <v>65.025049885954388</v>
      </c>
      <c r="GF812">
        <v>76.015454813524386</v>
      </c>
      <c r="GG812">
        <v>86.457750520158356</v>
      </c>
      <c r="GH812">
        <v>114.46515423849596</v>
      </c>
      <c r="GI812">
        <v>86.918948236286937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234.49442349150937</v>
      </c>
      <c r="AO813">
        <v>143.55041168858014</v>
      </c>
      <c r="AP813">
        <v>732.21388337423275</v>
      </c>
      <c r="AQ813">
        <v>784.2329561682825</v>
      </c>
      <c r="AR813">
        <v>134.94831005096191</v>
      </c>
      <c r="AS813">
        <v>1239.7318291349086</v>
      </c>
      <c r="AT813">
        <v>73.692933127172083</v>
      </c>
      <c r="AU813">
        <v>245.35865343608208</v>
      </c>
      <c r="AV813"/>
      <c r="AW813"/>
      <c r="FY813" s="211">
        <v>808</v>
      </c>
      <c r="FZ813">
        <v>87.467491112307798</v>
      </c>
      <c r="GA813">
        <v>109.41355056108502</v>
      </c>
      <c r="GB813">
        <v>31.172372669418692</v>
      </c>
      <c r="GC813">
        <v>43.242657067058389</v>
      </c>
      <c r="GD813">
        <v>48.200493008067454</v>
      </c>
      <c r="GE813">
        <v>66.961823865965698</v>
      </c>
      <c r="GF813">
        <v>83.716154382685033</v>
      </c>
      <c r="GG813">
        <v>46.289845382173468</v>
      </c>
      <c r="GH813">
        <v>15.620550881112349</v>
      </c>
      <c r="GI813">
        <v>74.51634374459185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263.34809400876134</v>
      </c>
      <c r="AO814">
        <v>160.03484633121911</v>
      </c>
      <c r="AP814">
        <v>613.07918641944116</v>
      </c>
      <c r="AQ814">
        <v>848.52540592633852</v>
      </c>
      <c r="AR814">
        <v>151.46167892660026</v>
      </c>
      <c r="AS814">
        <v>1568.249952824269</v>
      </c>
      <c r="AT814">
        <v>80.109999131907955</v>
      </c>
      <c r="AU814">
        <v>177.46042024663717</v>
      </c>
      <c r="AV814"/>
      <c r="AW814"/>
      <c r="FY814" s="211">
        <v>809</v>
      </c>
      <c r="FZ814">
        <v>97.166353516242708</v>
      </c>
      <c r="GA814">
        <v>128.33482802152031</v>
      </c>
      <c r="GB814">
        <v>60.066279671959187</v>
      </c>
      <c r="GC814">
        <v>44.072474911499995</v>
      </c>
      <c r="GD814">
        <v>29.517277770385803</v>
      </c>
      <c r="GE814">
        <v>84.934358221318945</v>
      </c>
      <c r="GF814">
        <v>153.62356066238439</v>
      </c>
      <c r="GG814">
        <v>69.719715071574441</v>
      </c>
      <c r="GH814">
        <v>50.065926744504146</v>
      </c>
      <c r="GI814">
        <v>92.655736970053198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248.26886794581191</v>
      </c>
      <c r="AO815">
        <v>155.33382965809886</v>
      </c>
      <c r="AP815">
        <v>946.39567604379431</v>
      </c>
      <c r="AQ815">
        <v>825.75910548906745</v>
      </c>
      <c r="AR815">
        <v>143.85006861823283</v>
      </c>
      <c r="AS815">
        <v>1473.3124896827876</v>
      </c>
      <c r="AT815">
        <v>73.924547343792284</v>
      </c>
      <c r="AU815">
        <v>326.62329341969394</v>
      </c>
      <c r="AV815"/>
      <c r="AW815"/>
      <c r="FY815" s="211">
        <v>810</v>
      </c>
      <c r="FZ815">
        <v>110.42325445106567</v>
      </c>
      <c r="GA815">
        <v>143.12824398002391</v>
      </c>
      <c r="GB815">
        <v>59.843843813235374</v>
      </c>
      <c r="GC815">
        <v>48.499175304484474</v>
      </c>
      <c r="GD815">
        <v>41.007260015647233</v>
      </c>
      <c r="GE815">
        <v>53.712124166741091</v>
      </c>
      <c r="GF815">
        <v>79.370221005271716</v>
      </c>
      <c r="GG815">
        <v>92.060324442401892</v>
      </c>
      <c r="GH815">
        <v>99.171810396452287</v>
      </c>
      <c r="GI815">
        <v>91.934170985580664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224.2308234959211</v>
      </c>
      <c r="AO816">
        <v>142.18365761355429</v>
      </c>
      <c r="AP816">
        <v>666.21103866046644</v>
      </c>
      <c r="AQ816">
        <v>804.27860181452832</v>
      </c>
      <c r="AR816">
        <v>133.19637399918579</v>
      </c>
      <c r="AS816">
        <v>1232.2794906868846</v>
      </c>
      <c r="AT816">
        <v>72.825102897264074</v>
      </c>
      <c r="AU816">
        <v>214.05484564868843</v>
      </c>
      <c r="AV816"/>
      <c r="AW816"/>
      <c r="FY816" s="211">
        <v>811</v>
      </c>
      <c r="FZ816">
        <v>105.09572371186374</v>
      </c>
      <c r="GA816">
        <v>142.64134808102142</v>
      </c>
      <c r="GB816">
        <v>50.878409299871606</v>
      </c>
      <c r="GC816">
        <v>51.095832698288852</v>
      </c>
      <c r="GD816">
        <v>31.48554616938295</v>
      </c>
      <c r="GE816">
        <v>63.203120118010887</v>
      </c>
      <c r="GF816">
        <v>128.39168278930526</v>
      </c>
      <c r="GG816">
        <v>83.26203167944719</v>
      </c>
      <c r="GH816">
        <v>91.730639874382717</v>
      </c>
      <c r="GI816">
        <v>93.077727033410056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257.27273474048684</v>
      </c>
      <c r="AO817">
        <v>142.01957892986459</v>
      </c>
      <c r="AP817">
        <v>646.77192007720635</v>
      </c>
      <c r="AQ817">
        <v>799.34385400427323</v>
      </c>
      <c r="AR817">
        <v>133.94417786166454</v>
      </c>
      <c r="AS817">
        <v>1292.0832795957058</v>
      </c>
      <c r="AT817">
        <v>70.452039369715237</v>
      </c>
      <c r="AU817">
        <v>76.99785803098699</v>
      </c>
      <c r="AV817"/>
      <c r="AW817"/>
      <c r="FY817" s="211">
        <v>812</v>
      </c>
      <c r="FZ817">
        <v>129.46473932507786</v>
      </c>
      <c r="GA817">
        <v>178.2198247353594</v>
      </c>
      <c r="GB817">
        <v>43.668361311087345</v>
      </c>
      <c r="GC817">
        <v>43.199924439347278</v>
      </c>
      <c r="GD817">
        <v>50.088165729956252</v>
      </c>
      <c r="GE817">
        <v>72.936983929246466</v>
      </c>
      <c r="GF817">
        <v>52.947244276163637</v>
      </c>
      <c r="GG817">
        <v>45.696684667130697</v>
      </c>
      <c r="GH817">
        <v>66.950926039637736</v>
      </c>
      <c r="GI817">
        <v>86.47972976588045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239.45863622427478</v>
      </c>
      <c r="AO818">
        <v>145.31363465904764</v>
      </c>
      <c r="AP818">
        <v>666.89168527386039</v>
      </c>
      <c r="AQ818">
        <v>793.11856807321794</v>
      </c>
      <c r="AR818">
        <v>136.14124128848914</v>
      </c>
      <c r="AS818">
        <v>1305.7719635978669</v>
      </c>
      <c r="AT818">
        <v>74.980987295404233</v>
      </c>
      <c r="AU818">
        <v>163.32197841690555</v>
      </c>
      <c r="AV818"/>
      <c r="AW818"/>
      <c r="FY818" s="211">
        <v>813</v>
      </c>
      <c r="FZ818">
        <v>125.93309502692226</v>
      </c>
      <c r="GA818">
        <v>171.05862658323923</v>
      </c>
      <c r="GB818">
        <v>49.097605669665867</v>
      </c>
      <c r="GC818">
        <v>33.456725838710597</v>
      </c>
      <c r="GD818">
        <v>31.78559744298067</v>
      </c>
      <c r="GE818">
        <v>51.759904452666746</v>
      </c>
      <c r="GF818">
        <v>65.216643791801474</v>
      </c>
      <c r="GG818">
        <v>62.755755463591548</v>
      </c>
      <c r="GH818">
        <v>56.225856370216931</v>
      </c>
      <c r="GI818">
        <v>75.443205310066972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284.88560444575296</v>
      </c>
      <c r="AO819">
        <v>170.97336897434843</v>
      </c>
      <c r="AP819">
        <v>748.6181028399767</v>
      </c>
      <c r="AQ819">
        <v>944.1085061607306</v>
      </c>
      <c r="AR819">
        <v>161.20215601514809</v>
      </c>
      <c r="AS819">
        <v>1633.6465909321757</v>
      </c>
      <c r="AT819">
        <v>89.232692621971466</v>
      </c>
      <c r="AU819">
        <v>45.446992642833386</v>
      </c>
      <c r="AV819"/>
      <c r="AW819"/>
      <c r="FY819" s="211">
        <v>814</v>
      </c>
      <c r="FZ819">
        <v>139.26117838438896</v>
      </c>
      <c r="GA819">
        <v>182.50805398214158</v>
      </c>
      <c r="GB819">
        <v>62.854513334767887</v>
      </c>
      <c r="GC819">
        <v>40.214597998317366</v>
      </c>
      <c r="GD819">
        <v>41.101033186887406</v>
      </c>
      <c r="GE819">
        <v>84.245919011116712</v>
      </c>
      <c r="GF819">
        <v>96.491390978858462</v>
      </c>
      <c r="GG819">
        <v>57.000435981933407</v>
      </c>
      <c r="GH819">
        <v>62.117728032794496</v>
      </c>
      <c r="GI819">
        <v>96.736000310883199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285.19580438197693</v>
      </c>
      <c r="AO820">
        <v>152.88732154467476</v>
      </c>
      <c r="AP820">
        <v>554.8394973827385</v>
      </c>
      <c r="AQ820">
        <v>898.33750506500655</v>
      </c>
      <c r="AR820">
        <v>144.67771126909838</v>
      </c>
      <c r="AS820">
        <v>1396.3685396137691</v>
      </c>
      <c r="AT820">
        <v>75.896470713513409</v>
      </c>
      <c r="AU820">
        <v>175.09027052270031</v>
      </c>
      <c r="AV820"/>
      <c r="AW820"/>
      <c r="FY820" s="211">
        <v>815</v>
      </c>
      <c r="FZ820">
        <v>87.514415208854444</v>
      </c>
      <c r="GA820">
        <v>151.91452016741491</v>
      </c>
      <c r="GB820">
        <v>56.048125230299043</v>
      </c>
      <c r="GC820">
        <v>32.374692649074994</v>
      </c>
      <c r="GD820">
        <v>40.27755849120787</v>
      </c>
      <c r="GE820">
        <v>94.134567940810967</v>
      </c>
      <c r="GF820">
        <v>87.569315267814389</v>
      </c>
      <c r="GG820">
        <v>11.636623797958903</v>
      </c>
      <c r="GH820">
        <v>29.719386378742524</v>
      </c>
      <c r="GI820">
        <v>78.939039284736779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334.80165038298082</v>
      </c>
      <c r="AO821">
        <v>146.83357141138632</v>
      </c>
      <c r="AP821">
        <v>613.66149765180091</v>
      </c>
      <c r="AQ821">
        <v>772.01536878914499</v>
      </c>
      <c r="AR821">
        <v>138.50641299278749</v>
      </c>
      <c r="AS821">
        <v>1674.3873621074845</v>
      </c>
      <c r="AT821">
        <v>67.616260555145544</v>
      </c>
      <c r="AU821">
        <v>-169.94673381125426</v>
      </c>
      <c r="AV821"/>
      <c r="AW821"/>
      <c r="FY821" s="211">
        <v>816</v>
      </c>
      <c r="FZ821">
        <v>107.33883111140075</v>
      </c>
      <c r="GA821">
        <v>136.60763594505195</v>
      </c>
      <c r="GB821">
        <v>49.333044543441545</v>
      </c>
      <c r="GC821">
        <v>39.112926310426104</v>
      </c>
      <c r="GD821">
        <v>29.965362324167192</v>
      </c>
      <c r="GE821">
        <v>64.938917257280409</v>
      </c>
      <c r="GF821">
        <v>101.95668876452824</v>
      </c>
      <c r="GG821">
        <v>92.533551809659642</v>
      </c>
      <c r="GH821">
        <v>103.34431678978477</v>
      </c>
      <c r="GI821">
        <v>88.247026654005012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252.79661329136474</v>
      </c>
      <c r="AO822">
        <v>135.02023153434203</v>
      </c>
      <c r="AP822">
        <v>629.53117371364954</v>
      </c>
      <c r="AQ822">
        <v>769.4640960002223</v>
      </c>
      <c r="AR822">
        <v>126.6587701338171</v>
      </c>
      <c r="AS822">
        <v>1340.6015271693282</v>
      </c>
      <c r="AT822">
        <v>65.19902627112468</v>
      </c>
      <c r="AU822">
        <v>173.29181463908984</v>
      </c>
      <c r="AV822"/>
      <c r="AW822"/>
      <c r="FY822" s="211">
        <v>817</v>
      </c>
      <c r="FZ822">
        <v>131.18623756606021</v>
      </c>
      <c r="GA822">
        <v>167.26996837518396</v>
      </c>
      <c r="GB822">
        <v>60.896278444367184</v>
      </c>
      <c r="GC822">
        <v>60.329876257403384</v>
      </c>
      <c r="GD822">
        <v>44.127717732900571</v>
      </c>
      <c r="GE822">
        <v>51.918401712114928</v>
      </c>
      <c r="GF822">
        <v>115.0557725526925</v>
      </c>
      <c r="GG822">
        <v>73.079246045034267</v>
      </c>
      <c r="GH822">
        <v>20.60735023267797</v>
      </c>
      <c r="GI822">
        <v>92.236936955837194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243.77101176178684</v>
      </c>
      <c r="AO823">
        <v>136.73869193523637</v>
      </c>
      <c r="AP823">
        <v>477.14965732139092</v>
      </c>
      <c r="AQ823">
        <v>816.10840671001404</v>
      </c>
      <c r="AR823">
        <v>131.04761971013204</v>
      </c>
      <c r="AS823">
        <v>1304.8327791003437</v>
      </c>
      <c r="AT823">
        <v>70.953852529780562</v>
      </c>
      <c r="AU823">
        <v>45.82472231695121</v>
      </c>
      <c r="AV823"/>
      <c r="AW823"/>
      <c r="FY823" s="211">
        <v>818</v>
      </c>
      <c r="FZ823">
        <v>119.37396967121495</v>
      </c>
      <c r="GA823">
        <v>163.46093627149085</v>
      </c>
      <c r="GB823">
        <v>51.776228268013824</v>
      </c>
      <c r="GC823">
        <v>40.415272025967028</v>
      </c>
      <c r="GD823">
        <v>25.279938699283214</v>
      </c>
      <c r="GE823">
        <v>44.098537494346374</v>
      </c>
      <c r="GF823">
        <v>97.668141107559364</v>
      </c>
      <c r="GG823">
        <v>85.244750254757605</v>
      </c>
      <c r="GH823">
        <v>86.381761959943219</v>
      </c>
      <c r="GI823">
        <v>83.608342328527513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229.83366644588335</v>
      </c>
      <c r="AO824">
        <v>118.13086301330459</v>
      </c>
      <c r="AP824">
        <v>654.44971820813248</v>
      </c>
      <c r="AQ824">
        <v>606.60128267446566</v>
      </c>
      <c r="AR824">
        <v>111.16405322911793</v>
      </c>
      <c r="AS824">
        <v>1139.3165378275085</v>
      </c>
      <c r="AT824">
        <v>55.164378675508225</v>
      </c>
      <c r="AU824">
        <v>224.49331454226879</v>
      </c>
      <c r="AV824"/>
      <c r="AW824"/>
      <c r="FY824" s="211">
        <v>819</v>
      </c>
      <c r="FZ824">
        <v>99.257732704601949</v>
      </c>
      <c r="GA824">
        <v>137.39083257494406</v>
      </c>
      <c r="GB824">
        <v>52.630310150375941</v>
      </c>
      <c r="GC824">
        <v>45.96434845711935</v>
      </c>
      <c r="GD824">
        <v>40.226464913651597</v>
      </c>
      <c r="GE824">
        <v>61.956023412507484</v>
      </c>
      <c r="GF824">
        <v>82.595455710936477</v>
      </c>
      <c r="GG824">
        <v>70.310333646126466</v>
      </c>
      <c r="GH824">
        <v>69.532121026806223</v>
      </c>
      <c r="GI824">
        <v>84.081290347843307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247.79598768022728</v>
      </c>
      <c r="AO825">
        <v>150.17805475835934</v>
      </c>
      <c r="AP825">
        <v>565.71982607361429</v>
      </c>
      <c r="AQ825">
        <v>810.15651156144315</v>
      </c>
      <c r="AR825">
        <v>140.61772301158609</v>
      </c>
      <c r="AS825">
        <v>1394.0845749662426</v>
      </c>
      <c r="AT825">
        <v>69.08949909231626</v>
      </c>
      <c r="AU825">
        <v>130.8099706008208</v>
      </c>
      <c r="AV825"/>
      <c r="AW825"/>
      <c r="FY825" s="211">
        <v>820</v>
      </c>
      <c r="FZ825">
        <v>106.58546765378712</v>
      </c>
      <c r="GA825">
        <v>143.4737692117892</v>
      </c>
      <c r="GB825">
        <v>42.65161453358057</v>
      </c>
      <c r="GC825">
        <v>33.61891584735293</v>
      </c>
      <c r="GD825">
        <v>26.21377139229449</v>
      </c>
      <c r="GE825">
        <v>44.349101812512359</v>
      </c>
      <c r="GF825">
        <v>86.156542574170388</v>
      </c>
      <c r="GG825">
        <v>75.594194800893447</v>
      </c>
      <c r="GH825">
        <v>70.836751331918094</v>
      </c>
      <c r="GI825">
        <v>74.145030523013986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291.30289576731377</v>
      </c>
      <c r="AO826">
        <v>144.55689717011552</v>
      </c>
      <c r="AP826">
        <v>585.33082816050751</v>
      </c>
      <c r="AQ826">
        <v>819.15042856090429</v>
      </c>
      <c r="AR826">
        <v>138.25110603521443</v>
      </c>
      <c r="AS826">
        <v>1488.8502756173702</v>
      </c>
      <c r="AT826">
        <v>74.490967114941398</v>
      </c>
      <c r="AU826">
        <v>163.35430530223601</v>
      </c>
      <c r="AV826"/>
      <c r="AW826"/>
      <c r="FY826" s="211">
        <v>821</v>
      </c>
      <c r="FZ826">
        <v>114.49537027641045</v>
      </c>
      <c r="GA826">
        <v>154.580399956733</v>
      </c>
      <c r="GB826">
        <v>64.004559272103435</v>
      </c>
      <c r="GC826">
        <v>43.878757823967725</v>
      </c>
      <c r="GD826">
        <v>26.403431651750015</v>
      </c>
      <c r="GE826">
        <v>57.341849974332135</v>
      </c>
      <c r="GF826">
        <v>106.81829174494356</v>
      </c>
      <c r="GG826">
        <v>55.826260018309554</v>
      </c>
      <c r="GH826">
        <v>35.677696865602805</v>
      </c>
      <c r="GI826">
        <v>80.573475820072304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249.21683593896242</v>
      </c>
      <c r="AO827">
        <v>150.54728020566688</v>
      </c>
      <c r="AP827">
        <v>807.08804709352376</v>
      </c>
      <c r="AQ827">
        <v>840.86206145498466</v>
      </c>
      <c r="AR827">
        <v>141.11498546195702</v>
      </c>
      <c r="AS827">
        <v>1274.186521114279</v>
      </c>
      <c r="AT827">
        <v>76.25481474336091</v>
      </c>
      <c r="AU827">
        <v>94.035808155883018</v>
      </c>
      <c r="AV827"/>
      <c r="AW827"/>
      <c r="FY827" s="211">
        <v>822</v>
      </c>
      <c r="FZ827">
        <v>100.49708466276371</v>
      </c>
      <c r="GA827">
        <v>137.53005679318096</v>
      </c>
      <c r="GB827">
        <v>56.668426669375563</v>
      </c>
      <c r="GC827">
        <v>48.720646821975492</v>
      </c>
      <c r="GD827">
        <v>39.979131691035342</v>
      </c>
      <c r="GE827">
        <v>69.007238821426441</v>
      </c>
      <c r="GF827">
        <v>125.54175840689534</v>
      </c>
      <c r="GG827">
        <v>71.869745179391856</v>
      </c>
      <c r="GH827">
        <v>34.993971346223482</v>
      </c>
      <c r="GI827">
        <v>89.299251327671541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253.85682417231834</v>
      </c>
      <c r="AO828">
        <v>138.0680378059825</v>
      </c>
      <c r="AP828">
        <v>630.02662370209782</v>
      </c>
      <c r="AQ828">
        <v>769.65258421888711</v>
      </c>
      <c r="AR828">
        <v>129.67069006718177</v>
      </c>
      <c r="AS828">
        <v>1310.6051664206445</v>
      </c>
      <c r="AT828">
        <v>69.087615118551895</v>
      </c>
      <c r="AU828">
        <v>98.175163231895368</v>
      </c>
      <c r="AV828"/>
      <c r="AW828"/>
      <c r="FY828" s="211">
        <v>823</v>
      </c>
      <c r="FZ828">
        <v>143.55020128364842</v>
      </c>
      <c r="GA828">
        <v>154.45398385470054</v>
      </c>
      <c r="GB828">
        <v>46.934959972364439</v>
      </c>
      <c r="GC828">
        <v>41.790269946860789</v>
      </c>
      <c r="GD828">
        <v>45.065347546175545</v>
      </c>
      <c r="GE828">
        <v>84.574281688527392</v>
      </c>
      <c r="GF828">
        <v>99.501403521726587</v>
      </c>
      <c r="GG828">
        <v>63.497189367539747</v>
      </c>
      <c r="GH828">
        <v>53.656283190338208</v>
      </c>
      <c r="GI828">
        <v>92.989086500608551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255.5119048727567</v>
      </c>
      <c r="AO829">
        <v>120.26386568835824</v>
      </c>
      <c r="AP829">
        <v>465.88557669584009</v>
      </c>
      <c r="AQ829">
        <v>722.73301594986231</v>
      </c>
      <c r="AR829">
        <v>112.81587590986572</v>
      </c>
      <c r="AS829">
        <v>1144.8673281558099</v>
      </c>
      <c r="AT829">
        <v>57.211257175179156</v>
      </c>
      <c r="AU829">
        <v>52.55939560923705</v>
      </c>
      <c r="AV829"/>
      <c r="AW829"/>
      <c r="FY829" s="211">
        <v>824</v>
      </c>
      <c r="FZ829">
        <v>96.11263656834339</v>
      </c>
      <c r="GA829">
        <v>137.840572303637</v>
      </c>
      <c r="GB829">
        <v>54.012939608049237</v>
      </c>
      <c r="GC829">
        <v>38.612427795154808</v>
      </c>
      <c r="GD829">
        <v>34.346362899683548</v>
      </c>
      <c r="GE829">
        <v>44.560846683942671</v>
      </c>
      <c r="GF829">
        <v>71.922877079012466</v>
      </c>
      <c r="GG829">
        <v>102.45311317482719</v>
      </c>
      <c r="GH829">
        <v>92.745207320246749</v>
      </c>
      <c r="GI829">
        <v>81.439256015087011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251.48365175594864</v>
      </c>
      <c r="AO830">
        <v>154.38195000300237</v>
      </c>
      <c r="AP830">
        <v>573.04189578541411</v>
      </c>
      <c r="AQ830">
        <v>862.53085120208948</v>
      </c>
      <c r="AR830">
        <v>146.91738232834501</v>
      </c>
      <c r="AS830">
        <v>1278.9957614970717</v>
      </c>
      <c r="AT830">
        <v>74.23196651809593</v>
      </c>
      <c r="AU830">
        <v>267.11235066155575</v>
      </c>
      <c r="AV830"/>
      <c r="AW830"/>
      <c r="FY830" s="211">
        <v>825</v>
      </c>
      <c r="FZ830">
        <v>96.778069581481105</v>
      </c>
      <c r="GA830">
        <v>122.4716897821433</v>
      </c>
      <c r="GB830">
        <v>48.15501849905435</v>
      </c>
      <c r="GC830">
        <v>46.059344663112007</v>
      </c>
      <c r="GD830">
        <v>43.773276797313571</v>
      </c>
      <c r="GE830">
        <v>74.5816442445403</v>
      </c>
      <c r="GF830">
        <v>95.397159550039234</v>
      </c>
      <c r="GG830">
        <v>81.424134720451448</v>
      </c>
      <c r="GH830">
        <v>87.280979415049174</v>
      </c>
      <c r="GI830">
        <v>91.173939133426373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258.54580443623428</v>
      </c>
      <c r="AO831">
        <v>124.39789330229851</v>
      </c>
      <c r="AP831">
        <v>495.79700028652672</v>
      </c>
      <c r="AQ831">
        <v>670.12824441691487</v>
      </c>
      <c r="AR831">
        <v>118.02149985913989</v>
      </c>
      <c r="AS831">
        <v>1285.6565971786977</v>
      </c>
      <c r="AT831">
        <v>55.526814734145709</v>
      </c>
      <c r="AU831">
        <v>51.737151555711776</v>
      </c>
      <c r="AV831"/>
      <c r="AW831"/>
      <c r="FY831" s="211">
        <v>826</v>
      </c>
      <c r="FZ831">
        <v>117.5356174468922</v>
      </c>
      <c r="GA831">
        <v>183.78504316714924</v>
      </c>
      <c r="GB831">
        <v>62.141683733943921</v>
      </c>
      <c r="GC831">
        <v>39.476206060936214</v>
      </c>
      <c r="GD831">
        <v>37.438774256061777</v>
      </c>
      <c r="GE831">
        <v>48.073185132613261</v>
      </c>
      <c r="GF831">
        <v>77.11391014708569</v>
      </c>
      <c r="GG831">
        <v>67.038073623566575</v>
      </c>
      <c r="GH831">
        <v>42.932691360980222</v>
      </c>
      <c r="GI831">
        <v>82.064143688356609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233.32786591825521</v>
      </c>
      <c r="AO832">
        <v>143.0682312302784</v>
      </c>
      <c r="AP832">
        <v>560.66463378816536</v>
      </c>
      <c r="AQ832">
        <v>813.37830150974571</v>
      </c>
      <c r="AR832">
        <v>134.2692869914633</v>
      </c>
      <c r="AS832">
        <v>1335.5730384678541</v>
      </c>
      <c r="AT832">
        <v>68.927853980286542</v>
      </c>
      <c r="AU832">
        <v>146.98575793509181</v>
      </c>
      <c r="AV832"/>
      <c r="AW832"/>
      <c r="FY832" s="211">
        <v>827</v>
      </c>
      <c r="FZ832">
        <v>131.73917918305298</v>
      </c>
      <c r="GA832">
        <v>176.919671241766</v>
      </c>
      <c r="GB832">
        <v>62.677061568170679</v>
      </c>
      <c r="GC832">
        <v>40.551810024789255</v>
      </c>
      <c r="GD832">
        <v>47.93733878957152</v>
      </c>
      <c r="GE832">
        <v>94.794527331189755</v>
      </c>
      <c r="GF832">
        <v>91.801627852522557</v>
      </c>
      <c r="GG832">
        <v>35.046416623545895</v>
      </c>
      <c r="GH832">
        <v>38.377266140759858</v>
      </c>
      <c r="GI832">
        <v>94.450842844612254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301.7352468973753</v>
      </c>
      <c r="AO833">
        <v>143.96296649053562</v>
      </c>
      <c r="AP833">
        <v>543.81366690419463</v>
      </c>
      <c r="AQ833">
        <v>816.70778587427208</v>
      </c>
      <c r="AR833">
        <v>135.84455900173376</v>
      </c>
      <c r="AS833">
        <v>1460.6908415141522</v>
      </c>
      <c r="AT833">
        <v>70.807803555653038</v>
      </c>
      <c r="AU833">
        <v>90.983945987586509</v>
      </c>
      <c r="AV833"/>
      <c r="AW833"/>
      <c r="FY833" s="211">
        <v>828</v>
      </c>
      <c r="FZ833">
        <v>95.229267193785901</v>
      </c>
      <c r="GA833">
        <v>122.46170446692155</v>
      </c>
      <c r="GB833">
        <v>52.074137307587698</v>
      </c>
      <c r="GC833">
        <v>48.963067614921499</v>
      </c>
      <c r="GD833">
        <v>43.131981439590831</v>
      </c>
      <c r="GE833">
        <v>66.488647016419023</v>
      </c>
      <c r="GF833">
        <v>72.972658565674749</v>
      </c>
      <c r="GG833">
        <v>108.78716816257851</v>
      </c>
      <c r="GH833">
        <v>131.31456812764225</v>
      </c>
      <c r="GI833">
        <v>93.399120781417039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241.86130255515792</v>
      </c>
      <c r="AO834">
        <v>135.17495315557989</v>
      </c>
      <c r="AP834">
        <v>638.43772508965958</v>
      </c>
      <c r="AQ834">
        <v>797.30787808110392</v>
      </c>
      <c r="AR834">
        <v>127.2459943323713</v>
      </c>
      <c r="AS834">
        <v>1282.185513551017</v>
      </c>
      <c r="AT834">
        <v>69.268296575859111</v>
      </c>
      <c r="AU834">
        <v>90.475217850852346</v>
      </c>
      <c r="AV834"/>
      <c r="AW834"/>
      <c r="FY834" s="211">
        <v>829</v>
      </c>
      <c r="FZ834">
        <v>130.96240794030103</v>
      </c>
      <c r="GA834">
        <v>134.05572514889593</v>
      </c>
      <c r="GB834">
        <v>41.45811323878447</v>
      </c>
      <c r="GC834">
        <v>38.885511857099587</v>
      </c>
      <c r="GD834">
        <v>47.070436796568586</v>
      </c>
      <c r="GE834">
        <v>67.713639744567502</v>
      </c>
      <c r="GF834">
        <v>43.294095130103848</v>
      </c>
      <c r="GG834">
        <v>68.577670041319053</v>
      </c>
      <c r="GH834">
        <v>87.904499410303615</v>
      </c>
      <c r="GI834">
        <v>84.415428397728888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256.40817956583425</v>
      </c>
      <c r="AO835">
        <v>133.53869067153749</v>
      </c>
      <c r="AP835">
        <v>506.88411185062182</v>
      </c>
      <c r="AQ835">
        <v>743.94491294491274</v>
      </c>
      <c r="AR835">
        <v>125.96436503239779</v>
      </c>
      <c r="AS835">
        <v>1216.2035656305663</v>
      </c>
      <c r="AT835">
        <v>61.596937801703461</v>
      </c>
      <c r="AU835">
        <v>86.404446544246454</v>
      </c>
      <c r="AV835"/>
      <c r="AW835"/>
      <c r="FY835" s="211">
        <v>830</v>
      </c>
      <c r="FZ835">
        <v>95.734934697583938</v>
      </c>
      <c r="GA835">
        <v>128.74625559338415</v>
      </c>
      <c r="GB835">
        <v>44.391770591213884</v>
      </c>
      <c r="GC835">
        <v>41.892603630537096</v>
      </c>
      <c r="GD835">
        <v>42.110958697609803</v>
      </c>
      <c r="GE835">
        <v>83.87215053794759</v>
      </c>
      <c r="GF835">
        <v>92.567645126387092</v>
      </c>
      <c r="GG835">
        <v>53.367493019625428</v>
      </c>
      <c r="GH835">
        <v>62.941283258092341</v>
      </c>
      <c r="GI835">
        <v>83.92546533497746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217.16622629938237</v>
      </c>
      <c r="AO836">
        <v>118.01321355451304</v>
      </c>
      <c r="AP836">
        <v>466.5377310132144</v>
      </c>
      <c r="AQ836">
        <v>703.62515968131265</v>
      </c>
      <c r="AR836">
        <v>111.88779554356131</v>
      </c>
      <c r="AS836">
        <v>1108.8450628931919</v>
      </c>
      <c r="AT836">
        <v>57.705084166358354</v>
      </c>
      <c r="AU836">
        <v>100.65214422962464</v>
      </c>
      <c r="AV836"/>
      <c r="AW836"/>
      <c r="FY836" s="211">
        <v>831</v>
      </c>
      <c r="FZ836">
        <v>109.42372248213394</v>
      </c>
      <c r="GA836">
        <v>134.46634293622037</v>
      </c>
      <c r="GB836">
        <v>61.473925637868874</v>
      </c>
      <c r="GC836">
        <v>57.437575234322217</v>
      </c>
      <c r="GD836">
        <v>71.107365287132353</v>
      </c>
      <c r="GE836">
        <v>112.86554008829872</v>
      </c>
      <c r="GF836">
        <v>119.70023931596502</v>
      </c>
      <c r="GG836">
        <v>120.90010994442048</v>
      </c>
      <c r="GH836">
        <v>79.863662041252056</v>
      </c>
      <c r="GI836">
        <v>118.87011967830078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223.40630493469126</v>
      </c>
      <c r="AO837">
        <v>129.79856283813251</v>
      </c>
      <c r="AP837">
        <v>511.91558849086448</v>
      </c>
      <c r="AQ837">
        <v>739.60009340422494</v>
      </c>
      <c r="AR837">
        <v>121.73369056138463</v>
      </c>
      <c r="AS837">
        <v>1323.3618170842201</v>
      </c>
      <c r="AT837">
        <v>60.116594582411516</v>
      </c>
      <c r="AU837">
        <v>124.53133450367136</v>
      </c>
      <c r="AV837"/>
      <c r="AW837"/>
      <c r="FY837" s="211">
        <v>832</v>
      </c>
      <c r="FZ837">
        <v>108.62762907722328</v>
      </c>
      <c r="GA837">
        <v>122.92976469070915</v>
      </c>
      <c r="GB837">
        <v>32.262898594612466</v>
      </c>
      <c r="GC837">
        <v>28.946406232955965</v>
      </c>
      <c r="GD837">
        <v>32.126583242925847</v>
      </c>
      <c r="GE837">
        <v>59.343735282848613</v>
      </c>
      <c r="GF837">
        <v>91.929605117864696</v>
      </c>
      <c r="GG837">
        <v>70.840765336015792</v>
      </c>
      <c r="GH837">
        <v>49.511354041074547</v>
      </c>
      <c r="GI837">
        <v>73.533849189630132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303.82503153157103</v>
      </c>
      <c r="AO838">
        <v>141.10168669507101</v>
      </c>
      <c r="AP838">
        <v>545.54473383343236</v>
      </c>
      <c r="AQ838">
        <v>774.10731171993973</v>
      </c>
      <c r="AR838">
        <v>132.91700425998786</v>
      </c>
      <c r="AS838">
        <v>1442.0164996447995</v>
      </c>
      <c r="AT838">
        <v>61.591285822408402</v>
      </c>
      <c r="AU838">
        <v>146.20161258332075</v>
      </c>
      <c r="AV838"/>
      <c r="AW838"/>
      <c r="FY838" s="211">
        <v>833</v>
      </c>
      <c r="FZ838">
        <v>138.4932868544193</v>
      </c>
      <c r="GA838">
        <v>157.95599705894708</v>
      </c>
      <c r="GB838">
        <v>59.64938634439887</v>
      </c>
      <c r="GC838">
        <v>51.180238377512829</v>
      </c>
      <c r="GD838">
        <v>48.285891678042901</v>
      </c>
      <c r="GE838">
        <v>80.740202140187364</v>
      </c>
      <c r="GF838">
        <v>104.09640476375203</v>
      </c>
      <c r="GG838">
        <v>39.880743838452496</v>
      </c>
      <c r="GH838">
        <v>8.9601051387534483</v>
      </c>
      <c r="GI838">
        <v>93.060436835927206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259.15235428922034</v>
      </c>
      <c r="AO839">
        <v>145.29654590710169</v>
      </c>
      <c r="AP839">
        <v>526.86466834736393</v>
      </c>
      <c r="AQ839">
        <v>826.01300687249011</v>
      </c>
      <c r="AR839">
        <v>138.7925460672418</v>
      </c>
      <c r="AS839">
        <v>1642.1804691987631</v>
      </c>
      <c r="AT839">
        <v>69.652270820651452</v>
      </c>
      <c r="AU839">
        <v>115.04583656458277</v>
      </c>
      <c r="AV839"/>
      <c r="AW839"/>
      <c r="FY839" s="211">
        <v>834</v>
      </c>
      <c r="FZ839">
        <v>83.151661957896408</v>
      </c>
      <c r="GA839">
        <v>111.2708807136864</v>
      </c>
      <c r="GB839">
        <v>37.461196816310732</v>
      </c>
      <c r="GC839">
        <v>42.932882051385469</v>
      </c>
      <c r="GD839">
        <v>42.902437304242056</v>
      </c>
      <c r="GE839">
        <v>80.362390625511523</v>
      </c>
      <c r="GF839">
        <v>107.37661777145935</v>
      </c>
      <c r="GG839">
        <v>76.812990080262182</v>
      </c>
      <c r="GH839">
        <v>79.53521248988136</v>
      </c>
      <c r="GI839">
        <v>88.367136123948399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236.29437075384925</v>
      </c>
      <c r="AO840">
        <v>129.12659458781448</v>
      </c>
      <c r="AP840">
        <v>495.48790721674038</v>
      </c>
      <c r="AQ840">
        <v>754.04623944798414</v>
      </c>
      <c r="AR840">
        <v>121.9066447754535</v>
      </c>
      <c r="AS840">
        <v>1289.0348944489394</v>
      </c>
      <c r="AT840">
        <v>65.477695420180638</v>
      </c>
      <c r="AU840">
        <v>236.66448381460052</v>
      </c>
      <c r="AV840"/>
      <c r="AW840"/>
      <c r="FY840" s="211">
        <v>835</v>
      </c>
      <c r="FZ840">
        <v>135.39119409952525</v>
      </c>
      <c r="GA840">
        <v>138.0674869500715</v>
      </c>
      <c r="GB840">
        <v>53.446061204201285</v>
      </c>
      <c r="GC840">
        <v>48.572711453686892</v>
      </c>
      <c r="GD840">
        <v>45.078655765751236</v>
      </c>
      <c r="GE840">
        <v>74.2359717535724</v>
      </c>
      <c r="GF840">
        <v>129.99000868262652</v>
      </c>
      <c r="GG840">
        <v>94.990630741117315</v>
      </c>
      <c r="GH840">
        <v>37.576438860312777</v>
      </c>
      <c r="GI840">
        <v>99.168538016471501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257.46676426170586</v>
      </c>
      <c r="AO841">
        <v>145.20818323567863</v>
      </c>
      <c r="AP841">
        <v>667.28998852896484</v>
      </c>
      <c r="AQ841">
        <v>787.09525638661091</v>
      </c>
      <c r="AR841">
        <v>137.06093443718399</v>
      </c>
      <c r="AS841">
        <v>1379.2306712212085</v>
      </c>
      <c r="AT841">
        <v>72.291822621613179</v>
      </c>
      <c r="AU841">
        <v>148.41041794636325</v>
      </c>
      <c r="AV841"/>
      <c r="AW841"/>
      <c r="FY841" s="211">
        <v>836</v>
      </c>
      <c r="FZ841">
        <v>137.82233583221608</v>
      </c>
      <c r="GA841">
        <v>122.33690359701757</v>
      </c>
      <c r="GB841">
        <v>38.611836180377047</v>
      </c>
      <c r="GC841">
        <v>48.460352377090913</v>
      </c>
      <c r="GD841">
        <v>39.310326814449404</v>
      </c>
      <c r="GE841">
        <v>55.55822123072484</v>
      </c>
      <c r="GF841">
        <v>63.041755398096392</v>
      </c>
      <c r="GG841">
        <v>55.529911965139789</v>
      </c>
      <c r="GH841">
        <v>76.840536971394073</v>
      </c>
      <c r="GI841">
        <v>82.712749381722432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240.16045669436522</v>
      </c>
      <c r="AO842">
        <v>129.43599476995271</v>
      </c>
      <c r="AP842">
        <v>394.84895896188561</v>
      </c>
      <c r="AQ842">
        <v>757.59932861758568</v>
      </c>
      <c r="AR842">
        <v>123.18467233619494</v>
      </c>
      <c r="AS842">
        <v>1227.3484040942437</v>
      </c>
      <c r="AT842">
        <v>59.228135188752077</v>
      </c>
      <c r="AU842">
        <v>63.536950571858831</v>
      </c>
      <c r="AV842"/>
      <c r="AW842"/>
      <c r="FY842" s="211">
        <v>837</v>
      </c>
      <c r="FZ842">
        <v>116.52322659057609</v>
      </c>
      <c r="GA842">
        <v>111.23090549017611</v>
      </c>
      <c r="GB842">
        <v>48.953495534855968</v>
      </c>
      <c r="GC842">
        <v>51.986975224985983</v>
      </c>
      <c r="GD842">
        <v>31.014357148507823</v>
      </c>
      <c r="GE842">
        <v>58.025294175082145</v>
      </c>
      <c r="GF842">
        <v>116.68678164060181</v>
      </c>
      <c r="GG842">
        <v>60.36461016829859</v>
      </c>
      <c r="GH842">
        <v>47.079976455923671</v>
      </c>
      <c r="GI842">
        <v>84.174919432451532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283.05661147482681</v>
      </c>
      <c r="AO843">
        <v>148.22851722300297</v>
      </c>
      <c r="AP843">
        <v>503.23909656242319</v>
      </c>
      <c r="AQ843">
        <v>814.29574159998072</v>
      </c>
      <c r="AR843">
        <v>141.9876305304787</v>
      </c>
      <c r="AS843">
        <v>1498.7377952589063</v>
      </c>
      <c r="AT843">
        <v>66.957129312538143</v>
      </c>
      <c r="AU843">
        <v>119.30803297827809</v>
      </c>
      <c r="AV843"/>
      <c r="AW843"/>
      <c r="FY843" s="211">
        <v>838</v>
      </c>
      <c r="FZ843">
        <v>131.7982886718689</v>
      </c>
      <c r="GA843">
        <v>141.90601405635459</v>
      </c>
      <c r="GB843">
        <v>48.451745888248084</v>
      </c>
      <c r="GC843">
        <v>39.595586830687985</v>
      </c>
      <c r="GD843">
        <v>42.671177474989534</v>
      </c>
      <c r="GE843">
        <v>90.18379593294064</v>
      </c>
      <c r="GF843">
        <v>103.78066185567678</v>
      </c>
      <c r="GG843">
        <v>27.447352974216585</v>
      </c>
      <c r="GH843">
        <v>8.7901842133701606</v>
      </c>
      <c r="GI843">
        <v>84.059377230920347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263.06686238684915</v>
      </c>
      <c r="AO844">
        <v>151.51866023201652</v>
      </c>
      <c r="AP844">
        <v>586.29652600366705</v>
      </c>
      <c r="AQ844">
        <v>834.82232067653911</v>
      </c>
      <c r="AR844">
        <v>141.25082173335034</v>
      </c>
      <c r="AS844">
        <v>1436.0096357475622</v>
      </c>
      <c r="AT844">
        <v>77.362707202485424</v>
      </c>
      <c r="AU844">
        <v>66.563940709040637</v>
      </c>
      <c r="AV844"/>
      <c r="AW844"/>
      <c r="FY844" s="211">
        <v>839</v>
      </c>
      <c r="FZ844">
        <v>120.08027473934632</v>
      </c>
      <c r="GA844">
        <v>138.2795654033944</v>
      </c>
      <c r="GB844">
        <v>49.90811694962467</v>
      </c>
      <c r="GC844">
        <v>37.882136180042778</v>
      </c>
      <c r="GD844">
        <v>40.579492126624139</v>
      </c>
      <c r="GE844">
        <v>90.037221440805126</v>
      </c>
      <c r="GF844">
        <v>151.03635150275872</v>
      </c>
      <c r="GG844">
        <v>145.01589361057739</v>
      </c>
      <c r="GH844">
        <v>136.15816556637938</v>
      </c>
      <c r="GI844">
        <v>115.37626624851545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274.56113442191855</v>
      </c>
      <c r="AO845">
        <v>131.46009675557286</v>
      </c>
      <c r="AP845">
        <v>562.24491063068558</v>
      </c>
      <c r="AQ845">
        <v>744.33752770567253</v>
      </c>
      <c r="AR845">
        <v>126.1613350905174</v>
      </c>
      <c r="AS845">
        <v>1440.0459130751285</v>
      </c>
      <c r="AT845">
        <v>66.065014878645641</v>
      </c>
      <c r="AU845">
        <v>343.80981322814836</v>
      </c>
      <c r="AV845"/>
      <c r="AW845"/>
      <c r="FY845" s="211">
        <v>840</v>
      </c>
      <c r="FZ845">
        <v>122.16251075561696</v>
      </c>
      <c r="GA845">
        <v>147.59425299049201</v>
      </c>
      <c r="GB845">
        <v>53.964865751513017</v>
      </c>
      <c r="GC845">
        <v>53.334754817829889</v>
      </c>
      <c r="GD845">
        <v>52.709386185274603</v>
      </c>
      <c r="GE845">
        <v>91.004451399646541</v>
      </c>
      <c r="GF845">
        <v>90.674941761176541</v>
      </c>
      <c r="GG845">
        <v>57.713834619577923</v>
      </c>
      <c r="GH845">
        <v>73.036680046216802</v>
      </c>
      <c r="GI845">
        <v>98.653579506450654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264.73855524723086</v>
      </c>
      <c r="AO846">
        <v>134.18817709265269</v>
      </c>
      <c r="AP846">
        <v>600.54275537651972</v>
      </c>
      <c r="AQ846">
        <v>729.55056048735878</v>
      </c>
      <c r="AR846">
        <v>125.62139384856901</v>
      </c>
      <c r="AS846">
        <v>1415.9169536556092</v>
      </c>
      <c r="AT846">
        <v>64.890430705396057</v>
      </c>
      <c r="AU846">
        <v>120.08536992097527</v>
      </c>
      <c r="AV846"/>
      <c r="AW846"/>
      <c r="FY846" s="211">
        <v>841</v>
      </c>
      <c r="FZ846">
        <v>137.09854753683115</v>
      </c>
      <c r="GA846">
        <v>162.97875532661956</v>
      </c>
      <c r="GB846">
        <v>40.014607656466858</v>
      </c>
      <c r="GC846">
        <v>36.80522249145487</v>
      </c>
      <c r="GD846">
        <v>33.959987088717646</v>
      </c>
      <c r="GE846">
        <v>57.882099038264258</v>
      </c>
      <c r="GF846">
        <v>80.854210279722523</v>
      </c>
      <c r="GG846">
        <v>37.649642083067988</v>
      </c>
      <c r="GH846">
        <v>31.952419772545696</v>
      </c>
      <c r="GI846">
        <v>76.402923796123901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360.59207077741019</v>
      </c>
      <c r="AO847">
        <v>190.69998669707428</v>
      </c>
      <c r="AP847">
        <v>794.55735433667905</v>
      </c>
      <c r="AQ847">
        <v>986.10860264591486</v>
      </c>
      <c r="AR847">
        <v>178.26503811999865</v>
      </c>
      <c r="AS847">
        <v>1927.957290700165</v>
      </c>
      <c r="AT847">
        <v>87.812360204642786</v>
      </c>
      <c r="AU847">
        <v>591.25496286306998</v>
      </c>
      <c r="AV847"/>
      <c r="AW847"/>
      <c r="FY847" s="211">
        <v>842</v>
      </c>
      <c r="FZ847">
        <v>82.533278282789183</v>
      </c>
      <c r="GA847">
        <v>122.63456099499187</v>
      </c>
      <c r="GB847">
        <v>50.208602620983299</v>
      </c>
      <c r="GC847">
        <v>47.452353248777335</v>
      </c>
      <c r="GD847">
        <v>48.041828000902498</v>
      </c>
      <c r="GE847">
        <v>74.544006730065888</v>
      </c>
      <c r="GF847">
        <v>79.935307959319545</v>
      </c>
      <c r="GG847">
        <v>53.18644058487309</v>
      </c>
      <c r="GH847">
        <v>29.613598084368618</v>
      </c>
      <c r="GI847">
        <v>79.523165886592381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212.72279051115942</v>
      </c>
      <c r="AO848">
        <v>116.2667201303374</v>
      </c>
      <c r="AP848">
        <v>535.48346589835535</v>
      </c>
      <c r="AQ848">
        <v>670.05259080586052</v>
      </c>
      <c r="AR848">
        <v>110.71177442092439</v>
      </c>
      <c r="AS848">
        <v>1040.0758063636774</v>
      </c>
      <c r="AT848">
        <v>54.376716398908542</v>
      </c>
      <c r="AU848">
        <v>197.1438067728123</v>
      </c>
      <c r="AV848"/>
      <c r="AW848"/>
      <c r="FY848" s="211">
        <v>843</v>
      </c>
      <c r="FZ848">
        <v>150.80212531901071</v>
      </c>
      <c r="GA848">
        <v>130.9408850305081</v>
      </c>
      <c r="GB848">
        <v>50.03776793620289</v>
      </c>
      <c r="GC848">
        <v>44.341709694234801</v>
      </c>
      <c r="GD848">
        <v>41.395078583671122</v>
      </c>
      <c r="GE848">
        <v>71.445181972556512</v>
      </c>
      <c r="GF848">
        <v>97.985959507960658</v>
      </c>
      <c r="GG848">
        <v>100.06144066375325</v>
      </c>
      <c r="GH848">
        <v>87.541994723229237</v>
      </c>
      <c r="GI848">
        <v>98.948707001878745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237.87330381044316</v>
      </c>
      <c r="AO849">
        <v>145.81614658159907</v>
      </c>
      <c r="AP849">
        <v>567.43497977616437</v>
      </c>
      <c r="AQ849">
        <v>782.30269303039347</v>
      </c>
      <c r="AR849">
        <v>139.34119154006626</v>
      </c>
      <c r="AS849">
        <v>1496.1807054402614</v>
      </c>
      <c r="AT849">
        <v>73.219410471180282</v>
      </c>
      <c r="AU849">
        <v>211.30387442627813</v>
      </c>
      <c r="AV849"/>
      <c r="AW849"/>
      <c r="FY849" s="211">
        <v>844</v>
      </c>
      <c r="FZ849">
        <v>107.68489093291875</v>
      </c>
      <c r="GA849">
        <v>158.936361875648</v>
      </c>
      <c r="GB849">
        <v>53.628647632252829</v>
      </c>
      <c r="GC849">
        <v>40.974895854148905</v>
      </c>
      <c r="GD849">
        <v>41.033680519116757</v>
      </c>
      <c r="GE849">
        <v>58.762318955977918</v>
      </c>
      <c r="GF849">
        <v>93.599075399159673</v>
      </c>
      <c r="GG849">
        <v>95.31823720854581</v>
      </c>
      <c r="GH849">
        <v>70.887228609177981</v>
      </c>
      <c r="GI849">
        <v>89.041987862668009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240.73845205565254</v>
      </c>
      <c r="AO850">
        <v>144.43288656435385</v>
      </c>
      <c r="AP850">
        <v>666.85288117563107</v>
      </c>
      <c r="AQ850">
        <v>750.17340593458391</v>
      </c>
      <c r="AR850">
        <v>134.77469436607717</v>
      </c>
      <c r="AS850">
        <v>1239.7279968109769</v>
      </c>
      <c r="AT850">
        <v>67.581177029613897</v>
      </c>
      <c r="AU850">
        <v>205.83584444248709</v>
      </c>
      <c r="AV850"/>
      <c r="AW850"/>
      <c r="FY850" s="211">
        <v>845</v>
      </c>
      <c r="FZ850">
        <v>116.57377959395384</v>
      </c>
      <c r="GA850">
        <v>175.538583320035</v>
      </c>
      <c r="GB850">
        <v>56.901686519489047</v>
      </c>
      <c r="GC850">
        <v>41.916074420922151</v>
      </c>
      <c r="GD850">
        <v>43.594762254714965</v>
      </c>
      <c r="GE850">
        <v>61.439527475318599</v>
      </c>
      <c r="GF850">
        <v>45.829594265898209</v>
      </c>
      <c r="GG850">
        <v>40.982835880573397</v>
      </c>
      <c r="GH850">
        <v>43.995498392300021</v>
      </c>
      <c r="GI850">
        <v>77.457913822669028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251.05854518504134</v>
      </c>
      <c r="AO851">
        <v>156.37997044643902</v>
      </c>
      <c r="AP851">
        <v>589.64114850735893</v>
      </c>
      <c r="AQ851">
        <v>856.51769752733685</v>
      </c>
      <c r="AR851">
        <v>148.7576881436282</v>
      </c>
      <c r="AS851">
        <v>1559.6559970350986</v>
      </c>
      <c r="AT851">
        <v>74.227252771714831</v>
      </c>
      <c r="AU851">
        <v>286.92176745474688</v>
      </c>
      <c r="AV851"/>
      <c r="AW851"/>
      <c r="FY851" s="211">
        <v>846</v>
      </c>
      <c r="FZ851">
        <v>95.023910993731462</v>
      </c>
      <c r="GA851">
        <v>145.84797060279956</v>
      </c>
      <c r="GB851">
        <v>55.196408698512009</v>
      </c>
      <c r="GC851">
        <v>34.447186703695756</v>
      </c>
      <c r="GD851">
        <v>49.520564279910992</v>
      </c>
      <c r="GE851">
        <v>80.791597013515272</v>
      </c>
      <c r="GF851">
        <v>37.436867158291882</v>
      </c>
      <c r="GG851">
        <v>39.749458454689908</v>
      </c>
      <c r="GH851">
        <v>53.88117110297938</v>
      </c>
      <c r="GI851">
        <v>78.362305903682071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221.354450523411</v>
      </c>
      <c r="AO852">
        <v>128.7910818682096</v>
      </c>
      <c r="AP852">
        <v>555.9711729298582</v>
      </c>
      <c r="AQ852">
        <v>720.22492974822853</v>
      </c>
      <c r="AR852">
        <v>124.17877350526467</v>
      </c>
      <c r="AS852">
        <v>1310.2204915966818</v>
      </c>
      <c r="AT852">
        <v>65.784540753515401</v>
      </c>
      <c r="AU852">
        <v>158.9691950479874</v>
      </c>
      <c r="AV852"/>
      <c r="AW852"/>
      <c r="FY852" s="211">
        <v>847</v>
      </c>
      <c r="FZ852">
        <v>114.62066120663694</v>
      </c>
      <c r="GA852">
        <v>150.91514175612673</v>
      </c>
      <c r="GB852">
        <v>49.79484253061409</v>
      </c>
      <c r="GC852">
        <v>40.514858291555065</v>
      </c>
      <c r="GD852">
        <v>31.516854483155974</v>
      </c>
      <c r="GE852">
        <v>28.727029873981419</v>
      </c>
      <c r="GF852">
        <v>57.92736166841172</v>
      </c>
      <c r="GG852">
        <v>72.905861202363482</v>
      </c>
      <c r="GH852">
        <v>71.781536498534606</v>
      </c>
      <c r="GI852">
        <v>75.086741821852002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230.46707344026245</v>
      </c>
      <c r="AO853">
        <v>133.14176129213106</v>
      </c>
      <c r="AP853">
        <v>647.7452253538936</v>
      </c>
      <c r="AQ853">
        <v>726.04054186145959</v>
      </c>
      <c r="AR853">
        <v>126.91315787145412</v>
      </c>
      <c r="AS853">
        <v>1292.4216189983874</v>
      </c>
      <c r="AT853">
        <v>66.885360102431335</v>
      </c>
      <c r="AU853">
        <v>211.17296396084902</v>
      </c>
      <c r="AV853"/>
      <c r="AW853"/>
      <c r="FY853" s="211">
        <v>848</v>
      </c>
      <c r="FZ853">
        <v>98.872514623316221</v>
      </c>
      <c r="GA853">
        <v>132.62042370232882</v>
      </c>
      <c r="GB853">
        <v>49.904356311377015</v>
      </c>
      <c r="GC853">
        <v>39.88583030650814</v>
      </c>
      <c r="GD853">
        <v>40.653586995327984</v>
      </c>
      <c r="GE853">
        <v>95.280135295199685</v>
      </c>
      <c r="GF853">
        <v>126.46517719045107</v>
      </c>
      <c r="GG853">
        <v>41.279050084792679</v>
      </c>
      <c r="GH853">
        <v>27.869583239190561</v>
      </c>
      <c r="GI853">
        <v>87.629205502336205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266.65885789853758</v>
      </c>
      <c r="AO854">
        <v>129.99571863484047</v>
      </c>
      <c r="AP854">
        <v>386.40141008335172</v>
      </c>
      <c r="AQ854">
        <v>718.6841851292736</v>
      </c>
      <c r="AR854">
        <v>124.5476311625328</v>
      </c>
      <c r="AS854">
        <v>1288.87239768784</v>
      </c>
      <c r="AT854">
        <v>57.906470390043786</v>
      </c>
      <c r="AU854">
        <v>145.80865906841893</v>
      </c>
      <c r="AV854"/>
      <c r="AW854"/>
      <c r="FY854" s="211">
        <v>849</v>
      </c>
      <c r="FZ854">
        <v>110.94376722207078</v>
      </c>
      <c r="GA854">
        <v>149.50759506848408</v>
      </c>
      <c r="GB854">
        <v>52.325203076267108</v>
      </c>
      <c r="GC854">
        <v>49.791109991281211</v>
      </c>
      <c r="GD854">
        <v>36.695608653193027</v>
      </c>
      <c r="GE854">
        <v>58.942375743943003</v>
      </c>
      <c r="GF854">
        <v>80.663132986258844</v>
      </c>
      <c r="GG854">
        <v>41.832088372500692</v>
      </c>
      <c r="GH854">
        <v>47.791158447957471</v>
      </c>
      <c r="GI854">
        <v>79.778496565511247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276.22857159399655</v>
      </c>
      <c r="AO855">
        <v>187.20294478587064</v>
      </c>
      <c r="AP855">
        <v>770.69870241007834</v>
      </c>
      <c r="AQ855">
        <v>1024.3534837680684</v>
      </c>
      <c r="AR855">
        <v>177.53430745813711</v>
      </c>
      <c r="AS855">
        <v>1553.5493201717868</v>
      </c>
      <c r="AT855">
        <v>90.59955056221213</v>
      </c>
      <c r="AU855">
        <v>342.87403264448892</v>
      </c>
      <c r="AV855"/>
      <c r="AW855"/>
      <c r="FY855" s="211">
        <v>850</v>
      </c>
      <c r="FZ855">
        <v>110.44579628493202</v>
      </c>
      <c r="GA855">
        <v>133.81558184727771</v>
      </c>
      <c r="GB855">
        <v>55.838313616055125</v>
      </c>
      <c r="GC855">
        <v>49.584255625478946</v>
      </c>
      <c r="GD855">
        <v>49.756652531303303</v>
      </c>
      <c r="GE855">
        <v>114.43912820661265</v>
      </c>
      <c r="GF855">
        <v>143.60858087479556</v>
      </c>
      <c r="GG855">
        <v>68.534506666346189</v>
      </c>
      <c r="GH855">
        <v>66.370107358962485</v>
      </c>
      <c r="GI855">
        <v>107.20746205292853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302.76190007028163</v>
      </c>
      <c r="AO856">
        <v>156.18178615912487</v>
      </c>
      <c r="AP856">
        <v>677.1753990308631</v>
      </c>
      <c r="AQ856">
        <v>840.84925783379492</v>
      </c>
      <c r="AR856">
        <v>147.67398385683015</v>
      </c>
      <c r="AS856">
        <v>1589.2101296858907</v>
      </c>
      <c r="AT856">
        <v>75.655546322603939</v>
      </c>
      <c r="AU856">
        <v>76.225301170292553</v>
      </c>
      <c r="AV856"/>
      <c r="AW856"/>
      <c r="FY856" s="211">
        <v>851</v>
      </c>
      <c r="FZ856">
        <v>128.96266293618137</v>
      </c>
      <c r="GA856">
        <v>142.01373808465365</v>
      </c>
      <c r="GB856">
        <v>60.94105044828693</v>
      </c>
      <c r="GC856">
        <v>51.655732641773128</v>
      </c>
      <c r="GD856">
        <v>40.206738650064629</v>
      </c>
      <c r="GE856">
        <v>51.21024730839774</v>
      </c>
      <c r="GF856">
        <v>62.338324916267823</v>
      </c>
      <c r="GG856">
        <v>72.409285907077575</v>
      </c>
      <c r="GH856">
        <v>97.259462767567186</v>
      </c>
      <c r="GI856">
        <v>90.242488388164631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216.60883071642169</v>
      </c>
      <c r="AO857">
        <v>120.65920422914135</v>
      </c>
      <c r="AP857">
        <v>544.71726171556395</v>
      </c>
      <c r="AQ857">
        <v>695.59841506981445</v>
      </c>
      <c r="AR857">
        <v>115.28484954462638</v>
      </c>
      <c r="AS857">
        <v>1160.9811724985557</v>
      </c>
      <c r="AT857">
        <v>60.147369786588854</v>
      </c>
      <c r="AU857">
        <v>239.87893732346805</v>
      </c>
      <c r="AV857"/>
      <c r="AW857"/>
      <c r="FY857" s="211">
        <v>852</v>
      </c>
      <c r="FZ857">
        <v>117.40524190229212</v>
      </c>
      <c r="GA857">
        <v>142.25140400242714</v>
      </c>
      <c r="GB857">
        <v>58.042503952202281</v>
      </c>
      <c r="GC857">
        <v>51.790029908842293</v>
      </c>
      <c r="GD857">
        <v>40.808580694851813</v>
      </c>
      <c r="GE857">
        <v>69.145413686031546</v>
      </c>
      <c r="GF857">
        <v>110.49014514691612</v>
      </c>
      <c r="GG857">
        <v>78.721834756490935</v>
      </c>
      <c r="GH857">
        <v>77.851515731567474</v>
      </c>
      <c r="GI857">
        <v>96.569078505396433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242.91794821277784</v>
      </c>
      <c r="AO858">
        <v>128.7927699595428</v>
      </c>
      <c r="AP858">
        <v>533.09334202664979</v>
      </c>
      <c r="AQ858">
        <v>667.67314239366374</v>
      </c>
      <c r="AR858">
        <v>118.75535763393401</v>
      </c>
      <c r="AS858">
        <v>1169.4280889682736</v>
      </c>
      <c r="AT858">
        <v>57.125184644809714</v>
      </c>
      <c r="AU858">
        <v>266.31750340209129</v>
      </c>
      <c r="AV858"/>
      <c r="AW858"/>
      <c r="FY858" s="211">
        <v>853</v>
      </c>
      <c r="FZ858">
        <v>128.12202368583874</v>
      </c>
      <c r="GA858">
        <v>185.66512122408358</v>
      </c>
      <c r="GB858">
        <v>74.1606917172886</v>
      </c>
      <c r="GC858">
        <v>52.364364170195131</v>
      </c>
      <c r="GD858">
        <v>34.691874488668176</v>
      </c>
      <c r="GE858">
        <v>38.926816609808874</v>
      </c>
      <c r="GF858">
        <v>67.037146160938164</v>
      </c>
      <c r="GG858">
        <v>37.96479016443908</v>
      </c>
      <c r="GH858">
        <v>12.053078419070985</v>
      </c>
      <c r="GI858">
        <v>77.546736246072371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238.61883363453657</v>
      </c>
      <c r="AO859">
        <v>156.63164999041118</v>
      </c>
      <c r="AP859">
        <v>683.3666481164305</v>
      </c>
      <c r="AQ859">
        <v>873.50085043300601</v>
      </c>
      <c r="AR859">
        <v>150.12108545755606</v>
      </c>
      <c r="AS859">
        <v>1366.1771170282441</v>
      </c>
      <c r="AT859">
        <v>80.634157486621831</v>
      </c>
      <c r="AU859">
        <v>330.67346194180357</v>
      </c>
      <c r="AV859"/>
      <c r="AW859"/>
      <c r="FY859" s="211">
        <v>854</v>
      </c>
      <c r="FZ859">
        <v>106.89485605764274</v>
      </c>
      <c r="GA859">
        <v>161.52655178233098</v>
      </c>
      <c r="GB859">
        <v>51.937099038028975</v>
      </c>
      <c r="GC859">
        <v>41.867598394857509</v>
      </c>
      <c r="GD859">
        <v>35.109273476213701</v>
      </c>
      <c r="GE859">
        <v>50.979435751489859</v>
      </c>
      <c r="GF859">
        <v>85.43748812346324</v>
      </c>
      <c r="GG859">
        <v>57.388151796782267</v>
      </c>
      <c r="GH859">
        <v>38.464111498520914</v>
      </c>
      <c r="GI859">
        <v>78.329335096043934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272.42857372643681</v>
      </c>
      <c r="AO860">
        <v>141.17640656865615</v>
      </c>
      <c r="AP860">
        <v>590.03488276334042</v>
      </c>
      <c r="AQ860">
        <v>809.86732484961453</v>
      </c>
      <c r="AR860">
        <v>132.89276509462013</v>
      </c>
      <c r="AS860">
        <v>1290.8860563128785</v>
      </c>
      <c r="AT860">
        <v>68.370350576390265</v>
      </c>
      <c r="AU860">
        <v>154.31050647657429</v>
      </c>
      <c r="AV860"/>
      <c r="AW860"/>
      <c r="FY860" s="211">
        <v>855</v>
      </c>
      <c r="FZ860">
        <v>110.2135156443224</v>
      </c>
      <c r="GA860">
        <v>158.15719096204845</v>
      </c>
      <c r="GB860">
        <v>53.599829962691452</v>
      </c>
      <c r="GC860">
        <v>46.323876905394648</v>
      </c>
      <c r="GD860">
        <v>37.281431939308739</v>
      </c>
      <c r="GE860">
        <v>46.277474965346585</v>
      </c>
      <c r="GF860">
        <v>133.15972233761269</v>
      </c>
      <c r="GG860">
        <v>107.37125878641804</v>
      </c>
      <c r="GH860">
        <v>41.262797282214521</v>
      </c>
      <c r="GI860">
        <v>91.637736206508762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273.17776851321827</v>
      </c>
      <c r="AO861">
        <v>123.21497723762334</v>
      </c>
      <c r="AP861">
        <v>416.28218631104818</v>
      </c>
      <c r="AQ861">
        <v>704.23025594587421</v>
      </c>
      <c r="AR861">
        <v>115.32518056291006</v>
      </c>
      <c r="AS861">
        <v>1238.3393474692205</v>
      </c>
      <c r="AT861">
        <v>55.774184876285211</v>
      </c>
      <c r="AU861">
        <v>144.8029835460361</v>
      </c>
      <c r="AV861"/>
      <c r="AW861"/>
      <c r="FY861" s="211">
        <v>856</v>
      </c>
      <c r="FZ861">
        <v>128.202555235505</v>
      </c>
      <c r="GA861">
        <v>168.03351146438007</v>
      </c>
      <c r="GB861">
        <v>62.516055027398551</v>
      </c>
      <c r="GC861">
        <v>53.435521365191995</v>
      </c>
      <c r="GD861">
        <v>46.232417972923365</v>
      </c>
      <c r="GE861">
        <v>49.001486735028145</v>
      </c>
      <c r="GF861">
        <v>77.278173521124913</v>
      </c>
      <c r="GG861">
        <v>86.143799531641889</v>
      </c>
      <c r="GH861">
        <v>63.05266337948018</v>
      </c>
      <c r="GI861">
        <v>93.47126108497136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251.84556248775303</v>
      </c>
      <c r="AO862">
        <v>124.989052573012</v>
      </c>
      <c r="AP862">
        <v>499.4215801991329</v>
      </c>
      <c r="AQ862">
        <v>670.25744091180832</v>
      </c>
      <c r="AR862">
        <v>117.97745128608871</v>
      </c>
      <c r="AS862">
        <v>1222.7018160899911</v>
      </c>
      <c r="AT862">
        <v>55.08592584400062</v>
      </c>
      <c r="AU862">
        <v>67.630405218452808</v>
      </c>
      <c r="AV862"/>
      <c r="AW862"/>
      <c r="FY862" s="211">
        <v>857</v>
      </c>
      <c r="FZ862">
        <v>100.18806198615768</v>
      </c>
      <c r="GA862">
        <v>172.40885961974567</v>
      </c>
      <c r="GB862">
        <v>62.561683699937547</v>
      </c>
      <c r="GC862">
        <v>34.076612270895602</v>
      </c>
      <c r="GD862">
        <v>32.164327114500004</v>
      </c>
      <c r="GE862">
        <v>78.431851599268313</v>
      </c>
      <c r="GF862">
        <v>110.67348730817638</v>
      </c>
      <c r="GG862">
        <v>58.496731264629432</v>
      </c>
      <c r="GH862">
        <v>48.282397601473534</v>
      </c>
      <c r="GI862">
        <v>85.147722409285365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212.36742516508963</v>
      </c>
      <c r="AO863">
        <v>117.83120456804923</v>
      </c>
      <c r="AP863">
        <v>438.8938132262187</v>
      </c>
      <c r="AQ863">
        <v>693.79088933323203</v>
      </c>
      <c r="AR863">
        <v>113.34515275779442</v>
      </c>
      <c r="AS863">
        <v>1058.9193121729686</v>
      </c>
      <c r="AT863">
        <v>58.573634495429296</v>
      </c>
      <c r="AU863">
        <v>92.096250189306772</v>
      </c>
      <c r="AV863"/>
      <c r="AW863"/>
      <c r="FY863" s="211">
        <v>858</v>
      </c>
      <c r="FZ863">
        <v>119.44521871720912</v>
      </c>
      <c r="GA863">
        <v>106.92017328117765</v>
      </c>
      <c r="GB863">
        <v>37.325385058212355</v>
      </c>
      <c r="GC863">
        <v>41.054130948570425</v>
      </c>
      <c r="GD863">
        <v>33.006383522987825</v>
      </c>
      <c r="GE863">
        <v>52.845268863972549</v>
      </c>
      <c r="GF863">
        <v>53.842964661726931</v>
      </c>
      <c r="GG863">
        <v>34.300287273317281</v>
      </c>
      <c r="GH863">
        <v>56.678510491945673</v>
      </c>
      <c r="GI863">
        <v>69.703329244478056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239.77127875185911</v>
      </c>
      <c r="AO864">
        <v>140.03572335522904</v>
      </c>
      <c r="AP864">
        <v>600.26206440604597</v>
      </c>
      <c r="AQ864">
        <v>740.45986325082822</v>
      </c>
      <c r="AR864">
        <v>131.98406040635967</v>
      </c>
      <c r="AS864">
        <v>1354.361977284058</v>
      </c>
      <c r="AT864">
        <v>62.343500882145577</v>
      </c>
      <c r="AU864">
        <v>164.56671209823298</v>
      </c>
      <c r="AV864"/>
      <c r="AW864"/>
      <c r="FY864" s="211">
        <v>859</v>
      </c>
      <c r="FZ864">
        <v>127.28596457931741</v>
      </c>
      <c r="GA864">
        <v>158.06821221511666</v>
      </c>
      <c r="GB864">
        <v>37.513708924990382</v>
      </c>
      <c r="GC864">
        <v>45.905733807190586</v>
      </c>
      <c r="GD864">
        <v>58.098206557917827</v>
      </c>
      <c r="GE864">
        <v>82.641972418768518</v>
      </c>
      <c r="GF864">
        <v>78.385448812390422</v>
      </c>
      <c r="GG864">
        <v>88.800769702258592</v>
      </c>
      <c r="GH864">
        <v>75.474570306692115</v>
      </c>
      <c r="GI864">
        <v>96.585300643598828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239.2408932673026</v>
      </c>
      <c r="AO865">
        <v>127.31637940667079</v>
      </c>
      <c r="AP865">
        <v>565.60873122702651</v>
      </c>
      <c r="AQ865">
        <v>708.27053612746738</v>
      </c>
      <c r="AR865">
        <v>119.42180955552102</v>
      </c>
      <c r="AS865">
        <v>1298.7193743899566</v>
      </c>
      <c r="AT865">
        <v>62.767371659270459</v>
      </c>
      <c r="AU865">
        <v>104.00112049227785</v>
      </c>
      <c r="AV865"/>
      <c r="AW865"/>
      <c r="FY865" s="211">
        <v>860</v>
      </c>
      <c r="FZ865">
        <v>93.223873153437253</v>
      </c>
      <c r="GA865">
        <v>118.10851673385059</v>
      </c>
      <c r="GB865">
        <v>41.968459204703031</v>
      </c>
      <c r="GC865">
        <v>42.07322048261063</v>
      </c>
      <c r="GD865">
        <v>32.384365773838304</v>
      </c>
      <c r="GE865">
        <v>55.566430581349053</v>
      </c>
      <c r="GF865">
        <v>80.985637036398202</v>
      </c>
      <c r="GG865">
        <v>37.693007622390027</v>
      </c>
      <c r="GH865">
        <v>42.87823240452952</v>
      </c>
      <c r="GI865">
        <v>70.582999929000394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317.24485884560147</v>
      </c>
      <c r="AO866">
        <v>172.69063756664482</v>
      </c>
      <c r="AP866">
        <v>664.34156235062517</v>
      </c>
      <c r="AQ866">
        <v>899.60038506469243</v>
      </c>
      <c r="AR866">
        <v>162.48760006572832</v>
      </c>
      <c r="AS866">
        <v>1690.8195566024565</v>
      </c>
      <c r="AT866">
        <v>77.790822718750121</v>
      </c>
      <c r="AU866">
        <v>294.05039588367316</v>
      </c>
      <c r="AV866"/>
      <c r="AW866"/>
      <c r="FY866" s="211">
        <v>861</v>
      </c>
      <c r="FZ866">
        <v>118.99851983641504</v>
      </c>
      <c r="GA866">
        <v>113.08949371929234</v>
      </c>
      <c r="GB866">
        <v>35.335557219147574</v>
      </c>
      <c r="GC866">
        <v>47.199857210595937</v>
      </c>
      <c r="GD866">
        <v>37.402359852376122</v>
      </c>
      <c r="GE866">
        <v>46.464184985161069</v>
      </c>
      <c r="GF866">
        <v>65.023512609048055</v>
      </c>
      <c r="GG866">
        <v>84.941794825458686</v>
      </c>
      <c r="GH866">
        <v>112.41344301251556</v>
      </c>
      <c r="GI866">
        <v>83.721383240010269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286.82048876748024</v>
      </c>
      <c r="AO867">
        <v>138.9810441424101</v>
      </c>
      <c r="AP867">
        <v>533.9667574806931</v>
      </c>
      <c r="AQ867">
        <v>797.23973204843458</v>
      </c>
      <c r="AR867">
        <v>134.94497226154027</v>
      </c>
      <c r="AS867">
        <v>1571.4194056027436</v>
      </c>
      <c r="AT867">
        <v>71.130904371234593</v>
      </c>
      <c r="AU867">
        <v>-22.814378367257817</v>
      </c>
      <c r="AV867"/>
      <c r="AW867"/>
      <c r="FY867" s="211">
        <v>862</v>
      </c>
      <c r="FZ867">
        <v>91.94890090915041</v>
      </c>
      <c r="GA867">
        <v>136.40904921397504</v>
      </c>
      <c r="GB867">
        <v>57.221619965168884</v>
      </c>
      <c r="GC867">
        <v>45.49679421176257</v>
      </c>
      <c r="GD867">
        <v>30.542040963575829</v>
      </c>
      <c r="GE867">
        <v>55.926861286128371</v>
      </c>
      <c r="GF867">
        <v>102.83746223414859</v>
      </c>
      <c r="GG867">
        <v>33.665349064391904</v>
      </c>
      <c r="GH867">
        <v>26.132938300064943</v>
      </c>
      <c r="GI867">
        <v>75.886205137803131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262.79155139079313</v>
      </c>
      <c r="AO868">
        <v>151.8584628535387</v>
      </c>
      <c r="AP868">
        <v>503.01708937652859</v>
      </c>
      <c r="AQ868">
        <v>843.07574828701809</v>
      </c>
      <c r="AR868">
        <v>145.07161695667935</v>
      </c>
      <c r="AS868">
        <v>1561.2516187136894</v>
      </c>
      <c r="AT868">
        <v>71.414640033096347</v>
      </c>
      <c r="AU868">
        <v>119.98666685132387</v>
      </c>
      <c r="AV868"/>
      <c r="AW868"/>
      <c r="FY868" s="211">
        <v>863</v>
      </c>
      <c r="FZ868">
        <v>113.84675385915465</v>
      </c>
      <c r="GA868">
        <v>155.6965624209943</v>
      </c>
      <c r="GB868">
        <v>63.844956026132628</v>
      </c>
      <c r="GC868">
        <v>40.261776553040868</v>
      </c>
      <c r="GD868">
        <v>41.897338521628647</v>
      </c>
      <c r="GE868">
        <v>66.290735948314605</v>
      </c>
      <c r="GF868">
        <v>51.851181389090563</v>
      </c>
      <c r="GG868">
        <v>35.237143691149839</v>
      </c>
      <c r="GH868">
        <v>33.520607221403765</v>
      </c>
      <c r="GI868">
        <v>78.63467656992529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238.363916122821</v>
      </c>
      <c r="AO869">
        <v>122.01377091935444</v>
      </c>
      <c r="AP869">
        <v>419.2973409899775</v>
      </c>
      <c r="AQ869">
        <v>708.53264288640355</v>
      </c>
      <c r="AR869">
        <v>115.3793276132352</v>
      </c>
      <c r="AS869">
        <v>1285.5602989411352</v>
      </c>
      <c r="AT869">
        <v>55.012930295547626</v>
      </c>
      <c r="AU869">
        <v>-8.8964499554860836</v>
      </c>
      <c r="AV869"/>
      <c r="AW869"/>
      <c r="FY869" s="211">
        <v>864</v>
      </c>
      <c r="FZ869">
        <v>91.97503820690163</v>
      </c>
      <c r="GA869">
        <v>140.21813460151873</v>
      </c>
      <c r="GB869">
        <v>61.605036843625115</v>
      </c>
      <c r="GC869">
        <v>44.072792679927318</v>
      </c>
      <c r="GD869">
        <v>42.920929188036041</v>
      </c>
      <c r="GE869">
        <v>76.819015505008082</v>
      </c>
      <c r="GF869">
        <v>96.024630222771279</v>
      </c>
      <c r="GG869">
        <v>68.339884749393619</v>
      </c>
      <c r="GH869">
        <v>54.012930110979653</v>
      </c>
      <c r="GI869">
        <v>87.955698778560574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199.34573349715242</v>
      </c>
      <c r="AO870">
        <v>126.07342482992688</v>
      </c>
      <c r="AP870">
        <v>607.55308596868122</v>
      </c>
      <c r="AQ870">
        <v>707.93390101537409</v>
      </c>
      <c r="AR870">
        <v>118.34801174965791</v>
      </c>
      <c r="AS870">
        <v>1182.4274382753633</v>
      </c>
      <c r="AT870">
        <v>63.424215833054241</v>
      </c>
      <c r="AU870">
        <v>160.84883703685463</v>
      </c>
      <c r="AV870"/>
      <c r="AW870"/>
      <c r="FY870" s="211">
        <v>865</v>
      </c>
      <c r="FZ870">
        <v>88.118109667268456</v>
      </c>
      <c r="GA870">
        <v>122.88195373316701</v>
      </c>
      <c r="GB870">
        <v>37.537042664188448</v>
      </c>
      <c r="GC870">
        <v>35.752414864136448</v>
      </c>
      <c r="GD870">
        <v>35.05573284619912</v>
      </c>
      <c r="GE870">
        <v>53.573993199417089</v>
      </c>
      <c r="GF870">
        <v>125.88586132684753</v>
      </c>
      <c r="GG870">
        <v>119.92734485889807</v>
      </c>
      <c r="GH870">
        <v>75.443521266157092</v>
      </c>
      <c r="GI870">
        <v>85.806895116672123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220.41250903403608</v>
      </c>
      <c r="AO871">
        <v>146.66537270727531</v>
      </c>
      <c r="AP871">
        <v>571.8580494120323</v>
      </c>
      <c r="AQ871">
        <v>825.28483499186621</v>
      </c>
      <c r="AR871">
        <v>138.72871672093981</v>
      </c>
      <c r="AS871">
        <v>1359.7362927784329</v>
      </c>
      <c r="AT871">
        <v>66.645991081567288</v>
      </c>
      <c r="AU871">
        <v>284.69188354658087</v>
      </c>
      <c r="AV871"/>
      <c r="AW871"/>
      <c r="FY871" s="211">
        <v>866</v>
      </c>
      <c r="FZ871">
        <v>143.44061840496963</v>
      </c>
      <c r="GA871">
        <v>196.38738540552902</v>
      </c>
      <c r="GB871">
        <v>73.119592357327093</v>
      </c>
      <c r="GC871">
        <v>48.965874735972989</v>
      </c>
      <c r="GD871">
        <v>40.132285508339223</v>
      </c>
      <c r="GE871">
        <v>79.712633869795326</v>
      </c>
      <c r="GF871">
        <v>109.22331155015472</v>
      </c>
      <c r="GG871">
        <v>45.389582938255266</v>
      </c>
      <c r="GH871">
        <v>35.192636347237155</v>
      </c>
      <c r="GI871">
        <v>97.429194074320506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228.40543792687532</v>
      </c>
      <c r="AO872">
        <v>148.81826695716853</v>
      </c>
      <c r="AP872">
        <v>585.22887339798388</v>
      </c>
      <c r="AQ872">
        <v>827.36744531764555</v>
      </c>
      <c r="AR872">
        <v>141.52412214696804</v>
      </c>
      <c r="AS872">
        <v>1425.8573969159645</v>
      </c>
      <c r="AT872">
        <v>77.29665659736213</v>
      </c>
      <c r="AU872">
        <v>267.11280858550299</v>
      </c>
      <c r="AV872"/>
      <c r="AW872"/>
      <c r="FY872" s="211">
        <v>867</v>
      </c>
      <c r="FZ872">
        <v>132.83035313095687</v>
      </c>
      <c r="GA872">
        <v>160.5188745412473</v>
      </c>
      <c r="GB872">
        <v>57.328342245924489</v>
      </c>
      <c r="GC872">
        <v>50.69892265326537</v>
      </c>
      <c r="GD872">
        <v>36.202801559349872</v>
      </c>
      <c r="GE872">
        <v>67.004075726988802</v>
      </c>
      <c r="GF872">
        <v>112.83662034431946</v>
      </c>
      <c r="GG872">
        <v>52.922811815075242</v>
      </c>
      <c r="GH872">
        <v>39.750627260695822</v>
      </c>
      <c r="GI872">
        <v>90.188663386433944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275.6695935400744</v>
      </c>
      <c r="AO873">
        <v>138.23956692646121</v>
      </c>
      <c r="AP873">
        <v>587.96736325594657</v>
      </c>
      <c r="AQ873">
        <v>782.43173487406955</v>
      </c>
      <c r="AR873">
        <v>128.63616524221322</v>
      </c>
      <c r="AS873">
        <v>1295.0037728685961</v>
      </c>
      <c r="AT873">
        <v>60.392277449804276</v>
      </c>
      <c r="AU873">
        <v>42.000541051172462</v>
      </c>
      <c r="AV873"/>
      <c r="AW873"/>
      <c r="FY873" s="211">
        <v>868</v>
      </c>
      <c r="FZ873">
        <v>128.15489219391878</v>
      </c>
      <c r="GA873">
        <v>187.91392574857815</v>
      </c>
      <c r="GB873">
        <v>56.449429624776698</v>
      </c>
      <c r="GC873">
        <v>43.496632229456438</v>
      </c>
      <c r="GD873">
        <v>36.694864538639287</v>
      </c>
      <c r="GE873">
        <v>70.0616151282739</v>
      </c>
      <c r="GF873">
        <v>114.81659618576749</v>
      </c>
      <c r="GG873">
        <v>51.410836771962423</v>
      </c>
      <c r="GH873">
        <v>33.946720234979665</v>
      </c>
      <c r="GI873">
        <v>88.091943543857838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196.16465978510354</v>
      </c>
      <c r="AO874">
        <v>107.90823863196636</v>
      </c>
      <c r="AP874">
        <v>423.00796493633646</v>
      </c>
      <c r="AQ874">
        <v>605.12165206359782</v>
      </c>
      <c r="AR874">
        <v>104.65733941964862</v>
      </c>
      <c r="AS874">
        <v>1168.5744758461403</v>
      </c>
      <c r="AT874">
        <v>56.809936953293438</v>
      </c>
      <c r="AU874">
        <v>161.9407773958134</v>
      </c>
      <c r="AV874"/>
      <c r="AW874"/>
      <c r="FY874" s="211">
        <v>869</v>
      </c>
      <c r="FZ874">
        <v>128.44931518399059</v>
      </c>
      <c r="GA874">
        <v>117.14811358251663</v>
      </c>
      <c r="GB874">
        <v>39.517034110317915</v>
      </c>
      <c r="GC874">
        <v>49.549113715815828</v>
      </c>
      <c r="GD874">
        <v>44.942120541947823</v>
      </c>
      <c r="GE874">
        <v>65.94768670537772</v>
      </c>
      <c r="GF874">
        <v>89.561478084429993</v>
      </c>
      <c r="GG874">
        <v>53.635215799443671</v>
      </c>
      <c r="GH874">
        <v>44.665321252640268</v>
      </c>
      <c r="GI874">
        <v>85.908387533583195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272.5326592554805</v>
      </c>
      <c r="AO875">
        <v>156.6919087308118</v>
      </c>
      <c r="AP875">
        <v>672.51935567878002</v>
      </c>
      <c r="AQ875">
        <v>848.7598879682414</v>
      </c>
      <c r="AR875">
        <v>145.97845122403984</v>
      </c>
      <c r="AS875">
        <v>1519.258503375321</v>
      </c>
      <c r="AT875">
        <v>74.618390482037981</v>
      </c>
      <c r="AU875">
        <v>238.46875267939029</v>
      </c>
      <c r="AV875"/>
      <c r="AW875"/>
      <c r="FY875" s="211">
        <v>870</v>
      </c>
      <c r="FZ875">
        <v>96.309818366750861</v>
      </c>
      <c r="GA875">
        <v>145.2505365681223</v>
      </c>
      <c r="GB875">
        <v>60.891950681738805</v>
      </c>
      <c r="GC875">
        <v>41.670542952189848</v>
      </c>
      <c r="GD875">
        <v>47.567165924784071</v>
      </c>
      <c r="GE875">
        <v>84.954169258829879</v>
      </c>
      <c r="GF875">
        <v>77.244533633424197</v>
      </c>
      <c r="GG875">
        <v>85.959960224934008</v>
      </c>
      <c r="GH875">
        <v>101.84066777250311</v>
      </c>
      <c r="GI875">
        <v>95.483751838373053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218.68980987133051</v>
      </c>
      <c r="AO876">
        <v>111.45234423617005</v>
      </c>
      <c r="AP876">
        <v>531.76607855065618</v>
      </c>
      <c r="AQ876">
        <v>615.46474292210701</v>
      </c>
      <c r="AR876">
        <v>105.83213995991211</v>
      </c>
      <c r="AS876">
        <v>1067.158977613389</v>
      </c>
      <c r="AT876">
        <v>53.905037008946088</v>
      </c>
      <c r="AU876">
        <v>103.67727379129525</v>
      </c>
      <c r="AV876"/>
      <c r="AW876"/>
      <c r="FY876" s="211">
        <v>871</v>
      </c>
      <c r="FZ876">
        <v>100.80284683232222</v>
      </c>
      <c r="GA876">
        <v>127.28753266442111</v>
      </c>
      <c r="GB876">
        <v>54.639616584320343</v>
      </c>
      <c r="GC876">
        <v>54.221615532477394</v>
      </c>
      <c r="GD876">
        <v>44.083009875748573</v>
      </c>
      <c r="GE876">
        <v>62.667653300053672</v>
      </c>
      <c r="GF876">
        <v>105.71836229221569</v>
      </c>
      <c r="GG876">
        <v>57.528993717044663</v>
      </c>
      <c r="GH876">
        <v>7.827765415591994</v>
      </c>
      <c r="GI876">
        <v>81.926258972526043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213.78818251466473</v>
      </c>
      <c r="AO877">
        <v>131.87659551505843</v>
      </c>
      <c r="AP877">
        <v>609.21110050886296</v>
      </c>
      <c r="AQ877">
        <v>744.59010651002063</v>
      </c>
      <c r="AR877">
        <v>126.5540397584292</v>
      </c>
      <c r="AS877">
        <v>1367.0499900283548</v>
      </c>
      <c r="AT877">
        <v>72.54412211583859</v>
      </c>
      <c r="AU877">
        <v>117.38235719335286</v>
      </c>
      <c r="AV877"/>
      <c r="AW877"/>
      <c r="FY877" s="211">
        <v>872</v>
      </c>
      <c r="FZ877">
        <v>109.81823366277494</v>
      </c>
      <c r="GA877">
        <v>117.71512450952305</v>
      </c>
      <c r="GB877">
        <v>55.106774768892542</v>
      </c>
      <c r="GC877">
        <v>47.30672646991821</v>
      </c>
      <c r="GD877">
        <v>32.443226972381019</v>
      </c>
      <c r="GE877">
        <v>86.093477867492012</v>
      </c>
      <c r="GF877">
        <v>155.63832399759971</v>
      </c>
      <c r="GG877">
        <v>85.265868560827428</v>
      </c>
      <c r="GH877">
        <v>65.894971041585066</v>
      </c>
      <c r="GI877">
        <v>97.873324758136135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198.95850458723973</v>
      </c>
      <c r="AO878">
        <v>119.1230363495816</v>
      </c>
      <c r="AP878">
        <v>446.38045191191281</v>
      </c>
      <c r="AQ878">
        <v>656.06722128616957</v>
      </c>
      <c r="AR878">
        <v>114.02364733705367</v>
      </c>
      <c r="AS878">
        <v>1110.7341114500225</v>
      </c>
      <c r="AT878">
        <v>54.340316240247091</v>
      </c>
      <c r="AU878">
        <v>59.24198686715792</v>
      </c>
      <c r="AV878"/>
      <c r="AW878"/>
      <c r="FY878" s="211">
        <v>873</v>
      </c>
      <c r="FZ878">
        <v>101.02250873354048</v>
      </c>
      <c r="GA878">
        <v>163.19754614423431</v>
      </c>
      <c r="GB878">
        <v>49.979406233825344</v>
      </c>
      <c r="GC878">
        <v>33.457212863526536</v>
      </c>
      <c r="GD878">
        <v>34.13355612824769</v>
      </c>
      <c r="GE878">
        <v>77.403085260144195</v>
      </c>
      <c r="GF878">
        <v>111.38909843675189</v>
      </c>
      <c r="GG878">
        <v>109.96848584943626</v>
      </c>
      <c r="GH878">
        <v>132.05286854081046</v>
      </c>
      <c r="GI878">
        <v>97.677825588003273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244.78863919912678</v>
      </c>
      <c r="AO879">
        <v>123.87695419651091</v>
      </c>
      <c r="AP879">
        <v>422.26948749277364</v>
      </c>
      <c r="AQ879">
        <v>681.08173220083518</v>
      </c>
      <c r="AR879">
        <v>118.01791745986618</v>
      </c>
      <c r="AS879">
        <v>1150.2218079237898</v>
      </c>
      <c r="AT879">
        <v>57.085343041982476</v>
      </c>
      <c r="AU879">
        <v>146.92407292584892</v>
      </c>
      <c r="AV879"/>
      <c r="AW879"/>
      <c r="FY879" s="211">
        <v>874</v>
      </c>
      <c r="FZ879">
        <v>138.00810811643467</v>
      </c>
      <c r="GA879">
        <v>134.94838518856949</v>
      </c>
      <c r="GB879">
        <v>44.43181649055137</v>
      </c>
      <c r="GC879">
        <v>42.942676294569459</v>
      </c>
      <c r="GD879">
        <v>27.136009055997846</v>
      </c>
      <c r="GE879">
        <v>57.701035783802546</v>
      </c>
      <c r="GF879">
        <v>115.76273187156251</v>
      </c>
      <c r="GG879">
        <v>48.39441933618405</v>
      </c>
      <c r="GH879">
        <v>38.876349680159315</v>
      </c>
      <c r="GI879">
        <v>82.203568121116163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304.00532583240681</v>
      </c>
      <c r="AO880">
        <v>141.15017312161373</v>
      </c>
      <c r="AP880">
        <v>648.80181187353139</v>
      </c>
      <c r="AQ880">
        <v>763.94409088672194</v>
      </c>
      <c r="AR880">
        <v>132.11708731880358</v>
      </c>
      <c r="AS880">
        <v>1387.5686756111079</v>
      </c>
      <c r="AT880">
        <v>65.84190283562998</v>
      </c>
      <c r="AU880">
        <v>310.77492603911776</v>
      </c>
      <c r="AV880"/>
      <c r="AW880"/>
      <c r="FY880" s="211">
        <v>875</v>
      </c>
      <c r="FZ880">
        <v>104.64804801267876</v>
      </c>
      <c r="GA880">
        <v>151.37955773315414</v>
      </c>
      <c r="GB880">
        <v>47.064437198329465</v>
      </c>
      <c r="GC880">
        <v>37.986725587542885</v>
      </c>
      <c r="GD880">
        <v>40.733638752611107</v>
      </c>
      <c r="GE880">
        <v>68.993725055348364</v>
      </c>
      <c r="GF880">
        <v>79.412262099222019</v>
      </c>
      <c r="GG880">
        <v>77.834734565390619</v>
      </c>
      <c r="GH880">
        <v>88.523270897919062</v>
      </c>
      <c r="GI880">
        <v>86.481212191970116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254.31103773925582</v>
      </c>
      <c r="AO881">
        <v>136.94094520575436</v>
      </c>
      <c r="AP881">
        <v>523.67684848863541</v>
      </c>
      <c r="AQ881">
        <v>779.98286954295133</v>
      </c>
      <c r="AR881">
        <v>129.02363398153003</v>
      </c>
      <c r="AS881">
        <v>1320.4087624334181</v>
      </c>
      <c r="AT881">
        <v>62.437965820160002</v>
      </c>
      <c r="AU881">
        <v>199.12372817970382</v>
      </c>
      <c r="AV881"/>
      <c r="AW881"/>
      <c r="FY881" s="211">
        <v>876</v>
      </c>
      <c r="FZ881">
        <v>116.25878702269249</v>
      </c>
      <c r="GA881">
        <v>171.80977583229941</v>
      </c>
      <c r="GB881">
        <v>70.06791353731488</v>
      </c>
      <c r="GC881">
        <v>56.560158580967055</v>
      </c>
      <c r="GD881">
        <v>52.433634103592297</v>
      </c>
      <c r="GE881">
        <v>84.920343289167462</v>
      </c>
      <c r="GF881">
        <v>87.295054504345316</v>
      </c>
      <c r="GG881">
        <v>76.4402869272689</v>
      </c>
      <c r="GH881">
        <v>77.789833462139981</v>
      </c>
      <c r="GI881">
        <v>102.48960270719648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266.33136740313455</v>
      </c>
      <c r="AO882">
        <v>155.52102708533954</v>
      </c>
      <c r="AP882">
        <v>644.02781841962837</v>
      </c>
      <c r="AQ882">
        <v>868.99311519190087</v>
      </c>
      <c r="AR882">
        <v>147.29096062936631</v>
      </c>
      <c r="AS882">
        <v>1340.3945445035574</v>
      </c>
      <c r="AT882">
        <v>76.132610313063623</v>
      </c>
      <c r="AU882">
        <v>190.91534841301058</v>
      </c>
      <c r="AV882"/>
      <c r="AW882"/>
      <c r="FY882" s="211">
        <v>877</v>
      </c>
      <c r="FZ882">
        <v>127.94199595386746</v>
      </c>
      <c r="GA882">
        <v>173.0171160645165</v>
      </c>
      <c r="GB882">
        <v>46.894217659738743</v>
      </c>
      <c r="GC882">
        <v>40.995085798325107</v>
      </c>
      <c r="GD882">
        <v>36.673728531607161</v>
      </c>
      <c r="GE882">
        <v>49.477468501138745</v>
      </c>
      <c r="GF882">
        <v>71.283132417402186</v>
      </c>
      <c r="GG882">
        <v>77.139445637154623</v>
      </c>
      <c r="GH882">
        <v>65.652245400484787</v>
      </c>
      <c r="GI882">
        <v>81.129427055373029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230.50957542428054</v>
      </c>
      <c r="AO883">
        <v>143.61183983517165</v>
      </c>
      <c r="AP883">
        <v>678.410138655835</v>
      </c>
      <c r="AQ883">
        <v>800.28209266425722</v>
      </c>
      <c r="AR883">
        <v>135.79773594688214</v>
      </c>
      <c r="AS883">
        <v>1323.3955353674708</v>
      </c>
      <c r="AT883">
        <v>75.33997739008511</v>
      </c>
      <c r="AU883">
        <v>168.7219575482651</v>
      </c>
      <c r="AV883"/>
      <c r="AW883"/>
      <c r="FY883" s="211">
        <v>878</v>
      </c>
      <c r="FZ883">
        <v>112.87521057728212</v>
      </c>
      <c r="GA883">
        <v>125.76049871057252</v>
      </c>
      <c r="GB883">
        <v>42.773213682788658</v>
      </c>
      <c r="GC883">
        <v>45.936777524740442</v>
      </c>
      <c r="GD883">
        <v>35.463244269336776</v>
      </c>
      <c r="GE883">
        <v>31.848045867807251</v>
      </c>
      <c r="GF883">
        <v>39.884585771930617</v>
      </c>
      <c r="GG883">
        <v>41.83308302577678</v>
      </c>
      <c r="GH883">
        <v>43.164490567694216</v>
      </c>
      <c r="GI883">
        <v>66.781981601116883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259.14557776127856</v>
      </c>
      <c r="AO884">
        <v>140.39581930229002</v>
      </c>
      <c r="AP884">
        <v>576.62892468428663</v>
      </c>
      <c r="AQ884">
        <v>811.03745620021073</v>
      </c>
      <c r="AR884">
        <v>131.86894501697097</v>
      </c>
      <c r="AS884">
        <v>1489.3148118360907</v>
      </c>
      <c r="AT884">
        <v>67.921617224957515</v>
      </c>
      <c r="AU884">
        <v>42.129962450801933</v>
      </c>
      <c r="AV884"/>
      <c r="AW884"/>
      <c r="FY884" s="211">
        <v>879</v>
      </c>
      <c r="FZ884">
        <v>107.94336938242766</v>
      </c>
      <c r="GA884">
        <v>124.09638277166958</v>
      </c>
      <c r="GB884">
        <v>49.32098055159004</v>
      </c>
      <c r="GC884">
        <v>44.130820775284697</v>
      </c>
      <c r="GD884">
        <v>40.499557826676522</v>
      </c>
      <c r="GE884">
        <v>61.374782528154491</v>
      </c>
      <c r="GF884">
        <v>48.992034693626167</v>
      </c>
      <c r="GG884">
        <v>47.536270480203903</v>
      </c>
      <c r="GH884">
        <v>65.267017914304532</v>
      </c>
      <c r="GI884">
        <v>76.140452263978887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259.5101345802567</v>
      </c>
      <c r="AO885">
        <v>133.17577888369016</v>
      </c>
      <c r="AP885">
        <v>582.29552646966454</v>
      </c>
      <c r="AQ885">
        <v>719.32378651006366</v>
      </c>
      <c r="AR885">
        <v>128.79094435136415</v>
      </c>
      <c r="AS885">
        <v>1424.2288146696392</v>
      </c>
      <c r="AT885">
        <v>66.881967157649925</v>
      </c>
      <c r="AU885">
        <v>354.03398842970478</v>
      </c>
      <c r="AV885"/>
      <c r="AW885"/>
      <c r="FY885" s="211">
        <v>880</v>
      </c>
      <c r="FZ885">
        <v>121.45958325712576</v>
      </c>
      <c r="GA885">
        <v>176.94060844955266</v>
      </c>
      <c r="GB885">
        <v>56.815382337780129</v>
      </c>
      <c r="GC885">
        <v>46.08745202491346</v>
      </c>
      <c r="GD885">
        <v>41.088069114097529</v>
      </c>
      <c r="GE885">
        <v>59.438519614649451</v>
      </c>
      <c r="GF885">
        <v>96.535161912103192</v>
      </c>
      <c r="GG885">
        <v>84.205356465635035</v>
      </c>
      <c r="GH885">
        <v>66.628092252235135</v>
      </c>
      <c r="GI885">
        <v>92.041125708561339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263.64411178375354</v>
      </c>
      <c r="AO886">
        <v>152.44223043869471</v>
      </c>
      <c r="AP886">
        <v>521.80055665131908</v>
      </c>
      <c r="AQ886">
        <v>837.1730972216501</v>
      </c>
      <c r="AR886">
        <v>143.53330548035146</v>
      </c>
      <c r="AS886">
        <v>1545.5239902946089</v>
      </c>
      <c r="AT886">
        <v>73.322929326693199</v>
      </c>
      <c r="AU886">
        <v>25.5821971168766</v>
      </c>
      <c r="AV886"/>
      <c r="AW886"/>
      <c r="FY886" s="211">
        <v>881</v>
      </c>
      <c r="FZ886">
        <v>117.56523332337653</v>
      </c>
      <c r="GA886">
        <v>152.70077320189293</v>
      </c>
      <c r="GB886">
        <v>47.273691721760414</v>
      </c>
      <c r="GC886">
        <v>43.72946532332346</v>
      </c>
      <c r="GD886">
        <v>39.288513023256556</v>
      </c>
      <c r="GE886">
        <v>88.238985851260267</v>
      </c>
      <c r="GF886">
        <v>150.05250887120823</v>
      </c>
      <c r="GG886">
        <v>80.688461001282477</v>
      </c>
      <c r="GH886">
        <v>44.22608336093991</v>
      </c>
      <c r="GI886">
        <v>96.180511078499819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250.78006816277667</v>
      </c>
      <c r="AO887">
        <v>129.58104664663557</v>
      </c>
      <c r="AP887">
        <v>566.27483465433704</v>
      </c>
      <c r="AQ887">
        <v>696.70365518672168</v>
      </c>
      <c r="AR887">
        <v>121.08944165700912</v>
      </c>
      <c r="AS887">
        <v>1272.5421975630115</v>
      </c>
      <c r="AT887">
        <v>62.259585603775001</v>
      </c>
      <c r="AU887">
        <v>163.11645750932192</v>
      </c>
      <c r="AV887"/>
      <c r="AW887"/>
      <c r="FY887" s="211">
        <v>882</v>
      </c>
      <c r="FZ887">
        <v>112.55767571736294</v>
      </c>
      <c r="GA887">
        <v>186.99360421545913</v>
      </c>
      <c r="GB887">
        <v>61.320391103916684</v>
      </c>
      <c r="GC887">
        <v>34.809411202013578</v>
      </c>
      <c r="GD887">
        <v>37.056695605977339</v>
      </c>
      <c r="GE887">
        <v>49.583501241305655</v>
      </c>
      <c r="GF887">
        <v>52.023184463990084</v>
      </c>
      <c r="GG887">
        <v>69.064041991084977</v>
      </c>
      <c r="GH887">
        <v>61.456840395483759</v>
      </c>
      <c r="GI887">
        <v>78.447506604891501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304.85295639578879</v>
      </c>
      <c r="AO888">
        <v>156.96172310659779</v>
      </c>
      <c r="AP888">
        <v>530.77873569322298</v>
      </c>
      <c r="AQ888">
        <v>853.15605260913026</v>
      </c>
      <c r="AR888">
        <v>147.90489558627652</v>
      </c>
      <c r="AS888">
        <v>1518.1836081890538</v>
      </c>
      <c r="AT888">
        <v>69.473940811527754</v>
      </c>
      <c r="AU888">
        <v>213.19804494781226</v>
      </c>
      <c r="AV888"/>
      <c r="AW888"/>
      <c r="FY888" s="211">
        <v>883</v>
      </c>
      <c r="FZ888">
        <v>111.48489051977602</v>
      </c>
      <c r="GA888">
        <v>154.03389863043822</v>
      </c>
      <c r="GB888">
        <v>66.951800395733827</v>
      </c>
      <c r="GC888">
        <v>52.465505735219978</v>
      </c>
      <c r="GD888">
        <v>41.873151343315897</v>
      </c>
      <c r="GE888">
        <v>88.244858883345472</v>
      </c>
      <c r="GF888">
        <v>129.68706791612257</v>
      </c>
      <c r="GG888">
        <v>67.002725226971833</v>
      </c>
      <c r="GH888">
        <v>61.323815165092917</v>
      </c>
      <c r="GI888">
        <v>100.55036957573664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230.16692519748449</v>
      </c>
      <c r="AO889">
        <v>160.42434748033267</v>
      </c>
      <c r="AP889">
        <v>667.0496670827448</v>
      </c>
      <c r="AQ889">
        <v>910.28159377852046</v>
      </c>
      <c r="AR889">
        <v>149.62150744791461</v>
      </c>
      <c r="AS889">
        <v>1398.2226972052558</v>
      </c>
      <c r="AT889">
        <v>84.756568331383605</v>
      </c>
      <c r="AU889">
        <v>125.23938067976908</v>
      </c>
      <c r="AV889"/>
      <c r="AW889"/>
      <c r="FY889" s="211">
        <v>884</v>
      </c>
      <c r="FZ889">
        <v>136.61709005591206</v>
      </c>
      <c r="GA889">
        <v>162.68287315940043</v>
      </c>
      <c r="GB889">
        <v>48.945683933743204</v>
      </c>
      <c r="GC889">
        <v>50.317773494122427</v>
      </c>
      <c r="GD889">
        <v>43.00927501768097</v>
      </c>
      <c r="GE889">
        <v>65.991608330747752</v>
      </c>
      <c r="GF889">
        <v>104.13935491876701</v>
      </c>
      <c r="GG889">
        <v>112.07291464567378</v>
      </c>
      <c r="GH889">
        <v>109.68358856937144</v>
      </c>
      <c r="GI889">
        <v>102.22404268339358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212.19715498318266</v>
      </c>
      <c r="AO890">
        <v>128.33020944120398</v>
      </c>
      <c r="AP890">
        <v>721.47518209255281</v>
      </c>
      <c r="AQ890">
        <v>730.40509993894739</v>
      </c>
      <c r="AR890">
        <v>123.91514892676855</v>
      </c>
      <c r="AS890">
        <v>1224.8058354499617</v>
      </c>
      <c r="AT890">
        <v>68.344966673576167</v>
      </c>
      <c r="AU890">
        <v>201.80888914542282</v>
      </c>
      <c r="AV890"/>
      <c r="AW890"/>
      <c r="FY890" s="211">
        <v>885</v>
      </c>
      <c r="FZ890">
        <v>81.098754711881583</v>
      </c>
      <c r="GA890">
        <v>115.79202948457883</v>
      </c>
      <c r="GB890">
        <v>41.716195250761089</v>
      </c>
      <c r="GC890">
        <v>42.251431947572186</v>
      </c>
      <c r="GD890">
        <v>56.711000132193277</v>
      </c>
      <c r="GE890">
        <v>112.12972383850598</v>
      </c>
      <c r="GF890">
        <v>89.330819893685543</v>
      </c>
      <c r="GG890">
        <v>32.704853382217685</v>
      </c>
      <c r="GH890">
        <v>35.954766925745439</v>
      </c>
      <c r="GI890">
        <v>86.454082684021955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249.58144812593827</v>
      </c>
      <c r="AO891">
        <v>138.43121365673639</v>
      </c>
      <c r="AP891">
        <v>475.88554342539044</v>
      </c>
      <c r="AQ891">
        <v>783.05761209416653</v>
      </c>
      <c r="AR891">
        <v>130.33673914218721</v>
      </c>
      <c r="AS891">
        <v>1351.3003269480209</v>
      </c>
      <c r="AT891">
        <v>67.24340325747302</v>
      </c>
      <c r="AU891">
        <v>102.41009457962284</v>
      </c>
      <c r="AV891"/>
      <c r="AW891"/>
      <c r="FY891" s="211">
        <v>886</v>
      </c>
      <c r="FZ891">
        <v>88.58124337235607</v>
      </c>
      <c r="GA891">
        <v>130.03356118292334</v>
      </c>
      <c r="GB891">
        <v>49.912828502271651</v>
      </c>
      <c r="GC891">
        <v>37.217387131939233</v>
      </c>
      <c r="GD891">
        <v>29.160017690265335</v>
      </c>
      <c r="GE891">
        <v>50.086654868146717</v>
      </c>
      <c r="GF891">
        <v>102.50670248501073</v>
      </c>
      <c r="GG891">
        <v>105.32012901027156</v>
      </c>
      <c r="GH891">
        <v>80.063379055192911</v>
      </c>
      <c r="GI891">
        <v>82.025315515760667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323.03782380726841</v>
      </c>
      <c r="AO892">
        <v>166.29580623190347</v>
      </c>
      <c r="AP892">
        <v>729.35280743489875</v>
      </c>
      <c r="AQ892">
        <v>896.06538996698418</v>
      </c>
      <c r="AR892">
        <v>154.46362209609424</v>
      </c>
      <c r="AS892">
        <v>1761.5690817291656</v>
      </c>
      <c r="AT892">
        <v>77.142766698551526</v>
      </c>
      <c r="AU892">
        <v>145.68745380199624</v>
      </c>
      <c r="AV892"/>
      <c r="AW892"/>
      <c r="FY892" s="211">
        <v>887</v>
      </c>
      <c r="FZ892">
        <v>106.29775089600879</v>
      </c>
      <c r="GA892">
        <v>141.37794610416947</v>
      </c>
      <c r="GB892">
        <v>54.148184033274063</v>
      </c>
      <c r="GC892">
        <v>42.700503576360802</v>
      </c>
      <c r="GD892">
        <v>34.758764505219347</v>
      </c>
      <c r="GE892">
        <v>44.765750496472641</v>
      </c>
      <c r="GF892">
        <v>67.659637995442253</v>
      </c>
      <c r="GG892">
        <v>79.877817989041432</v>
      </c>
      <c r="GH892">
        <v>94.175540433634524</v>
      </c>
      <c r="GI892">
        <v>83.656559526988829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237.0667179768887</v>
      </c>
      <c r="AO893">
        <v>130.24942379582521</v>
      </c>
      <c r="AP893">
        <v>402.62343473293896</v>
      </c>
      <c r="AQ893">
        <v>770.20386301960843</v>
      </c>
      <c r="AR893">
        <v>121.89637000605185</v>
      </c>
      <c r="AS893">
        <v>1280.3604704286392</v>
      </c>
      <c r="AT893">
        <v>62.654463815226926</v>
      </c>
      <c r="AU893">
        <v>60.328525685215766</v>
      </c>
      <c r="AV893"/>
      <c r="AW893"/>
      <c r="FY893" s="211">
        <v>888</v>
      </c>
      <c r="FZ893">
        <v>162.8004628395509</v>
      </c>
      <c r="GA893">
        <v>178.04363554717153</v>
      </c>
      <c r="GB893">
        <v>42.441951958404765</v>
      </c>
      <c r="GC893">
        <v>40.386174713388108</v>
      </c>
      <c r="GD893">
        <v>41.450346990102346</v>
      </c>
      <c r="GE893">
        <v>62.204333443094001</v>
      </c>
      <c r="GF893">
        <v>58.511842525804369</v>
      </c>
      <c r="GG893">
        <v>70.370107330827068</v>
      </c>
      <c r="GH893">
        <v>86.216412152413142</v>
      </c>
      <c r="GI893">
        <v>89.275049883055146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202.20441378833411</v>
      </c>
      <c r="AO894">
        <v>104.17310561630396</v>
      </c>
      <c r="AP894">
        <v>478.34245903634286</v>
      </c>
      <c r="AQ894">
        <v>586.32113159904623</v>
      </c>
      <c r="AR894">
        <v>99.831268745496445</v>
      </c>
      <c r="AS894">
        <v>1040.4236139540383</v>
      </c>
      <c r="AT894">
        <v>53.963136848033123</v>
      </c>
      <c r="AU894">
        <v>76.921657588479405</v>
      </c>
      <c r="AV894"/>
      <c r="AW894"/>
      <c r="FY894" s="211">
        <v>889</v>
      </c>
      <c r="FZ894">
        <v>125.43494180423846</v>
      </c>
      <c r="GA894">
        <v>149.42461505378637</v>
      </c>
      <c r="GB894">
        <v>47.1693811439116</v>
      </c>
      <c r="GC894">
        <v>37.838733010004745</v>
      </c>
      <c r="GD894">
        <v>40.735967566589864</v>
      </c>
      <c r="GE894">
        <v>76.628892717577443</v>
      </c>
      <c r="GF894">
        <v>102.15733791045527</v>
      </c>
      <c r="GG894">
        <v>51.765353464271136</v>
      </c>
      <c r="GH894">
        <v>16.752393862013641</v>
      </c>
      <c r="GI894">
        <v>83.214687308703404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238.0599963183011</v>
      </c>
      <c r="AO895">
        <v>119.44493980849613</v>
      </c>
      <c r="AP895">
        <v>483.40903616432797</v>
      </c>
      <c r="AQ895">
        <v>665.30166918791645</v>
      </c>
      <c r="AR895">
        <v>113.3738807038869</v>
      </c>
      <c r="AS895">
        <v>1140.2656674463549</v>
      </c>
      <c r="AT895">
        <v>60.237706012807109</v>
      </c>
      <c r="AU895">
        <v>7.0174199944077387</v>
      </c>
      <c r="AV895"/>
      <c r="AW895"/>
      <c r="FY895" s="211">
        <v>890</v>
      </c>
      <c r="FZ895">
        <v>82.215293837341818</v>
      </c>
      <c r="GA895">
        <v>130.49202323933741</v>
      </c>
      <c r="GB895">
        <v>58.356566735046748</v>
      </c>
      <c r="GC895">
        <v>43.173489070562653</v>
      </c>
      <c r="GD895">
        <v>43.555032211608243</v>
      </c>
      <c r="GE895">
        <v>65.200962133912839</v>
      </c>
      <c r="GF895">
        <v>67.210439151194009</v>
      </c>
      <c r="GG895">
        <v>82.9503281393051</v>
      </c>
      <c r="GH895">
        <v>96.955110880774711</v>
      </c>
      <c r="GI895">
        <v>86.317601429171063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234.76545868129847</v>
      </c>
      <c r="AO896">
        <v>147.87994094098946</v>
      </c>
      <c r="AP896">
        <v>553.4085074871241</v>
      </c>
      <c r="AQ896">
        <v>841.23935113665368</v>
      </c>
      <c r="AR896">
        <v>139.22838316047239</v>
      </c>
      <c r="AS896">
        <v>1315.3332342787114</v>
      </c>
      <c r="AT896">
        <v>72.060671128722404</v>
      </c>
      <c r="AU896">
        <v>189.72685080938342</v>
      </c>
      <c r="AV896"/>
      <c r="AW896"/>
      <c r="FY896" s="211">
        <v>891</v>
      </c>
      <c r="FZ896">
        <v>120.20444116834769</v>
      </c>
      <c r="GA896">
        <v>162.16380926765234</v>
      </c>
      <c r="GB896">
        <v>47.978027428303655</v>
      </c>
      <c r="GC896">
        <v>34.396960337369833</v>
      </c>
      <c r="GD896">
        <v>29.830361135053668</v>
      </c>
      <c r="GE896">
        <v>54.659785086023476</v>
      </c>
      <c r="GF896">
        <v>99.258943675490556</v>
      </c>
      <c r="GG896">
        <v>92.438963369373809</v>
      </c>
      <c r="GH896">
        <v>77.911740757574051</v>
      </c>
      <c r="GI896">
        <v>85.10391512991292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275.02292633511769</v>
      </c>
      <c r="AO897">
        <v>154.95494211500886</v>
      </c>
      <c r="AP897">
        <v>569.68421938264555</v>
      </c>
      <c r="AQ897">
        <v>859.94422675680062</v>
      </c>
      <c r="AR897">
        <v>144.40566511513074</v>
      </c>
      <c r="AS897">
        <v>1365.4847428962755</v>
      </c>
      <c r="AT897">
        <v>65.879964199556809</v>
      </c>
      <c r="AU897">
        <v>179.08268622357764</v>
      </c>
      <c r="AV897"/>
      <c r="AW897"/>
      <c r="FY897" s="211">
        <v>892</v>
      </c>
      <c r="FZ897">
        <v>113.97137349961771</v>
      </c>
      <c r="GA897">
        <v>163.25777507856802</v>
      </c>
      <c r="GB897">
        <v>69.416446783642925</v>
      </c>
      <c r="GC897">
        <v>41.015625572135754</v>
      </c>
      <c r="GD897">
        <v>44.008240222437593</v>
      </c>
      <c r="GE897">
        <v>73.679391660226258</v>
      </c>
      <c r="GF897">
        <v>59.822463693091279</v>
      </c>
      <c r="GG897">
        <v>46.356613799151354</v>
      </c>
      <c r="GH897">
        <v>42.500265120573125</v>
      </c>
      <c r="GI897">
        <v>83.634863658543892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245.90654713754262</v>
      </c>
      <c r="AO898">
        <v>126.76281360884052</v>
      </c>
      <c r="AP898">
        <v>526.78353559196023</v>
      </c>
      <c r="AQ898">
        <v>743.31285254148554</v>
      </c>
      <c r="AR898">
        <v>118.73319170022816</v>
      </c>
      <c r="AS898">
        <v>1149.3239386882783</v>
      </c>
      <c r="AT898">
        <v>59.855456932237786</v>
      </c>
      <c r="AU898">
        <v>361.17872180017423</v>
      </c>
      <c r="AV898"/>
      <c r="AW898"/>
      <c r="FY898" s="211">
        <v>893</v>
      </c>
      <c r="FZ898">
        <v>146.50465798671928</v>
      </c>
      <c r="GA898">
        <v>173.58525407907626</v>
      </c>
      <c r="GB898">
        <v>41.814418049265981</v>
      </c>
      <c r="GC898">
        <v>49.920497851318935</v>
      </c>
      <c r="GD898">
        <v>51.162501427667102</v>
      </c>
      <c r="GE898">
        <v>85.295033325399714</v>
      </c>
      <c r="GF898">
        <v>92.110470446428678</v>
      </c>
      <c r="GG898">
        <v>37.571585368050314</v>
      </c>
      <c r="GH898">
        <v>39.494992375770657</v>
      </c>
      <c r="GI898">
        <v>93.791921311176509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290.0398007992726</v>
      </c>
      <c r="AO899">
        <v>161.00223630296699</v>
      </c>
      <c r="AP899">
        <v>603.05699199660171</v>
      </c>
      <c r="AQ899">
        <v>873.61808339175343</v>
      </c>
      <c r="AR899">
        <v>151.21425559713163</v>
      </c>
      <c r="AS899">
        <v>1539.5086989795493</v>
      </c>
      <c r="AT899">
        <v>74.271565269009685</v>
      </c>
      <c r="AU899">
        <v>156.19901773864538</v>
      </c>
      <c r="AV899"/>
      <c r="AW899"/>
      <c r="FY899" s="211">
        <v>894</v>
      </c>
      <c r="FZ899">
        <v>139.32656066064263</v>
      </c>
      <c r="GA899">
        <v>175.42881944340044</v>
      </c>
      <c r="GB899">
        <v>59.277890271760953</v>
      </c>
      <c r="GC899">
        <v>43.148634085493455</v>
      </c>
      <c r="GD899">
        <v>52.263476014288386</v>
      </c>
      <c r="GE899">
        <v>100.96298922105116</v>
      </c>
      <c r="GF899">
        <v>129.38761235288007</v>
      </c>
      <c r="GG899">
        <v>85.962328192657253</v>
      </c>
      <c r="GH899">
        <v>43.897828143572376</v>
      </c>
      <c r="GI899">
        <v>106.17261119660077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278.39652668132237</v>
      </c>
      <c r="AO900">
        <v>165.59340408411475</v>
      </c>
      <c r="AP900">
        <v>720.9795067806192</v>
      </c>
      <c r="AQ900">
        <v>935.68420480881264</v>
      </c>
      <c r="AR900">
        <v>155.24785789501837</v>
      </c>
      <c r="AS900">
        <v>1555.2047979842791</v>
      </c>
      <c r="AT900">
        <v>83.560046576582636</v>
      </c>
      <c r="AU900">
        <v>164.79750815422028</v>
      </c>
      <c r="AV900"/>
      <c r="AW900"/>
      <c r="FY900" s="211">
        <v>895</v>
      </c>
      <c r="FZ900">
        <v>132.00326756818478</v>
      </c>
      <c r="GA900">
        <v>187.71999169554419</v>
      </c>
      <c r="GB900">
        <v>55.728432907817506</v>
      </c>
      <c r="GC900">
        <v>37.473904733359376</v>
      </c>
      <c r="GD900">
        <v>35.896950431619693</v>
      </c>
      <c r="GE900">
        <v>81.358992283719928</v>
      </c>
      <c r="GF900">
        <v>108.44393135111075</v>
      </c>
      <c r="GG900">
        <v>51.119717896880609</v>
      </c>
      <c r="GH900">
        <v>52.376082767650075</v>
      </c>
      <c r="GI900">
        <v>90.798524270066537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246.58657841128382</v>
      </c>
      <c r="AO901">
        <v>139.35760884177182</v>
      </c>
      <c r="AP901">
        <v>735.1928629966161</v>
      </c>
      <c r="AQ901">
        <v>694.14365825116352</v>
      </c>
      <c r="AR901">
        <v>129.31216013582551</v>
      </c>
      <c r="AS901">
        <v>1244.5826246269974</v>
      </c>
      <c r="AT901">
        <v>66.586441821551688</v>
      </c>
      <c r="AU901">
        <v>253.66150620262096</v>
      </c>
      <c r="AV901"/>
      <c r="AW901"/>
      <c r="FY901" s="211">
        <v>896</v>
      </c>
      <c r="FZ901">
        <v>123.53149926982879</v>
      </c>
      <c r="GA901">
        <v>170.80101182742084</v>
      </c>
      <c r="GB901">
        <v>47.796995138122057</v>
      </c>
      <c r="GC901">
        <v>37.404451897755422</v>
      </c>
      <c r="GD901">
        <v>39.86604836060755</v>
      </c>
      <c r="GE901">
        <v>68.941327821306515</v>
      </c>
      <c r="GF901">
        <v>71.310802254543773</v>
      </c>
      <c r="GG901">
        <v>70.564078400944894</v>
      </c>
      <c r="GH901">
        <v>81.447757638361097</v>
      </c>
      <c r="GI901">
        <v>85.835140395375987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215.01428656063413</v>
      </c>
      <c r="AO902">
        <v>135.09540488978777</v>
      </c>
      <c r="AP902">
        <v>586.0007379309717</v>
      </c>
      <c r="AQ902">
        <v>754.9072188141381</v>
      </c>
      <c r="AR902">
        <v>125.37530792624655</v>
      </c>
      <c r="AS902">
        <v>1175.9638367094324</v>
      </c>
      <c r="AT902">
        <v>64.601703556758295</v>
      </c>
      <c r="AU902">
        <v>219.96073425978446</v>
      </c>
      <c r="AV902"/>
      <c r="AW902"/>
      <c r="FY902" s="211">
        <v>897</v>
      </c>
      <c r="FZ902">
        <v>134.0537076042032</v>
      </c>
      <c r="GA902">
        <v>143.70074514375449</v>
      </c>
      <c r="GB902">
        <v>41.209567468937223</v>
      </c>
      <c r="GC902">
        <v>40.016816753156611</v>
      </c>
      <c r="GD902">
        <v>47.407141085985003</v>
      </c>
      <c r="GE902">
        <v>83.545779653939007</v>
      </c>
      <c r="GF902">
        <v>69.58413943167956</v>
      </c>
      <c r="GG902">
        <v>33.046099472283956</v>
      </c>
      <c r="GH902">
        <v>42.16074820620338</v>
      </c>
      <c r="GI902">
        <v>83.7351311220215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240.14089861897438</v>
      </c>
      <c r="AO903">
        <v>131.87734277287652</v>
      </c>
      <c r="AP903">
        <v>480.46134874777357</v>
      </c>
      <c r="AQ903">
        <v>749.41845555661223</v>
      </c>
      <c r="AR903">
        <v>126.34181708644478</v>
      </c>
      <c r="AS903">
        <v>1382.1486257534602</v>
      </c>
      <c r="AT903">
        <v>67.058932399706464</v>
      </c>
      <c r="AU903">
        <v>79.906495208516503</v>
      </c>
      <c r="AV903"/>
      <c r="AW903"/>
      <c r="FY903" s="211">
        <v>898</v>
      </c>
      <c r="FZ903">
        <v>103.66593289358443</v>
      </c>
      <c r="GA903">
        <v>139.55815614051238</v>
      </c>
      <c r="GB903">
        <v>42.480849891591063</v>
      </c>
      <c r="GC903">
        <v>36.370167366794647</v>
      </c>
      <c r="GD903">
        <v>30.501601769861413</v>
      </c>
      <c r="GE903">
        <v>71.057499571815285</v>
      </c>
      <c r="GF903">
        <v>115.49038097140262</v>
      </c>
      <c r="GG903">
        <v>41.542239459841284</v>
      </c>
      <c r="GH903">
        <v>36.959474492082585</v>
      </c>
      <c r="GI903">
        <v>78.204511708486976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243.43072109133837</v>
      </c>
      <c r="AO904">
        <v>142.78817309286524</v>
      </c>
      <c r="AP904">
        <v>513.29671981684305</v>
      </c>
      <c r="AQ904">
        <v>831.70031738381135</v>
      </c>
      <c r="AR904">
        <v>135.95038551326886</v>
      </c>
      <c r="AS904">
        <v>1359.8134415021791</v>
      </c>
      <c r="AT904">
        <v>69.674526184448339</v>
      </c>
      <c r="AU904">
        <v>111.61746540332791</v>
      </c>
      <c r="AV904"/>
      <c r="AW904"/>
      <c r="FY904" s="211">
        <v>899</v>
      </c>
      <c r="FZ904">
        <v>114.48441222183752</v>
      </c>
      <c r="GA904">
        <v>188.54946874623326</v>
      </c>
      <c r="GB904">
        <v>54.956059053057068</v>
      </c>
      <c r="GC904">
        <v>33.827492319446627</v>
      </c>
      <c r="GD904">
        <v>39.633349899923495</v>
      </c>
      <c r="GE904">
        <v>78.146996309441178</v>
      </c>
      <c r="GF904">
        <v>111.08274283787908</v>
      </c>
      <c r="GG904">
        <v>110.21650914074503</v>
      </c>
      <c r="GH904">
        <v>109.21433745983909</v>
      </c>
      <c r="GI904">
        <v>100.62822751651395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270.07589387046585</v>
      </c>
      <c r="AO905">
        <v>131.62947277514462</v>
      </c>
      <c r="AP905">
        <v>556.59731930084934</v>
      </c>
      <c r="AQ905">
        <v>731.12230384155191</v>
      </c>
      <c r="AR905">
        <v>124.43590076496332</v>
      </c>
      <c r="AS905">
        <v>1310.042378022875</v>
      </c>
      <c r="AT905">
        <v>56.219950214441489</v>
      </c>
      <c r="AU905">
        <v>164.21847022386393</v>
      </c>
      <c r="AV905"/>
      <c r="AW905"/>
      <c r="FY905" s="211">
        <v>900</v>
      </c>
      <c r="FZ905">
        <v>95.275278970835558</v>
      </c>
      <c r="GA905">
        <v>180.7221275068386</v>
      </c>
      <c r="GB905">
        <v>82.832063633240779</v>
      </c>
      <c r="GC905">
        <v>44.044229755792003</v>
      </c>
      <c r="GD905">
        <v>39.62060328101294</v>
      </c>
      <c r="GE905">
        <v>52.069457017893939</v>
      </c>
      <c r="GF905">
        <v>47.920934122276066</v>
      </c>
      <c r="GG905">
        <v>42.469524425293208</v>
      </c>
      <c r="GH905">
        <v>38.970775264122501</v>
      </c>
      <c r="GI905">
        <v>78.179769587305131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268.33035754081936</v>
      </c>
      <c r="AO906">
        <v>137.59308709429169</v>
      </c>
      <c r="AP906">
        <v>438.92104294343198</v>
      </c>
      <c r="AQ906">
        <v>756.42684682825461</v>
      </c>
      <c r="AR906">
        <v>129.92412778145365</v>
      </c>
      <c r="AS906">
        <v>1361.5470097115406</v>
      </c>
      <c r="AT906">
        <v>64.650955176480963</v>
      </c>
      <c r="AU906">
        <v>-38.265726491613421</v>
      </c>
      <c r="AV906"/>
      <c r="AW906"/>
      <c r="FY906" s="211">
        <v>901</v>
      </c>
      <c r="FZ906">
        <v>111.20356728272637</v>
      </c>
      <c r="GA906">
        <v>185.92567210863859</v>
      </c>
      <c r="GB906">
        <v>62.657455808352879</v>
      </c>
      <c r="GC906">
        <v>44.231852695344877</v>
      </c>
      <c r="GD906">
        <v>45.657043564608152</v>
      </c>
      <c r="GE906">
        <v>71.813061710086103</v>
      </c>
      <c r="GF906">
        <v>61.678606338976103</v>
      </c>
      <c r="GG906">
        <v>91.444944291215009</v>
      </c>
      <c r="GH906">
        <v>126.49276693787512</v>
      </c>
      <c r="GI906">
        <v>96.738288958641832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207.78327020801672</v>
      </c>
      <c r="AO907">
        <v>138.34006314276468</v>
      </c>
      <c r="AP907">
        <v>461.66632508461231</v>
      </c>
      <c r="AQ907">
        <v>803.94694735510211</v>
      </c>
      <c r="AR907">
        <v>129.83673200724337</v>
      </c>
      <c r="AS907">
        <v>1304.6123913071476</v>
      </c>
      <c r="AT907">
        <v>66.944567011562199</v>
      </c>
      <c r="AU907">
        <v>161.17240351489892</v>
      </c>
      <c r="AV907"/>
      <c r="AW907"/>
      <c r="FY907" s="211">
        <v>902</v>
      </c>
      <c r="FZ907">
        <v>125.95443587966841</v>
      </c>
      <c r="GA907">
        <v>177.06455275378522</v>
      </c>
      <c r="GB907">
        <v>53.785492760465367</v>
      </c>
      <c r="GC907">
        <v>49.139042548500619</v>
      </c>
      <c r="GD907">
        <v>45.337312096778625</v>
      </c>
      <c r="GE907">
        <v>107.48701871836037</v>
      </c>
      <c r="GF907">
        <v>175.59118699770582</v>
      </c>
      <c r="GG907">
        <v>70.436545593006883</v>
      </c>
      <c r="GH907">
        <v>35.414854220093176</v>
      </c>
      <c r="GI907">
        <v>108.07538095626853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293.09604975801801</v>
      </c>
      <c r="AO908">
        <v>131.14646707921742</v>
      </c>
      <c r="AP908">
        <v>413.50959429828089</v>
      </c>
      <c r="AQ908">
        <v>737.66305908798779</v>
      </c>
      <c r="AR908">
        <v>124.25168259165662</v>
      </c>
      <c r="AS908">
        <v>1334.427682100946</v>
      </c>
      <c r="AT908">
        <v>59.631581176742479</v>
      </c>
      <c r="AU908">
        <v>32.649826520951216</v>
      </c>
      <c r="AV908"/>
      <c r="AW908"/>
      <c r="FY908" s="211">
        <v>903</v>
      </c>
      <c r="FZ908">
        <v>133.44031587021365</v>
      </c>
      <c r="GA908">
        <v>132.19550462138221</v>
      </c>
      <c r="GB908">
        <v>46.750890535782531</v>
      </c>
      <c r="GC908">
        <v>51.906121411639909</v>
      </c>
      <c r="GD908">
        <v>35.648803610453349</v>
      </c>
      <c r="GE908">
        <v>56.198467171381438</v>
      </c>
      <c r="GF908">
        <v>91.715033688384082</v>
      </c>
      <c r="GG908">
        <v>64.932203381614229</v>
      </c>
      <c r="GH908">
        <v>63.868226874048808</v>
      </c>
      <c r="GI908">
        <v>86.154044516987923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231.337065705649</v>
      </c>
      <c r="AO909">
        <v>149.94878611376765</v>
      </c>
      <c r="AP909">
        <v>758.66810562057458</v>
      </c>
      <c r="AQ909">
        <v>811.25133222087356</v>
      </c>
      <c r="AR909">
        <v>141.45922213624976</v>
      </c>
      <c r="AS909">
        <v>1316.9629662354894</v>
      </c>
      <c r="AT909">
        <v>77.153090347184559</v>
      </c>
      <c r="AU909">
        <v>125.18493093373448</v>
      </c>
      <c r="AV909"/>
      <c r="AW909"/>
      <c r="FY909" s="211">
        <v>904</v>
      </c>
      <c r="FZ909">
        <v>112.90635847699653</v>
      </c>
      <c r="GA909">
        <v>153.46479431254821</v>
      </c>
      <c r="GB909">
        <v>47.640079720008984</v>
      </c>
      <c r="GC909">
        <v>36.550205560251484</v>
      </c>
      <c r="GD909">
        <v>60.899255948779036</v>
      </c>
      <c r="GE909">
        <v>109.64407713491968</v>
      </c>
      <c r="GF909">
        <v>75.983161737502698</v>
      </c>
      <c r="GG909">
        <v>65.6741325201656</v>
      </c>
      <c r="GH909">
        <v>48.858962862127967</v>
      </c>
      <c r="GI909">
        <v>93.01726814419284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327.50990292801998</v>
      </c>
      <c r="AO910">
        <v>168.63859972819785</v>
      </c>
      <c r="AP910">
        <v>540.90410597257335</v>
      </c>
      <c r="AQ910">
        <v>935.82874958234743</v>
      </c>
      <c r="AR910">
        <v>159.07347749462829</v>
      </c>
      <c r="AS910">
        <v>1768.1595021497599</v>
      </c>
      <c r="AT910">
        <v>73.981503546879594</v>
      </c>
      <c r="AU910">
        <v>186.24498036172497</v>
      </c>
      <c r="AV910"/>
      <c r="AW910"/>
      <c r="FY910" s="211">
        <v>905</v>
      </c>
      <c r="FZ910">
        <v>137.09260945118589</v>
      </c>
      <c r="GA910">
        <v>188.57951034223291</v>
      </c>
      <c r="GB910">
        <v>52.6715059070347</v>
      </c>
      <c r="GC910">
        <v>44.09728515076074</v>
      </c>
      <c r="GD910">
        <v>46.494915721686297</v>
      </c>
      <c r="GE910">
        <v>77.782950206260125</v>
      </c>
      <c r="GF910">
        <v>93.863845272815723</v>
      </c>
      <c r="GG910">
        <v>49.597247934881167</v>
      </c>
      <c r="GH910">
        <v>47.864727362984738</v>
      </c>
      <c r="GI910">
        <v>93.087419272278538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222.1662907776917</v>
      </c>
      <c r="AO911">
        <v>145.90041773612049</v>
      </c>
      <c r="AP911">
        <v>681.42858037653468</v>
      </c>
      <c r="AQ911">
        <v>832.91979590595361</v>
      </c>
      <c r="AR911">
        <v>137.44394183140849</v>
      </c>
      <c r="AS911">
        <v>1424.2807415356135</v>
      </c>
      <c r="AT911">
        <v>74.634987881329536</v>
      </c>
      <c r="AU911">
        <v>121.31695547434163</v>
      </c>
      <c r="AV911"/>
      <c r="AW911"/>
      <c r="FY911" s="211">
        <v>906</v>
      </c>
      <c r="FZ911">
        <v>130.51472358160518</v>
      </c>
      <c r="GA911">
        <v>172.97818344923004</v>
      </c>
      <c r="GB911">
        <v>49.325596349737928</v>
      </c>
      <c r="GC911">
        <v>33.413463217250268</v>
      </c>
      <c r="GD911">
        <v>31.669156245886654</v>
      </c>
      <c r="GE911">
        <v>71.005639261781695</v>
      </c>
      <c r="GF911">
        <v>97.566418757577296</v>
      </c>
      <c r="GG911">
        <v>35.558335976591948</v>
      </c>
      <c r="GH911">
        <v>37.729410173008901</v>
      </c>
      <c r="GI911">
        <v>81.212251914030873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251.64627651085229</v>
      </c>
      <c r="AO912">
        <v>138.052233537821</v>
      </c>
      <c r="AP912">
        <v>624.86302613926591</v>
      </c>
      <c r="AQ912">
        <v>797.49911300426686</v>
      </c>
      <c r="AR912">
        <v>129.44236615302628</v>
      </c>
      <c r="AS912">
        <v>1128.9743401224991</v>
      </c>
      <c r="AT912">
        <v>68.746037376615391</v>
      </c>
      <c r="AU912">
        <v>151.80154831744039</v>
      </c>
      <c r="AV912"/>
      <c r="AW912"/>
      <c r="FY912" s="211">
        <v>907</v>
      </c>
      <c r="FZ912">
        <v>138.05699980224117</v>
      </c>
      <c r="GA912">
        <v>150.12838692218622</v>
      </c>
      <c r="GB912">
        <v>51.642175287211749</v>
      </c>
      <c r="GC912">
        <v>38.13076530361586</v>
      </c>
      <c r="GD912">
        <v>41.238843549892962</v>
      </c>
      <c r="GE912">
        <v>81.27986788255285</v>
      </c>
      <c r="GF912">
        <v>88.051528969639946</v>
      </c>
      <c r="GG912">
        <v>55.457279275837891</v>
      </c>
      <c r="GH912">
        <v>57.065961636349101</v>
      </c>
      <c r="GI912">
        <v>89.455848753646791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285.33179783217105</v>
      </c>
      <c r="AO913">
        <v>129.86596379589815</v>
      </c>
      <c r="AP913">
        <v>451.6851337077261</v>
      </c>
      <c r="AQ913">
        <v>718.45987594216388</v>
      </c>
      <c r="AR913">
        <v>124.15825452712964</v>
      </c>
      <c r="AS913">
        <v>1412.7560175193728</v>
      </c>
      <c r="AT913">
        <v>59.522500429126126</v>
      </c>
      <c r="AU913">
        <v>9.6121240058733974</v>
      </c>
      <c r="AV913"/>
      <c r="AW913"/>
      <c r="FY913" s="211">
        <v>908</v>
      </c>
      <c r="FZ913">
        <v>132.18699729875701</v>
      </c>
      <c r="GA913">
        <v>144.34505327360017</v>
      </c>
      <c r="GB913">
        <v>43.023317003059489</v>
      </c>
      <c r="GC913">
        <v>40.189212156474888</v>
      </c>
      <c r="GD913">
        <v>33.654335183730645</v>
      </c>
      <c r="GE913">
        <v>52.960112873174104</v>
      </c>
      <c r="GF913">
        <v>73.845824848405869</v>
      </c>
      <c r="GG913">
        <v>85.476309245970668</v>
      </c>
      <c r="GH913">
        <v>105.21466588456367</v>
      </c>
      <c r="GI913">
        <v>85.619565314339283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205.5729410345395</v>
      </c>
      <c r="AO914">
        <v>124.52150711482648</v>
      </c>
      <c r="AP914">
        <v>606.14071664919425</v>
      </c>
      <c r="AQ914">
        <v>695.83081426597266</v>
      </c>
      <c r="AR914">
        <v>118.27371953883392</v>
      </c>
      <c r="AS914">
        <v>1317.3710758497928</v>
      </c>
      <c r="AT914">
        <v>58.464501815064047</v>
      </c>
      <c r="AU914">
        <v>103.45137375293021</v>
      </c>
      <c r="AV914"/>
      <c r="AW914"/>
      <c r="FY914" s="211">
        <v>909</v>
      </c>
      <c r="FZ914">
        <v>107.16256289043298</v>
      </c>
      <c r="GA914">
        <v>122.24156653128834</v>
      </c>
      <c r="GB914">
        <v>38.799736840365675</v>
      </c>
      <c r="GC914">
        <v>39.87376044680191</v>
      </c>
      <c r="GD914">
        <v>41.8611781122937</v>
      </c>
      <c r="GE914">
        <v>65.115129984406835</v>
      </c>
      <c r="GF914">
        <v>69.283761082528045</v>
      </c>
      <c r="GG914">
        <v>54.447746895492578</v>
      </c>
      <c r="GH914">
        <v>37.406517934929489</v>
      </c>
      <c r="GI914">
        <v>74.260165511750486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245.94110815425833</v>
      </c>
      <c r="AO915">
        <v>165.06321945994267</v>
      </c>
      <c r="AP915">
        <v>791.7974607594756</v>
      </c>
      <c r="AQ915">
        <v>940.73959550491622</v>
      </c>
      <c r="AR915">
        <v>154.41553465341093</v>
      </c>
      <c r="AS915">
        <v>1503.181741970777</v>
      </c>
      <c r="AT915">
        <v>84.392983793704502</v>
      </c>
      <c r="AU915">
        <v>397.98709476368191</v>
      </c>
      <c r="AV915"/>
      <c r="AW915"/>
      <c r="FY915" s="211">
        <v>910</v>
      </c>
      <c r="FZ915">
        <v>95.014488187170755</v>
      </c>
      <c r="GA915">
        <v>120.26882520133461</v>
      </c>
      <c r="GB915">
        <v>53.153457484396</v>
      </c>
      <c r="GC915">
        <v>55.292355163229466</v>
      </c>
      <c r="GD915">
        <v>45.771464455358618</v>
      </c>
      <c r="GE915">
        <v>73.917677126891618</v>
      </c>
      <c r="GF915">
        <v>90.395436133776613</v>
      </c>
      <c r="GG915">
        <v>87.139446420453737</v>
      </c>
      <c r="GH915">
        <v>115.62531433544893</v>
      </c>
      <c r="GI915">
        <v>97.321043759079259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268.51662079337689</v>
      </c>
      <c r="AO916">
        <v>122.79241866320986</v>
      </c>
      <c r="AP916">
        <v>406.46365689624434</v>
      </c>
      <c r="AQ916">
        <v>702.10476356461083</v>
      </c>
      <c r="AR916">
        <v>116.01721679792938</v>
      </c>
      <c r="AS916">
        <v>1227.292585705432</v>
      </c>
      <c r="AT916">
        <v>54.990041211852279</v>
      </c>
      <c r="AU916">
        <v>38.681570712663493</v>
      </c>
      <c r="AV916"/>
      <c r="AW916"/>
      <c r="FY916" s="211">
        <v>911</v>
      </c>
      <c r="FZ916">
        <v>123.28244866318332</v>
      </c>
      <c r="GA916">
        <v>155.42219941217098</v>
      </c>
      <c r="GB916">
        <v>43.810964812747542</v>
      </c>
      <c r="GC916">
        <v>29.31125140549242</v>
      </c>
      <c r="GD916">
        <v>29.507934557348772</v>
      </c>
      <c r="GE916">
        <v>40.752192123194185</v>
      </c>
      <c r="GF916">
        <v>47.152348148550089</v>
      </c>
      <c r="GG916">
        <v>74.961199900332673</v>
      </c>
      <c r="GH916">
        <v>95.055764537162062</v>
      </c>
      <c r="GI916">
        <v>75.091625017496639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260.83988296105161</v>
      </c>
      <c r="AO917">
        <v>155.91542299585669</v>
      </c>
      <c r="AP917">
        <v>631.18829767573573</v>
      </c>
      <c r="AQ917">
        <v>897.84325969646511</v>
      </c>
      <c r="AR917">
        <v>145.5898114936787</v>
      </c>
      <c r="AS917">
        <v>1466.9930175499219</v>
      </c>
      <c r="AT917">
        <v>79.205256014422488</v>
      </c>
      <c r="AU917">
        <v>-83.632588715508717</v>
      </c>
      <c r="AV917"/>
      <c r="AW917"/>
      <c r="FY917" s="211">
        <v>912</v>
      </c>
      <c r="FZ917">
        <v>116.14581713890445</v>
      </c>
      <c r="GA917">
        <v>156.02624525197479</v>
      </c>
      <c r="GB917">
        <v>55.369149642966292</v>
      </c>
      <c r="GC917">
        <v>36.243798248087003</v>
      </c>
      <c r="GD917">
        <v>39.202968468801835</v>
      </c>
      <c r="GE917">
        <v>100.37317071576071</v>
      </c>
      <c r="GF917">
        <v>153.66103365763189</v>
      </c>
      <c r="GG917">
        <v>127.36097154579568</v>
      </c>
      <c r="GH917">
        <v>115.43902705437745</v>
      </c>
      <c r="GI917">
        <v>110.89459338042212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279.45290214334887</v>
      </c>
      <c r="AO918">
        <v>175.58127789425379</v>
      </c>
      <c r="AP918">
        <v>721.60871092206526</v>
      </c>
      <c r="AQ918">
        <v>948.28582252463298</v>
      </c>
      <c r="AR918">
        <v>163.24889218142067</v>
      </c>
      <c r="AS918">
        <v>1552.2135481500679</v>
      </c>
      <c r="AT918">
        <v>79.734195104805181</v>
      </c>
      <c r="AU918">
        <v>186.76021841051059</v>
      </c>
      <c r="AV918"/>
      <c r="AW918"/>
      <c r="FY918" s="211">
        <v>913</v>
      </c>
      <c r="FZ918">
        <v>118.15094266961775</v>
      </c>
      <c r="GA918">
        <v>162.99473059957108</v>
      </c>
      <c r="GB918">
        <v>59.218674097507659</v>
      </c>
      <c r="GC918">
        <v>35.923202983609393</v>
      </c>
      <c r="GD918">
        <v>29.34417727237992</v>
      </c>
      <c r="GE918">
        <v>49.854684220094143</v>
      </c>
      <c r="GF918">
        <v>81.404400738250459</v>
      </c>
      <c r="GG918">
        <v>98.375248777450835</v>
      </c>
      <c r="GH918">
        <v>112.04865803152997</v>
      </c>
      <c r="GI918">
        <v>88.57409570289181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187.72328207945912</v>
      </c>
      <c r="AO919">
        <v>137.05057773051504</v>
      </c>
      <c r="AP919">
        <v>698.21754430687599</v>
      </c>
      <c r="AQ919">
        <v>762.8096116818881</v>
      </c>
      <c r="AR919">
        <v>130.08262225344242</v>
      </c>
      <c r="AS919">
        <v>1151.194384683628</v>
      </c>
      <c r="AT919">
        <v>76.320178293011722</v>
      </c>
      <c r="AU919">
        <v>201.74195056186838</v>
      </c>
      <c r="AV919"/>
      <c r="AW919"/>
      <c r="FY919" s="211">
        <v>914</v>
      </c>
      <c r="FZ919">
        <v>126.12014304075737</v>
      </c>
      <c r="GA919">
        <v>134.96431544983682</v>
      </c>
      <c r="GB919">
        <v>32.139108318053992</v>
      </c>
      <c r="GC919">
        <v>42.939577859131433</v>
      </c>
      <c r="GD919">
        <v>31.130889365309589</v>
      </c>
      <c r="GE919">
        <v>41.646818894218214</v>
      </c>
      <c r="GF919">
        <v>73.828974493795215</v>
      </c>
      <c r="GG919">
        <v>69.677036163810527</v>
      </c>
      <c r="GH919">
        <v>84.448718235978504</v>
      </c>
      <c r="GI919">
        <v>77.006964806647204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336.47835732089658</v>
      </c>
      <c r="AO920">
        <v>149.57415526580056</v>
      </c>
      <c r="AP920">
        <v>569.16528834132043</v>
      </c>
      <c r="AQ920">
        <v>804.63829641749305</v>
      </c>
      <c r="AR920">
        <v>138.85062504377174</v>
      </c>
      <c r="AS920">
        <v>1465.8062216182109</v>
      </c>
      <c r="AT920">
        <v>64.419662894034175</v>
      </c>
      <c r="AU920">
        <v>151.95810094310048</v>
      </c>
      <c r="AV920"/>
      <c r="AW920"/>
      <c r="FY920" s="211">
        <v>915</v>
      </c>
      <c r="FZ920">
        <v>111.84955563955272</v>
      </c>
      <c r="GA920">
        <v>133.39991600245153</v>
      </c>
      <c r="GB920">
        <v>41.396841618980837</v>
      </c>
      <c r="GC920">
        <v>40.242202403257885</v>
      </c>
      <c r="GD920">
        <v>27.845921427506642</v>
      </c>
      <c r="GE920">
        <v>63.4145429827458</v>
      </c>
      <c r="GF920">
        <v>122.29912983606762</v>
      </c>
      <c r="GG920">
        <v>79.064075499833308</v>
      </c>
      <c r="GH920">
        <v>71.075206512045582</v>
      </c>
      <c r="GI920">
        <v>84.805266656057142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237.4087347618713</v>
      </c>
      <c r="AO921">
        <v>147.596230848331</v>
      </c>
      <c r="AP921">
        <v>704.61550822366235</v>
      </c>
      <c r="AQ921">
        <v>831.13201662212077</v>
      </c>
      <c r="AR921">
        <v>139.88158034324132</v>
      </c>
      <c r="AS921">
        <v>1365.3585086822134</v>
      </c>
      <c r="AT921">
        <v>79.370568188795673</v>
      </c>
      <c r="AU921">
        <v>95.546380856795508</v>
      </c>
      <c r="AV921"/>
      <c r="AW921"/>
      <c r="FY921" s="211">
        <v>916</v>
      </c>
      <c r="FZ921">
        <v>117.53986648800984</v>
      </c>
      <c r="GA921">
        <v>162.55304386121676</v>
      </c>
      <c r="GB921">
        <v>51.230030817900399</v>
      </c>
      <c r="GC921">
        <v>47.685384335398368</v>
      </c>
      <c r="GD921">
        <v>33.386753312127759</v>
      </c>
      <c r="GE921">
        <v>68.310211025609803</v>
      </c>
      <c r="GF921">
        <v>142.26469193968862</v>
      </c>
      <c r="GG921">
        <v>61.88090966943961</v>
      </c>
      <c r="GH921">
        <v>36.629995297427541</v>
      </c>
      <c r="GI921">
        <v>91.942112738916407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190.64704448802027</v>
      </c>
      <c r="AO922">
        <v>128.71897692754911</v>
      </c>
      <c r="AP922">
        <v>524.44779729735217</v>
      </c>
      <c r="AQ922">
        <v>740.97317892670071</v>
      </c>
      <c r="AR922">
        <v>122.68777653529662</v>
      </c>
      <c r="AS922">
        <v>1210.9837998955823</v>
      </c>
      <c r="AT922">
        <v>70.449120291417202</v>
      </c>
      <c r="AU922">
        <v>156.97805042720447</v>
      </c>
      <c r="AV922"/>
      <c r="AW922"/>
      <c r="FY922" s="211">
        <v>917</v>
      </c>
      <c r="FZ922">
        <v>111.77351220691314</v>
      </c>
      <c r="GA922">
        <v>157.43077149427066</v>
      </c>
      <c r="GB922">
        <v>53.645627928338683</v>
      </c>
      <c r="GC922">
        <v>36.970669614197448</v>
      </c>
      <c r="GD922">
        <v>29.574506018115823</v>
      </c>
      <c r="GE922">
        <v>38.047757488871099</v>
      </c>
      <c r="GF922">
        <v>60.669279350414129</v>
      </c>
      <c r="GG922">
        <v>82.233308123842164</v>
      </c>
      <c r="GH922">
        <v>87.594634450908515</v>
      </c>
      <c r="GI922">
        <v>77.620739052532699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244.96640576640425</v>
      </c>
      <c r="AO923">
        <v>139.86649159530862</v>
      </c>
      <c r="AP923">
        <v>499.30845849354392</v>
      </c>
      <c r="AQ923">
        <v>790.50765738317466</v>
      </c>
      <c r="AR923">
        <v>134.68399474061474</v>
      </c>
      <c r="AS923">
        <v>1497.7776426950029</v>
      </c>
      <c r="AT923">
        <v>66.846628079528969</v>
      </c>
      <c r="AU923">
        <v>198.28015471454211</v>
      </c>
      <c r="AV923"/>
      <c r="AW923"/>
      <c r="FY923" s="211">
        <v>918</v>
      </c>
      <c r="FZ923">
        <v>92.81383434685219</v>
      </c>
      <c r="GA923">
        <v>155.360520982499</v>
      </c>
      <c r="GB923">
        <v>65.432094154941851</v>
      </c>
      <c r="GC923">
        <v>54.423965463823514</v>
      </c>
      <c r="GD923">
        <v>45.663788623134103</v>
      </c>
      <c r="GE923">
        <v>86.097009514753751</v>
      </c>
      <c r="GF923">
        <v>116.10507727124097</v>
      </c>
      <c r="GG923">
        <v>78.325548179009928</v>
      </c>
      <c r="GH923">
        <v>91.398787087282869</v>
      </c>
      <c r="GI923">
        <v>101.71268617886014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251.20796846000695</v>
      </c>
      <c r="AO924">
        <v>134.36634050192407</v>
      </c>
      <c r="AP924">
        <v>508.75839240877895</v>
      </c>
      <c r="AQ924">
        <v>796.515393082076</v>
      </c>
      <c r="AR924">
        <v>128.84439101714446</v>
      </c>
      <c r="AS924">
        <v>1292.5709625689753</v>
      </c>
      <c r="AT924">
        <v>68.394332077840971</v>
      </c>
      <c r="AU924">
        <v>39.749870002471553</v>
      </c>
      <c r="AV924"/>
      <c r="AW924"/>
      <c r="FY924" s="211">
        <v>919</v>
      </c>
      <c r="FZ924">
        <v>123.13890759259249</v>
      </c>
      <c r="GA924">
        <v>156.15830062300171</v>
      </c>
      <c r="GB924">
        <v>54.576873115518914</v>
      </c>
      <c r="GC924">
        <v>32.008480116612326</v>
      </c>
      <c r="GD924">
        <v>27.384440501426187</v>
      </c>
      <c r="GE924">
        <v>87.954447780266705</v>
      </c>
      <c r="GF924">
        <v>128.40942230900393</v>
      </c>
      <c r="GG924">
        <v>42.592027135147248</v>
      </c>
      <c r="GH924">
        <v>37.000407904683492</v>
      </c>
      <c r="GI924">
        <v>85.703642923510159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245.5631340467578</v>
      </c>
      <c r="AO925">
        <v>117.03610934270201</v>
      </c>
      <c r="AP925">
        <v>435.31538590821367</v>
      </c>
      <c r="AQ925">
        <v>650.45212623029011</v>
      </c>
      <c r="AR925">
        <v>109.92953538928893</v>
      </c>
      <c r="AS925">
        <v>1127.4882762577533</v>
      </c>
      <c r="AT925">
        <v>53.586738195112837</v>
      </c>
      <c r="AU925">
        <v>60.186058610101178</v>
      </c>
      <c r="AV925"/>
      <c r="AW925"/>
      <c r="FY925" s="211">
        <v>920</v>
      </c>
      <c r="FZ925">
        <v>109.32255326342806</v>
      </c>
      <c r="GA925">
        <v>113.12844434511096</v>
      </c>
      <c r="GB925">
        <v>35.836186398964763</v>
      </c>
      <c r="GC925">
        <v>41.460802238795516</v>
      </c>
      <c r="GD925">
        <v>30.133184952093654</v>
      </c>
      <c r="GE925">
        <v>67.3735205484966</v>
      </c>
      <c r="GF925">
        <v>126.91180577706074</v>
      </c>
      <c r="GG925">
        <v>96.928579794178972</v>
      </c>
      <c r="GH925">
        <v>100.86531228497751</v>
      </c>
      <c r="GI925">
        <v>90.774443329555567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250.71840506562904</v>
      </c>
      <c r="AO926">
        <v>155.5852225969364</v>
      </c>
      <c r="AP926">
        <v>627.4657713648694</v>
      </c>
      <c r="AQ926">
        <v>833.89950826713948</v>
      </c>
      <c r="AR926">
        <v>146.80835019243369</v>
      </c>
      <c r="AS926">
        <v>1355.5364267247817</v>
      </c>
      <c r="AT926">
        <v>78.832757538203296</v>
      </c>
      <c r="AU926">
        <v>90.465648225559221</v>
      </c>
      <c r="AV926"/>
      <c r="AW926"/>
      <c r="FY926" s="211">
        <v>921</v>
      </c>
      <c r="FZ926">
        <v>121.02602672845094</v>
      </c>
      <c r="GA926">
        <v>146.3665547004087</v>
      </c>
      <c r="GB926">
        <v>53.010691584579817</v>
      </c>
      <c r="GC926">
        <v>35.224335813868507</v>
      </c>
      <c r="GD926">
        <v>47.506130531521343</v>
      </c>
      <c r="GE926">
        <v>111.82362547068666</v>
      </c>
      <c r="GF926">
        <v>139.37347538688081</v>
      </c>
      <c r="GG926">
        <v>85.495295356197175</v>
      </c>
      <c r="GH926">
        <v>69.725014784378942</v>
      </c>
      <c r="GI926">
        <v>105.27781457372366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226.9888754068491</v>
      </c>
      <c r="AO927">
        <v>118.99059278993482</v>
      </c>
      <c r="AP927">
        <v>483.73377167431693</v>
      </c>
      <c r="AQ927">
        <v>714.34792857767866</v>
      </c>
      <c r="AR927">
        <v>114.40177775804317</v>
      </c>
      <c r="AS927">
        <v>1082.1552044066202</v>
      </c>
      <c r="AT927">
        <v>59.646186297316625</v>
      </c>
      <c r="AU927">
        <v>31.144173729980402</v>
      </c>
      <c r="AV927"/>
      <c r="AW927"/>
      <c r="FY927" s="211">
        <v>922</v>
      </c>
      <c r="FZ927">
        <v>140.01603543659945</v>
      </c>
      <c r="GA927">
        <v>161.27773477906914</v>
      </c>
      <c r="GB927">
        <v>44.758997760839186</v>
      </c>
      <c r="GC927">
        <v>39.748515530228993</v>
      </c>
      <c r="GD927">
        <v>38.059094995891449</v>
      </c>
      <c r="GE927">
        <v>87.018104727484058</v>
      </c>
      <c r="GF927">
        <v>110.53076544837867</v>
      </c>
      <c r="GG927">
        <v>43.693109908523951</v>
      </c>
      <c r="GH927">
        <v>47.561254524550769</v>
      </c>
      <c r="GI927">
        <v>89.755655728641457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331.48869236545158</v>
      </c>
      <c r="AO928">
        <v>179.22454812031356</v>
      </c>
      <c r="AP928">
        <v>835.8788908429558</v>
      </c>
      <c r="AQ928">
        <v>1010.7167751047223</v>
      </c>
      <c r="AR928">
        <v>168.03430137023003</v>
      </c>
      <c r="AS928">
        <v>1658.3903741787144</v>
      </c>
      <c r="AT928">
        <v>86.453342651290981</v>
      </c>
      <c r="AU928">
        <v>238.75067235595179</v>
      </c>
      <c r="AV928"/>
      <c r="AW928"/>
      <c r="FY928" s="211">
        <v>923</v>
      </c>
      <c r="FZ928">
        <v>97.400141815140245</v>
      </c>
      <c r="GA928">
        <v>152.50065463716268</v>
      </c>
      <c r="GB928">
        <v>72.81990430432117</v>
      </c>
      <c r="GC928">
        <v>41.099786213784242</v>
      </c>
      <c r="GD928">
        <v>32.983790024920879</v>
      </c>
      <c r="GE928">
        <v>59.973719279144944</v>
      </c>
      <c r="GF928">
        <v>68.244933872446225</v>
      </c>
      <c r="GG928">
        <v>55.497949684120591</v>
      </c>
      <c r="GH928">
        <v>68.698832533075887</v>
      </c>
      <c r="GI928">
        <v>81.434649298468685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202.92632145012675</v>
      </c>
      <c r="AO929">
        <v>141.31966333631544</v>
      </c>
      <c r="AP929">
        <v>626.0079772415545</v>
      </c>
      <c r="AQ929">
        <v>835.88881509290297</v>
      </c>
      <c r="AR929">
        <v>135.2674704441398</v>
      </c>
      <c r="AS929">
        <v>1380.3525650765378</v>
      </c>
      <c r="AT929">
        <v>76.366381335442512</v>
      </c>
      <c r="AU929">
        <v>214.01353471771245</v>
      </c>
      <c r="AV929"/>
      <c r="AW929"/>
      <c r="FY929" s="211">
        <v>924</v>
      </c>
      <c r="FZ929">
        <v>110.07748329854743</v>
      </c>
      <c r="GA929">
        <v>125.740708110414</v>
      </c>
      <c r="GB929">
        <v>51.408538977838973</v>
      </c>
      <c r="GC929">
        <v>49.491800035569135</v>
      </c>
      <c r="GD929">
        <v>36.57265081881043</v>
      </c>
      <c r="GE929">
        <v>52.421082067453348</v>
      </c>
      <c r="GF929">
        <v>65.666283384787775</v>
      </c>
      <c r="GG929">
        <v>31.245991746873656</v>
      </c>
      <c r="GH929">
        <v>33.984113345535434</v>
      </c>
      <c r="GI929">
        <v>73.963912868451573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193.73496380735213</v>
      </c>
      <c r="AO930">
        <v>122.88358121638571</v>
      </c>
      <c r="AP930">
        <v>657.01069116369035</v>
      </c>
      <c r="AQ930">
        <v>713.90254662753887</v>
      </c>
      <c r="AR930">
        <v>116.92288507773988</v>
      </c>
      <c r="AS930">
        <v>1087.6854839001974</v>
      </c>
      <c r="AT930">
        <v>65.930615053544571</v>
      </c>
      <c r="AU930">
        <v>88.762621052816627</v>
      </c>
      <c r="AV930"/>
      <c r="AW930"/>
      <c r="FY930" s="211">
        <v>925</v>
      </c>
      <c r="FZ930">
        <v>79.457107022692313</v>
      </c>
      <c r="GA930">
        <v>135.22196403139876</v>
      </c>
      <c r="GB930">
        <v>52.617322343466974</v>
      </c>
      <c r="GC930">
        <v>33.27823596476518</v>
      </c>
      <c r="GD930">
        <v>41.190859995956181</v>
      </c>
      <c r="GE930">
        <v>61.094807447408826</v>
      </c>
      <c r="GF930">
        <v>35.376262942988355</v>
      </c>
      <c r="GG930">
        <v>36.453161828151273</v>
      </c>
      <c r="GH930">
        <v>35.452339735895947</v>
      </c>
      <c r="GI930">
        <v>65.858245441547496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224.17085615574442</v>
      </c>
      <c r="AO931">
        <v>136.60462897862149</v>
      </c>
      <c r="AP931">
        <v>651.33425956873316</v>
      </c>
      <c r="AQ931">
        <v>775.39265857849909</v>
      </c>
      <c r="AR931">
        <v>128.1978013332737</v>
      </c>
      <c r="AS931">
        <v>1166.462431004838</v>
      </c>
      <c r="AT931">
        <v>67.830071565424106</v>
      </c>
      <c r="AU931">
        <v>165.72824128496941</v>
      </c>
      <c r="AV931"/>
      <c r="AW931"/>
      <c r="FY931" s="211">
        <v>926</v>
      </c>
      <c r="FZ931">
        <v>138.04837120797512</v>
      </c>
      <c r="GA931">
        <v>173.30334746687561</v>
      </c>
      <c r="GB931">
        <v>57.373030139732926</v>
      </c>
      <c r="GC931">
        <v>34.311066522601308</v>
      </c>
      <c r="GD931">
        <v>43.187993360011937</v>
      </c>
      <c r="GE931">
        <v>103.34349535596685</v>
      </c>
      <c r="GF931">
        <v>90.396036699585025</v>
      </c>
      <c r="GG931">
        <v>22.865009737873024</v>
      </c>
      <c r="GH931">
        <v>36.206880543778453</v>
      </c>
      <c r="GI931">
        <v>89.311356321982601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230.50353750043729</v>
      </c>
      <c r="AO932">
        <v>148.56202930193552</v>
      </c>
      <c r="AP932">
        <v>748.08489115540578</v>
      </c>
      <c r="AQ932">
        <v>813.42299948573509</v>
      </c>
      <c r="AR932">
        <v>139.47892353035459</v>
      </c>
      <c r="AS932">
        <v>1449.4645253061349</v>
      </c>
      <c r="AT932">
        <v>72.052900213135942</v>
      </c>
      <c r="AU932">
        <v>215.35291888397828</v>
      </c>
      <c r="AV932"/>
      <c r="AW932"/>
      <c r="FY932" s="211">
        <v>927</v>
      </c>
      <c r="FZ932">
        <v>114.78256859982767</v>
      </c>
      <c r="GA932">
        <v>150.68122415148079</v>
      </c>
      <c r="GB932">
        <v>48.793338662740375</v>
      </c>
      <c r="GC932">
        <v>47.726263105262703</v>
      </c>
      <c r="GD932">
        <v>49.549132882254106</v>
      </c>
      <c r="GE932">
        <v>91.015211423587985</v>
      </c>
      <c r="GF932">
        <v>85.055727403247559</v>
      </c>
      <c r="GG932">
        <v>28.603707195019304</v>
      </c>
      <c r="GH932">
        <v>41.609438060419649</v>
      </c>
      <c r="GI932">
        <v>87.765910765328471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220.63127078589395</v>
      </c>
      <c r="AO933">
        <v>123.67576092781971</v>
      </c>
      <c r="AP933">
        <v>471.51842863435138</v>
      </c>
      <c r="AQ933">
        <v>735.56080572840438</v>
      </c>
      <c r="AR933">
        <v>117.51292785563435</v>
      </c>
      <c r="AS933">
        <v>1210.2097720503107</v>
      </c>
      <c r="AT933">
        <v>63.547151215171795</v>
      </c>
      <c r="AU933">
        <v>93.970626883331761</v>
      </c>
      <c r="AV933"/>
      <c r="AW933"/>
      <c r="FY933" s="211">
        <v>928</v>
      </c>
      <c r="FZ933">
        <v>116.04051061256976</v>
      </c>
      <c r="GA933">
        <v>147.09757698822224</v>
      </c>
      <c r="GB933">
        <v>53.741945539822765</v>
      </c>
      <c r="GC933">
        <v>46.197056947075055</v>
      </c>
      <c r="GD933">
        <v>31.037772941561059</v>
      </c>
      <c r="GE933">
        <v>42.383938028214864</v>
      </c>
      <c r="GF933">
        <v>93.542820832315854</v>
      </c>
      <c r="GG933">
        <v>97.10704097411562</v>
      </c>
      <c r="GH933">
        <v>91.254438550605201</v>
      </c>
      <c r="GI933">
        <v>87.374137447388776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310.72360033858047</v>
      </c>
      <c r="AO934">
        <v>164.01799110636483</v>
      </c>
      <c r="AP934">
        <v>772.38692708203189</v>
      </c>
      <c r="AQ934">
        <v>887.33331180239838</v>
      </c>
      <c r="AR934">
        <v>152.6779049438166</v>
      </c>
      <c r="AS934">
        <v>1525.0035235709056</v>
      </c>
      <c r="AT934">
        <v>85.147388028843451</v>
      </c>
      <c r="AU934">
        <v>155.32691152772375</v>
      </c>
      <c r="AV934"/>
      <c r="AW934"/>
      <c r="FY934" s="211">
        <v>929</v>
      </c>
      <c r="FZ934">
        <v>110.29255850531082</v>
      </c>
      <c r="GA934">
        <v>160.82257931476857</v>
      </c>
      <c r="GB934">
        <v>71.041513676529831</v>
      </c>
      <c r="GC934">
        <v>53.232774122545734</v>
      </c>
      <c r="GD934">
        <v>40.609572014684588</v>
      </c>
      <c r="GE934">
        <v>67.330314426504799</v>
      </c>
      <c r="GF934">
        <v>85.536331341872327</v>
      </c>
      <c r="GG934">
        <v>54.806749376724532</v>
      </c>
      <c r="GH934">
        <v>63.261548251001884</v>
      </c>
      <c r="GI934">
        <v>90.754293431950074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254.39608187289383</v>
      </c>
      <c r="AO935">
        <v>136.44578268385132</v>
      </c>
      <c r="AP935">
        <v>673.94548734408522</v>
      </c>
      <c r="AQ935">
        <v>774.92695000176309</v>
      </c>
      <c r="AR935">
        <v>129.16496174509851</v>
      </c>
      <c r="AS935">
        <v>1327.9380704745445</v>
      </c>
      <c r="AT935">
        <v>66.971458571279143</v>
      </c>
      <c r="AU935">
        <v>263.8083172802265</v>
      </c>
      <c r="AV935"/>
      <c r="AW935"/>
      <c r="FY935" s="211">
        <v>930</v>
      </c>
      <c r="FZ935">
        <v>120.61265543328801</v>
      </c>
      <c r="GA935">
        <v>156.9276465532607</v>
      </c>
      <c r="GB935">
        <v>49.209695722861561</v>
      </c>
      <c r="GC935">
        <v>36.521915275255928</v>
      </c>
      <c r="GD935">
        <v>33.988285904735825</v>
      </c>
      <c r="GE935">
        <v>71.22478118357337</v>
      </c>
      <c r="GF935">
        <v>107.92467632826281</v>
      </c>
      <c r="GG935">
        <v>41.757237921979367</v>
      </c>
      <c r="GH935">
        <v>18.856789654918888</v>
      </c>
      <c r="GI935">
        <v>79.994554667038926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227.28824378606382</v>
      </c>
      <c r="AO936">
        <v>146.79849600268821</v>
      </c>
      <c r="AP936">
        <v>740.83462639406491</v>
      </c>
      <c r="AQ936">
        <v>812.73483293266224</v>
      </c>
      <c r="AR936">
        <v>138.3984330929494</v>
      </c>
      <c r="AS936">
        <v>1404.9174270454714</v>
      </c>
      <c r="AT936">
        <v>73.797740545587644</v>
      </c>
      <c r="AU936">
        <v>196.73074639887318</v>
      </c>
      <c r="AV936"/>
      <c r="AW936"/>
      <c r="FY936" s="211">
        <v>931</v>
      </c>
      <c r="FZ936">
        <v>92.676656141683594</v>
      </c>
      <c r="GA936">
        <v>152.23210701785013</v>
      </c>
      <c r="GB936">
        <v>57.296909346548468</v>
      </c>
      <c r="GC936">
        <v>54.136153653115144</v>
      </c>
      <c r="GD936">
        <v>43.593906142244528</v>
      </c>
      <c r="GE936">
        <v>64.368803745051551</v>
      </c>
      <c r="GF936">
        <v>103.36440060178184</v>
      </c>
      <c r="GG936">
        <v>103.59535109892488</v>
      </c>
      <c r="GH936">
        <v>111.5610613736105</v>
      </c>
      <c r="GI936">
        <v>99.375637243048843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287.82406641678455</v>
      </c>
      <c r="AO937">
        <v>166.76297046696175</v>
      </c>
      <c r="AP937">
        <v>693.64085047454159</v>
      </c>
      <c r="AQ937">
        <v>914.82896493069654</v>
      </c>
      <c r="AR937">
        <v>158.35054472430579</v>
      </c>
      <c r="AS937">
        <v>1590.0518239302226</v>
      </c>
      <c r="AT937">
        <v>82.052007379268474</v>
      </c>
      <c r="AU937">
        <v>141.42210540433086</v>
      </c>
      <c r="AV937"/>
      <c r="AW937"/>
      <c r="FY937" s="211">
        <v>932</v>
      </c>
      <c r="FZ937">
        <v>90.258048524873402</v>
      </c>
      <c r="GA937">
        <v>108.73075448566246</v>
      </c>
      <c r="GB937">
        <v>39.954451322760761</v>
      </c>
      <c r="GC937">
        <v>40.667134243543948</v>
      </c>
      <c r="GD937">
        <v>33.899366784819939</v>
      </c>
      <c r="GE937">
        <v>71.499051524413815</v>
      </c>
      <c r="GF937">
        <v>120.34090434258327</v>
      </c>
      <c r="GG937">
        <v>89.090910097186281</v>
      </c>
      <c r="GH937">
        <v>90.216986222056732</v>
      </c>
      <c r="GI937">
        <v>88.126546217215321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248.61512477488787</v>
      </c>
      <c r="AO938">
        <v>143.58518910576487</v>
      </c>
      <c r="AP938">
        <v>624.69158956196532</v>
      </c>
      <c r="AQ938">
        <v>802.41926884020722</v>
      </c>
      <c r="AR938">
        <v>135.79048985759064</v>
      </c>
      <c r="AS938">
        <v>1313.3879720992527</v>
      </c>
      <c r="AT938">
        <v>71.871566606096209</v>
      </c>
      <c r="AU938">
        <v>158.06246909350858</v>
      </c>
      <c r="AV938"/>
      <c r="AW938"/>
      <c r="FY938" s="211">
        <v>933</v>
      </c>
      <c r="FZ938">
        <v>126.78266348078614</v>
      </c>
      <c r="GA938">
        <v>147.94996564671322</v>
      </c>
      <c r="GB938">
        <v>46.009416168037554</v>
      </c>
      <c r="GC938">
        <v>47.888207452340275</v>
      </c>
      <c r="GD938">
        <v>39.427448328037997</v>
      </c>
      <c r="GE938">
        <v>67.524889610318141</v>
      </c>
      <c r="GF938">
        <v>90.054905388283004</v>
      </c>
      <c r="GG938">
        <v>41.443512173849506</v>
      </c>
      <c r="GH938">
        <v>49.095734737627851</v>
      </c>
      <c r="GI938">
        <v>85.081893479293612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239.78181132471792</v>
      </c>
      <c r="AO939">
        <v>128.77039988121629</v>
      </c>
      <c r="AP939">
        <v>506.32179232232403</v>
      </c>
      <c r="AQ939">
        <v>730.65436166258564</v>
      </c>
      <c r="AR939">
        <v>122.21127403748915</v>
      </c>
      <c r="AS939">
        <v>1182.8665659308394</v>
      </c>
      <c r="AT939">
        <v>64.259309646944985</v>
      </c>
      <c r="AU939">
        <v>108.1860119512037</v>
      </c>
      <c r="AV939"/>
      <c r="AW939"/>
      <c r="FY939" s="211">
        <v>934</v>
      </c>
      <c r="FZ939">
        <v>168.59952059288813</v>
      </c>
      <c r="GA939">
        <v>158.22717671988909</v>
      </c>
      <c r="GB939">
        <v>42.752462653984821</v>
      </c>
      <c r="GC939">
        <v>37.17998942812639</v>
      </c>
      <c r="GD939">
        <v>32.894956184022682</v>
      </c>
      <c r="GE939">
        <v>68.472565901137443</v>
      </c>
      <c r="GF939">
        <v>101.57271025051487</v>
      </c>
      <c r="GG939">
        <v>85.721773172601246</v>
      </c>
      <c r="GH939">
        <v>88.795974153784925</v>
      </c>
      <c r="GI939">
        <v>94.45060657346049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215.27970272990768</v>
      </c>
      <c r="AO940">
        <v>116.15931227141316</v>
      </c>
      <c r="AP940">
        <v>541.67641332857772</v>
      </c>
      <c r="AQ940">
        <v>630.57256465428179</v>
      </c>
      <c r="AR940">
        <v>110.85129831331561</v>
      </c>
      <c r="AS940">
        <v>1188.94516197181</v>
      </c>
      <c r="AT940">
        <v>59.092951276485699</v>
      </c>
      <c r="AU940">
        <v>238.7075007158017</v>
      </c>
      <c r="AV940"/>
      <c r="AW940"/>
      <c r="FY940" s="211">
        <v>935</v>
      </c>
      <c r="FZ940">
        <v>129.11418036306304</v>
      </c>
      <c r="GA940">
        <v>156.83168655170033</v>
      </c>
      <c r="GB940">
        <v>54.207427317305047</v>
      </c>
      <c r="GC940">
        <v>41.149262938100925</v>
      </c>
      <c r="GD940">
        <v>34.883263907539416</v>
      </c>
      <c r="GE940">
        <v>83.128958237440798</v>
      </c>
      <c r="GF940">
        <v>126.68915160259381</v>
      </c>
      <c r="GG940">
        <v>62.220037387847171</v>
      </c>
      <c r="GH940">
        <v>38.453403864403413</v>
      </c>
      <c r="GI940">
        <v>90.558407560558763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215.7091389712985</v>
      </c>
      <c r="AO941">
        <v>105.80396613310695</v>
      </c>
      <c r="AP941">
        <v>356.81240172196362</v>
      </c>
      <c r="AQ941">
        <v>576.00030675427138</v>
      </c>
      <c r="AR941">
        <v>98.737704644121791</v>
      </c>
      <c r="AS941">
        <v>1144.899361546718</v>
      </c>
      <c r="AT941">
        <v>48.768592789012786</v>
      </c>
      <c r="AU941">
        <v>93.950901181554883</v>
      </c>
      <c r="AV941"/>
      <c r="AW941"/>
      <c r="FY941" s="211">
        <v>936</v>
      </c>
      <c r="FZ941">
        <v>127.31752055976543</v>
      </c>
      <c r="GA941">
        <v>189.49148000956595</v>
      </c>
      <c r="GB941">
        <v>48.329070980574556</v>
      </c>
      <c r="GC941">
        <v>31.696643386360865</v>
      </c>
      <c r="GD941">
        <v>32.836560665442008</v>
      </c>
      <c r="GE941">
        <v>64.649928663754849</v>
      </c>
      <c r="GF941">
        <v>108.91659386219743</v>
      </c>
      <c r="GG941">
        <v>97.784468596774431</v>
      </c>
      <c r="GH941">
        <v>90.233153876894846</v>
      </c>
      <c r="GI941">
        <v>93.178565053286349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304.93355548461398</v>
      </c>
      <c r="AO942">
        <v>140.51145599208439</v>
      </c>
      <c r="AP942">
        <v>501.57236694025801</v>
      </c>
      <c r="AQ942">
        <v>788.34658735638277</v>
      </c>
      <c r="AR942">
        <v>133.73423058045597</v>
      </c>
      <c r="AS942">
        <v>1395.8794615757149</v>
      </c>
      <c r="AT942">
        <v>60.219461619157954</v>
      </c>
      <c r="AU942">
        <v>-139.52480184705922</v>
      </c>
      <c r="AV942"/>
      <c r="AW942"/>
      <c r="FY942" s="211">
        <v>937</v>
      </c>
      <c r="FZ942">
        <v>123.88370642792761</v>
      </c>
      <c r="GA942">
        <v>189.69823676289053</v>
      </c>
      <c r="GB942">
        <v>54.008499825659015</v>
      </c>
      <c r="GC942">
        <v>37.591349073428589</v>
      </c>
      <c r="GD942">
        <v>48.571923311188478</v>
      </c>
      <c r="GE942">
        <v>99.971988075299919</v>
      </c>
      <c r="GF942">
        <v>131.17897644179311</v>
      </c>
      <c r="GG942">
        <v>58.73596889054766</v>
      </c>
      <c r="GH942">
        <v>19.890491582739319</v>
      </c>
      <c r="GI942">
        <v>96.432902585538685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273.54649342878645</v>
      </c>
      <c r="AO943">
        <v>139.38465472271122</v>
      </c>
      <c r="AP943">
        <v>676.67446373692314</v>
      </c>
      <c r="AQ943">
        <v>745.58252224916862</v>
      </c>
      <c r="AR943">
        <v>131.23984991641774</v>
      </c>
      <c r="AS943">
        <v>1421.2983399171599</v>
      </c>
      <c r="AT943">
        <v>64.599919534590782</v>
      </c>
      <c r="AU943">
        <v>149.6765194012923</v>
      </c>
      <c r="AV943"/>
      <c r="AW943"/>
      <c r="FY943" s="211">
        <v>938</v>
      </c>
      <c r="FZ943">
        <v>115.99350682581873</v>
      </c>
      <c r="GA943">
        <v>145.94100073402421</v>
      </c>
      <c r="GB943">
        <v>53.1288472326735</v>
      </c>
      <c r="GC943">
        <v>46.437865498739903</v>
      </c>
      <c r="GD943">
        <v>50.805129414986837</v>
      </c>
      <c r="GE943">
        <v>80.075101196815908</v>
      </c>
      <c r="GF943">
        <v>78.420177378193856</v>
      </c>
      <c r="GG943">
        <v>95.482565448652153</v>
      </c>
      <c r="GH943">
        <v>99.188908524280379</v>
      </c>
      <c r="GI943">
        <v>97.591670550637389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231.77435840657913</v>
      </c>
      <c r="AO944">
        <v>139.9499175676016</v>
      </c>
      <c r="AP944">
        <v>579.78686583955357</v>
      </c>
      <c r="AQ944">
        <v>805.77723886189119</v>
      </c>
      <c r="AR944">
        <v>132.6593443527903</v>
      </c>
      <c r="AS944">
        <v>1159.4776128675601</v>
      </c>
      <c r="AT944">
        <v>73.185456229716351</v>
      </c>
      <c r="AU944">
        <v>191.51712643150211</v>
      </c>
      <c r="AV944"/>
      <c r="AW944"/>
      <c r="FY944" s="211">
        <v>939</v>
      </c>
      <c r="FZ944">
        <v>132.23479161540666</v>
      </c>
      <c r="GA944">
        <v>149.21742446098767</v>
      </c>
      <c r="GB944">
        <v>49.527096486328695</v>
      </c>
      <c r="GC944">
        <v>41.570688612647494</v>
      </c>
      <c r="GD944">
        <v>54.136284120700005</v>
      </c>
      <c r="GE944">
        <v>136.39199686986925</v>
      </c>
      <c r="GF944">
        <v>143.76574446453563</v>
      </c>
      <c r="GG944">
        <v>84.392638992009978</v>
      </c>
      <c r="GH944">
        <v>88.442259186217186</v>
      </c>
      <c r="GI944">
        <v>115.34676364792543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249.42429569269933</v>
      </c>
      <c r="AO945">
        <v>143.72598431693788</v>
      </c>
      <c r="AP945">
        <v>602.45679647223938</v>
      </c>
      <c r="AQ945">
        <v>797.6882344618931</v>
      </c>
      <c r="AR945">
        <v>135.79364598343011</v>
      </c>
      <c r="AS945">
        <v>1539.2064812046372</v>
      </c>
      <c r="AT945">
        <v>76.97804829768053</v>
      </c>
      <c r="AU945">
        <v>120.16056048373926</v>
      </c>
      <c r="AV945"/>
      <c r="AW945"/>
      <c r="FY945" s="211">
        <v>940</v>
      </c>
      <c r="FZ945">
        <v>99.828138331577335</v>
      </c>
      <c r="GA945">
        <v>126.22562718138931</v>
      </c>
      <c r="GB945">
        <v>45.667479844297546</v>
      </c>
      <c r="GC945">
        <v>53.445864717573961</v>
      </c>
      <c r="GD945">
        <v>66.442943896670812</v>
      </c>
      <c r="GE945">
        <v>114.47666843411569</v>
      </c>
      <c r="GF945">
        <v>84.141110378573401</v>
      </c>
      <c r="GG945">
        <v>123.86436262751859</v>
      </c>
      <c r="GH945">
        <v>166.96207349551793</v>
      </c>
      <c r="GI945">
        <v>116.0894655141236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249.19220698734975</v>
      </c>
      <c r="AO946">
        <v>126.95218348289431</v>
      </c>
      <c r="AP946">
        <v>454.34636478100208</v>
      </c>
      <c r="AQ946">
        <v>717.01823864517542</v>
      </c>
      <c r="AR946">
        <v>120.39658877828698</v>
      </c>
      <c r="AS946">
        <v>1204.0760821155516</v>
      </c>
      <c r="AT946">
        <v>53.446649043694919</v>
      </c>
      <c r="AU946">
        <v>111.09790901260246</v>
      </c>
      <c r="AV946"/>
      <c r="AW946"/>
      <c r="FY946" s="211">
        <v>941</v>
      </c>
      <c r="FZ946">
        <v>106.68974552729107</v>
      </c>
      <c r="GA946">
        <v>189.63351834201197</v>
      </c>
      <c r="GB946">
        <v>66.298683814573067</v>
      </c>
      <c r="GC946">
        <v>43.082146519753522</v>
      </c>
      <c r="GD946">
        <v>29.422263408390577</v>
      </c>
      <c r="GE946">
        <v>41.086291083660207</v>
      </c>
      <c r="GF946">
        <v>83.308334340154033</v>
      </c>
      <c r="GG946">
        <v>72.813620295765375</v>
      </c>
      <c r="GH946">
        <v>77.835964759090061</v>
      </c>
      <c r="GI946">
        <v>83.2893401515975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251.56855654718183</v>
      </c>
      <c r="AO947">
        <v>162.21293848886785</v>
      </c>
      <c r="AP947">
        <v>818.31768463106118</v>
      </c>
      <c r="AQ947">
        <v>882.20098636385944</v>
      </c>
      <c r="AR947">
        <v>151.13042834687295</v>
      </c>
      <c r="AS947">
        <v>1420.9207087057887</v>
      </c>
      <c r="AT947">
        <v>84.445400376163747</v>
      </c>
      <c r="AU947">
        <v>178.95692533041347</v>
      </c>
      <c r="AV947"/>
      <c r="AW947"/>
      <c r="FY947" s="211">
        <v>942</v>
      </c>
      <c r="FZ947">
        <v>80.491628331479859</v>
      </c>
      <c r="GA947">
        <v>120.26766521502088</v>
      </c>
      <c r="GB947">
        <v>42.105725570170485</v>
      </c>
      <c r="GC947">
        <v>24.97446347805359</v>
      </c>
      <c r="GD947">
        <v>28.214679159851521</v>
      </c>
      <c r="GE947">
        <v>65.378972084815544</v>
      </c>
      <c r="GF947">
        <v>86.902753479949965</v>
      </c>
      <c r="GG947">
        <v>48.569073250750677</v>
      </c>
      <c r="GH947">
        <v>46.919578792797815</v>
      </c>
      <c r="GI947">
        <v>68.608666582420511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227.68414593632033</v>
      </c>
      <c r="AO948">
        <v>142.66704518344145</v>
      </c>
      <c r="AP948">
        <v>599.47651249618457</v>
      </c>
      <c r="AQ948">
        <v>772.78415376511589</v>
      </c>
      <c r="AR948">
        <v>134.14406899086705</v>
      </c>
      <c r="AS948">
        <v>1404.1960963465067</v>
      </c>
      <c r="AT948">
        <v>71.664355645393329</v>
      </c>
      <c r="AU948">
        <v>187.31828687046936</v>
      </c>
      <c r="AV948"/>
      <c r="AW948"/>
      <c r="FY948" s="211">
        <v>943</v>
      </c>
      <c r="FZ948">
        <v>98.905849688739792</v>
      </c>
      <c r="GA948">
        <v>118.81837029659246</v>
      </c>
      <c r="GB948">
        <v>42.23807362944089</v>
      </c>
      <c r="GC948">
        <v>42.490341687003827</v>
      </c>
      <c r="GD948">
        <v>30.620100852138311</v>
      </c>
      <c r="GE948">
        <v>47.227307586421645</v>
      </c>
      <c r="GF948">
        <v>90.507809322168143</v>
      </c>
      <c r="GG948">
        <v>111.22152756903162</v>
      </c>
      <c r="GH948">
        <v>123.04611440747225</v>
      </c>
      <c r="GI948">
        <v>85.884122184067905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231.81409636880804</v>
      </c>
      <c r="AO949">
        <v>135.31143609843934</v>
      </c>
      <c r="AP949">
        <v>633.15141324766341</v>
      </c>
      <c r="AQ949">
        <v>741.25863646528728</v>
      </c>
      <c r="AR949">
        <v>128.51144713729167</v>
      </c>
      <c r="AS949">
        <v>1237.8769768628886</v>
      </c>
      <c r="AT949">
        <v>71.796824400023112</v>
      </c>
      <c r="AU949">
        <v>241.9023973256206</v>
      </c>
      <c r="AV949"/>
      <c r="AW949"/>
      <c r="FY949" s="211">
        <v>944</v>
      </c>
      <c r="FZ949">
        <v>105.63651168211175</v>
      </c>
      <c r="GA949">
        <v>127.56639917204549</v>
      </c>
      <c r="GB949">
        <v>34.107073479560768</v>
      </c>
      <c r="GC949">
        <v>40.460120171043656</v>
      </c>
      <c r="GD949">
        <v>55.355166720057817</v>
      </c>
      <c r="GE949">
        <v>135.825940055139</v>
      </c>
      <c r="GF949">
        <v>177.63481393400841</v>
      </c>
      <c r="GG949">
        <v>60.135565154440833</v>
      </c>
      <c r="GH949">
        <v>30.412035835058088</v>
      </c>
      <c r="GI949">
        <v>106.2060879445613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249.62847374775833</v>
      </c>
      <c r="AO950">
        <v>148.95313675918766</v>
      </c>
      <c r="AP950">
        <v>625.88479940401066</v>
      </c>
      <c r="AQ950">
        <v>878.66773563041022</v>
      </c>
      <c r="AR950">
        <v>143.18943288462177</v>
      </c>
      <c r="AS950">
        <v>1337.253376378744</v>
      </c>
      <c r="AT950">
        <v>75.855857814547178</v>
      </c>
      <c r="AU950">
        <v>190.78533154907734</v>
      </c>
      <c r="AV950"/>
      <c r="AW950"/>
      <c r="FY950" s="211">
        <v>945</v>
      </c>
      <c r="FZ950">
        <v>78.14627583251513</v>
      </c>
      <c r="GA950">
        <v>119.64623499262184</v>
      </c>
      <c r="GB950">
        <v>49.986867180239656</v>
      </c>
      <c r="GC950">
        <v>39.520717691145435</v>
      </c>
      <c r="GD950">
        <v>27.686001646687181</v>
      </c>
      <c r="GE950">
        <v>73.390195912411698</v>
      </c>
      <c r="GF950">
        <v>118.72303429852327</v>
      </c>
      <c r="GG950">
        <v>42.688438187362685</v>
      </c>
      <c r="GH950">
        <v>50.674929039354012</v>
      </c>
      <c r="GI950">
        <v>77.785316226436393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278.82989098627371</v>
      </c>
      <c r="AO951">
        <v>144.47239332005634</v>
      </c>
      <c r="AP951">
        <v>464.82545718113141</v>
      </c>
      <c r="AQ951">
        <v>817.23577973055274</v>
      </c>
      <c r="AR951">
        <v>135.41201277911188</v>
      </c>
      <c r="AS951">
        <v>1351.8663718791136</v>
      </c>
      <c r="AT951">
        <v>66.201133011196404</v>
      </c>
      <c r="AU951">
        <v>117.73077456123018</v>
      </c>
      <c r="AV951"/>
      <c r="AW951"/>
      <c r="FY951" s="211">
        <v>946</v>
      </c>
      <c r="FZ951">
        <v>138.79938029661471</v>
      </c>
      <c r="GA951">
        <v>144.59455993551342</v>
      </c>
      <c r="GB951">
        <v>34.897594649696472</v>
      </c>
      <c r="GC951">
        <v>35.591282047258929</v>
      </c>
      <c r="GD951">
        <v>26.132309870070582</v>
      </c>
      <c r="GE951">
        <v>68.032323063198746</v>
      </c>
      <c r="GF951">
        <v>128.84777227455876</v>
      </c>
      <c r="GG951">
        <v>67.792200243288249</v>
      </c>
      <c r="GH951">
        <v>59.922194112767031</v>
      </c>
      <c r="GI951">
        <v>85.264322646969802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210.17080490659646</v>
      </c>
      <c r="AO952">
        <v>151.55971981173815</v>
      </c>
      <c r="AP952">
        <v>639.28581738069465</v>
      </c>
      <c r="AQ952">
        <v>884.43398565461666</v>
      </c>
      <c r="AR952">
        <v>142.23417226591769</v>
      </c>
      <c r="AS952">
        <v>1411.3670640559571</v>
      </c>
      <c r="AT952">
        <v>77.181052128691192</v>
      </c>
      <c r="AU952">
        <v>106.90532538929901</v>
      </c>
      <c r="AV952"/>
      <c r="AW952"/>
      <c r="FY952" s="211">
        <v>947</v>
      </c>
      <c r="FZ952">
        <v>124.61818772126504</v>
      </c>
      <c r="GA952">
        <v>158.79143170997256</v>
      </c>
      <c r="GB952">
        <v>40.804693408713895</v>
      </c>
      <c r="GC952">
        <v>48.98374381833456</v>
      </c>
      <c r="GD952">
        <v>49.985783153769212</v>
      </c>
      <c r="GE952">
        <v>72.204027696297018</v>
      </c>
      <c r="GF952">
        <v>80.48292037770149</v>
      </c>
      <c r="GG952">
        <v>79.996718433250336</v>
      </c>
      <c r="GH952">
        <v>86.30720649331171</v>
      </c>
      <c r="GI952">
        <v>94.67244419412026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284.5900163872783</v>
      </c>
      <c r="AO953">
        <v>153.94782121281926</v>
      </c>
      <c r="AP953">
        <v>685.57141674561024</v>
      </c>
      <c r="AQ953">
        <v>859.96404297701281</v>
      </c>
      <c r="AR953">
        <v>144.13326187655815</v>
      </c>
      <c r="AS953">
        <v>1534.07746611892</v>
      </c>
      <c r="AT953">
        <v>68.502638785587393</v>
      </c>
      <c r="AU953">
        <v>277.21654341263491</v>
      </c>
      <c r="AV953"/>
      <c r="AW953"/>
      <c r="FY953" s="211">
        <v>948</v>
      </c>
      <c r="FZ953">
        <v>111.24807577685392</v>
      </c>
      <c r="GA953">
        <v>123.16249773551841</v>
      </c>
      <c r="GB953">
        <v>41.622054356416633</v>
      </c>
      <c r="GC953">
        <v>44.044138106042048</v>
      </c>
      <c r="GD953">
        <v>45.631362100709509</v>
      </c>
      <c r="GE953">
        <v>69.959372950826321</v>
      </c>
      <c r="GF953">
        <v>86.211533784887351</v>
      </c>
      <c r="GG953">
        <v>93.743154754337851</v>
      </c>
      <c r="GH953">
        <v>88.835852193631908</v>
      </c>
      <c r="GI953">
        <v>90.989710021968335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268.6016439827161</v>
      </c>
      <c r="AO954">
        <v>156.56013024970815</v>
      </c>
      <c r="AP954">
        <v>664.31711706028977</v>
      </c>
      <c r="AQ954">
        <v>863.06477280482272</v>
      </c>
      <c r="AR954">
        <v>147.11311279954833</v>
      </c>
      <c r="AS954">
        <v>1495.1481942053717</v>
      </c>
      <c r="AT954">
        <v>75.974152951836572</v>
      </c>
      <c r="AU954">
        <v>357.11443135275761</v>
      </c>
      <c r="AV954"/>
      <c r="AW954"/>
      <c r="FY954" s="211">
        <v>949</v>
      </c>
      <c r="FZ954">
        <v>140.4891098203484</v>
      </c>
      <c r="GA954">
        <v>173.49347540914209</v>
      </c>
      <c r="GB954">
        <v>41.304358240519441</v>
      </c>
      <c r="GC954">
        <v>35.668967762371977</v>
      </c>
      <c r="GD954">
        <v>48.908792174927086</v>
      </c>
      <c r="GE954">
        <v>96.003697305273832</v>
      </c>
      <c r="GF954">
        <v>97.164403679913988</v>
      </c>
      <c r="GG954">
        <v>52.619149699087636</v>
      </c>
      <c r="GH954">
        <v>44.318968325166033</v>
      </c>
      <c r="GI954">
        <v>92.146898388098037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323.52840406548637</v>
      </c>
      <c r="AO955">
        <v>187.80121530265882</v>
      </c>
      <c r="AP955">
        <v>1007.6100802829997</v>
      </c>
      <c r="AQ955">
        <v>995.0256884566279</v>
      </c>
      <c r="AR955">
        <v>175.28036431965702</v>
      </c>
      <c r="AS955">
        <v>1738.6761316445004</v>
      </c>
      <c r="AT955">
        <v>92.307159497084399</v>
      </c>
      <c r="AU955">
        <v>499.55509555907975</v>
      </c>
      <c r="AV955"/>
      <c r="AW955"/>
      <c r="FY955" s="211">
        <v>950</v>
      </c>
      <c r="FZ955">
        <v>112.53888612912858</v>
      </c>
      <c r="GA955">
        <v>148.47205051330712</v>
      </c>
      <c r="GB955">
        <v>54.59380068768386</v>
      </c>
      <c r="GC955">
        <v>46.315820350775404</v>
      </c>
      <c r="GD955">
        <v>29.124148994501571</v>
      </c>
      <c r="GE955">
        <v>49.268862490093568</v>
      </c>
      <c r="GF955">
        <v>89.186507256353408</v>
      </c>
      <c r="GG955">
        <v>41.119684388132264</v>
      </c>
      <c r="GH955">
        <v>34.851561670686024</v>
      </c>
      <c r="GI955">
        <v>75.769338408735479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334.37655204319151</v>
      </c>
      <c r="AO956">
        <v>188.04562957002688</v>
      </c>
      <c r="AP956">
        <v>927.19503137632137</v>
      </c>
      <c r="AQ956">
        <v>997.14373442135832</v>
      </c>
      <c r="AR956">
        <v>174.55283095197291</v>
      </c>
      <c r="AS956">
        <v>1791.7456924210633</v>
      </c>
      <c r="AT956">
        <v>97.142979242140072</v>
      </c>
      <c r="AU956">
        <v>97.960417295769375</v>
      </c>
      <c r="AV956"/>
      <c r="AW956"/>
      <c r="FY956" s="211">
        <v>951</v>
      </c>
      <c r="FZ956">
        <v>147.50599809846727</v>
      </c>
      <c r="GA956">
        <v>217.90485140438997</v>
      </c>
      <c r="GB956">
        <v>96.656782413598165</v>
      </c>
      <c r="GC956">
        <v>55.36498725094107</v>
      </c>
      <c r="GD956">
        <v>42.656858633989501</v>
      </c>
      <c r="GE956">
        <v>71.959896532844667</v>
      </c>
      <c r="GF956">
        <v>81.468450785810987</v>
      </c>
      <c r="GG956">
        <v>57.438263609747949</v>
      </c>
      <c r="GH956">
        <v>60.648994482409144</v>
      </c>
      <c r="GI956">
        <v>102.2028902473258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229.05163717167116</v>
      </c>
      <c r="AO957">
        <v>132.85932527042206</v>
      </c>
      <c r="AP957">
        <v>574.8484737562386</v>
      </c>
      <c r="AQ957">
        <v>793.45990824228738</v>
      </c>
      <c r="AR957">
        <v>125.32973518599013</v>
      </c>
      <c r="AS957">
        <v>1231.1457599659652</v>
      </c>
      <c r="AT957">
        <v>65.797536373617376</v>
      </c>
      <c r="AU957">
        <v>-56.593910140038801</v>
      </c>
      <c r="AV957"/>
      <c r="AW957"/>
      <c r="FY957" s="211">
        <v>952</v>
      </c>
      <c r="FZ957">
        <v>108.8250289543049</v>
      </c>
      <c r="GA957">
        <v>139.20300356976179</v>
      </c>
      <c r="GB957">
        <v>39.485247949452564</v>
      </c>
      <c r="GC957">
        <v>40.182730384403271</v>
      </c>
      <c r="GD957">
        <v>49.872705557514735</v>
      </c>
      <c r="GE957">
        <v>106.83463926931131</v>
      </c>
      <c r="GF957">
        <v>115.66591950964663</v>
      </c>
      <c r="GG957">
        <v>81.337503792128729</v>
      </c>
      <c r="GH957">
        <v>97.589645364549085</v>
      </c>
      <c r="GI957">
        <v>102.17638808831454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182.00553356391168</v>
      </c>
      <c r="AO958">
        <v>107.66887914989138</v>
      </c>
      <c r="AP958">
        <v>492.77423539432766</v>
      </c>
      <c r="AQ958">
        <v>612.43320594531076</v>
      </c>
      <c r="AR958">
        <v>102.54906517813716</v>
      </c>
      <c r="AS958">
        <v>1019.8729117209107</v>
      </c>
      <c r="AT958">
        <v>54.652318355974593</v>
      </c>
      <c r="AU958">
        <v>141.67096183555822</v>
      </c>
      <c r="AV958"/>
      <c r="AW958"/>
      <c r="FY958" s="211">
        <v>953</v>
      </c>
      <c r="FZ958">
        <v>131.72159784768854</v>
      </c>
      <c r="GA958">
        <v>132.02189001109895</v>
      </c>
      <c r="GB958">
        <v>28.35935863535077</v>
      </c>
      <c r="GC958">
        <v>36.192747553216535</v>
      </c>
      <c r="GD958">
        <v>48.74908740984759</v>
      </c>
      <c r="GE958">
        <v>75.520884448948834</v>
      </c>
      <c r="GF958">
        <v>85.897615054493542</v>
      </c>
      <c r="GG958">
        <v>108.7220490366217</v>
      </c>
      <c r="GH958">
        <v>86.666777591063493</v>
      </c>
      <c r="GI958">
        <v>91.700910982420368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213.1333549415036</v>
      </c>
      <c r="AO959">
        <v>139.82212922501373</v>
      </c>
      <c r="AP959">
        <v>693.57724122789045</v>
      </c>
      <c r="AQ959">
        <v>790.95961722307686</v>
      </c>
      <c r="AR959">
        <v>131.65482113657228</v>
      </c>
      <c r="AS959">
        <v>1218.8565743795182</v>
      </c>
      <c r="AT959">
        <v>73.240483090301353</v>
      </c>
      <c r="AU959">
        <v>166.41240073963857</v>
      </c>
      <c r="AV959"/>
      <c r="AW959"/>
      <c r="FY959" s="211">
        <v>954</v>
      </c>
      <c r="FZ959">
        <v>151.12250272138951</v>
      </c>
      <c r="GA959">
        <v>191.4130777136798</v>
      </c>
      <c r="GB959">
        <v>50.100144785197884</v>
      </c>
      <c r="GC959">
        <v>44.823123109723696</v>
      </c>
      <c r="GD959">
        <v>47.723272426009309</v>
      </c>
      <c r="GE959">
        <v>97.682101988980222</v>
      </c>
      <c r="GF959">
        <v>116.27840640660918</v>
      </c>
      <c r="GG959">
        <v>26.097540222542094</v>
      </c>
      <c r="GH959">
        <v>18.442268175708698</v>
      </c>
      <c r="GI959">
        <v>96.509040801175871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324.95488515832255</v>
      </c>
      <c r="AO960">
        <v>169.77510757057487</v>
      </c>
      <c r="AP960">
        <v>787.59786035448474</v>
      </c>
      <c r="AQ960">
        <v>873.33971414802716</v>
      </c>
      <c r="AR960">
        <v>159.17624128071606</v>
      </c>
      <c r="AS960">
        <v>1559.9422521604604</v>
      </c>
      <c r="AT960">
        <v>71.512375424346303</v>
      </c>
      <c r="AU960">
        <v>322.56844213583116</v>
      </c>
      <c r="AV960"/>
      <c r="AW960"/>
      <c r="FY960" s="211">
        <v>955</v>
      </c>
      <c r="FZ960">
        <v>130.21611126601289</v>
      </c>
      <c r="GA960">
        <v>197.71557897458385</v>
      </c>
      <c r="GB960">
        <v>59.266251144809416</v>
      </c>
      <c r="GC960">
        <v>34.63171674970107</v>
      </c>
      <c r="GD960">
        <v>44.698679333786387</v>
      </c>
      <c r="GE960">
        <v>100.68178863535694</v>
      </c>
      <c r="GF960">
        <v>106.91573471537691</v>
      </c>
      <c r="GG960">
        <v>55.257178199410831</v>
      </c>
      <c r="GH960">
        <v>40.820400236485455</v>
      </c>
      <c r="GI960">
        <v>95.748348264425502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228.36802217777137</v>
      </c>
      <c r="AO961">
        <v>124.4864429639329</v>
      </c>
      <c r="AP961">
        <v>632.51052559988148</v>
      </c>
      <c r="AQ961">
        <v>678.24801100729724</v>
      </c>
      <c r="AR961">
        <v>117.31135955978415</v>
      </c>
      <c r="AS961">
        <v>1211.6368382201181</v>
      </c>
      <c r="AT961">
        <v>56.712180870947059</v>
      </c>
      <c r="AU961">
        <v>91.872318213864915</v>
      </c>
      <c r="AV961"/>
      <c r="AW961"/>
      <c r="FY961" s="211">
        <v>956</v>
      </c>
      <c r="FZ961">
        <v>90.862544115167296</v>
      </c>
      <c r="GA961">
        <v>129.70924577384054</v>
      </c>
      <c r="GB961">
        <v>57.2962602929586</v>
      </c>
      <c r="GC961">
        <v>39.907302105111533</v>
      </c>
      <c r="GD961">
        <v>29.177054926025161</v>
      </c>
      <c r="GE961">
        <v>43.762662698191882</v>
      </c>
      <c r="GF961">
        <v>46.755460949368214</v>
      </c>
      <c r="GG961">
        <v>45.065048190619969</v>
      </c>
      <c r="GH961">
        <v>66.392899794356211</v>
      </c>
      <c r="GI961">
        <v>68.591133892594272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207.8769841420322</v>
      </c>
      <c r="AO962">
        <v>136.70806452185542</v>
      </c>
      <c r="AP962">
        <v>579.08205368202607</v>
      </c>
      <c r="AQ962">
        <v>789.87393913993662</v>
      </c>
      <c r="AR962">
        <v>129.54670756615536</v>
      </c>
      <c r="AS962">
        <v>1293.5549374173286</v>
      </c>
      <c r="AT962">
        <v>72.134943101330251</v>
      </c>
      <c r="AU962">
        <v>154.79876821666471</v>
      </c>
      <c r="AV962"/>
      <c r="AW962"/>
      <c r="FY962" s="211">
        <v>957</v>
      </c>
      <c r="FZ962">
        <v>122.64869329517097</v>
      </c>
      <c r="GA962">
        <v>166.80645525319571</v>
      </c>
      <c r="GB962">
        <v>61.170779947430511</v>
      </c>
      <c r="GC962">
        <v>42.882022022609419</v>
      </c>
      <c r="GD962">
        <v>29.345208596329524</v>
      </c>
      <c r="GE962">
        <v>49.74357916159709</v>
      </c>
      <c r="GF962">
        <v>75.92275113931538</v>
      </c>
      <c r="GG962">
        <v>43.84100220644396</v>
      </c>
      <c r="GH962">
        <v>40.453349440966321</v>
      </c>
      <c r="GI962">
        <v>76.540591378558261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222.15286334657117</v>
      </c>
      <c r="AO963">
        <v>154.06624597451989</v>
      </c>
      <c r="AP963">
        <v>708.26465805148291</v>
      </c>
      <c r="AQ963">
        <v>836.8471570067361</v>
      </c>
      <c r="AR963">
        <v>143.85674132070625</v>
      </c>
      <c r="AS963">
        <v>1436.0093808581328</v>
      </c>
      <c r="AT963">
        <v>79.530218047666665</v>
      </c>
      <c r="AU963">
        <v>320.04037317044657</v>
      </c>
      <c r="AV963"/>
      <c r="AW963"/>
      <c r="FY963" s="211">
        <v>958</v>
      </c>
      <c r="FZ963">
        <v>96.177484510957598</v>
      </c>
      <c r="GA963">
        <v>159.56990432897095</v>
      </c>
      <c r="GB963">
        <v>49.982455498338524</v>
      </c>
      <c r="GC963">
        <v>36.082029635986665</v>
      </c>
      <c r="GD963">
        <v>34.459108093073986</v>
      </c>
      <c r="GE963">
        <v>61.009786206748075</v>
      </c>
      <c r="GF963">
        <v>118.77575299399844</v>
      </c>
      <c r="GG963">
        <v>68.390044689827334</v>
      </c>
      <c r="GH963">
        <v>12.919906950310699</v>
      </c>
      <c r="GI963">
        <v>77.767412230981634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285.37232904253955</v>
      </c>
      <c r="AO964">
        <v>145.02206484137562</v>
      </c>
      <c r="AP964">
        <v>616.42295743459704</v>
      </c>
      <c r="AQ964">
        <v>795.44775178119232</v>
      </c>
      <c r="AR964">
        <v>137.04669519068122</v>
      </c>
      <c r="AS964">
        <v>1294.7415033915181</v>
      </c>
      <c r="AT964">
        <v>70.368512702575472</v>
      </c>
      <c r="AU964">
        <v>291.70826026957042</v>
      </c>
      <c r="AV964"/>
      <c r="AW964"/>
      <c r="FY964" s="211">
        <v>959</v>
      </c>
      <c r="FZ964">
        <v>129.23323378395656</v>
      </c>
      <c r="GA964">
        <v>173.20724563147607</v>
      </c>
      <c r="GB964">
        <v>63.23696864333882</v>
      </c>
      <c r="GC964">
        <v>32.645550736666614</v>
      </c>
      <c r="GD964">
        <v>42.920241529746157</v>
      </c>
      <c r="GE964">
        <v>139.30131769460041</v>
      </c>
      <c r="GF964">
        <v>160.33245004249886</v>
      </c>
      <c r="GG964">
        <v>36.326666752226622</v>
      </c>
      <c r="GH964">
        <v>46.422736004670291</v>
      </c>
      <c r="GI964">
        <v>108.0263943515741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288.88355044643856</v>
      </c>
      <c r="AO965">
        <v>146.38186366562019</v>
      </c>
      <c r="AP965">
        <v>618.54303493142174</v>
      </c>
      <c r="AQ965">
        <v>822.11782080484863</v>
      </c>
      <c r="AR965">
        <v>138.01916181841239</v>
      </c>
      <c r="AS965">
        <v>1539.4580052904403</v>
      </c>
      <c r="AT965">
        <v>66.371186270980985</v>
      </c>
      <c r="AU965">
        <v>168.06703510891276</v>
      </c>
      <c r="AV965"/>
      <c r="AW965"/>
      <c r="FY965" s="211">
        <v>960</v>
      </c>
      <c r="FZ965">
        <v>127.52438199842825</v>
      </c>
      <c r="GA965">
        <v>130.75170906444697</v>
      </c>
      <c r="GB965">
        <v>39.161112235570883</v>
      </c>
      <c r="GC965">
        <v>40.917529158366051</v>
      </c>
      <c r="GD965">
        <v>37.296725046116478</v>
      </c>
      <c r="GE965">
        <v>50.141824005372513</v>
      </c>
      <c r="GF965">
        <v>48.082330013683674</v>
      </c>
      <c r="GG965">
        <v>21.562907038679349</v>
      </c>
      <c r="GH965">
        <v>17.244881738161471</v>
      </c>
      <c r="GI965">
        <v>66.292316439402143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184.24690990444904</v>
      </c>
      <c r="AO966">
        <v>121.41814628070411</v>
      </c>
      <c r="AP966">
        <v>662.96003855541369</v>
      </c>
      <c r="AQ966">
        <v>681.2406608893973</v>
      </c>
      <c r="AR966">
        <v>114.66505392951055</v>
      </c>
      <c r="AS966">
        <v>1039.9833707500402</v>
      </c>
      <c r="AT966">
        <v>65.295441025765811</v>
      </c>
      <c r="AU966">
        <v>206.57202378572046</v>
      </c>
      <c r="AV966"/>
      <c r="AW966"/>
      <c r="FY966" s="211">
        <v>961</v>
      </c>
      <c r="FZ966">
        <v>147.55653715738015</v>
      </c>
      <c r="GA966">
        <v>154.67559636942534</v>
      </c>
      <c r="GB966">
        <v>37.063499060129097</v>
      </c>
      <c r="GC966">
        <v>45.506940956751855</v>
      </c>
      <c r="GD966">
        <v>53.288904190156877</v>
      </c>
      <c r="GE966">
        <v>63.871133399117227</v>
      </c>
      <c r="GF966">
        <v>58.826097978233953</v>
      </c>
      <c r="GG966">
        <v>61.051802447823363</v>
      </c>
      <c r="GH966">
        <v>43.47591901816557</v>
      </c>
      <c r="GI966">
        <v>85.845453520771429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310.34921214953573</v>
      </c>
      <c r="AO967">
        <v>160.76675069118136</v>
      </c>
      <c r="AP967">
        <v>511.0756916253323</v>
      </c>
      <c r="AQ967">
        <v>933.80797345952465</v>
      </c>
      <c r="AR967">
        <v>152.80073645738247</v>
      </c>
      <c r="AS967">
        <v>1583.5760181962298</v>
      </c>
      <c r="AT967">
        <v>78.378763923391588</v>
      </c>
      <c r="AU967">
        <v>44.588689457607785</v>
      </c>
      <c r="AV967"/>
      <c r="AW967"/>
      <c r="FY967" s="211">
        <v>962</v>
      </c>
      <c r="FZ967">
        <v>134.24274359936811</v>
      </c>
      <c r="GA967">
        <v>175.28591165111715</v>
      </c>
      <c r="GB967">
        <v>45.75963620113059</v>
      </c>
      <c r="GC967">
        <v>38.327475444724136</v>
      </c>
      <c r="GD967">
        <v>27.82211831403264</v>
      </c>
      <c r="GE967">
        <v>42.898633148624555</v>
      </c>
      <c r="GF967">
        <v>74.513926869676226</v>
      </c>
      <c r="GG967">
        <v>52.520118273386473</v>
      </c>
      <c r="GH967">
        <v>60.450551366397683</v>
      </c>
      <c r="GI967">
        <v>76.581764380266733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254.00279888646764</v>
      </c>
      <c r="AO968">
        <v>166.25346376175156</v>
      </c>
      <c r="AP968">
        <v>787.35677089878186</v>
      </c>
      <c r="AQ968">
        <v>881.1728124393876</v>
      </c>
      <c r="AR968">
        <v>155.27931853085727</v>
      </c>
      <c r="AS968">
        <v>1504.2093609214767</v>
      </c>
      <c r="AT968">
        <v>82.518552789044136</v>
      </c>
      <c r="AU968">
        <v>116.02764171049282</v>
      </c>
      <c r="AV968"/>
      <c r="AW968"/>
      <c r="FY968" s="211">
        <v>963</v>
      </c>
      <c r="FZ968">
        <v>114.95777943581092</v>
      </c>
      <c r="GA968">
        <v>164.59888659490923</v>
      </c>
      <c r="GB968">
        <v>58.515202247303932</v>
      </c>
      <c r="GC968">
        <v>36.623237977068804</v>
      </c>
      <c r="GD968">
        <v>48.51231467074836</v>
      </c>
      <c r="GE968">
        <v>108.82682650085013</v>
      </c>
      <c r="GF968">
        <v>106.38913658983748</v>
      </c>
      <c r="GG968">
        <v>56.264170667788889</v>
      </c>
      <c r="GH968">
        <v>69.249181853502819</v>
      </c>
      <c r="GI968">
        <v>98.862706013285674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260.17642116287385</v>
      </c>
      <c r="AO969">
        <v>147.36869955152429</v>
      </c>
      <c r="AP969">
        <v>537.44435561861769</v>
      </c>
      <c r="AQ969">
        <v>825.55291857075031</v>
      </c>
      <c r="AR969">
        <v>138.38914228539448</v>
      </c>
      <c r="AS969">
        <v>1329.5358874047138</v>
      </c>
      <c r="AT969">
        <v>71.337648136484077</v>
      </c>
      <c r="AU969">
        <v>270.23995219876781</v>
      </c>
      <c r="AV969"/>
      <c r="AW969"/>
      <c r="FY969" s="211">
        <v>964</v>
      </c>
      <c r="FZ969">
        <v>80.581248787663128</v>
      </c>
      <c r="GA969">
        <v>128.94605237036197</v>
      </c>
      <c r="GB969">
        <v>64.151681984941888</v>
      </c>
      <c r="GC969">
        <v>54.220243579139265</v>
      </c>
      <c r="GD969">
        <v>44.05280201340257</v>
      </c>
      <c r="GE969">
        <v>66.018798107933605</v>
      </c>
      <c r="GF969">
        <v>94.271595240213188</v>
      </c>
      <c r="GG969">
        <v>105.07057847100972</v>
      </c>
      <c r="GH969">
        <v>106.66270748847603</v>
      </c>
      <c r="GI969">
        <v>96.377928771440935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251.47228533560329</v>
      </c>
      <c r="AO970">
        <v>153.45151222777605</v>
      </c>
      <c r="AP970">
        <v>739.23369981658539</v>
      </c>
      <c r="AQ970">
        <v>840.19147835101614</v>
      </c>
      <c r="AR970">
        <v>145.07716527693441</v>
      </c>
      <c r="AS970">
        <v>1582.4076465067028</v>
      </c>
      <c r="AT970">
        <v>77.11038641282596</v>
      </c>
      <c r="AU970">
        <v>173.73404276546535</v>
      </c>
      <c r="AV970"/>
      <c r="AW970"/>
      <c r="FY970" s="211">
        <v>965</v>
      </c>
      <c r="FZ970">
        <v>87.366026019383469</v>
      </c>
      <c r="GA970">
        <v>185.28522966789609</v>
      </c>
      <c r="GB970">
        <v>86.267295315241967</v>
      </c>
      <c r="GC970">
        <v>49.830888436174178</v>
      </c>
      <c r="GD970">
        <v>38.007257289102903</v>
      </c>
      <c r="GE970">
        <v>79.164893860765986</v>
      </c>
      <c r="GF970">
        <v>125.12496524683898</v>
      </c>
      <c r="GG970">
        <v>89.178293951379558</v>
      </c>
      <c r="GH970">
        <v>86.198095305130096</v>
      </c>
      <c r="GI970">
        <v>103.83028650423752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231.75726740520312</v>
      </c>
      <c r="AO971">
        <v>156.66929221754634</v>
      </c>
      <c r="AP971">
        <v>789.32400329505833</v>
      </c>
      <c r="AQ971">
        <v>865.95178751994933</v>
      </c>
      <c r="AR971">
        <v>145.64725768934392</v>
      </c>
      <c r="AS971">
        <v>1474.5365238741692</v>
      </c>
      <c r="AT971">
        <v>77.874158127510483</v>
      </c>
      <c r="AU971">
        <v>302.48130094891883</v>
      </c>
      <c r="AV971"/>
      <c r="AW971"/>
      <c r="FY971" s="211">
        <v>966</v>
      </c>
      <c r="FZ971">
        <v>133.548027764865</v>
      </c>
      <c r="GA971">
        <v>159.56649746077511</v>
      </c>
      <c r="GB971">
        <v>52.46735404736981</v>
      </c>
      <c r="GC971">
        <v>40.966686193857917</v>
      </c>
      <c r="GD971">
        <v>45.407882471317109</v>
      </c>
      <c r="GE971">
        <v>75.838897692469502</v>
      </c>
      <c r="GF971">
        <v>103.79807466313498</v>
      </c>
      <c r="GG971">
        <v>120.08160509932229</v>
      </c>
      <c r="GH971">
        <v>104.68517875004144</v>
      </c>
      <c r="GI971">
        <v>104.47463546817053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185.12176952006726</v>
      </c>
      <c r="AO972">
        <v>107.79006794067497</v>
      </c>
      <c r="AP972">
        <v>274.86458216990206</v>
      </c>
      <c r="AQ972">
        <v>617.51961273823372</v>
      </c>
      <c r="AR972">
        <v>102.74872152243756</v>
      </c>
      <c r="AS972">
        <v>1115.9483800457276</v>
      </c>
      <c r="AT972">
        <v>52.285991513787877</v>
      </c>
      <c r="AU972">
        <v>-28.474568416735323</v>
      </c>
      <c r="AV972"/>
      <c r="AW972"/>
      <c r="FY972" s="211">
        <v>967</v>
      </c>
      <c r="FZ972">
        <v>105.3954855912859</v>
      </c>
      <c r="GA972">
        <v>160.91936406138993</v>
      </c>
      <c r="GB972">
        <v>60.95977999345758</v>
      </c>
      <c r="GC972">
        <v>50.433450419695596</v>
      </c>
      <c r="GD972">
        <v>47.5393908716784</v>
      </c>
      <c r="GE972">
        <v>79.42786816196984</v>
      </c>
      <c r="GF972">
        <v>82.709053426497761</v>
      </c>
      <c r="GG972">
        <v>68.733278253262228</v>
      </c>
      <c r="GH972">
        <v>77.783223048375916</v>
      </c>
      <c r="GI972">
        <v>93.751226802585208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210.43228359341865</v>
      </c>
      <c r="AO973">
        <v>121.75057657319955</v>
      </c>
      <c r="AP973">
        <v>470.69507319203194</v>
      </c>
      <c r="AQ973">
        <v>709.35443244161718</v>
      </c>
      <c r="AR973">
        <v>115.04861874446409</v>
      </c>
      <c r="AS973">
        <v>1130.0261097368525</v>
      </c>
      <c r="AT973">
        <v>61.894300190827693</v>
      </c>
      <c r="AU973">
        <v>110.00223688621267</v>
      </c>
      <c r="AV973"/>
      <c r="AW973"/>
      <c r="FY973" s="211">
        <v>968</v>
      </c>
      <c r="FZ973">
        <v>130.88072259442436</v>
      </c>
      <c r="GA973">
        <v>145.41624342819884</v>
      </c>
      <c r="GB973">
        <v>43.441890838953768</v>
      </c>
      <c r="GC973">
        <v>31.422847818531775</v>
      </c>
      <c r="GD973">
        <v>60.051658213500403</v>
      </c>
      <c r="GE973">
        <v>124.29285270469661</v>
      </c>
      <c r="GF973">
        <v>90.718658427130833</v>
      </c>
      <c r="GG973">
        <v>98.228742085391715</v>
      </c>
      <c r="GH973">
        <v>107.97903853657823</v>
      </c>
      <c r="GI973">
        <v>107.49723065479725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282.62370569542401</v>
      </c>
      <c r="AO974">
        <v>125.0014001714582</v>
      </c>
      <c r="AP974">
        <v>495.96168216064819</v>
      </c>
      <c r="AQ974">
        <v>715.13388513919404</v>
      </c>
      <c r="AR974">
        <v>116.1322138430362</v>
      </c>
      <c r="AS974">
        <v>1221.6420931815167</v>
      </c>
      <c r="AT974">
        <v>49.847296913249977</v>
      </c>
      <c r="AU974">
        <v>88.3699486201144</v>
      </c>
      <c r="AV974"/>
      <c r="AW974"/>
      <c r="FY974" s="211">
        <v>969</v>
      </c>
      <c r="FZ974">
        <v>119.29600739143501</v>
      </c>
      <c r="GA974">
        <v>128.40758389118372</v>
      </c>
      <c r="GB974">
        <v>36.579673504726586</v>
      </c>
      <c r="GC974">
        <v>44.3707808220137</v>
      </c>
      <c r="GD974">
        <v>39.454009542576756</v>
      </c>
      <c r="GE974">
        <v>49.747342402625634</v>
      </c>
      <c r="GF974">
        <v>76.241923061302529</v>
      </c>
      <c r="GG974">
        <v>46.835545234838428</v>
      </c>
      <c r="GH974">
        <v>24.676738942055358</v>
      </c>
      <c r="GI974">
        <v>73.823295468785503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309.28232435739676</v>
      </c>
      <c r="AO975">
        <v>171.93338889931584</v>
      </c>
      <c r="AP975">
        <v>707.16760739288645</v>
      </c>
      <c r="AQ975">
        <v>931.65280517075439</v>
      </c>
      <c r="AR975">
        <v>163.42222601897495</v>
      </c>
      <c r="AS975">
        <v>1575.7423860004112</v>
      </c>
      <c r="AT975">
        <v>80.236050517218771</v>
      </c>
      <c r="AU975">
        <v>139.9523767739733</v>
      </c>
      <c r="AV975"/>
      <c r="AW975"/>
      <c r="FY975" s="211">
        <v>970</v>
      </c>
      <c r="FZ975">
        <v>119.502277068604</v>
      </c>
      <c r="GA975">
        <v>142.68034626024789</v>
      </c>
      <c r="GB975">
        <v>42.433196353146656</v>
      </c>
      <c r="GC975">
        <v>45.770310432936405</v>
      </c>
      <c r="GD975">
        <v>44.845470109327451</v>
      </c>
      <c r="GE975">
        <v>71.989903899856785</v>
      </c>
      <c r="GF975">
        <v>85.419929085768999</v>
      </c>
      <c r="GG975">
        <v>68.110956941361067</v>
      </c>
      <c r="GH975">
        <v>61.171877740276372</v>
      </c>
      <c r="GI975">
        <v>86.779485367518589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208.50662313004327</v>
      </c>
      <c r="AO976">
        <v>102.5095994773656</v>
      </c>
      <c r="AP976">
        <v>429.21038865317519</v>
      </c>
      <c r="AQ976">
        <v>578.97571673822779</v>
      </c>
      <c r="AR976">
        <v>98.549326831921178</v>
      </c>
      <c r="AS976">
        <v>1005.5969567870053</v>
      </c>
      <c r="AT976">
        <v>49.095945224041174</v>
      </c>
      <c r="AU976">
        <v>87.734891835740115</v>
      </c>
      <c r="AV976"/>
      <c r="AW976"/>
      <c r="FY976" s="211">
        <v>971</v>
      </c>
      <c r="FZ976">
        <v>121.73204781668667</v>
      </c>
      <c r="GA976">
        <v>146.86350316221075</v>
      </c>
      <c r="GB976">
        <v>51.390065529284378</v>
      </c>
      <c r="GC976">
        <v>45.743024012403907</v>
      </c>
      <c r="GD976">
        <v>35.814438813483754</v>
      </c>
      <c r="GE976">
        <v>65.014889974554748</v>
      </c>
      <c r="GF976">
        <v>113.463169760621</v>
      </c>
      <c r="GG976">
        <v>86.546318706089565</v>
      </c>
      <c r="GH976">
        <v>60.382187070840573</v>
      </c>
      <c r="GI976">
        <v>89.55629726189143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276.57930832517422</v>
      </c>
      <c r="AO977">
        <v>133.24927652015933</v>
      </c>
      <c r="AP977">
        <v>529.04169477367691</v>
      </c>
      <c r="AQ977">
        <v>751.16188409795484</v>
      </c>
      <c r="AR977">
        <v>127.30403085204243</v>
      </c>
      <c r="AS977">
        <v>1464.6335779007247</v>
      </c>
      <c r="AT977">
        <v>64.590622577545005</v>
      </c>
      <c r="AU977">
        <v>288.95917555103426</v>
      </c>
      <c r="AV977"/>
      <c r="AW977"/>
      <c r="FY977" s="211">
        <v>972</v>
      </c>
      <c r="FZ977">
        <v>121.544476951565</v>
      </c>
      <c r="GA977">
        <v>172.76415325435983</v>
      </c>
      <c r="GB977">
        <v>65.843177274352186</v>
      </c>
      <c r="GC977">
        <v>43.978357266119403</v>
      </c>
      <c r="GD977">
        <v>32.149692910741919</v>
      </c>
      <c r="GE977">
        <v>42.454966211124606</v>
      </c>
      <c r="GF977">
        <v>64.075296778482794</v>
      </c>
      <c r="GG977">
        <v>62.128391211733963</v>
      </c>
      <c r="GH977">
        <v>72.067249330857265</v>
      </c>
      <c r="GI977">
        <v>81.987925577487744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221.82192630402284</v>
      </c>
      <c r="AO978">
        <v>122.83077403515067</v>
      </c>
      <c r="AP978">
        <v>640.02584041325383</v>
      </c>
      <c r="AQ978">
        <v>728.40287924872428</v>
      </c>
      <c r="AR978">
        <v>116.58919960720451</v>
      </c>
      <c r="AS978">
        <v>1231.7372728332743</v>
      </c>
      <c r="AT978">
        <v>62.816214916457859</v>
      </c>
      <c r="AU978">
        <v>131.03167665950869</v>
      </c>
      <c r="AV978"/>
      <c r="AW978"/>
      <c r="FY978" s="211">
        <v>973</v>
      </c>
      <c r="FZ978">
        <v>109.55944035110585</v>
      </c>
      <c r="GA978">
        <v>158.2166728512874</v>
      </c>
      <c r="GB978">
        <v>47.779329935134257</v>
      </c>
      <c r="GC978">
        <v>38.335642479466074</v>
      </c>
      <c r="GD978">
        <v>26.718206794825122</v>
      </c>
      <c r="GE978">
        <v>72.331613328349405</v>
      </c>
      <c r="GF978">
        <v>154.76685247863963</v>
      </c>
      <c r="GG978">
        <v>69.008849958844877</v>
      </c>
      <c r="GH978">
        <v>35.780005127205058</v>
      </c>
      <c r="GI978">
        <v>86.709341287782763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337.27856692991816</v>
      </c>
      <c r="AO979">
        <v>156.68189029853565</v>
      </c>
      <c r="AP979">
        <v>551.9984433743648</v>
      </c>
      <c r="AQ979">
        <v>862.79944255110627</v>
      </c>
      <c r="AR979">
        <v>148.303565274026</v>
      </c>
      <c r="AS979">
        <v>1736.7269568314055</v>
      </c>
      <c r="AT979">
        <v>71.356542859742973</v>
      </c>
      <c r="AU979">
        <v>99.886991225461387</v>
      </c>
      <c r="AV979"/>
      <c r="AW979"/>
      <c r="FY979" s="211">
        <v>974</v>
      </c>
      <c r="FZ979">
        <v>110.414830417693</v>
      </c>
      <c r="GA979">
        <v>173.30980521279136</v>
      </c>
      <c r="GB979">
        <v>68.002100554774046</v>
      </c>
      <c r="GC979">
        <v>40.722125292060262</v>
      </c>
      <c r="GD979">
        <v>39.402907451220187</v>
      </c>
      <c r="GE979">
        <v>75.273832306241147</v>
      </c>
      <c r="GF979">
        <v>90.640086696826799</v>
      </c>
      <c r="GG979">
        <v>114.51178350718016</v>
      </c>
      <c r="GH979">
        <v>141.44871756847505</v>
      </c>
      <c r="GI979">
        <v>103.9826479280449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278.46096298662553</v>
      </c>
      <c r="AO980">
        <v>157.69572942512272</v>
      </c>
      <c r="AP980">
        <v>554.91926195947315</v>
      </c>
      <c r="AQ980">
        <v>840.35363681458239</v>
      </c>
      <c r="AR980">
        <v>146.55676983027843</v>
      </c>
      <c r="AS980">
        <v>1558.6622849532212</v>
      </c>
      <c r="AT980">
        <v>77.431074516964756</v>
      </c>
      <c r="AU980">
        <v>208.93264166719706</v>
      </c>
      <c r="AV980"/>
      <c r="AW980"/>
      <c r="FY980" s="211">
        <v>975</v>
      </c>
      <c r="FZ980">
        <v>103.32570473892463</v>
      </c>
      <c r="GA980">
        <v>134.26452959946926</v>
      </c>
      <c r="GB980">
        <v>39.776405264230036</v>
      </c>
      <c r="GC980">
        <v>46.537135434358767</v>
      </c>
      <c r="GD980">
        <v>51.402864493754421</v>
      </c>
      <c r="GE980">
        <v>57.076219954665632</v>
      </c>
      <c r="GF980">
        <v>46.007244193693282</v>
      </c>
      <c r="GG980">
        <v>48.466073740105763</v>
      </c>
      <c r="GH980">
        <v>50.12376834440564</v>
      </c>
      <c r="GI980">
        <v>77.501747119129021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263.11315678154614</v>
      </c>
      <c r="AO981">
        <v>170.69997830074715</v>
      </c>
      <c r="AP981">
        <v>676.72390147575527</v>
      </c>
      <c r="AQ981">
        <v>930.25323159615084</v>
      </c>
      <c r="AR981">
        <v>158.541311564224</v>
      </c>
      <c r="AS981">
        <v>1623.2763506799481</v>
      </c>
      <c r="AT981">
        <v>83.607951770445595</v>
      </c>
      <c r="AU981">
        <v>186.59910401933169</v>
      </c>
      <c r="AV981"/>
      <c r="AW981"/>
      <c r="FY981" s="211">
        <v>976</v>
      </c>
      <c r="FZ981">
        <v>125.84305510598242</v>
      </c>
      <c r="GA981">
        <v>172.62962114871726</v>
      </c>
      <c r="GB981">
        <v>46.729213782728323</v>
      </c>
      <c r="GC981">
        <v>39.903734815884611</v>
      </c>
      <c r="GD981">
        <v>35.508533395767515</v>
      </c>
      <c r="GE981">
        <v>64.926428119704639</v>
      </c>
      <c r="GF981">
        <v>126.8751522413486</v>
      </c>
      <c r="GG981">
        <v>67.28443590907014</v>
      </c>
      <c r="GH981">
        <v>58.177980061840742</v>
      </c>
      <c r="GI981">
        <v>92.939244488592877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259.54697412698158</v>
      </c>
      <c r="AO982">
        <v>169.96240862132828</v>
      </c>
      <c r="AP982">
        <v>732.73501871389726</v>
      </c>
      <c r="AQ982">
        <v>940.83483961132367</v>
      </c>
      <c r="AR982">
        <v>160.41447355715809</v>
      </c>
      <c r="AS982">
        <v>1576.1384075814562</v>
      </c>
      <c r="AT982">
        <v>83.795388332817836</v>
      </c>
      <c r="AU982">
        <v>360.09552725703799</v>
      </c>
      <c r="AV982"/>
      <c r="AW982"/>
      <c r="FY982" s="211">
        <v>977</v>
      </c>
      <c r="FZ982">
        <v>107.68181954711517</v>
      </c>
      <c r="GA982">
        <v>141.94385719392216</v>
      </c>
      <c r="GB982">
        <v>58.734349939645959</v>
      </c>
      <c r="GC982">
        <v>47.052755991447967</v>
      </c>
      <c r="GD982">
        <v>30.442500169629362</v>
      </c>
      <c r="GE982">
        <v>36.55312502542877</v>
      </c>
      <c r="GF982">
        <v>89.217865715274371</v>
      </c>
      <c r="GG982">
        <v>49.333351873143883</v>
      </c>
      <c r="GH982">
        <v>19.325006242092009</v>
      </c>
      <c r="GI982">
        <v>74.122148291134494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271.42965920766011</v>
      </c>
      <c r="AO983">
        <v>152.09816066992545</v>
      </c>
      <c r="AP983">
        <v>657.65903365632028</v>
      </c>
      <c r="AQ983">
        <v>827.6521206301984</v>
      </c>
      <c r="AR983">
        <v>141.12398327350513</v>
      </c>
      <c r="AS983">
        <v>1465.1560827592687</v>
      </c>
      <c r="AT983">
        <v>73.107046479844016</v>
      </c>
      <c r="AU983">
        <v>44.010129882145058</v>
      </c>
      <c r="AV983"/>
      <c r="AW983"/>
      <c r="FY983" s="211">
        <v>978</v>
      </c>
      <c r="FZ983">
        <v>88.528583725824632</v>
      </c>
      <c r="GA983">
        <v>104.68305785351201</v>
      </c>
      <c r="GB983">
        <v>45.283273068554259</v>
      </c>
      <c r="GC983">
        <v>52.187792124613111</v>
      </c>
      <c r="GD983">
        <v>47.412027067575657</v>
      </c>
      <c r="GE983">
        <v>81.272221408013394</v>
      </c>
      <c r="GF983">
        <v>94.433119723620891</v>
      </c>
      <c r="GG983">
        <v>40.672282212779493</v>
      </c>
      <c r="GH983">
        <v>34.385153317868649</v>
      </c>
      <c r="GI983">
        <v>83.264211280939165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332.88103625942847</v>
      </c>
      <c r="AO984">
        <v>171.50034248763217</v>
      </c>
      <c r="AP984">
        <v>805.95297423315628</v>
      </c>
      <c r="AQ984">
        <v>939.92988530220373</v>
      </c>
      <c r="AR984">
        <v>161.61912304962607</v>
      </c>
      <c r="AS984">
        <v>1586.144325726948</v>
      </c>
      <c r="AT984">
        <v>82.07919099788684</v>
      </c>
      <c r="AU984">
        <v>484.3025378579506</v>
      </c>
      <c r="AV984"/>
      <c r="AW984"/>
      <c r="FY984" s="211">
        <v>979</v>
      </c>
      <c r="FZ984">
        <v>118.79279960208734</v>
      </c>
      <c r="GA984">
        <v>169.05247742181857</v>
      </c>
      <c r="GB984">
        <v>52.870129734730554</v>
      </c>
      <c r="GC984">
        <v>33.238529113309994</v>
      </c>
      <c r="GD984">
        <v>30.639663606435423</v>
      </c>
      <c r="GE984">
        <v>56.346936534930848</v>
      </c>
      <c r="GF984">
        <v>77.370656012224018</v>
      </c>
      <c r="GG984">
        <v>45.237933064820005</v>
      </c>
      <c r="GH984">
        <v>34.167322506182217</v>
      </c>
      <c r="GI984">
        <v>73.900393173581946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219.32202380059022</v>
      </c>
      <c r="AO985">
        <v>114.73920917497396</v>
      </c>
      <c r="AP985">
        <v>464.02437908420279</v>
      </c>
      <c r="AQ985">
        <v>639.4329002615433</v>
      </c>
      <c r="AR985">
        <v>109.68578891527756</v>
      </c>
      <c r="AS985">
        <v>1136.4702033695403</v>
      </c>
      <c r="AT985">
        <v>51.703009184990833</v>
      </c>
      <c r="AU985">
        <v>103.26460902260517</v>
      </c>
      <c r="AV985"/>
      <c r="AW985"/>
      <c r="FY985" s="211">
        <v>980</v>
      </c>
      <c r="FZ985">
        <v>131.63727823482679</v>
      </c>
      <c r="GA985">
        <v>163.50413796301004</v>
      </c>
      <c r="GB985">
        <v>60.571110019837995</v>
      </c>
      <c r="GC985">
        <v>44.971817062809606</v>
      </c>
      <c r="GD985">
        <v>29.111994776419497</v>
      </c>
      <c r="GE985">
        <v>72.107260536788857</v>
      </c>
      <c r="GF985">
        <v>164.50531583751714</v>
      </c>
      <c r="GG985">
        <v>78.144492228576709</v>
      </c>
      <c r="GH985">
        <v>38.664098159353799</v>
      </c>
      <c r="GI985">
        <v>98.634980851358705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233.47872207858808</v>
      </c>
      <c r="AO986">
        <v>139.22516288943513</v>
      </c>
      <c r="AP986">
        <v>450.9823350823898</v>
      </c>
      <c r="AQ986">
        <v>768.70375325904433</v>
      </c>
      <c r="AR986">
        <v>130.40253735440061</v>
      </c>
      <c r="AS986">
        <v>1460.194030026365</v>
      </c>
      <c r="AT986">
        <v>69.563060660350715</v>
      </c>
      <c r="AU986">
        <v>165.84859545072504</v>
      </c>
      <c r="AV986"/>
      <c r="AW986"/>
      <c r="FY986" s="211">
        <v>981</v>
      </c>
      <c r="FZ986">
        <v>131.09445635049849</v>
      </c>
      <c r="GA986">
        <v>125.701484811192</v>
      </c>
      <c r="GB986">
        <v>28.240327575591753</v>
      </c>
      <c r="GC986">
        <v>32.659545419014215</v>
      </c>
      <c r="GD986">
        <v>41.092831510244736</v>
      </c>
      <c r="GE986">
        <v>90.565435350308164</v>
      </c>
      <c r="GF986">
        <v>112.08984579630557</v>
      </c>
      <c r="GG986">
        <v>89.804943408543579</v>
      </c>
      <c r="GH986">
        <v>84.837329805812786</v>
      </c>
      <c r="GI986">
        <v>92.888015944783376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260.24133166082316</v>
      </c>
      <c r="AO987">
        <v>143.90604790270152</v>
      </c>
      <c r="AP987">
        <v>580.44623293074392</v>
      </c>
      <c r="AQ987">
        <v>816.50594210806685</v>
      </c>
      <c r="AR987">
        <v>134.70811380862872</v>
      </c>
      <c r="AS987">
        <v>1429.815726707511</v>
      </c>
      <c r="AT987">
        <v>66.434875912882163</v>
      </c>
      <c r="AU987">
        <v>182.80757524200931</v>
      </c>
      <c r="AV987"/>
      <c r="AW987"/>
      <c r="FY987" s="211">
        <v>982</v>
      </c>
      <c r="FZ987">
        <v>96.096153834266786</v>
      </c>
      <c r="GA987">
        <v>168.46584727489653</v>
      </c>
      <c r="GB987">
        <v>55.487345319237477</v>
      </c>
      <c r="GC987">
        <v>28.628732337617034</v>
      </c>
      <c r="GD987">
        <v>32.280117442142497</v>
      </c>
      <c r="GE987">
        <v>54.136433555269377</v>
      </c>
      <c r="GF987">
        <v>60.423256900046098</v>
      </c>
      <c r="GG987">
        <v>60.015653699402499</v>
      </c>
      <c r="GH987">
        <v>70.577902311941074</v>
      </c>
      <c r="GI987">
        <v>75.296545459934734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207.5379370737532</v>
      </c>
      <c r="AO988">
        <v>129.12941894136063</v>
      </c>
      <c r="AP988">
        <v>478.06630980003717</v>
      </c>
      <c r="AQ988">
        <v>758.99368676682479</v>
      </c>
      <c r="AR988">
        <v>123.58116657295857</v>
      </c>
      <c r="AS988">
        <v>1296.084333966427</v>
      </c>
      <c r="AT988">
        <v>67.539767927672798</v>
      </c>
      <c r="AU988">
        <v>42.64326416459572</v>
      </c>
      <c r="AV988"/>
      <c r="AW988"/>
      <c r="FY988" s="211">
        <v>983</v>
      </c>
      <c r="FZ988">
        <v>141.41575603955951</v>
      </c>
      <c r="GA988">
        <v>146.18387536713888</v>
      </c>
      <c r="GB988">
        <v>36.975903014890079</v>
      </c>
      <c r="GC988">
        <v>34.584932681121252</v>
      </c>
      <c r="GD988">
        <v>41.838150924084957</v>
      </c>
      <c r="GE988">
        <v>110.05239891197394</v>
      </c>
      <c r="GF988">
        <v>134.92461867549946</v>
      </c>
      <c r="GG988">
        <v>86.026239401201536</v>
      </c>
      <c r="GH988">
        <v>106.88516123395401</v>
      </c>
      <c r="GI988">
        <v>106.53638736072115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226.86850878122272</v>
      </c>
      <c r="AO989">
        <v>140.65313281307351</v>
      </c>
      <c r="AP989">
        <v>643.94315652515832</v>
      </c>
      <c r="AQ989">
        <v>799.20595459264041</v>
      </c>
      <c r="AR989">
        <v>131.21671233137698</v>
      </c>
      <c r="AS989">
        <v>1394.2903170286404</v>
      </c>
      <c r="AT989">
        <v>64.17873464174842</v>
      </c>
      <c r="AU989">
        <v>158.53538971105178</v>
      </c>
      <c r="AV989"/>
      <c r="AW989"/>
      <c r="FY989" s="211">
        <v>984</v>
      </c>
      <c r="FZ989">
        <v>98.86239858526929</v>
      </c>
      <c r="GA989">
        <v>109.75871682729537</v>
      </c>
      <c r="GB989">
        <v>41.919522258344863</v>
      </c>
      <c r="GC989">
        <v>40.73256984173802</v>
      </c>
      <c r="GD989">
        <v>33.898630794549788</v>
      </c>
      <c r="GE989">
        <v>56.189277398588963</v>
      </c>
      <c r="GF989">
        <v>100.8221403181732</v>
      </c>
      <c r="GG989">
        <v>90.71900104475155</v>
      </c>
      <c r="GH989">
        <v>71.110530958659368</v>
      </c>
      <c r="GI989">
        <v>81.682169965145391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268.851869641196</v>
      </c>
      <c r="AO990">
        <v>168.61045984736623</v>
      </c>
      <c r="AP990">
        <v>712.84262280482949</v>
      </c>
      <c r="AQ990">
        <v>957.70883693530698</v>
      </c>
      <c r="AR990">
        <v>158.45564050848557</v>
      </c>
      <c r="AS990">
        <v>1451.967414855334</v>
      </c>
      <c r="AT990">
        <v>85.547685822315827</v>
      </c>
      <c r="AU990">
        <v>62.414243811589088</v>
      </c>
      <c r="AV990"/>
      <c r="AW990"/>
      <c r="FY990" s="211">
        <v>985</v>
      </c>
      <c r="FZ990">
        <v>102.51268498220105</v>
      </c>
      <c r="GA990">
        <v>166.8483276634324</v>
      </c>
      <c r="GB990">
        <v>70.758903634501081</v>
      </c>
      <c r="GC990">
        <v>44.789338495936796</v>
      </c>
      <c r="GD990">
        <v>41.019850975361713</v>
      </c>
      <c r="GE990">
        <v>78.418860666419604</v>
      </c>
      <c r="GF990">
        <v>118.96017983174239</v>
      </c>
      <c r="GG990">
        <v>75.257390649909951</v>
      </c>
      <c r="GH990">
        <v>35.170612425521462</v>
      </c>
      <c r="GI990">
        <v>93.137269938453073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263.36168666629266</v>
      </c>
      <c r="AO991">
        <v>119.89841816647245</v>
      </c>
      <c r="AP991">
        <v>390.990396570744</v>
      </c>
      <c r="AQ991">
        <v>654.48169288273652</v>
      </c>
      <c r="AR991">
        <v>114.08973410874978</v>
      </c>
      <c r="AS991">
        <v>1314.2740707170224</v>
      </c>
      <c r="AT991">
        <v>55.280187239342119</v>
      </c>
      <c r="AU991">
        <v>30.856553773238542</v>
      </c>
      <c r="AV991"/>
      <c r="AW991"/>
      <c r="FY991" s="211">
        <v>986</v>
      </c>
      <c r="FZ991">
        <v>100.96931037599343</v>
      </c>
      <c r="GA991">
        <v>136.54476711967118</v>
      </c>
      <c r="GB991">
        <v>66.498280581099522</v>
      </c>
      <c r="GC991">
        <v>46.181717042931673</v>
      </c>
      <c r="GD991">
        <v>29.921078147127961</v>
      </c>
      <c r="GE991">
        <v>61.300522422446214</v>
      </c>
      <c r="GF991">
        <v>98.540180728646462</v>
      </c>
      <c r="GG991">
        <v>62.977482097536843</v>
      </c>
      <c r="GH991">
        <v>66.032378746126213</v>
      </c>
      <c r="GI991">
        <v>85.118689915226028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203.13462823182391</v>
      </c>
      <c r="AO992">
        <v>146.56883523856999</v>
      </c>
      <c r="AP992">
        <v>621.29689766521221</v>
      </c>
      <c r="AQ992">
        <v>830.81739906963696</v>
      </c>
      <c r="AR992">
        <v>140.74535464770892</v>
      </c>
      <c r="AS992">
        <v>1380.8286733892317</v>
      </c>
      <c r="AT992">
        <v>76.232554141457769</v>
      </c>
      <c r="AU992">
        <v>49.909466578267669</v>
      </c>
      <c r="AV992"/>
      <c r="AW992"/>
      <c r="FY992" s="211">
        <v>987</v>
      </c>
      <c r="FZ992">
        <v>133.78307016911597</v>
      </c>
      <c r="GA992">
        <v>159.32185125577442</v>
      </c>
      <c r="GB992">
        <v>53.103653411174747</v>
      </c>
      <c r="GC992">
        <v>47.060695725951845</v>
      </c>
      <c r="GD992">
        <v>44.491276822662812</v>
      </c>
      <c r="GE992">
        <v>68.168098611268732</v>
      </c>
      <c r="GF992">
        <v>104.17486559893938</v>
      </c>
      <c r="GG992">
        <v>100.22896364834575</v>
      </c>
      <c r="GH992">
        <v>89.21900661852888</v>
      </c>
      <c r="GI992">
        <v>100.1634258063619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197.92948080723272</v>
      </c>
      <c r="AO993">
        <v>116.44505094010029</v>
      </c>
      <c r="AP993">
        <v>555.64689594666493</v>
      </c>
      <c r="AQ993">
        <v>654.40677998883416</v>
      </c>
      <c r="AR993">
        <v>111.53828191140619</v>
      </c>
      <c r="AS993">
        <v>951.03542852096462</v>
      </c>
      <c r="AT993">
        <v>59.370538491113003</v>
      </c>
      <c r="AU993">
        <v>291.11303958430403</v>
      </c>
      <c r="AV993"/>
      <c r="AW993"/>
      <c r="FY993" s="211">
        <v>988</v>
      </c>
      <c r="FZ993">
        <v>120.5587890722536</v>
      </c>
      <c r="GA993">
        <v>112.319988949961</v>
      </c>
      <c r="GB993">
        <v>41.028389234252231</v>
      </c>
      <c r="GC993">
        <v>46.272986132753573</v>
      </c>
      <c r="GD993">
        <v>37.447963050859194</v>
      </c>
      <c r="GE993">
        <v>69.250342715357434</v>
      </c>
      <c r="GF993">
        <v>101.19728289633679</v>
      </c>
      <c r="GG993">
        <v>103.16648287793269</v>
      </c>
      <c r="GH993">
        <v>110.91372726570114</v>
      </c>
      <c r="GI993">
        <v>92.799534221662114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255.91950626179838</v>
      </c>
      <c r="AO994">
        <v>133.52094455660804</v>
      </c>
      <c r="AP994">
        <v>652.69286265097412</v>
      </c>
      <c r="AQ994">
        <v>672.12172178330127</v>
      </c>
      <c r="AR994">
        <v>125.0308687388478</v>
      </c>
      <c r="AS994">
        <v>1285.3714330388175</v>
      </c>
      <c r="AT994">
        <v>63.541230475653833</v>
      </c>
      <c r="AU994">
        <v>287.06724948643114</v>
      </c>
      <c r="AV994"/>
      <c r="AW994"/>
      <c r="FY994" s="211">
        <v>989</v>
      </c>
      <c r="FZ994">
        <v>89.194168805544336</v>
      </c>
      <c r="GA994">
        <v>157.33165036905271</v>
      </c>
      <c r="GB994">
        <v>65.138072351602062</v>
      </c>
      <c r="GC994">
        <v>36.375060816795042</v>
      </c>
      <c r="GD994">
        <v>46.180704748613749</v>
      </c>
      <c r="GE994">
        <v>80.260892365446367</v>
      </c>
      <c r="GF994">
        <v>98.067728130685353</v>
      </c>
      <c r="GG994">
        <v>76.310592197965391</v>
      </c>
      <c r="GH994">
        <v>46.678984394550518</v>
      </c>
      <c r="GI994">
        <v>90.0118690378401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223.65194355330459</v>
      </c>
      <c r="AO995">
        <v>117.30319231542983</v>
      </c>
      <c r="AP995">
        <v>549.43710568226243</v>
      </c>
      <c r="AQ995">
        <v>691.61684077012092</v>
      </c>
      <c r="AR995">
        <v>110.35546040941009</v>
      </c>
      <c r="AS995">
        <v>1198.2210635011199</v>
      </c>
      <c r="AT995">
        <v>59.438051904740895</v>
      </c>
      <c r="AU995">
        <v>95.904734928302545</v>
      </c>
      <c r="AV995"/>
      <c r="AW995"/>
      <c r="FY995" s="211">
        <v>990</v>
      </c>
      <c r="FZ995">
        <v>146.27221339961378</v>
      </c>
      <c r="GA995">
        <v>162.50702318502181</v>
      </c>
      <c r="GB995">
        <v>46.851725821276368</v>
      </c>
      <c r="GC995">
        <v>41.984082362753156</v>
      </c>
      <c r="GD995">
        <v>48.298608767817719</v>
      </c>
      <c r="GE995">
        <v>96.404758288337774</v>
      </c>
      <c r="GF995">
        <v>99.111158479794511</v>
      </c>
      <c r="GG995">
        <v>60.699394040008777</v>
      </c>
      <c r="GH995">
        <v>82.672750909942565</v>
      </c>
      <c r="GI995">
        <v>101.67897554270336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247.47019640714362</v>
      </c>
      <c r="AO996">
        <v>158.713533857333</v>
      </c>
      <c r="AP996">
        <v>763.33400750658257</v>
      </c>
      <c r="AQ996">
        <v>881.85248567049916</v>
      </c>
      <c r="AR996">
        <v>150.76200871077398</v>
      </c>
      <c r="AS996">
        <v>1325.2333554324446</v>
      </c>
      <c r="AT996">
        <v>72.088525795587941</v>
      </c>
      <c r="AU996">
        <v>209.41305695022828</v>
      </c>
      <c r="AV996"/>
      <c r="AW996"/>
      <c r="FY996" s="211">
        <v>991</v>
      </c>
      <c r="FZ996">
        <v>84.767131093872848</v>
      </c>
      <c r="GA996">
        <v>132.30768463065942</v>
      </c>
      <c r="GB996">
        <v>56.080360801092638</v>
      </c>
      <c r="GC996">
        <v>41.505006463215402</v>
      </c>
      <c r="GD996">
        <v>42.871398416903503</v>
      </c>
      <c r="GE996">
        <v>80.115261917848088</v>
      </c>
      <c r="GF996">
        <v>88.649919624119306</v>
      </c>
      <c r="GG996">
        <v>23.422109844781588</v>
      </c>
      <c r="GH996">
        <v>15.529135173088815</v>
      </c>
      <c r="GI996">
        <v>78.466165372939741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240.64925090467642</v>
      </c>
      <c r="AO997">
        <v>148.74195824073587</v>
      </c>
      <c r="AP997">
        <v>673.52439727460592</v>
      </c>
      <c r="AQ997">
        <v>828.97421597229481</v>
      </c>
      <c r="AR997">
        <v>140.14745173788342</v>
      </c>
      <c r="AS997">
        <v>1349.5574029695001</v>
      </c>
      <c r="AT997">
        <v>73.406593172283053</v>
      </c>
      <c r="AU997">
        <v>221.09813109446225</v>
      </c>
      <c r="AV997"/>
      <c r="AW997"/>
      <c r="FY997" s="211">
        <v>992</v>
      </c>
      <c r="FZ997">
        <v>101.2132656061014</v>
      </c>
      <c r="GA997">
        <v>165.88640607417898</v>
      </c>
      <c r="GB997">
        <v>58.865007026514547</v>
      </c>
      <c r="GC997">
        <v>47.139591983866389</v>
      </c>
      <c r="GD997">
        <v>40.578719210634723</v>
      </c>
      <c r="GE997">
        <v>86.88059780474488</v>
      </c>
      <c r="GF997">
        <v>108.52270347390906</v>
      </c>
      <c r="GG997">
        <v>56.634611814103323</v>
      </c>
      <c r="GH997">
        <v>90.021634892823016</v>
      </c>
      <c r="GI997">
        <v>97.398294070562741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243.54329854785047</v>
      </c>
      <c r="AO998">
        <v>120.58840685495836</v>
      </c>
      <c r="AP998">
        <v>496.0177470718977</v>
      </c>
      <c r="AQ998">
        <v>701.40798813475408</v>
      </c>
      <c r="AR998">
        <v>113.93910054075124</v>
      </c>
      <c r="AS998">
        <v>1071.0967442594663</v>
      </c>
      <c r="AT998">
        <v>56.027629298009337</v>
      </c>
      <c r="AU998">
        <v>1.2399854555475471</v>
      </c>
      <c r="AV998"/>
      <c r="AW998"/>
      <c r="FY998" s="211">
        <v>993</v>
      </c>
      <c r="FZ998">
        <v>126.04017107428022</v>
      </c>
      <c r="GA998">
        <v>166.44503623512125</v>
      </c>
      <c r="GB998">
        <v>55.261301098388834</v>
      </c>
      <c r="GC998">
        <v>42.598190777737287</v>
      </c>
      <c r="GD998">
        <v>45.137108149087595</v>
      </c>
      <c r="GE998">
        <v>108.94698679546643</v>
      </c>
      <c r="GF998">
        <v>129.13083724635345</v>
      </c>
      <c r="GG998">
        <v>59.346444768823282</v>
      </c>
      <c r="GH998">
        <v>65.166954428723542</v>
      </c>
      <c r="GI998">
        <v>102.55725735258278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246.63956360789089</v>
      </c>
      <c r="AO999">
        <v>172.41360346472737</v>
      </c>
      <c r="AP999">
        <v>886.4442987488701</v>
      </c>
      <c r="AQ999">
        <v>945.42342361014482</v>
      </c>
      <c r="AR999">
        <v>163.22599263485725</v>
      </c>
      <c r="AS999">
        <v>1558.4251626821556</v>
      </c>
      <c r="AT999">
        <v>88.647746213532557</v>
      </c>
      <c r="AU999">
        <v>302.26545999141968</v>
      </c>
      <c r="AV999"/>
      <c r="AW999"/>
      <c r="FY999" s="211">
        <v>994</v>
      </c>
      <c r="FZ999">
        <v>113.35930354723637</v>
      </c>
      <c r="GA999">
        <v>160.64593606642362</v>
      </c>
      <c r="GB999">
        <v>50.576464399048085</v>
      </c>
      <c r="GC999">
        <v>38.0015961614844</v>
      </c>
      <c r="GD999">
        <v>52.6435072751636</v>
      </c>
      <c r="GE999">
        <v>77.853910313079112</v>
      </c>
      <c r="GF999">
        <v>46.234596202880589</v>
      </c>
      <c r="GG999">
        <v>66.769229830009252</v>
      </c>
      <c r="GH999">
        <v>95.717894844489223</v>
      </c>
      <c r="GI999">
        <v>90.87129492094958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258.33866842814859</v>
      </c>
      <c r="AO1000">
        <v>129.69349806786607</v>
      </c>
      <c r="AP1000">
        <v>566.68038746797333</v>
      </c>
      <c r="AQ1000">
        <v>725.69495799251581</v>
      </c>
      <c r="AR1000">
        <v>122.44749314155077</v>
      </c>
      <c r="AS1000">
        <v>1339.7047352263894</v>
      </c>
      <c r="AT1000">
        <v>64.08117822954712</v>
      </c>
      <c r="AU1000">
        <v>314.01007799301601</v>
      </c>
      <c r="AV1000"/>
      <c r="AW1000"/>
      <c r="FY1000" s="211">
        <v>995</v>
      </c>
      <c r="FZ1000">
        <v>110.65764235453221</v>
      </c>
      <c r="GA1000">
        <v>130.14430561069341</v>
      </c>
      <c r="GB1000">
        <v>39.76862920914904</v>
      </c>
      <c r="GC1000">
        <v>33.021516132345944</v>
      </c>
      <c r="GD1000">
        <v>23.882007943971235</v>
      </c>
      <c r="GE1000">
        <v>37.771214797733862</v>
      </c>
      <c r="GF1000">
        <v>88.914936100394854</v>
      </c>
      <c r="GG1000">
        <v>91.333540476168238</v>
      </c>
      <c r="GH1000">
        <v>77.964987399112417</v>
      </c>
      <c r="GI1000">
        <v>75.384763849112076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280.16359130495528</v>
      </c>
      <c r="AO1001">
        <v>150.13538849283981</v>
      </c>
      <c r="AP1001">
        <v>582.34040941936951</v>
      </c>
      <c r="AQ1001">
        <v>826.87341926347938</v>
      </c>
      <c r="AR1001">
        <v>140.08901197819299</v>
      </c>
      <c r="AS1001">
        <v>1328.7794625584913</v>
      </c>
      <c r="AT1001">
        <v>63.961395503481022</v>
      </c>
      <c r="AU1001">
        <v>206.22261122234016</v>
      </c>
      <c r="AV1001"/>
      <c r="AW1001"/>
      <c r="FY1001" s="211">
        <v>996</v>
      </c>
      <c r="FZ1001">
        <v>103.42499167452858</v>
      </c>
      <c r="GA1001">
        <v>136.01461536243073</v>
      </c>
      <c r="GB1001">
        <v>54.933098688408009</v>
      </c>
      <c r="GC1001">
        <v>48.550528101687298</v>
      </c>
      <c r="GD1001">
        <v>51.972992047584661</v>
      </c>
      <c r="GE1001">
        <v>69.454115567387149</v>
      </c>
      <c r="GF1001">
        <v>82.654488054408304</v>
      </c>
      <c r="GG1001">
        <v>126.95294447210844</v>
      </c>
      <c r="GH1001">
        <v>109.21402335406427</v>
      </c>
      <c r="GI1001">
        <v>100.12269281757662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260.49993838256535</v>
      </c>
      <c r="AO1002">
        <v>136.01986405145126</v>
      </c>
      <c r="AP1002">
        <v>510.70583967226901</v>
      </c>
      <c r="AQ1002">
        <v>754.08440717680548</v>
      </c>
      <c r="AR1002">
        <v>128.4909181084189</v>
      </c>
      <c r="AS1002">
        <v>1367.6018703760549</v>
      </c>
      <c r="AT1002">
        <v>63.044874113091794</v>
      </c>
      <c r="AU1002">
        <v>97.453321588960819</v>
      </c>
      <c r="AV1002"/>
      <c r="AW1002"/>
      <c r="FY1002" s="211">
        <v>997</v>
      </c>
      <c r="FZ1002">
        <v>118.34049906963631</v>
      </c>
      <c r="GA1002">
        <v>150.347717601639</v>
      </c>
      <c r="GB1002">
        <v>51.596025451790297</v>
      </c>
      <c r="GC1002">
        <v>50.114602954954002</v>
      </c>
      <c r="GD1002">
        <v>45.926144898399748</v>
      </c>
      <c r="GE1002">
        <v>78.70985852270924</v>
      </c>
      <c r="GF1002">
        <v>83.635696047946269</v>
      </c>
      <c r="GG1002">
        <v>46.061143193432464</v>
      </c>
      <c r="GH1002">
        <v>37.125642686483985</v>
      </c>
      <c r="GI1002">
        <v>85.831540035212271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288.75172418679409</v>
      </c>
      <c r="AO1003">
        <v>158.60970185353551</v>
      </c>
      <c r="AP1003">
        <v>621.43522887845506</v>
      </c>
      <c r="AQ1003">
        <v>899.71490766812451</v>
      </c>
      <c r="AR1003">
        <v>150.65058125504987</v>
      </c>
      <c r="AS1003">
        <v>1471.5494026766066</v>
      </c>
      <c r="AT1003">
        <v>80.316652592196178</v>
      </c>
      <c r="AU1003">
        <v>64.13678964655611</v>
      </c>
      <c r="AV1003"/>
      <c r="AW1003"/>
      <c r="FY1003" s="211">
        <v>998</v>
      </c>
      <c r="FZ1003">
        <v>104.66414717976409</v>
      </c>
      <c r="GA1003">
        <v>196.15333251728376</v>
      </c>
      <c r="GB1003">
        <v>77.264748307138646</v>
      </c>
      <c r="GC1003">
        <v>44.949166036896685</v>
      </c>
      <c r="GD1003">
        <v>40.56900218095398</v>
      </c>
      <c r="GE1003">
        <v>87.432695559340033</v>
      </c>
      <c r="GF1003">
        <v>113.32100894467193</v>
      </c>
      <c r="GG1003">
        <v>86.124567746993236</v>
      </c>
      <c r="GH1003">
        <v>92.81724187796371</v>
      </c>
      <c r="GI1003">
        <v>102.99824995386005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243.60646489592918</v>
      </c>
      <c r="AO1004">
        <v>148.10295866798992</v>
      </c>
      <c r="AP1004">
        <v>575.57653437115209</v>
      </c>
      <c r="AQ1004">
        <v>834.95548641706989</v>
      </c>
      <c r="AR1004">
        <v>140.11500417859162</v>
      </c>
      <c r="AS1004">
        <v>1506.4830854698955</v>
      </c>
      <c r="AT1004">
        <v>76.015176037829747</v>
      </c>
      <c r="AU1004">
        <v>234.52854555709879</v>
      </c>
      <c r="AV1004"/>
      <c r="AW1004"/>
      <c r="FY1004" s="211">
        <v>999</v>
      </c>
      <c r="FZ1004">
        <v>69.372197891831547</v>
      </c>
      <c r="GA1004">
        <v>128.09576087776418</v>
      </c>
      <c r="GB1004">
        <v>64.409360380712513</v>
      </c>
      <c r="GC1004">
        <v>42.168400697422811</v>
      </c>
      <c r="GD1004">
        <v>35.451282188250865</v>
      </c>
      <c r="GE1004">
        <v>52.240489401047284</v>
      </c>
      <c r="GF1004">
        <v>70.013716639291758</v>
      </c>
      <c r="GG1004">
        <v>69.326236712857465</v>
      </c>
      <c r="GH1004">
        <v>62.990309201035885</v>
      </c>
      <c r="GI1004">
        <v>75.33663171813555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243.9025535014087</v>
      </c>
      <c r="AO1005">
        <v>141.65831934527034</v>
      </c>
      <c r="AP1005">
        <v>562.63928212214296</v>
      </c>
      <c r="AQ1005">
        <v>785.54972321809578</v>
      </c>
      <c r="AR1005">
        <v>134.20531241963178</v>
      </c>
      <c r="AS1005">
        <v>1453.7972839192471</v>
      </c>
      <c r="AT1005">
        <v>69.893664506881947</v>
      </c>
      <c r="AU1005">
        <v>308.38441312374482</v>
      </c>
      <c r="AV1005"/>
      <c r="AW1005"/>
      <c r="FY1005" s="211">
        <v>1000</v>
      </c>
      <c r="FZ1005">
        <v>136.20357012439865</v>
      </c>
      <c r="GA1005">
        <v>152.6952938589788</v>
      </c>
      <c r="GB1005">
        <v>47.688968806578607</v>
      </c>
      <c r="GC1005">
        <v>46.627436682044973</v>
      </c>
      <c r="GD1005">
        <v>55.201132841946283</v>
      </c>
      <c r="GE1005">
        <v>88.412740195939961</v>
      </c>
      <c r="GF1005">
        <v>61.201072434597535</v>
      </c>
      <c r="GG1005">
        <v>31.582157617665501</v>
      </c>
      <c r="GH1005">
        <v>41.593756179369755</v>
      </c>
      <c r="GI1005">
        <v>88.946524673850121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256.3098901477008</v>
      </c>
      <c r="AO1006">
        <v>161.51555258500804</v>
      </c>
      <c r="AP1006">
        <v>672.9139057983391</v>
      </c>
      <c r="AQ1006">
        <v>886.48069079726986</v>
      </c>
      <c r="AR1006">
        <v>154.28514876445814</v>
      </c>
      <c r="AS1006">
        <v>1514.9187658218277</v>
      </c>
      <c r="AT1006">
        <v>84.369516601134123</v>
      </c>
      <c r="AU1006">
        <v>211.72242729280077</v>
      </c>
      <c r="AV1006"/>
      <c r="AW1006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230.37364400788579</v>
      </c>
      <c r="AO1007">
        <v>123.15539248720003</v>
      </c>
      <c r="AP1007">
        <v>479.77917715867613</v>
      </c>
      <c r="AQ1007">
        <v>643.71417333852139</v>
      </c>
      <c r="AR1007">
        <v>116.77223760253105</v>
      </c>
      <c r="AS1007">
        <v>1160.7906818521517</v>
      </c>
      <c r="AT1007">
        <v>58.256057830351629</v>
      </c>
      <c r="AU1007">
        <v>139.47720824143778</v>
      </c>
      <c r="AV1007"/>
      <c r="AW1007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255.30162062481685</v>
      </c>
      <c r="AO1008">
        <v>158.69747104513803</v>
      </c>
      <c r="AP1008">
        <v>924.6631662358343</v>
      </c>
      <c r="AQ1008">
        <v>853.1408319574391</v>
      </c>
      <c r="AR1008">
        <v>148.60285936093393</v>
      </c>
      <c r="AS1008">
        <v>1435.234439415452</v>
      </c>
      <c r="AT1008">
        <v>79.221498571131264</v>
      </c>
      <c r="AU1008">
        <v>-1.6512249882656107</v>
      </c>
      <c r="AV1008"/>
      <c r="AW1008"/>
    </row>
    <row r="1009" spans="1:49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273.09137074737885</v>
      </c>
      <c r="AO1009">
        <v>166.72290591365623</v>
      </c>
      <c r="AP1009">
        <v>735.63482674151169</v>
      </c>
      <c r="AQ1009">
        <v>900.63028792656451</v>
      </c>
      <c r="AR1009">
        <v>156.62900295902827</v>
      </c>
      <c r="AS1009">
        <v>1460.541687148826</v>
      </c>
      <c r="AT1009">
        <v>78.016560565836684</v>
      </c>
      <c r="AU1009">
        <v>180.74091891021914</v>
      </c>
      <c r="AV1009"/>
      <c r="AW1009"/>
    </row>
    <row r="1010" spans="1:49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275.93437876247827</v>
      </c>
      <c r="AO1010">
        <v>144.04851284878248</v>
      </c>
      <c r="AP1010">
        <v>477.11889647461993</v>
      </c>
      <c r="AQ1010">
        <v>792.67373356076382</v>
      </c>
      <c r="AR1010">
        <v>137.40433777751895</v>
      </c>
      <c r="AS1010">
        <v>1340.4146283574703</v>
      </c>
      <c r="AT1010">
        <v>66.861160939364055</v>
      </c>
      <c r="AU1010">
        <v>-88.34810984982451</v>
      </c>
      <c r="AV1010"/>
      <c r="AW1010"/>
    </row>
    <row r="1011" spans="1:49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194.9682922424625</v>
      </c>
      <c r="AO1011">
        <v>121.18953274724359</v>
      </c>
      <c r="AP1011">
        <v>534.09143386662379</v>
      </c>
      <c r="AQ1011">
        <v>708.84354387321332</v>
      </c>
      <c r="AR1011">
        <v>114.80343982728951</v>
      </c>
      <c r="AS1011">
        <v>1202.4080632839691</v>
      </c>
      <c r="AT1011">
        <v>60.759542567204612</v>
      </c>
      <c r="AU1011">
        <v>169.00087920966416</v>
      </c>
      <c r="AV1011"/>
      <c r="AW1011"/>
    </row>
    <row r="1012" spans="1:49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295.78705081359925</v>
      </c>
      <c r="AO1012">
        <v>161.78686106488959</v>
      </c>
      <c r="AP1012">
        <v>626.64444591901133</v>
      </c>
      <c r="AQ1012">
        <v>883.29449014018405</v>
      </c>
      <c r="AR1012">
        <v>151.11408415043161</v>
      </c>
      <c r="AS1012">
        <v>1610.7407996328093</v>
      </c>
      <c r="AT1012">
        <v>77.607148626737754</v>
      </c>
      <c r="AU1012">
        <v>396.15717539851789</v>
      </c>
      <c r="AV1012"/>
      <c r="AW1012"/>
    </row>
    <row r="1013" spans="1:49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258.7487649109533</v>
      </c>
      <c r="AO1013">
        <v>137.5376335397396</v>
      </c>
      <c r="AP1013">
        <v>575.29611862176591</v>
      </c>
      <c r="AQ1013">
        <v>747.68887046220357</v>
      </c>
      <c r="AR1013">
        <v>127.66256590443626</v>
      </c>
      <c r="AS1013">
        <v>1397.3798273653933</v>
      </c>
      <c r="AT1013">
        <v>63.464778177919264</v>
      </c>
      <c r="AU1013">
        <v>127.23115630985487</v>
      </c>
      <c r="AV1013"/>
      <c r="AW1013"/>
    </row>
    <row r="1014" spans="1:49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283.77389300558707</v>
      </c>
      <c r="AO1014">
        <v>167.75349572547745</v>
      </c>
      <c r="AP1014">
        <v>610.50653918894443</v>
      </c>
      <c r="AQ1014">
        <v>946.29416030486607</v>
      </c>
      <c r="AR1014">
        <v>155.97207159599435</v>
      </c>
      <c r="AS1014">
        <v>1474.4553409116097</v>
      </c>
      <c r="AT1014">
        <v>76.306750851245354</v>
      </c>
      <c r="AU1014">
        <v>65.821736858840808</v>
      </c>
      <c r="AV1014"/>
      <c r="AW1014"/>
    </row>
    <row r="1015" spans="1:49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275.42366104261095</v>
      </c>
      <c r="AO1015">
        <v>119.4276292154572</v>
      </c>
      <c r="AP1015">
        <v>533.66044044038472</v>
      </c>
      <c r="AQ1015">
        <v>669.40438570834988</v>
      </c>
      <c r="AR1015">
        <v>112.06724613340975</v>
      </c>
      <c r="AS1015">
        <v>1126.4513306416986</v>
      </c>
      <c r="AT1015">
        <v>57.62799465999084</v>
      </c>
      <c r="AU1015">
        <v>262.89243438065699</v>
      </c>
      <c r="AV1015"/>
      <c r="AW1015"/>
    </row>
    <row r="1016" spans="1:49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291.92658611325152</v>
      </c>
      <c r="AO1016">
        <v>139.08395666069606</v>
      </c>
      <c r="AP1016">
        <v>680.5601857566802</v>
      </c>
      <c r="AQ1016">
        <v>750.1526534153702</v>
      </c>
      <c r="AR1016">
        <v>132.49083656795773</v>
      </c>
      <c r="AS1016">
        <v>1448.8160111000557</v>
      </c>
      <c r="AT1016">
        <v>65.182935698130947</v>
      </c>
      <c r="AU1016">
        <v>180.23149248578599</v>
      </c>
      <c r="AV1016"/>
      <c r="AW1016"/>
    </row>
    <row r="1017" spans="1:49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49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49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49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49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49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49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49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FI16:FJ16"/>
    <mergeCell ref="FK16:FL16"/>
    <mergeCell ref="FM16:FN16"/>
    <mergeCell ref="FI14:FJ14"/>
    <mergeCell ref="FK14:FL14"/>
    <mergeCell ref="FM14:FN14"/>
    <mergeCell ref="FI15:FJ15"/>
    <mergeCell ref="FK15:FL15"/>
    <mergeCell ref="FM15:FN15"/>
    <mergeCell ref="FI12:FJ12"/>
    <mergeCell ref="FK12:FL12"/>
    <mergeCell ref="FM12:FN12"/>
    <mergeCell ref="FI13:FJ13"/>
    <mergeCell ref="FK13:FL13"/>
    <mergeCell ref="FM13:FN13"/>
    <mergeCell ref="FI10:FJ10"/>
    <mergeCell ref="FK10:FL10"/>
    <mergeCell ref="FM10:FN10"/>
    <mergeCell ref="FI11:FJ11"/>
    <mergeCell ref="FK11:FL11"/>
    <mergeCell ref="FM11:FN11"/>
    <mergeCell ref="CW86:CX86"/>
    <mergeCell ref="O455:R455"/>
    <mergeCell ref="GC2:GI2"/>
    <mergeCell ref="FJ4:FM4"/>
    <mergeCell ref="FI6:FJ6"/>
    <mergeCell ref="FK6:FL6"/>
    <mergeCell ref="FM6:FN6"/>
    <mergeCell ref="FI7:FJ7"/>
    <mergeCell ref="FK7:FL7"/>
    <mergeCell ref="FM7:FN7"/>
    <mergeCell ref="FI8:FJ8"/>
    <mergeCell ref="FK8:FL8"/>
    <mergeCell ref="FM8:FN8"/>
    <mergeCell ref="FI9:FJ9"/>
    <mergeCell ref="FK9:FL9"/>
    <mergeCell ref="FM9:FN9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tabSelected="1"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2011-01-11T19:16:02Z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